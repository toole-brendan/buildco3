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1_A63970DF59C534130F9267819B5E3682A7918287" xr6:coauthVersionLast="47" xr6:coauthVersionMax="47" xr10:uidLastSave="{00000000-0000-0000-0000-000000000000}"/>
  <bookViews>
    <workbookView xWindow="0" yWindow="760" windowWidth="34560" windowHeight="20400" xr2:uid="{00000000-000D-0000-FFFF-FFFF00000000}"/>
  </bookViews>
  <sheets>
    <sheet name="J Book Items Cons." sheetId="1" r:id="rId1"/>
    <sheet name="FY2026 &gt;&gt;" sheetId="2" r:id="rId2"/>
    <sheet name="FY26 Total Funding" sheetId="3" r:id="rId3"/>
    <sheet name="FY26 Newbuild TAM" sheetId="4" r:id="rId4"/>
    <sheet name="FY26 Newbuild SAM" sheetId="5" r:id="rId5"/>
    <sheet name="FY26 Newbuild SAM Cost Detail" sheetId="6" r:id="rId6"/>
    <sheet name="FY26 MRO TAM" sheetId="7" r:id="rId7"/>
    <sheet name="FY26 MRO SAM" sheetId="8" r:id="rId8"/>
    <sheet name="FY2027 &gt;&gt;" sheetId="9" r:id="rId9"/>
    <sheet name="FY27 Total Funding" sheetId="10" r:id="rId10"/>
    <sheet name="FY27 Newbuild TAM" sheetId="11" r:id="rId11"/>
    <sheet name="FY27 Newbuild SAM" sheetId="12" r:id="rId12"/>
    <sheet name="FY27 MRO TAM" sheetId="13" r:id="rId13"/>
    <sheet name="FY27 MRO SAM" sheetId="14" r:id="rId14"/>
    <sheet name="Competitive Dynamics" sheetId="15" r:id="rId15"/>
    <sheet name="Validation" sheetId="16" r:id="rId16"/>
    <sheet name="Notes" sheetId="17" r:id="rId17"/>
  </sheets>
  <definedNames>
    <definedName name="JB_27S">'J Book Items Cons.'!$Z$6:$Z$4000</definedName>
    <definedName name="JB_27U">'J Book Items Cons.'!$AB$6:$AB$4000</definedName>
    <definedName name="JB_A">'J Book Items Cons.'!$A$6:$A$4000</definedName>
    <definedName name="JB_B">'J Book Items Cons.'!$I$6:$I$4000</definedName>
    <definedName name="JB_CC">'J Book Items Cons.'!$H$6:$H$4000</definedName>
    <definedName name="JB_CE">'J Book Items Cons.'!$AG$6:$AG$4000</definedName>
    <definedName name="JB_EX">'J Book Items Cons.'!$G$6:$G$4000</definedName>
    <definedName name="JB_F">'J Book Items Cons.'!$J$6:$J$4000</definedName>
    <definedName name="JB_H">'J Book Items Cons.'!$N$6:$N$4000</definedName>
    <definedName name="JB_L">'J Book Items Cons.'!$S$6:$S$4000</definedName>
    <definedName name="JB_N">'J Book Items Cons.'!$U$6:$U$4000</definedName>
    <definedName name="JB_R">'J Book Items Cons.'!$Y$6:$Y$4000</definedName>
    <definedName name="JB_S">'J Book Items Cons.'!$E$6:$E$4000</definedName>
    <definedName name="JB_U">'J Book Items Cons.'!$K$6:$K$4000</definedName>
    <definedName name="JB_V">'J Book Items Cons.'!$L$6:$L$4000</definedName>
    <definedName name="JB_W">'J Book Items Cons.'!$M$6:$M$4000</definedName>
  </definedName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8" i="15" l="1"/>
  <c r="B122" i="15"/>
  <c r="B113" i="15"/>
  <c r="B100" i="15"/>
  <c r="B94" i="15"/>
  <c r="B88" i="15"/>
  <c r="B80" i="15"/>
  <c r="B70" i="15"/>
  <c r="B50" i="15"/>
  <c r="C25" i="15"/>
  <c r="D48" i="14"/>
  <c r="D46" i="14" s="1"/>
  <c r="C48" i="14"/>
  <c r="C47" i="14" s="1"/>
  <c r="B48" i="14"/>
  <c r="B47" i="14" s="1"/>
  <c r="D39" i="14"/>
  <c r="C39" i="14"/>
  <c r="E39" i="14" s="1"/>
  <c r="D38" i="14"/>
  <c r="C38" i="14"/>
  <c r="E38" i="14" s="1"/>
  <c r="D37" i="14"/>
  <c r="C37" i="14"/>
  <c r="E37" i="14" s="1"/>
  <c r="D36" i="14"/>
  <c r="C36" i="14"/>
  <c r="E36" i="14" s="1"/>
  <c r="D35" i="14"/>
  <c r="C35" i="14"/>
  <c r="E35" i="14" s="1"/>
  <c r="D34" i="14"/>
  <c r="C34" i="14"/>
  <c r="E34" i="14" s="1"/>
  <c r="D33" i="14"/>
  <c r="C33" i="14"/>
  <c r="E33" i="14" s="1"/>
  <c r="D32" i="14"/>
  <c r="C32" i="14"/>
  <c r="E32" i="14" s="1"/>
  <c r="D31" i="14"/>
  <c r="C31" i="14"/>
  <c r="E31" i="14" s="1"/>
  <c r="D30" i="14"/>
  <c r="C30" i="14"/>
  <c r="E30" i="14" s="1"/>
  <c r="D29" i="14"/>
  <c r="C29" i="14"/>
  <c r="E29" i="14" s="1"/>
  <c r="D28" i="14"/>
  <c r="C28" i="14"/>
  <c r="E28" i="14" s="1"/>
  <c r="D27" i="14"/>
  <c r="C27" i="14"/>
  <c r="E27" i="14" s="1"/>
  <c r="D26" i="14"/>
  <c r="C26" i="14"/>
  <c r="E26" i="14" s="1"/>
  <c r="D25" i="14"/>
  <c r="C25" i="14"/>
  <c r="E25" i="14" s="1"/>
  <c r="D24" i="14"/>
  <c r="C24" i="14"/>
  <c r="E24" i="14" s="1"/>
  <c r="D23" i="14"/>
  <c r="C23" i="14"/>
  <c r="E23" i="14" s="1"/>
  <c r="D22" i="14"/>
  <c r="C22" i="14"/>
  <c r="E22" i="14" s="1"/>
  <c r="D21" i="14"/>
  <c r="C21" i="14"/>
  <c r="E21" i="14" s="1"/>
  <c r="D20" i="14"/>
  <c r="C20" i="14"/>
  <c r="E20" i="14" s="1"/>
  <c r="D19" i="14"/>
  <c r="C19" i="14"/>
  <c r="E19" i="14" s="1"/>
  <c r="D18" i="14"/>
  <c r="C18" i="14"/>
  <c r="E18" i="14" s="1"/>
  <c r="D17" i="14"/>
  <c r="C17" i="14"/>
  <c r="E17" i="14" s="1"/>
  <c r="D16" i="14"/>
  <c r="C16" i="14"/>
  <c r="E16" i="14" s="1"/>
  <c r="D15" i="14"/>
  <c r="D40" i="14" s="1"/>
  <c r="C15" i="14"/>
  <c r="C40" i="14" s="1"/>
  <c r="B10" i="14"/>
  <c r="B8" i="14"/>
  <c r="B7" i="14"/>
  <c r="B6" i="14"/>
  <c r="H61" i="13"/>
  <c r="H60" i="13" s="1"/>
  <c r="G61" i="13"/>
  <c r="F61" i="13"/>
  <c r="F60" i="13" s="1"/>
  <c r="E61" i="13"/>
  <c r="E60" i="13" s="1"/>
  <c r="D61" i="13"/>
  <c r="D60" i="13" s="1"/>
  <c r="C61" i="13"/>
  <c r="C60" i="13" s="1"/>
  <c r="B61" i="13"/>
  <c r="B60" i="13" s="1"/>
  <c r="G60" i="13"/>
  <c r="H59" i="13"/>
  <c r="G59" i="13"/>
  <c r="F59" i="13"/>
  <c r="E59" i="13"/>
  <c r="D59" i="13"/>
  <c r="C59" i="13"/>
  <c r="B59" i="13"/>
  <c r="G58" i="13"/>
  <c r="H57" i="13"/>
  <c r="G57" i="13"/>
  <c r="F57" i="13"/>
  <c r="E57" i="13"/>
  <c r="D57" i="13"/>
  <c r="C57" i="13"/>
  <c r="B57"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B17" i="13"/>
  <c r="B16" i="13"/>
  <c r="B15" i="13"/>
  <c r="C15" i="13" s="1"/>
  <c r="B14" i="13"/>
  <c r="B18" i="13" s="1"/>
  <c r="B8" i="13"/>
  <c r="B7" i="13"/>
  <c r="B6" i="13"/>
  <c r="B5" i="13"/>
  <c r="C63" i="12"/>
  <c r="C62" i="12"/>
  <c r="C61" i="12"/>
  <c r="C60" i="12"/>
  <c r="C59" i="12"/>
  <c r="C58" i="12"/>
  <c r="C57" i="12"/>
  <c r="C56" i="12"/>
  <c r="C55" i="12"/>
  <c r="C54" i="12"/>
  <c r="C53" i="12"/>
  <c r="C64" i="12" s="1"/>
  <c r="J47" i="12"/>
  <c r="J46" i="12" s="1"/>
  <c r="I47" i="12"/>
  <c r="H47" i="12"/>
  <c r="H46" i="12" s="1"/>
  <c r="G47" i="12"/>
  <c r="G45" i="12" s="1"/>
  <c r="F47" i="12"/>
  <c r="F45" i="12" s="1"/>
  <c r="E47" i="12"/>
  <c r="E45" i="12" s="1"/>
  <c r="D47" i="12"/>
  <c r="D45" i="12" s="1"/>
  <c r="C47" i="12"/>
  <c r="C45" i="12" s="1"/>
  <c r="B47" i="12"/>
  <c r="I46" i="12"/>
  <c r="F46" i="12"/>
  <c r="D46" i="12"/>
  <c r="B46" i="12"/>
  <c r="I45" i="12"/>
  <c r="H45" i="12"/>
  <c r="B45" i="12"/>
  <c r="C38" i="12"/>
  <c r="D38" i="12" s="1"/>
  <c r="C37" i="12"/>
  <c r="C36" i="12"/>
  <c r="C35" i="12"/>
  <c r="D35" i="12" s="1"/>
  <c r="C34" i="12"/>
  <c r="D34" i="12" s="1"/>
  <c r="C33" i="12"/>
  <c r="D33" i="12" s="1"/>
  <c r="C32" i="12"/>
  <c r="C31" i="12"/>
  <c r="C30" i="12"/>
  <c r="C29" i="12"/>
  <c r="C28" i="12"/>
  <c r="C27" i="12"/>
  <c r="C26" i="12"/>
  <c r="C25" i="12"/>
  <c r="D25" i="12" s="1"/>
  <c r="C24" i="12"/>
  <c r="D24" i="12" s="1"/>
  <c r="C23" i="12"/>
  <c r="C22" i="12"/>
  <c r="D22" i="12" s="1"/>
  <c r="C21" i="12"/>
  <c r="C20" i="12"/>
  <c r="C19" i="12"/>
  <c r="D19" i="12" s="1"/>
  <c r="C18" i="12"/>
  <c r="D18" i="12" s="1"/>
  <c r="C17" i="12"/>
  <c r="D17" i="12" s="1"/>
  <c r="C16" i="12"/>
  <c r="C15" i="12"/>
  <c r="C39" i="12" s="1"/>
  <c r="C14" i="12"/>
  <c r="B8" i="12"/>
  <c r="B7" i="12"/>
  <c r="B6" i="12"/>
  <c r="B9" i="12" s="1"/>
  <c r="B5" i="12"/>
  <c r="C71" i="11"/>
  <c r="C70" i="11"/>
  <c r="C69" i="11"/>
  <c r="C68" i="11"/>
  <c r="C67" i="11"/>
  <c r="C66" i="11"/>
  <c r="C65" i="11"/>
  <c r="C64" i="11"/>
  <c r="C63" i="11"/>
  <c r="C62" i="11"/>
  <c r="C61" i="11"/>
  <c r="C60" i="11"/>
  <c r="C59" i="11"/>
  <c r="C58" i="11"/>
  <c r="C57" i="11"/>
  <c r="M51" i="11"/>
  <c r="M48" i="11" s="1"/>
  <c r="L51" i="11"/>
  <c r="K51" i="11"/>
  <c r="K48" i="11" s="1"/>
  <c r="J51" i="11"/>
  <c r="I51" i="11"/>
  <c r="H51" i="11"/>
  <c r="H49" i="11" s="1"/>
  <c r="H50" i="11" s="1"/>
  <c r="G51" i="11"/>
  <c r="G48" i="11" s="1"/>
  <c r="G50" i="11" s="1"/>
  <c r="F51" i="11"/>
  <c r="F49" i="11" s="1"/>
  <c r="E51" i="11"/>
  <c r="E48" i="11" s="1"/>
  <c r="E50" i="11" s="1"/>
  <c r="D51" i="11"/>
  <c r="D49" i="11" s="1"/>
  <c r="C51" i="11"/>
  <c r="C49" i="11" s="1"/>
  <c r="B51" i="11"/>
  <c r="B48" i="11" s="1"/>
  <c r="L50" i="11"/>
  <c r="J50" i="11"/>
  <c r="L49" i="11"/>
  <c r="J49" i="11"/>
  <c r="I49" i="11"/>
  <c r="G49" i="11"/>
  <c r="E49" i="11"/>
  <c r="L48" i="11"/>
  <c r="J48" i="11"/>
  <c r="I48" i="11"/>
  <c r="I50" i="11" s="1"/>
  <c r="H48" i="11"/>
  <c r="F48" i="11"/>
  <c r="F50" i="11" s="1"/>
  <c r="D48" i="11"/>
  <c r="D50" i="11" s="1"/>
  <c r="C48" i="11"/>
  <c r="C50" i="11" s="1"/>
  <c r="C41" i="11"/>
  <c r="C40" i="11"/>
  <c r="C39" i="11"/>
  <c r="C38" i="11"/>
  <c r="C37" i="11"/>
  <c r="C36" i="11"/>
  <c r="C35" i="11"/>
  <c r="C34" i="11"/>
  <c r="C33" i="11"/>
  <c r="C32" i="11"/>
  <c r="C31" i="11"/>
  <c r="C30" i="11"/>
  <c r="C29" i="11"/>
  <c r="C28" i="11"/>
  <c r="C27" i="11"/>
  <c r="C26" i="11"/>
  <c r="C25" i="11"/>
  <c r="C24" i="11"/>
  <c r="D24" i="11" s="1"/>
  <c r="C23" i="11"/>
  <c r="C22" i="11"/>
  <c r="C21" i="11"/>
  <c r="C20" i="11"/>
  <c r="C19" i="11"/>
  <c r="C18" i="11"/>
  <c r="C17" i="11"/>
  <c r="C16" i="11"/>
  <c r="D16" i="11" s="1"/>
  <c r="C15" i="11"/>
  <c r="C14" i="11"/>
  <c r="C42" i="11" s="1"/>
  <c r="B9" i="11"/>
  <c r="B8" i="11"/>
  <c r="B7" i="11"/>
  <c r="B6" i="11"/>
  <c r="B5" i="11"/>
  <c r="B42" i="10"/>
  <c r="B41" i="10"/>
  <c r="B40" i="10"/>
  <c r="B39" i="10"/>
  <c r="B38" i="10"/>
  <c r="B37" i="10"/>
  <c r="B36" i="10"/>
  <c r="B35" i="10"/>
  <c r="B34" i="10"/>
  <c r="B33" i="10"/>
  <c r="B43" i="10" s="1"/>
  <c r="B32" i="10"/>
  <c r="B25" i="10"/>
  <c r="B24" i="10"/>
  <c r="B26" i="10" s="1"/>
  <c r="B23" i="10"/>
  <c r="B22" i="10"/>
  <c r="B21" i="10"/>
  <c r="B20" i="10"/>
  <c r="B19" i="10"/>
  <c r="B18" i="10"/>
  <c r="B27" i="10" s="1"/>
  <c r="B12" i="10"/>
  <c r="B11" i="10"/>
  <c r="B10" i="10"/>
  <c r="B9" i="10"/>
  <c r="B8" i="10"/>
  <c r="B7" i="10"/>
  <c r="B6" i="10"/>
  <c r="B13" i="10" s="1"/>
  <c r="H48" i="8"/>
  <c r="H47" i="8" s="1"/>
  <c r="G48" i="8"/>
  <c r="G47" i="8" s="1"/>
  <c r="F48" i="8"/>
  <c r="F47" i="8" s="1"/>
  <c r="E48" i="8"/>
  <c r="D48" i="8"/>
  <c r="D47" i="8" s="1"/>
  <c r="C48" i="8"/>
  <c r="B48" i="8"/>
  <c r="I48" i="8" s="1"/>
  <c r="I47" i="8" s="1"/>
  <c r="I46" i="8" s="1"/>
  <c r="E47" i="8"/>
  <c r="C47" i="8"/>
  <c r="B47" i="8"/>
  <c r="H46" i="8"/>
  <c r="G46" i="8"/>
  <c r="F46" i="8"/>
  <c r="E46" i="8"/>
  <c r="D46" i="8"/>
  <c r="C46" i="8"/>
  <c r="B46" i="8"/>
  <c r="E39" i="8"/>
  <c r="D39" i="8"/>
  <c r="C39" i="8"/>
  <c r="D38" i="8"/>
  <c r="C38" i="8"/>
  <c r="E38" i="8" s="1"/>
  <c r="D37" i="8"/>
  <c r="C37" i="8"/>
  <c r="E37" i="8" s="1"/>
  <c r="D36" i="8"/>
  <c r="E36" i="8" s="1"/>
  <c r="C36" i="8"/>
  <c r="E35" i="8"/>
  <c r="D35" i="8"/>
  <c r="C35" i="8"/>
  <c r="D34" i="8"/>
  <c r="C34" i="8"/>
  <c r="E34" i="8" s="1"/>
  <c r="D33" i="8"/>
  <c r="C33" i="8"/>
  <c r="E33" i="8" s="1"/>
  <c r="D32" i="8"/>
  <c r="E32" i="8" s="1"/>
  <c r="C32" i="8"/>
  <c r="E31" i="8"/>
  <c r="D31" i="8"/>
  <c r="C31" i="8"/>
  <c r="D30" i="8"/>
  <c r="C30" i="8"/>
  <c r="E30" i="8" s="1"/>
  <c r="D29" i="8"/>
  <c r="C29" i="8"/>
  <c r="E29" i="8" s="1"/>
  <c r="D28" i="8"/>
  <c r="E28" i="8" s="1"/>
  <c r="C28" i="8"/>
  <c r="E27" i="8"/>
  <c r="D27" i="8"/>
  <c r="C27" i="8"/>
  <c r="D26" i="8"/>
  <c r="C26" i="8"/>
  <c r="E26" i="8" s="1"/>
  <c r="D25" i="8"/>
  <c r="C25" i="8"/>
  <c r="E25" i="8" s="1"/>
  <c r="D24" i="8"/>
  <c r="E24" i="8" s="1"/>
  <c r="C24" i="8"/>
  <c r="E23" i="8"/>
  <c r="D23" i="8"/>
  <c r="C23" i="8"/>
  <c r="D22" i="8"/>
  <c r="C22" i="8"/>
  <c r="E22" i="8" s="1"/>
  <c r="D21" i="8"/>
  <c r="C21" i="8"/>
  <c r="E21" i="8" s="1"/>
  <c r="D20" i="8"/>
  <c r="E20" i="8" s="1"/>
  <c r="C20" i="8"/>
  <c r="E19" i="8"/>
  <c r="D19" i="8"/>
  <c r="C19" i="8"/>
  <c r="D18" i="8"/>
  <c r="C18" i="8"/>
  <c r="E18" i="8" s="1"/>
  <c r="D17" i="8"/>
  <c r="C17" i="8"/>
  <c r="E17" i="8" s="1"/>
  <c r="D16" i="8"/>
  <c r="C16" i="8"/>
  <c r="E16" i="8" s="1"/>
  <c r="E15" i="8"/>
  <c r="D15" i="8"/>
  <c r="D40" i="8" s="1"/>
  <c r="C15" i="8"/>
  <c r="C40" i="8" s="1"/>
  <c r="B10" i="8"/>
  <c r="B8" i="8"/>
  <c r="B7" i="8"/>
  <c r="B6" i="8"/>
  <c r="J65" i="7"/>
  <c r="J62" i="7" s="1"/>
  <c r="I65" i="7"/>
  <c r="I62" i="7" s="1"/>
  <c r="H65" i="7"/>
  <c r="H59" i="7" s="1"/>
  <c r="G65" i="7"/>
  <c r="G59" i="7" s="1"/>
  <c r="F65" i="7"/>
  <c r="F64" i="7" s="1"/>
  <c r="E65" i="7"/>
  <c r="D65" i="7"/>
  <c r="D61" i="7" s="1"/>
  <c r="C65" i="7"/>
  <c r="C61" i="7" s="1"/>
  <c r="B65" i="7"/>
  <c r="K65" i="7" s="1"/>
  <c r="I64" i="7"/>
  <c r="H64" i="7"/>
  <c r="G64" i="7"/>
  <c r="E64" i="7"/>
  <c r="C64" i="7"/>
  <c r="J63" i="7"/>
  <c r="H63" i="7"/>
  <c r="F63" i="7"/>
  <c r="E63" i="7"/>
  <c r="C63" i="7"/>
  <c r="B63" i="7"/>
  <c r="G62" i="7"/>
  <c r="E62" i="7"/>
  <c r="B62" i="7"/>
  <c r="J61" i="7"/>
  <c r="I61" i="7"/>
  <c r="G61" i="7"/>
  <c r="F61" i="7"/>
  <c r="E61" i="7"/>
  <c r="J60" i="7"/>
  <c r="H60" i="7"/>
  <c r="F60" i="7"/>
  <c r="E60" i="7"/>
  <c r="C60" i="7"/>
  <c r="J59" i="7"/>
  <c r="I59" i="7"/>
  <c r="E59" i="7"/>
  <c r="C59"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B19" i="7"/>
  <c r="B18" i="7"/>
  <c r="B17" i="7"/>
  <c r="B16" i="7"/>
  <c r="C16" i="7" s="1"/>
  <c r="B15" i="7"/>
  <c r="B14" i="7"/>
  <c r="B20" i="7" s="1"/>
  <c r="B8" i="7"/>
  <c r="B7" i="7"/>
  <c r="B6" i="7"/>
  <c r="B5" i="7"/>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05" i="6"/>
  <c r="C204" i="6"/>
  <c r="C203" i="6"/>
  <c r="C202" i="6"/>
  <c r="C201" i="6"/>
  <c r="C200" i="6"/>
  <c r="C199" i="6"/>
  <c r="C198" i="6"/>
  <c r="C197" i="6"/>
  <c r="C196" i="6"/>
  <c r="C195" i="6"/>
  <c r="C194" i="6"/>
  <c r="C193" i="6"/>
  <c r="C192" i="6"/>
  <c r="C188" i="6"/>
  <c r="D187" i="6"/>
  <c r="C187" i="6"/>
  <c r="D186" i="6"/>
  <c r="C186"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4" i="6"/>
  <c r="C143" i="6"/>
  <c r="D142" i="6"/>
  <c r="C142" i="6"/>
  <c r="C141" i="6"/>
  <c r="C140" i="6"/>
  <c r="C139" i="6"/>
  <c r="C138" i="6"/>
  <c r="C137" i="6"/>
  <c r="C136" i="6"/>
  <c r="C135" i="6"/>
  <c r="C134" i="6"/>
  <c r="C133" i="6"/>
  <c r="D132" i="6"/>
  <c r="C132" i="6"/>
  <c r="C131" i="6"/>
  <c r="C130" i="6"/>
  <c r="C129" i="6"/>
  <c r="C128" i="6"/>
  <c r="C127" i="6"/>
  <c r="C145" i="6" s="1"/>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D79" i="6"/>
  <c r="C79" i="6"/>
  <c r="C78" i="6"/>
  <c r="C77" i="6"/>
  <c r="C76" i="6"/>
  <c r="C75" i="6"/>
  <c r="C74" i="6"/>
  <c r="C73" i="6"/>
  <c r="C72" i="6"/>
  <c r="C71" i="6"/>
  <c r="C70" i="6"/>
  <c r="D69" i="6"/>
  <c r="C69" i="6"/>
  <c r="C68" i="6"/>
  <c r="C67" i="6"/>
  <c r="C66" i="6"/>
  <c r="C65" i="6"/>
  <c r="C64" i="6"/>
  <c r="D63" i="6"/>
  <c r="C63" i="6"/>
  <c r="C62" i="6"/>
  <c r="C61" i="6"/>
  <c r="C60" i="6"/>
  <c r="C59" i="6"/>
  <c r="C58" i="6"/>
  <c r="C57" i="6"/>
  <c r="C56" i="6"/>
  <c r="C55" i="6"/>
  <c r="C54" i="6"/>
  <c r="D53" i="6"/>
  <c r="C53" i="6"/>
  <c r="C52" i="6"/>
  <c r="C51" i="6"/>
  <c r="C50" i="6"/>
  <c r="C49" i="6"/>
  <c r="C48" i="6"/>
  <c r="D47" i="6"/>
  <c r="C47" i="6"/>
  <c r="C46" i="6"/>
  <c r="C45" i="6"/>
  <c r="C44" i="6"/>
  <c r="C43" i="6"/>
  <c r="C42" i="6"/>
  <c r="C41" i="6"/>
  <c r="C40" i="6"/>
  <c r="C39" i="6"/>
  <c r="C38" i="6"/>
  <c r="D37" i="6"/>
  <c r="C37" i="6"/>
  <c r="C36" i="6"/>
  <c r="C35" i="6"/>
  <c r="C34" i="6"/>
  <c r="C33" i="6"/>
  <c r="C32" i="6"/>
  <c r="D31" i="6"/>
  <c r="C31" i="6"/>
  <c r="C30" i="6"/>
  <c r="C29" i="6"/>
  <c r="C28" i="6"/>
  <c r="C27" i="6"/>
  <c r="C26" i="6"/>
  <c r="C25" i="6"/>
  <c r="C24" i="6"/>
  <c r="C23" i="6"/>
  <c r="C22" i="6"/>
  <c r="C80" i="6" s="1"/>
  <c r="H14" i="6"/>
  <c r="I13" i="6"/>
  <c r="H13" i="6"/>
  <c r="G13" i="6"/>
  <c r="F13" i="6"/>
  <c r="E13" i="6"/>
  <c r="D13" i="6"/>
  <c r="C13" i="6"/>
  <c r="J13" i="6" s="1"/>
  <c r="B13" i="6"/>
  <c r="I12" i="6"/>
  <c r="H12" i="6"/>
  <c r="G12" i="6"/>
  <c r="F12" i="6"/>
  <c r="E12" i="6"/>
  <c r="D12" i="6"/>
  <c r="C12" i="6"/>
  <c r="B12" i="6"/>
  <c r="J12" i="6" s="1"/>
  <c r="I11" i="6"/>
  <c r="H11" i="6"/>
  <c r="G11" i="6"/>
  <c r="F11" i="6"/>
  <c r="E11" i="6"/>
  <c r="D11" i="6"/>
  <c r="C11" i="6"/>
  <c r="J11" i="6" s="1"/>
  <c r="B11" i="6"/>
  <c r="I10" i="6"/>
  <c r="H10" i="6"/>
  <c r="G10" i="6"/>
  <c r="F10" i="6"/>
  <c r="E10" i="6"/>
  <c r="D10" i="6"/>
  <c r="C10" i="6"/>
  <c r="B10" i="6"/>
  <c r="I9" i="6"/>
  <c r="H9" i="6"/>
  <c r="G9" i="6"/>
  <c r="F9" i="6"/>
  <c r="E9" i="6"/>
  <c r="D9" i="6"/>
  <c r="C9" i="6"/>
  <c r="B9" i="6"/>
  <c r="J9" i="6" s="1"/>
  <c r="I8" i="6"/>
  <c r="H8" i="6"/>
  <c r="G8" i="6"/>
  <c r="F8" i="6"/>
  <c r="F14" i="6" s="1"/>
  <c r="E8" i="6"/>
  <c r="D8" i="6"/>
  <c r="D14" i="6" s="1"/>
  <c r="C8" i="6"/>
  <c r="B8" i="6"/>
  <c r="I7" i="6"/>
  <c r="I14" i="6" s="1"/>
  <c r="H7" i="6"/>
  <c r="G7" i="6"/>
  <c r="G14" i="6" s="1"/>
  <c r="F7" i="6"/>
  <c r="E7" i="6"/>
  <c r="E14" i="6" s="1"/>
  <c r="D7" i="6"/>
  <c r="C7" i="6"/>
  <c r="J7" i="6" s="1"/>
  <c r="B7" i="6"/>
  <c r="I99" i="5"/>
  <c r="H99" i="5"/>
  <c r="G99" i="5"/>
  <c r="F99" i="5"/>
  <c r="E99" i="5"/>
  <c r="D99" i="5"/>
  <c r="C99" i="5"/>
  <c r="B99" i="5"/>
  <c r="G90" i="5"/>
  <c r="G88" i="5"/>
  <c r="G86" i="5"/>
  <c r="D85" i="5"/>
  <c r="D100" i="5" s="1"/>
  <c r="G81" i="5"/>
  <c r="I80" i="5"/>
  <c r="H80" i="5"/>
  <c r="G80" i="5"/>
  <c r="G91" i="5" s="1"/>
  <c r="F80" i="5"/>
  <c r="E80" i="5"/>
  <c r="D80" i="5"/>
  <c r="C80" i="5"/>
  <c r="B80" i="5"/>
  <c r="I79" i="5"/>
  <c r="I81" i="5" s="1"/>
  <c r="H79" i="5"/>
  <c r="G79" i="5"/>
  <c r="F79" i="5"/>
  <c r="E79" i="5"/>
  <c r="D79" i="5"/>
  <c r="C79" i="5"/>
  <c r="B79" i="5"/>
  <c r="I78" i="5"/>
  <c r="H78" i="5"/>
  <c r="G78" i="5"/>
  <c r="F78" i="5"/>
  <c r="E78" i="5"/>
  <c r="D78" i="5"/>
  <c r="C78" i="5"/>
  <c r="B78" i="5"/>
  <c r="J78" i="5" s="1"/>
  <c r="I77" i="5"/>
  <c r="H77" i="5"/>
  <c r="G77" i="5"/>
  <c r="F77" i="5"/>
  <c r="E77" i="5"/>
  <c r="D77" i="5"/>
  <c r="C77" i="5"/>
  <c r="B77" i="5"/>
  <c r="I76" i="5"/>
  <c r="H76" i="5"/>
  <c r="G76" i="5"/>
  <c r="G87" i="5" s="1"/>
  <c r="F76" i="5"/>
  <c r="E76" i="5"/>
  <c r="D76" i="5"/>
  <c r="J76" i="5" s="1"/>
  <c r="C76" i="5"/>
  <c r="B76" i="5"/>
  <c r="I75" i="5"/>
  <c r="H75" i="5"/>
  <c r="G75" i="5"/>
  <c r="F75" i="5"/>
  <c r="E75" i="5"/>
  <c r="D75" i="5"/>
  <c r="C75" i="5"/>
  <c r="B75" i="5"/>
  <c r="I74" i="5"/>
  <c r="H74" i="5"/>
  <c r="G74" i="5"/>
  <c r="F74" i="5"/>
  <c r="E74" i="5"/>
  <c r="D74" i="5"/>
  <c r="D81" i="5" s="1"/>
  <c r="D90" i="5" s="1"/>
  <c r="D105" i="5" s="1"/>
  <c r="C74" i="5"/>
  <c r="B74" i="5"/>
  <c r="C66" i="5"/>
  <c r="D65" i="5"/>
  <c r="C65" i="5"/>
  <c r="C64" i="5"/>
  <c r="C63" i="5"/>
  <c r="C62" i="5"/>
  <c r="D61" i="5"/>
  <c r="C61" i="5"/>
  <c r="C60" i="5"/>
  <c r="C59" i="5"/>
  <c r="C58" i="5"/>
  <c r="C57" i="5"/>
  <c r="D56" i="5"/>
  <c r="C56" i="5"/>
  <c r="C55" i="5"/>
  <c r="D55" i="5" s="1"/>
  <c r="C54" i="5"/>
  <c r="C53" i="5"/>
  <c r="C67" i="5" s="1"/>
  <c r="D57" i="5" s="1"/>
  <c r="M47" i="5"/>
  <c r="L47" i="5"/>
  <c r="L46" i="5" s="1"/>
  <c r="K47" i="5"/>
  <c r="K45" i="5" s="1"/>
  <c r="J47" i="5"/>
  <c r="J46" i="5" s="1"/>
  <c r="I47" i="5"/>
  <c r="I45" i="5" s="1"/>
  <c r="H47" i="5"/>
  <c r="G47" i="5"/>
  <c r="G45" i="5" s="1"/>
  <c r="F47" i="5"/>
  <c r="E47" i="5"/>
  <c r="D47" i="5"/>
  <c r="C47" i="5"/>
  <c r="C45" i="5" s="1"/>
  <c r="B47" i="5"/>
  <c r="B45" i="5" s="1"/>
  <c r="M46" i="5"/>
  <c r="K46" i="5"/>
  <c r="I46" i="5"/>
  <c r="G46" i="5"/>
  <c r="E46" i="5"/>
  <c r="C46" i="5"/>
  <c r="M45" i="5"/>
  <c r="L45" i="5"/>
  <c r="J45" i="5"/>
  <c r="E45" i="5"/>
  <c r="C38" i="5"/>
  <c r="C37" i="5"/>
  <c r="C36" i="5"/>
  <c r="C35" i="5"/>
  <c r="C34" i="5"/>
  <c r="C33" i="5"/>
  <c r="C32" i="5"/>
  <c r="C31" i="5"/>
  <c r="C30" i="5"/>
  <c r="C29" i="5"/>
  <c r="C28" i="5"/>
  <c r="C27" i="5"/>
  <c r="C26" i="5"/>
  <c r="C25" i="5"/>
  <c r="C24" i="5"/>
  <c r="C23" i="5"/>
  <c r="C22" i="5"/>
  <c r="C21" i="5"/>
  <c r="C20" i="5"/>
  <c r="C19" i="5"/>
  <c r="C18" i="5"/>
  <c r="C17" i="5"/>
  <c r="C16" i="5"/>
  <c r="C15" i="5"/>
  <c r="C14" i="5"/>
  <c r="B8" i="5"/>
  <c r="B7" i="5"/>
  <c r="B6" i="5"/>
  <c r="B5" i="5"/>
  <c r="B9" i="5" s="1"/>
  <c r="C74" i="4"/>
  <c r="C73" i="4"/>
  <c r="C72" i="4"/>
  <c r="C71" i="4"/>
  <c r="C70" i="4"/>
  <c r="C69" i="4"/>
  <c r="C68" i="4"/>
  <c r="C67" i="4"/>
  <c r="C66" i="4"/>
  <c r="C65" i="4"/>
  <c r="C64" i="4"/>
  <c r="C63" i="4"/>
  <c r="C62" i="4"/>
  <c r="C61" i="4"/>
  <c r="C60" i="4"/>
  <c r="C59" i="4"/>
  <c r="C58" i="4"/>
  <c r="C57" i="4"/>
  <c r="P51" i="4"/>
  <c r="P49" i="4" s="1"/>
  <c r="O51" i="4"/>
  <c r="O48" i="4" s="1"/>
  <c r="O50" i="4" s="1"/>
  <c r="N51" i="4"/>
  <c r="M51" i="4"/>
  <c r="M49" i="4" s="1"/>
  <c r="L51" i="4"/>
  <c r="K51" i="4"/>
  <c r="K49" i="4" s="1"/>
  <c r="J51" i="4"/>
  <c r="J49" i="4" s="1"/>
  <c r="J50" i="4" s="1"/>
  <c r="I51" i="4"/>
  <c r="I48" i="4" s="1"/>
  <c r="H51" i="4"/>
  <c r="G51" i="4"/>
  <c r="G48" i="4" s="1"/>
  <c r="G50" i="4" s="1"/>
  <c r="F51" i="4"/>
  <c r="E51" i="4"/>
  <c r="E49" i="4" s="1"/>
  <c r="D51" i="4"/>
  <c r="C51" i="4"/>
  <c r="C49" i="4" s="1"/>
  <c r="B51" i="4"/>
  <c r="O49" i="4"/>
  <c r="N49" i="4"/>
  <c r="L49" i="4"/>
  <c r="H49" i="4"/>
  <c r="G49" i="4"/>
  <c r="F49" i="4"/>
  <c r="D49" i="4"/>
  <c r="B49" i="4"/>
  <c r="P48" i="4"/>
  <c r="N48" i="4"/>
  <c r="N50" i="4" s="1"/>
  <c r="L48" i="4"/>
  <c r="L50" i="4" s="1"/>
  <c r="K48" i="4"/>
  <c r="J48" i="4"/>
  <c r="H48" i="4"/>
  <c r="H50" i="4" s="1"/>
  <c r="F48" i="4"/>
  <c r="F50" i="4" s="1"/>
  <c r="D48" i="4"/>
  <c r="D50" i="4" s="1"/>
  <c r="B48" i="4"/>
  <c r="B50" i="4" s="1"/>
  <c r="C41" i="4"/>
  <c r="D41" i="4" s="1"/>
  <c r="C40" i="4"/>
  <c r="C39" i="4"/>
  <c r="C38" i="4"/>
  <c r="D38" i="4" s="1"/>
  <c r="C37" i="4"/>
  <c r="C36" i="4"/>
  <c r="C35" i="4"/>
  <c r="C34" i="4"/>
  <c r="C33" i="4"/>
  <c r="D33" i="4" s="1"/>
  <c r="C32" i="4"/>
  <c r="C31" i="4"/>
  <c r="C30" i="4"/>
  <c r="D30" i="4" s="1"/>
  <c r="C29" i="4"/>
  <c r="C28" i="4"/>
  <c r="C27" i="4"/>
  <c r="C26" i="4"/>
  <c r="C25" i="4"/>
  <c r="D25" i="4" s="1"/>
  <c r="C24" i="4"/>
  <c r="C23" i="4"/>
  <c r="C22" i="4"/>
  <c r="D22" i="4" s="1"/>
  <c r="C21" i="4"/>
  <c r="C20" i="4"/>
  <c r="C19" i="4"/>
  <c r="C18" i="4"/>
  <c r="C17" i="4"/>
  <c r="D17" i="4" s="1"/>
  <c r="C16" i="4"/>
  <c r="C15" i="4"/>
  <c r="C14" i="4"/>
  <c r="C42" i="4" s="1"/>
  <c r="B9" i="4"/>
  <c r="B8" i="4"/>
  <c r="B7" i="4"/>
  <c r="B6" i="4"/>
  <c r="B5" i="4"/>
  <c r="B42" i="3"/>
  <c r="B41" i="3"/>
  <c r="B40" i="3"/>
  <c r="B39" i="3"/>
  <c r="B38" i="3"/>
  <c r="B37" i="3"/>
  <c r="B36" i="3"/>
  <c r="B35" i="3"/>
  <c r="B34" i="3"/>
  <c r="B33" i="3"/>
  <c r="B43" i="3" s="1"/>
  <c r="B32" i="3"/>
  <c r="B27" i="3"/>
  <c r="B25" i="3"/>
  <c r="B24" i="3"/>
  <c r="B23" i="3"/>
  <c r="B22" i="3"/>
  <c r="B21" i="3"/>
  <c r="B20" i="3"/>
  <c r="B19" i="3"/>
  <c r="B18" i="3"/>
  <c r="B12" i="3"/>
  <c r="B11" i="3"/>
  <c r="B10" i="3"/>
  <c r="B9" i="3"/>
  <c r="B13" i="3" s="1"/>
  <c r="B8" i="3"/>
  <c r="B7" i="3"/>
  <c r="B6" i="3"/>
  <c r="K50" i="4" l="1"/>
  <c r="I87" i="5"/>
  <c r="I88" i="5"/>
  <c r="I103" i="5" s="1"/>
  <c r="I86" i="5"/>
  <c r="I101" i="5" s="1"/>
  <c r="P50" i="4"/>
  <c r="D23" i="4"/>
  <c r="D36" i="4"/>
  <c r="D76" i="6"/>
  <c r="D68" i="6"/>
  <c r="D60" i="6"/>
  <c r="D52" i="6"/>
  <c r="D44" i="6"/>
  <c r="D36" i="6"/>
  <c r="D28" i="6"/>
  <c r="D75" i="6"/>
  <c r="D67" i="6"/>
  <c r="D59" i="6"/>
  <c r="D51" i="6"/>
  <c r="D43" i="6"/>
  <c r="D35" i="6"/>
  <c r="D27" i="6"/>
  <c r="D74" i="6"/>
  <c r="D66" i="6"/>
  <c r="D58" i="6"/>
  <c r="D50" i="6"/>
  <c r="D42" i="6"/>
  <c r="D34" i="6"/>
  <c r="D26" i="6"/>
  <c r="D73" i="6"/>
  <c r="D65" i="6"/>
  <c r="D57" i="6"/>
  <c r="D49" i="6"/>
  <c r="D41" i="6"/>
  <c r="D33" i="6"/>
  <c r="D25" i="6"/>
  <c r="D139" i="6"/>
  <c r="D131" i="6"/>
  <c r="D138" i="6"/>
  <c r="D130" i="6"/>
  <c r="D137" i="6"/>
  <c r="D129" i="6"/>
  <c r="D144" i="6"/>
  <c r="D136" i="6"/>
  <c r="D128" i="6"/>
  <c r="C242" i="6"/>
  <c r="D16" i="12"/>
  <c r="D32" i="12"/>
  <c r="K62" i="7"/>
  <c r="K60" i="7"/>
  <c r="K63" i="7"/>
  <c r="K61" i="7"/>
  <c r="K64" i="7"/>
  <c r="K59" i="7"/>
  <c r="D37" i="4"/>
  <c r="M48" i="4"/>
  <c r="M50" i="4" s="1"/>
  <c r="F45" i="5"/>
  <c r="F46" i="5"/>
  <c r="B81" i="5"/>
  <c r="D22" i="6"/>
  <c r="D32" i="6"/>
  <c r="D54" i="6"/>
  <c r="D64" i="6"/>
  <c r="D109" i="6"/>
  <c r="D127" i="6"/>
  <c r="C206" i="6"/>
  <c r="D196" i="6" s="1"/>
  <c r="B5" i="8"/>
  <c r="B9" i="8" s="1"/>
  <c r="C19" i="7"/>
  <c r="C18" i="7"/>
  <c r="C17" i="7"/>
  <c r="C15" i="7"/>
  <c r="C14" i="7"/>
  <c r="B9" i="7"/>
  <c r="D35" i="7"/>
  <c r="D51" i="7"/>
  <c r="D30" i="13"/>
  <c r="D46" i="13"/>
  <c r="D24" i="4"/>
  <c r="F90" i="5"/>
  <c r="F105" i="5" s="1"/>
  <c r="C85" i="5"/>
  <c r="C100" i="5" s="1"/>
  <c r="D110" i="6"/>
  <c r="D31" i="13"/>
  <c r="D47" i="13"/>
  <c r="H45" i="5"/>
  <c r="H46" i="5"/>
  <c r="G102" i="5"/>
  <c r="G105" i="5"/>
  <c r="G103" i="5"/>
  <c r="G101" i="5"/>
  <c r="G106" i="5"/>
  <c r="D23" i="6"/>
  <c r="D45" i="6"/>
  <c r="D55" i="6"/>
  <c r="D77" i="6"/>
  <c r="D111" i="6"/>
  <c r="D140" i="6"/>
  <c r="D157" i="6"/>
  <c r="D173" i="6"/>
  <c r="D194" i="6"/>
  <c r="D37" i="7"/>
  <c r="D65" i="11"/>
  <c r="D32" i="13"/>
  <c r="D14" i="4"/>
  <c r="D27" i="4"/>
  <c r="D40" i="4"/>
  <c r="B91" i="5"/>
  <c r="B106" i="5" s="1"/>
  <c r="J80" i="5"/>
  <c r="D87" i="5"/>
  <c r="D102" i="5" s="1"/>
  <c r="D96" i="6"/>
  <c r="D112" i="6"/>
  <c r="D195" i="6"/>
  <c r="D20" i="12"/>
  <c r="D36" i="12"/>
  <c r="D15" i="4"/>
  <c r="D28" i="4"/>
  <c r="F81" i="5"/>
  <c r="D89" i="5"/>
  <c r="D104" i="5" s="1"/>
  <c r="C91" i="5"/>
  <c r="C106" i="5" s="1"/>
  <c r="I106" i="5"/>
  <c r="D24" i="6"/>
  <c r="D46" i="6"/>
  <c r="D56" i="6"/>
  <c r="D78" i="6"/>
  <c r="D141" i="6"/>
  <c r="F33" i="8"/>
  <c r="D34" i="11"/>
  <c r="D26" i="11"/>
  <c r="D18" i="11"/>
  <c r="D41" i="11"/>
  <c r="D33" i="11"/>
  <c r="D25" i="11"/>
  <c r="D17" i="11"/>
  <c r="D40" i="11"/>
  <c r="D32" i="11"/>
  <c r="D39" i="11"/>
  <c r="D31" i="11"/>
  <c r="D23" i="11"/>
  <c r="D15" i="11"/>
  <c r="D37" i="11"/>
  <c r="D29" i="11"/>
  <c r="D21" i="11"/>
  <c r="D36" i="11"/>
  <c r="D28" i="11"/>
  <c r="D20" i="11"/>
  <c r="D35" i="11"/>
  <c r="D27" i="11"/>
  <c r="D19" i="11"/>
  <c r="D30" i="11"/>
  <c r="D39" i="4"/>
  <c r="D16" i="4"/>
  <c r="D29" i="4"/>
  <c r="F87" i="5"/>
  <c r="F102" i="5" s="1"/>
  <c r="E89" i="5"/>
  <c r="E104" i="5" s="1"/>
  <c r="D91" i="5"/>
  <c r="D106" i="5" s="1"/>
  <c r="D197" i="6"/>
  <c r="B5" i="14"/>
  <c r="B9" i="14" s="1"/>
  <c r="C17" i="13"/>
  <c r="C16" i="13"/>
  <c r="C14" i="13"/>
  <c r="B9" i="13"/>
  <c r="D99" i="6"/>
  <c r="D115" i="6"/>
  <c r="D161" i="6"/>
  <c r="D177" i="6"/>
  <c r="D198" i="6"/>
  <c r="D56" i="12"/>
  <c r="D63" i="12"/>
  <c r="D55" i="12"/>
  <c r="D62" i="12"/>
  <c r="D54" i="12"/>
  <c r="D61" i="12"/>
  <c r="D53" i="12"/>
  <c r="D59" i="12"/>
  <c r="D58" i="12"/>
  <c r="D57" i="12"/>
  <c r="D36" i="13"/>
  <c r="D199" i="6"/>
  <c r="H81" i="5"/>
  <c r="H85" i="5" s="1"/>
  <c r="H100" i="5" s="1"/>
  <c r="D100" i="6"/>
  <c r="D31" i="4"/>
  <c r="I49" i="4"/>
  <c r="I50" i="4" s="1"/>
  <c r="H89" i="5"/>
  <c r="H104" i="5" s="1"/>
  <c r="D38" i="6"/>
  <c r="D48" i="6"/>
  <c r="D70" i="6"/>
  <c r="D85" i="6"/>
  <c r="D133" i="6"/>
  <c r="D143" i="6"/>
  <c r="D200" i="6"/>
  <c r="D43" i="7"/>
  <c r="F20" i="8"/>
  <c r="F27" i="8"/>
  <c r="D71" i="11"/>
  <c r="D64" i="4"/>
  <c r="D26" i="12"/>
  <c r="D39" i="13"/>
  <c r="C75" i="4"/>
  <c r="D69" i="4" s="1"/>
  <c r="D84" i="6"/>
  <c r="D162" i="6"/>
  <c r="B26" i="3"/>
  <c r="D24" i="5"/>
  <c r="D60" i="5"/>
  <c r="D59" i="5"/>
  <c r="D66" i="5"/>
  <c r="D58" i="5"/>
  <c r="D62" i="5"/>
  <c r="J74" i="5"/>
  <c r="D32" i="4"/>
  <c r="D118" i="6"/>
  <c r="D180" i="6"/>
  <c r="D63" i="5"/>
  <c r="C86" i="5"/>
  <c r="C101" i="5" s="1"/>
  <c r="J75" i="5"/>
  <c r="C81" i="5"/>
  <c r="B88" i="5"/>
  <c r="I91" i="5"/>
  <c r="D29" i="6"/>
  <c r="D39" i="6"/>
  <c r="D61" i="6"/>
  <c r="D71" i="6"/>
  <c r="D134" i="6"/>
  <c r="D165" i="6"/>
  <c r="D181" i="6"/>
  <c r="D202" i="6"/>
  <c r="D29" i="7"/>
  <c r="D27" i="12"/>
  <c r="I85" i="5"/>
  <c r="I100" i="5" s="1"/>
  <c r="D116" i="6"/>
  <c r="D18" i="4"/>
  <c r="D19" i="4"/>
  <c r="C39" i="5"/>
  <c r="D53" i="5"/>
  <c r="I89" i="5"/>
  <c r="I104" i="5" s="1"/>
  <c r="D201" i="6"/>
  <c r="D20" i="4"/>
  <c r="D21" i="4"/>
  <c r="D16" i="5"/>
  <c r="D54" i="5"/>
  <c r="D86" i="5"/>
  <c r="D101" i="5" s="1"/>
  <c r="C88" i="5"/>
  <c r="C103" i="5" s="1"/>
  <c r="B90" i="5"/>
  <c r="B105" i="5" s="1"/>
  <c r="G89" i="5"/>
  <c r="G104" i="5" s="1"/>
  <c r="G85" i="5"/>
  <c r="G100" i="5" s="1"/>
  <c r="I90" i="5"/>
  <c r="I105" i="5" s="1"/>
  <c r="D120" i="6"/>
  <c r="D28" i="12"/>
  <c r="D25" i="13"/>
  <c r="D41" i="13"/>
  <c r="N47" i="5"/>
  <c r="N46" i="5" s="1"/>
  <c r="N45" i="5" s="1"/>
  <c r="B46" i="5"/>
  <c r="D64" i="5"/>
  <c r="E81" i="5"/>
  <c r="D88" i="5"/>
  <c r="D103" i="5" s="1"/>
  <c r="D30" i="6"/>
  <c r="D40" i="6"/>
  <c r="D62" i="6"/>
  <c r="D72" i="6"/>
  <c r="D121" i="6"/>
  <c r="D135" i="6"/>
  <c r="D151" i="6"/>
  <c r="D167" i="6"/>
  <c r="D204" i="6"/>
  <c r="D31" i="7"/>
  <c r="D22" i="11"/>
  <c r="D38" i="11"/>
  <c r="D42" i="13"/>
  <c r="D26" i="4"/>
  <c r="D34" i="4"/>
  <c r="D35" i="4"/>
  <c r="F86" i="5"/>
  <c r="F101" i="5" s="1"/>
  <c r="J8" i="6"/>
  <c r="J14" i="6" s="1"/>
  <c r="B14" i="6"/>
  <c r="J10" i="6"/>
  <c r="D90" i="6"/>
  <c r="D106" i="6"/>
  <c r="D205" i="6"/>
  <c r="E40" i="8"/>
  <c r="F24" i="8" s="1"/>
  <c r="F37" i="8"/>
  <c r="D60" i="11"/>
  <c r="D14" i="12"/>
  <c r="D30" i="12"/>
  <c r="D60" i="12"/>
  <c r="D45" i="5"/>
  <c r="D46" i="5"/>
  <c r="D107" i="6"/>
  <c r="C123" i="6"/>
  <c r="D87" i="6" s="1"/>
  <c r="D31" i="12"/>
  <c r="D23" i="12"/>
  <c r="D15" i="12"/>
  <c r="D37" i="12"/>
  <c r="D29" i="12"/>
  <c r="D21" i="12"/>
  <c r="D28" i="13"/>
  <c r="D44" i="13"/>
  <c r="C72" i="11"/>
  <c r="D67" i="11" s="1"/>
  <c r="E58" i="13"/>
  <c r="D47" i="14"/>
  <c r="I102" i="5"/>
  <c r="D192" i="6"/>
  <c r="B60" i="7"/>
  <c r="H61" i="7"/>
  <c r="D63" i="7"/>
  <c r="J64" i="7"/>
  <c r="N51" i="11"/>
  <c r="N49" i="11" s="1"/>
  <c r="N48" i="11" s="1"/>
  <c r="N50" i="11" s="1"/>
  <c r="J45" i="12"/>
  <c r="F58" i="13"/>
  <c r="B103" i="5"/>
  <c r="D60" i="7"/>
  <c r="H58" i="13"/>
  <c r="G63" i="7"/>
  <c r="K49" i="11"/>
  <c r="K50" i="11" s="1"/>
  <c r="C46" i="12"/>
  <c r="C51" i="13"/>
  <c r="D33" i="13" s="1"/>
  <c r="E15" i="14"/>
  <c r="E48" i="14"/>
  <c r="E47" i="14" s="1"/>
  <c r="E46" i="14" s="1"/>
  <c r="C53" i="7"/>
  <c r="D34" i="7" s="1"/>
  <c r="G60" i="7"/>
  <c r="C62" i="7"/>
  <c r="I63" i="7"/>
  <c r="F15" i="8"/>
  <c r="D14" i="11"/>
  <c r="M49" i="11"/>
  <c r="M50" i="11" s="1"/>
  <c r="E46" i="12"/>
  <c r="K47" i="12"/>
  <c r="K46" i="12" s="1"/>
  <c r="K45" i="12" s="1"/>
  <c r="Q51" i="4"/>
  <c r="Q49" i="4" s="1"/>
  <c r="Q48" i="4" s="1"/>
  <c r="Q50" i="4" s="1"/>
  <c r="J99" i="5"/>
  <c r="C14" i="6"/>
  <c r="B59" i="7"/>
  <c r="D62" i="7"/>
  <c r="I60" i="7"/>
  <c r="G46" i="12"/>
  <c r="C48" i="4"/>
  <c r="C50" i="4" s="1"/>
  <c r="D59" i="7"/>
  <c r="F62" i="7"/>
  <c r="B64" i="7"/>
  <c r="C182" i="6"/>
  <c r="D159" i="6" s="1"/>
  <c r="B46" i="14"/>
  <c r="E48" i="4"/>
  <c r="E50" i="4" s="1"/>
  <c r="J77" i="5"/>
  <c r="F59" i="7"/>
  <c r="B61" i="7"/>
  <c r="H62" i="7"/>
  <c r="D64" i="7"/>
  <c r="B49" i="11"/>
  <c r="B50" i="11" s="1"/>
  <c r="C46" i="14"/>
  <c r="I61" i="13"/>
  <c r="J79" i="5"/>
  <c r="B58" i="13"/>
  <c r="C58" i="13"/>
  <c r="D58" i="13"/>
  <c r="E40" i="14" l="1"/>
  <c r="F15" i="14"/>
  <c r="D168" i="6"/>
  <c r="D30" i="7"/>
  <c r="D40" i="13"/>
  <c r="D42" i="7"/>
  <c r="D50" i="13"/>
  <c r="D36" i="7"/>
  <c r="H88" i="5"/>
  <c r="H103" i="5" s="1"/>
  <c r="D29" i="13"/>
  <c r="F88" i="5"/>
  <c r="F103" i="5" s="1"/>
  <c r="F85" i="5"/>
  <c r="F100" i="5" s="1"/>
  <c r="D169" i="6"/>
  <c r="D152" i="6"/>
  <c r="D26" i="13"/>
  <c r="D203" i="6"/>
  <c r="F21" i="8"/>
  <c r="D24" i="13"/>
  <c r="J81" i="5"/>
  <c r="J85" i="5" s="1"/>
  <c r="J100" i="5" s="1"/>
  <c r="D117" i="6"/>
  <c r="D26" i="7"/>
  <c r="D40" i="7"/>
  <c r="D34" i="13"/>
  <c r="D113" i="6"/>
  <c r="F39" i="8"/>
  <c r="D193" i="6"/>
  <c r="D171" i="6"/>
  <c r="B86" i="5"/>
  <c r="B101" i="5" s="1"/>
  <c r="B85" i="5"/>
  <c r="B100" i="5" s="1"/>
  <c r="B89" i="5"/>
  <c r="B104" i="5" s="1"/>
  <c r="B87" i="5"/>
  <c r="B102" i="5" s="1"/>
  <c r="D122" i="6"/>
  <c r="D59" i="11"/>
  <c r="D166" i="6"/>
  <c r="D28" i="7"/>
  <c r="D101" i="6"/>
  <c r="D69" i="11"/>
  <c r="D97" i="6"/>
  <c r="F32" i="8"/>
  <c r="D172" i="6"/>
  <c r="D155" i="6"/>
  <c r="D72" i="4"/>
  <c r="D68" i="11"/>
  <c r="D66" i="11"/>
  <c r="D58" i="11"/>
  <c r="D150" i="6"/>
  <c r="D57" i="11"/>
  <c r="D178" i="6"/>
  <c r="F34" i="8"/>
  <c r="D176" i="6"/>
  <c r="D38" i="7"/>
  <c r="D156" i="6"/>
  <c r="D62" i="11"/>
  <c r="D91" i="6"/>
  <c r="I59" i="13"/>
  <c r="I57" i="13"/>
  <c r="I60" i="13"/>
  <c r="I58" i="13"/>
  <c r="F35" i="8"/>
  <c r="F19" i="8"/>
  <c r="D160" i="6"/>
  <c r="F38" i="8"/>
  <c r="D108" i="6"/>
  <c r="F36" i="8"/>
  <c r="E91" i="5"/>
  <c r="E106" i="5" s="1"/>
  <c r="E87" i="5"/>
  <c r="E102" i="5" s="1"/>
  <c r="E85" i="5"/>
  <c r="E100" i="5" s="1"/>
  <c r="E90" i="5"/>
  <c r="E105" i="5" s="1"/>
  <c r="E88" i="5"/>
  <c r="E103" i="5" s="1"/>
  <c r="D104" i="6"/>
  <c r="F28" i="8"/>
  <c r="D41" i="7"/>
  <c r="D114" i="6"/>
  <c r="D174" i="6"/>
  <c r="F25" i="8"/>
  <c r="D94" i="6"/>
  <c r="D63" i="11"/>
  <c r="D93" i="6"/>
  <c r="F23" i="8"/>
  <c r="D92" i="6"/>
  <c r="D47" i="7"/>
  <c r="E86" i="5"/>
  <c r="E101" i="5" s="1"/>
  <c r="D88" i="6"/>
  <c r="D34" i="5"/>
  <c r="D26" i="5"/>
  <c r="D18" i="5"/>
  <c r="D33" i="5"/>
  <c r="D25" i="5"/>
  <c r="D17" i="5"/>
  <c r="D32" i="5"/>
  <c r="D37" i="5"/>
  <c r="D27" i="5"/>
  <c r="D36" i="5"/>
  <c r="D35" i="5"/>
  <c r="D15" i="5"/>
  <c r="D14" i="5"/>
  <c r="D23" i="5"/>
  <c r="D22" i="5"/>
  <c r="D31" i="5"/>
  <c r="D21" i="5"/>
  <c r="D30" i="5"/>
  <c r="D20" i="5"/>
  <c r="D38" i="5"/>
  <c r="D19" i="5"/>
  <c r="D28" i="5"/>
  <c r="D45" i="7"/>
  <c r="C89" i="5"/>
  <c r="C104" i="5" s="1"/>
  <c r="C87" i="5"/>
  <c r="C102" i="5" s="1"/>
  <c r="C90" i="5"/>
  <c r="C105" i="5" s="1"/>
  <c r="D38" i="13"/>
  <c r="D25" i="7"/>
  <c r="D98" i="6"/>
  <c r="D158" i="6"/>
  <c r="F18" i="8"/>
  <c r="F17" i="8"/>
  <c r="F16" i="8"/>
  <c r="D50" i="7"/>
  <c r="J86" i="5"/>
  <c r="J101" i="5" s="1"/>
  <c r="D170" i="6"/>
  <c r="D153" i="6"/>
  <c r="D154" i="6"/>
  <c r="J90" i="5"/>
  <c r="J105" i="5" s="1"/>
  <c r="D52" i="7"/>
  <c r="D44" i="7"/>
  <c r="F30" i="8"/>
  <c r="F91" i="5"/>
  <c r="F106" i="5" s="1"/>
  <c r="D149" i="6"/>
  <c r="D164" i="6"/>
  <c r="H87" i="5"/>
  <c r="H102" i="5" s="1"/>
  <c r="D27" i="7"/>
  <c r="F26" i="8"/>
  <c r="J91" i="5"/>
  <c r="J106" i="5" s="1"/>
  <c r="D48" i="7"/>
  <c r="D105" i="6"/>
  <c r="F29" i="8"/>
  <c r="D119" i="6"/>
  <c r="D102" i="6"/>
  <c r="D74" i="4"/>
  <c r="D66" i="4"/>
  <c r="D58" i="4"/>
  <c r="D73" i="4"/>
  <c r="D65" i="4"/>
  <c r="D57" i="4"/>
  <c r="D61" i="4"/>
  <c r="D70" i="4"/>
  <c r="D60" i="4"/>
  <c r="D59" i="4"/>
  <c r="D68" i="4"/>
  <c r="D67" i="4"/>
  <c r="D63" i="4"/>
  <c r="D62" i="4"/>
  <c r="D71" i="4"/>
  <c r="D179" i="6"/>
  <c r="D37" i="13"/>
  <c r="D49" i="13"/>
  <c r="D95" i="6"/>
  <c r="D64" i="11"/>
  <c r="D49" i="7"/>
  <c r="F89" i="5"/>
  <c r="F104" i="5" s="1"/>
  <c r="H86" i="5"/>
  <c r="H101" i="5" s="1"/>
  <c r="H90" i="5"/>
  <c r="H105" i="5" s="1"/>
  <c r="D39" i="7"/>
  <c r="D32" i="7"/>
  <c r="D89" i="6"/>
  <c r="F22" i="8"/>
  <c r="D103" i="6"/>
  <c r="D86" i="6"/>
  <c r="D163" i="6"/>
  <c r="D70" i="11"/>
  <c r="D175" i="6"/>
  <c r="F31" i="8"/>
  <c r="D33" i="7"/>
  <c r="D29" i="5"/>
  <c r="D48" i="13"/>
  <c r="D43" i="13"/>
  <c r="D35" i="13"/>
  <c r="D27" i="13"/>
  <c r="D61" i="11"/>
  <c r="D46" i="7"/>
  <c r="H91" i="5"/>
  <c r="H106" i="5" s="1"/>
  <c r="D23" i="13"/>
  <c r="D45" i="13"/>
  <c r="J88" i="5" l="1"/>
  <c r="J103" i="5" s="1"/>
  <c r="J89" i="5"/>
  <c r="J104" i="5" s="1"/>
  <c r="J87" i="5"/>
  <c r="J102" i="5" s="1"/>
  <c r="F17" i="14"/>
  <c r="F20" i="14"/>
  <c r="F21" i="14"/>
  <c r="F25" i="14"/>
  <c r="F28" i="14"/>
  <c r="F29" i="14"/>
  <c r="F33" i="14"/>
  <c r="F36" i="14"/>
  <c r="F37" i="14"/>
  <c r="F18" i="14"/>
  <c r="F22" i="14"/>
  <c r="F30" i="14"/>
  <c r="F26" i="14"/>
  <c r="F19" i="14"/>
  <c r="F38" i="14"/>
  <c r="F34" i="14"/>
  <c r="F27" i="14"/>
  <c r="F35" i="14"/>
  <c r="F23" i="14"/>
  <c r="F16" i="14"/>
  <c r="F31" i="14"/>
  <c r="F24" i="14"/>
  <c r="F39" i="14"/>
  <c r="F32" i="14"/>
</calcChain>
</file>

<file path=xl/sharedStrings.xml><?xml version="1.0" encoding="utf-8"?>
<sst xmlns="http://schemas.openxmlformats.org/spreadsheetml/2006/main" count="47242" uniqueCount="9644">
  <si>
    <t>J Book Items Consolidated</t>
  </si>
  <si>
    <t>Consolidated line-item budget data from SCN, OPN, OMN, NWCF, and USCG justification books</t>
  </si>
  <si>
    <t>Identity</t>
  </si>
  <si>
    <t>Structure</t>
  </si>
  <si>
    <t>Classification</t>
  </si>
  <si>
    <t>Dollars</t>
  </si>
  <si>
    <t>Reference</t>
  </si>
  <si>
    <t>Source Book</t>
  </si>
  <si>
    <t>Color of Money</t>
  </si>
  <si>
    <t>Line Item Number</t>
  </si>
  <si>
    <t>Line Item Title</t>
  </si>
  <si>
    <t>Row Type</t>
  </si>
  <si>
    <t>Parent Item</t>
  </si>
  <si>
    <t>Exhibit Level</t>
  </si>
  <si>
    <t>Cost Category</t>
  </si>
  <si>
    <t>Bucket</t>
  </si>
  <si>
    <t>Bucket Sub Category</t>
  </si>
  <si>
    <t>Vessel Service</t>
  </si>
  <si>
    <t>Vessel Category</t>
  </si>
  <si>
    <t>Vessel Type</t>
  </si>
  <si>
    <t>Vessel Hull</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</si>
  <si>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</si>
  <si>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</si>
  <si>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</si>
  <si>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</si>
  <si>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</si>
  <si>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</si>
  <si>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</si>
  <si>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</si>
  <si>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</si>
  <si>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</si>
  <si>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</si>
  <si>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FY2027 Request ($K)</t>
  </si>
  <si>
    <t>FY2027 Mandatory Request ($K)</t>
  </si>
  <si>
    <t>FY2027 Total ($K)</t>
  </si>
  <si>
    <t>Citation</t>
  </si>
  <si>
    <t>Source Page</t>
  </si>
  <si>
    <t>Program Element Number</t>
  </si>
  <si>
    <t>Project</t>
  </si>
  <si>
    <t>Cost Element</t>
  </si>
  <si>
    <t>SCN</t>
  </si>
  <si>
    <t>Procurement</t>
  </si>
  <si>
    <t>1045</t>
  </si>
  <si>
    <t>COLUMBIA Class Submarine</t>
  </si>
  <si>
    <t>[PARENT]</t>
  </si>
  <si>
    <t>Full ship DD&amp;C</t>
  </si>
  <si>
    <t>USN</t>
  </si>
  <si>
    <t>Combatant Ships</t>
  </si>
  <si>
    <t>Submarines</t>
  </si>
  <si>
    <t>SSBN</t>
  </si>
  <si>
    <t>P-40 Exhibit &gt; LI 1045 &gt; COLUMBIA Class Submarine</t>
  </si>
  <si>
    <t>31</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</si>
  <si>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</si>
  <si>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</si>
  <si>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</si>
  <si>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</si>
  <si>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</si>
  <si>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</si>
  <si>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</si>
  <si>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</si>
  <si>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</si>
  <si>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</si>
  <si>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</si>
  <si>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</si>
  <si>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</si>
  <si>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Aircraft Carriers</t>
  </si>
  <si>
    <t>CVN</t>
  </si>
  <si>
    <t>P-40 Exhibit &gt; LI 2001 &gt; Carrier Replacement Program</t>
  </si>
  <si>
    <t>73</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</si>
  <si>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</si>
  <si>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</si>
  <si>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</si>
  <si>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</si>
  <si>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</si>
  <si>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</si>
  <si>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</si>
  <si>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P-40 Exhibit &gt; LI 2001 AP &gt; Carrier Replacement AP</t>
  </si>
  <si>
    <t>115</t>
  </si>
  <si>
    <t>2004</t>
  </si>
  <si>
    <t>CVN-81</t>
  </si>
  <si>
    <t>P-40 Exhibit &gt; LI 2004 &gt; CVN-81</t>
  </si>
  <si>
    <t>117</t>
  </si>
  <si>
    <t>2013</t>
  </si>
  <si>
    <t>Virginia Class Submarine</t>
  </si>
  <si>
    <t>SSN</t>
  </si>
  <si>
    <t>P-40 Exhibit &gt; LI 2013 &gt; Virginia Class Submarine</t>
  </si>
  <si>
    <t>155</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</si>
  <si>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</si>
  <si>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</si>
  <si>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</si>
  <si>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</si>
  <si>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</si>
  <si>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</si>
  <si>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</si>
  <si>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</si>
  <si>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</si>
  <si>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P-40 Exhibit &gt; LI 2013 AP &gt; Virginia Class Sub AP</t>
  </si>
  <si>
    <t>171</t>
  </si>
  <si>
    <t>2086</t>
  </si>
  <si>
    <t>CVN Refueling Overhauls</t>
  </si>
  <si>
    <t>RCOH</t>
  </si>
  <si>
    <t>P-40 Exhibit &gt; LI 2086 &gt; CVN Refueling Overhauls</t>
  </si>
  <si>
    <t>175</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</si>
  <si>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</si>
  <si>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</si>
  <si>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</si>
  <si>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</si>
  <si>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</si>
  <si>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</si>
  <si>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</si>
  <si>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</si>
  <si>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P-40 Exhibit &gt; LI 2086 AP &gt; CVN Refueling AP</t>
  </si>
  <si>
    <t>209</t>
  </si>
  <si>
    <t>2119</t>
  </si>
  <si>
    <t>DDG 1000</t>
  </si>
  <si>
    <t>Surface Combatants</t>
  </si>
  <si>
    <t>DDG</t>
  </si>
  <si>
    <t>P-40 Exhibit &gt; LI 2119 &gt; DDG 1000</t>
  </si>
  <si>
    <t>211</t>
  </si>
  <si>
    <t>2122</t>
  </si>
  <si>
    <t>DDG-51</t>
  </si>
  <si>
    <t>P-40 Exhibit &gt; LI 2122 &gt; DDG-51</t>
  </si>
  <si>
    <t>237</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</si>
  <si>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</si>
  <si>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</si>
  <si>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</si>
  <si>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</si>
  <si>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</si>
  <si>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</si>
  <si>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</si>
  <si>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</si>
  <si>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P-40 Exhibit &gt; LI 2122 AP &gt; DDG-51 AP</t>
  </si>
  <si>
    <t>265</t>
  </si>
  <si>
    <t>2127</t>
  </si>
  <si>
    <t>Littoral Combat Ship (LCS)</t>
  </si>
  <si>
    <t>LCS</t>
  </si>
  <si>
    <t>P-40 Exhibit &gt; LI 2127 &gt; Littoral Combat Ship</t>
  </si>
  <si>
    <t>269</t>
  </si>
  <si>
    <t>2128</t>
  </si>
  <si>
    <t>FFG-Frigate</t>
  </si>
  <si>
    <t>FFG</t>
  </si>
  <si>
    <t>P-40 Exhibit &gt; LI 2128 &gt; FFG-Frigate</t>
  </si>
  <si>
    <t>273</t>
  </si>
  <si>
    <t>3010</t>
  </si>
  <si>
    <t>LPD Flight II</t>
  </si>
  <si>
    <t>Amphibious Warfare Ships</t>
  </si>
  <si>
    <t>LPD</t>
  </si>
  <si>
    <t>P-40 Exhibit &gt; LI 3010 &gt; LPD Flight II</t>
  </si>
  <si>
    <t>303</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</si>
  <si>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</si>
  <si>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</si>
  <si>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</si>
  <si>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</si>
  <si>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</si>
  <si>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</si>
  <si>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</si>
  <si>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</si>
  <si>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</si>
  <si>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P-40 Exhibit &gt; LI 3010 AP &gt; LPD Flight II AP</t>
  </si>
  <si>
    <t>321</t>
  </si>
  <si>
    <t>LPD-17</t>
  </si>
  <si>
    <t>P-1 Exhibit &gt; BA 03 &gt; Line 21</t>
  </si>
  <si>
    <t>3041</t>
  </si>
  <si>
    <t>LHA Replacement</t>
  </si>
  <si>
    <t>LHA</t>
  </si>
  <si>
    <t>P-40 Exhibit &gt; LI 3041 &gt; LHA Replacement</t>
  </si>
  <si>
    <t>323</t>
  </si>
  <si>
    <t>LHA Replacement - SFF for FY 2023</t>
  </si>
  <si>
    <t>3041 / LHA Replacement</t>
  </si>
  <si>
    <t>P-1 Exhibit &gt; BA 03 &gt; Line 24 SFF</t>
  </si>
  <si>
    <t>LHA Replacement - Completion PY FY 2017</t>
  </si>
  <si>
    <t>P-1 Exhibit &gt; BA 03 &gt; Line 24 CTC</t>
  </si>
  <si>
    <t>LHA Replacement Advance Procurement (CY)</t>
  </si>
  <si>
    <t>P-40 Exhibit &gt; LI 3041 AP &gt; LHA Replacement AP</t>
  </si>
  <si>
    <t>351</t>
  </si>
  <si>
    <t>Basic Construction</t>
  </si>
  <si>
    <t>3050</t>
  </si>
  <si>
    <t>Medium Landing Ship</t>
  </si>
  <si>
    <t>Expeditionary &amp; Seabasing Ships</t>
  </si>
  <si>
    <t>LSM</t>
  </si>
  <si>
    <t>P-40 Exhibit &gt; LI 3050 &gt; Medium Landing Ship</t>
  </si>
  <si>
    <t>353</t>
  </si>
  <si>
    <t>3039</t>
  </si>
  <si>
    <t>Expeditionary Sea Base (ESB)</t>
  </si>
  <si>
    <t>[REFERENCE]</t>
  </si>
  <si>
    <t>CTC captured in 5300 / Completion of PY Shipbuilding Programs (ESB sub-item)</t>
  </si>
  <si>
    <t>MSC</t>
  </si>
  <si>
    <t>T-ESB</t>
  </si>
  <si>
    <t>P-40 Exhibit &gt; LI 3039 &gt; Expeditionary Sea Base</t>
  </si>
  <si>
    <t>357</t>
  </si>
  <si>
    <t>3043</t>
  </si>
  <si>
    <t>Expeditionary Fast Transport (EPF)</t>
  </si>
  <si>
    <t>CTC captured in 5300 / Completion of PY Shipbuilding Programs (JHSV sub-item)</t>
  </si>
  <si>
    <t>T-EPF</t>
  </si>
  <si>
    <t>P-40 Exhibit &gt; LI 3043 &gt; Expeditionary Fast Transport</t>
  </si>
  <si>
    <t>361</t>
  </si>
  <si>
    <t>5025</t>
  </si>
  <si>
    <t>TAO Fleet Oiler</t>
  </si>
  <si>
    <t>Combat Logistics Ships</t>
  </si>
  <si>
    <t>T-AO</t>
  </si>
  <si>
    <t>P-40 Exhibit &gt; LI 5025 &gt; TAO Fleet Oiler</t>
  </si>
  <si>
    <t>365</t>
  </si>
  <si>
    <t>TAO Fleet Oiler - Net Procurement</t>
  </si>
  <si>
    <t>5025 / TAO Fleet Oiler</t>
  </si>
  <si>
    <t>P-1 Exhibit &gt; BA 05 &gt; Line 31 Net</t>
  </si>
  <si>
    <t>19</t>
  </si>
  <si>
    <t>TAO Fleet Oiler - Completion PY (FY19-23)</t>
  </si>
  <si>
    <t>P-1 Exhibit &gt; BA 05 &gt; Line 31 CTC</t>
  </si>
  <si>
    <t>5030</t>
  </si>
  <si>
    <t>TAGOS Surtass Ships</t>
  </si>
  <si>
    <t>Surveillance Ships</t>
  </si>
  <si>
    <t>T-AGOS</t>
  </si>
  <si>
    <t>P-40 Exhibit &gt; LI 5030 &gt; TAGOS Surtass Ships</t>
  </si>
  <si>
    <t>373</t>
  </si>
  <si>
    <t>TAGOS - SFF for FY 2022</t>
  </si>
  <si>
    <t>5030 / TAGOS Surtass Ships</t>
  </si>
  <si>
    <t>P-1 Exhibit &gt; BA 05 &gt; Line 34 SFF</t>
  </si>
  <si>
    <t>TAGOS - Net Procurement FY 2026</t>
  </si>
  <si>
    <t>P-1 Exhibit &gt; BA 05 &gt; Line 34 Net</t>
  </si>
  <si>
    <t>20</t>
  </si>
  <si>
    <t>5035</t>
  </si>
  <si>
    <t>Towing Salvage and Rescue Ship (ATS)</t>
  </si>
  <si>
    <t>Salvage Ships &amp; Fleet Ocean Tugs</t>
  </si>
  <si>
    <t>T-ATS</t>
  </si>
  <si>
    <t>P-40 Exhibit &gt; LI 5035 &gt; Towing Salvage and Rescue Ship</t>
  </si>
  <si>
    <t>381</t>
  </si>
  <si>
    <t>5087</t>
  </si>
  <si>
    <t>Oceanographic Ships</t>
  </si>
  <si>
    <t>Auxiliary Ships</t>
  </si>
  <si>
    <t>Research, Survey &amp; Instrumentation Ships</t>
  </si>
  <si>
    <t>T-AGS</t>
  </si>
  <si>
    <t>P-40 Exhibit &gt; LI 5087 &gt; Oceanographic Ships</t>
  </si>
  <si>
    <t>385</t>
  </si>
  <si>
    <t>5100</t>
  </si>
  <si>
    <t>LCU 1700</t>
  </si>
  <si>
    <t>Combatant Crafts</t>
  </si>
  <si>
    <t>Amphibious Warfare Craft</t>
  </si>
  <si>
    <t>LCU</t>
  </si>
  <si>
    <t>P-40 Exhibit &gt; LI 5100 &gt; LCU 1700</t>
  </si>
  <si>
    <t>389</t>
  </si>
  <si>
    <t>Strategic Sealift</t>
  </si>
  <si>
    <t>Cargo &amp; Vehicle Cargo Ships</t>
  </si>
  <si>
    <t>T-AK / T-AKR</t>
  </si>
  <si>
    <t>P-1 Exhibit &gt; BA 05 &gt; Line 40</t>
  </si>
  <si>
    <t>5110</t>
  </si>
  <si>
    <t>Outfitting</t>
  </si>
  <si>
    <t>GFE / combat systems for newbuild</t>
  </si>
  <si>
    <t>P-40 Exhibit &gt; LI 5110 &gt; Outfitting</t>
  </si>
  <si>
    <t>395</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</si>
  <si>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</si>
  <si>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</si>
  <si>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</si>
  <si>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</si>
  <si>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</si>
  <si>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</si>
  <si>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</si>
  <si>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</si>
  <si>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</si>
  <si>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</si>
  <si>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</si>
  <si>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</si>
  <si>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</si>
  <si>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</si>
  <si>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</si>
  <si>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</si>
  <si>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</si>
  <si>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</si>
  <si>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</si>
  <si>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</si>
  <si>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</si>
  <si>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</si>
  <si>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</si>
  <si>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</si>
  <si>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</si>
  <si>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</si>
  <si>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</si>
  <si>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</si>
  <si>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</si>
  <si>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</si>
  <si>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</si>
  <si>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</si>
  <si>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</si>
  <si>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</si>
  <si>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</si>
  <si>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</si>
  <si>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</si>
  <si>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</si>
  <si>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</si>
  <si>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</si>
  <si>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</si>
  <si>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</si>
  <si>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</si>
  <si>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P-40 Exhibit &gt; LI 5112 &gt; Ship to Shore Connector</t>
  </si>
  <si>
    <t>407</t>
  </si>
  <si>
    <t>5113</t>
  </si>
  <si>
    <t>Service Craft</t>
  </si>
  <si>
    <t>P-40 Exhibit &gt; LI 5113 &gt; Service Craft</t>
  </si>
  <si>
    <t>413</t>
  </si>
  <si>
    <t>5114</t>
  </si>
  <si>
    <t>Auxiliary Personnel Lighter</t>
  </si>
  <si>
    <t>Support Crafts</t>
  </si>
  <si>
    <t>Other Craft, Non-Self-Propelled</t>
  </si>
  <si>
    <t>APL</t>
  </si>
  <si>
    <t>P-40 Exhibit &gt; LI 5114 &gt; Auxiliary Personnel Lighter</t>
  </si>
  <si>
    <t>421</t>
  </si>
  <si>
    <t>5139</t>
  </si>
  <si>
    <t>LCAC SLEP</t>
  </si>
  <si>
    <t>P-40 Exhibit &gt; LI 5139 &gt; LCAC SLEP</t>
  </si>
  <si>
    <t>425</t>
  </si>
  <si>
    <t>5201</t>
  </si>
  <si>
    <t>Auxiliary Vessels (Used Sealift)</t>
  </si>
  <si>
    <t>P-40 Exhibit &gt; LI 5201 &gt; Auxiliary Vessels (Used Sealift)</t>
  </si>
  <si>
    <t>429</t>
  </si>
  <si>
    <t>5300</t>
  </si>
  <si>
    <t>Completion of PY Shipbuilding Programs</t>
  </si>
  <si>
    <t>P-40 Exhibit &gt; LI 5300 &gt; Completion of PY Shpbldg Progr</t>
  </si>
  <si>
    <t>433</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</si>
  <si>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</si>
  <si>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</si>
  <si>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</si>
  <si>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</si>
  <si>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</si>
  <si>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</si>
  <si>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</si>
  <si>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</si>
  <si>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</si>
  <si>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</si>
  <si>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</si>
  <si>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</si>
  <si>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</si>
  <si>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</si>
  <si>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</si>
  <si>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</si>
  <si>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</si>
  <si>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</si>
  <si>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</si>
  <si>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</si>
  <si>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</si>
  <si>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</si>
  <si>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</si>
  <si>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</si>
  <si>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</si>
  <si>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</si>
  <si>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</si>
  <si>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</si>
  <si>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</si>
  <si>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t>
  </si>
  <si>
    <t>Plan Costs</t>
  </si>
  <si>
    <t>P-5c &gt; COLUMBIA Class Submarine &gt; Plan Costs</t>
  </si>
  <si>
    <t>35</t>
  </si>
  <si>
    <t>Plan</t>
  </si>
  <si>
    <t>COLUMBIA Class Submarine - P-5c - Basic Construction</t>
  </si>
  <si>
    <t>P-5c &gt; COLUMBIA Class Submarine &gt; Basic Construction</t>
  </si>
  <si>
    <t>COLUMBIA Class Submarine - P-5c - Change Orders</t>
  </si>
  <si>
    <t>Change Orders</t>
  </si>
  <si>
    <t>P-5c &gt; COLUMBIA Class Submarine &gt; Change Orders</t>
  </si>
  <si>
    <t>COLUMBIA Class Submarine - P-5c - Electronics</t>
  </si>
  <si>
    <t>Electronics</t>
  </si>
  <si>
    <t>P-5c &gt; COLUMBIA Class Submarine &gt; Electronics</t>
  </si>
  <si>
    <t>COLUMBIA Class Submarine - P-5c - Propulsion Equipment</t>
  </si>
  <si>
    <t>Propulsion Equipment</t>
  </si>
  <si>
    <t>P-5c &gt; COLUMBIA Class Submarine &gt; Propulsion Equipment</t>
  </si>
  <si>
    <t>COLUMBIA Class Submarine - P-5c - Hull, Mechanical, and Electrical</t>
  </si>
  <si>
    <t>Hull, Mechanical, and Electrical</t>
  </si>
  <si>
    <t>P-5c &gt; COLUMBIA Class Submarine &gt; Hull, Mechanical, and Electrical</t>
  </si>
  <si>
    <t>COLUMBIA Class Submarine - P-5c - Ordnance</t>
  </si>
  <si>
    <t>Ordnance</t>
  </si>
  <si>
    <t>P-5c &gt; COLUMBIA Class Submarine &gt; Ordnance</t>
  </si>
  <si>
    <t>COLUMBIA Class Submarine - P-5c - Other Cost</t>
  </si>
  <si>
    <t>Other Cost</t>
  </si>
  <si>
    <t>P-5c &gt; COLUMBIA Class Submarine &gt; Other Cost</t>
  </si>
  <si>
    <t>Other Costs</t>
  </si>
  <si>
    <t>COLUMBIA Class Submarine - P-8a Electronics - Sonar 1</t>
  </si>
  <si>
    <t>P-8a</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</si>
  <si>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</si>
  <si>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</si>
  <si>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</si>
  <si>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</si>
  <si>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</si>
  <si>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</si>
  <si>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</si>
  <si>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</si>
  <si>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</si>
  <si>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</si>
  <si>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</si>
  <si>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</si>
  <si>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</si>
  <si>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</si>
  <si>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</si>
  <si>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</si>
  <si>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</si>
  <si>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</si>
  <si>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</si>
  <si>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</si>
  <si>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</si>
  <si>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</si>
  <si>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</si>
  <si>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</si>
  <si>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</si>
  <si>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</si>
  <si>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</si>
  <si>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</si>
  <si>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</si>
  <si>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</si>
  <si>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</si>
  <si>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</si>
  <si>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</si>
  <si>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</si>
  <si>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</si>
  <si>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</si>
  <si>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</si>
  <si>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</si>
  <si>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</si>
  <si>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</si>
  <si>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</si>
  <si>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</si>
  <si>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</si>
  <si>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</si>
  <si>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</si>
  <si>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</si>
  <si>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</si>
  <si>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</si>
  <si>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</si>
  <si>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</si>
  <si>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</si>
  <si>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</si>
  <si>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</si>
  <si>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</si>
  <si>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</si>
  <si>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</si>
  <si>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</si>
  <si>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</si>
  <si>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</si>
  <si>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</si>
  <si>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</si>
  <si>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</si>
  <si>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</si>
  <si>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</si>
  <si>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</si>
  <si>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</si>
  <si>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</si>
  <si>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</si>
  <si>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</si>
  <si>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</si>
  <si>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</si>
  <si>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</si>
  <si>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</si>
  <si>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</si>
  <si>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</si>
  <si>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</si>
  <si>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</si>
  <si>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</si>
  <si>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</si>
  <si>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</si>
  <si>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</si>
  <si>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</si>
  <si>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</si>
  <si>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</si>
  <si>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</si>
  <si>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</si>
  <si>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</si>
  <si>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</si>
  <si>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</si>
  <si>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</si>
  <si>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</si>
  <si>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</si>
  <si>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</si>
  <si>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</si>
  <si>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</si>
  <si>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</si>
  <si>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</si>
  <si>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</si>
  <si>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</si>
  <si>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</si>
  <si>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</si>
  <si>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</si>
  <si>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</si>
  <si>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</si>
  <si>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</si>
  <si>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</si>
  <si>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</si>
  <si>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</si>
  <si>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</si>
  <si>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</si>
  <si>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</si>
  <si>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</si>
  <si>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</si>
  <si>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</si>
  <si>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</si>
  <si>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</si>
  <si>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</si>
  <si>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</si>
  <si>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</si>
  <si>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</si>
  <si>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</si>
  <si>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</si>
  <si>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</si>
  <si>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</si>
  <si>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</si>
  <si>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</si>
  <si>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</si>
  <si>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</si>
  <si>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</si>
  <si>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</si>
  <si>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</si>
  <si>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</si>
  <si>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</si>
  <si>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</si>
  <si>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</si>
  <si>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</si>
  <si>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</si>
  <si>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</si>
  <si>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</si>
  <si>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</si>
  <si>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</si>
  <si>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</si>
  <si>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</si>
  <si>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</si>
  <si>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</si>
  <si>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</si>
  <si>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</si>
  <si>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</si>
  <si>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</si>
  <si>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</si>
  <si>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</si>
  <si>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</si>
  <si>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</si>
  <si>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</si>
  <si>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</si>
  <si>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</si>
  <si>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</si>
  <si>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</si>
  <si>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</si>
  <si>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</si>
  <si>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</si>
  <si>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</si>
  <si>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</si>
  <si>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</si>
  <si>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</si>
  <si>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</si>
  <si>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</si>
  <si>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</si>
  <si>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</si>
  <si>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</si>
  <si>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</si>
  <si>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</si>
  <si>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</si>
  <si>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</si>
  <si>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</si>
  <si>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</si>
  <si>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</si>
  <si>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</si>
  <si>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</si>
  <si>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</si>
  <si>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</si>
  <si>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</si>
  <si>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</si>
  <si>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</si>
  <si>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</si>
  <si>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</si>
  <si>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</si>
  <si>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</si>
  <si>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</si>
  <si>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</si>
  <si>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</si>
  <si>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</si>
  <si>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</si>
  <si>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</si>
  <si>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</si>
  <si>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</si>
  <si>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</si>
  <si>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</si>
  <si>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</si>
  <si>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</si>
  <si>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</si>
  <si>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</si>
  <si>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</si>
  <si>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</si>
  <si>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</si>
  <si>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</si>
  <si>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</si>
  <si>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</si>
  <si>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</si>
  <si>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</si>
  <si>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</si>
  <si>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</si>
  <si>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</si>
  <si>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</si>
  <si>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</si>
  <si>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</si>
  <si>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</si>
  <si>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</si>
  <si>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</si>
  <si>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</si>
  <si>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</si>
  <si>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</si>
  <si>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</si>
  <si>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</si>
  <si>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</si>
  <si>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</si>
  <si>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</si>
  <si>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</si>
  <si>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</si>
  <si>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</si>
  <si>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</si>
  <si>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</si>
  <si>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</si>
  <si>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</si>
  <si>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</si>
  <si>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</si>
  <si>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</si>
  <si>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</si>
  <si>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</si>
  <si>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</si>
  <si>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</si>
  <si>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</si>
  <si>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</si>
  <si>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</si>
  <si>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</si>
  <si>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</si>
  <si>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</si>
  <si>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</si>
  <si>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</si>
  <si>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</si>
  <si>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</si>
  <si>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</si>
  <si>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</si>
  <si>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</si>
  <si>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</si>
  <si>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</si>
  <si>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</si>
  <si>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</si>
  <si>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</si>
  <si>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</si>
  <si>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</si>
  <si>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</si>
  <si>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</si>
  <si>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</si>
  <si>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</si>
  <si>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</si>
  <si>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</si>
  <si>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</si>
  <si>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</si>
  <si>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</si>
  <si>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</si>
  <si>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</si>
  <si>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</si>
  <si>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</si>
  <si>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</si>
  <si>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</si>
  <si>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</si>
  <si>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</si>
  <si>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</si>
  <si>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</si>
  <si>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</si>
  <si>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</si>
  <si>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</si>
  <si>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</si>
  <si>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</si>
  <si>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</si>
  <si>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</si>
  <si>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</si>
  <si>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</si>
  <si>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</si>
  <si>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</si>
  <si>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</si>
  <si>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</si>
  <si>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</si>
  <si>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</si>
  <si>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</si>
  <si>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</si>
  <si>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</si>
  <si>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</si>
  <si>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</si>
  <si>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</si>
  <si>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</si>
  <si>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</si>
  <si>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</si>
  <si>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</si>
  <si>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</si>
  <si>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</si>
  <si>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</si>
  <si>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</si>
  <si>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</si>
  <si>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</si>
  <si>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</si>
  <si>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</si>
  <si>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</si>
  <si>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</si>
  <si>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</si>
  <si>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</si>
  <si>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</si>
  <si>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</si>
  <si>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</si>
  <si>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</si>
  <si>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</si>
  <si>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</si>
  <si>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</si>
  <si>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</si>
  <si>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</si>
  <si>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</si>
  <si>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</si>
  <si>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</si>
  <si>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</si>
  <si>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</si>
  <si>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</si>
  <si>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</si>
  <si>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</si>
  <si>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</si>
  <si>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</si>
  <si>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</si>
  <si>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</si>
  <si>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</si>
  <si>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</si>
  <si>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</si>
  <si>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</si>
  <si>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</si>
  <si>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</si>
  <si>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</si>
  <si>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</si>
  <si>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</si>
  <si>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</si>
  <si>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</si>
  <si>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</si>
  <si>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</si>
  <si>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</si>
  <si>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</si>
  <si>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</si>
  <si>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</si>
  <si>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</si>
  <si>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</si>
  <si>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</si>
  <si>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</si>
  <si>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</si>
  <si>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</si>
  <si>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</si>
  <si>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</si>
  <si>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</si>
  <si>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</si>
  <si>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</si>
  <si>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</si>
  <si>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</si>
  <si>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</si>
  <si>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</si>
  <si>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</si>
  <si>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</si>
  <si>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</si>
  <si>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</si>
  <si>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</si>
  <si>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</si>
  <si>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</si>
  <si>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</si>
  <si>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</si>
  <si>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</si>
  <si>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</si>
  <si>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</si>
  <si>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</si>
  <si>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</si>
  <si>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</si>
  <si>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</si>
  <si>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</si>
  <si>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</si>
  <si>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</si>
  <si>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</si>
  <si>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</si>
  <si>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</si>
  <si>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</si>
  <si>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</si>
  <si>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</si>
  <si>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</si>
  <si>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</si>
  <si>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</si>
  <si>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</si>
  <si>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</si>
  <si>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</si>
  <si>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</si>
  <si>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</si>
  <si>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</si>
  <si>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</si>
  <si>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</si>
  <si>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</si>
  <si>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</si>
  <si>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</si>
  <si>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</si>
  <si>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</si>
  <si>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</si>
  <si>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</si>
  <si>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</si>
  <si>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</si>
  <si>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</si>
  <si>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</si>
  <si>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</si>
  <si>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</si>
  <si>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</si>
  <si>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</si>
  <si>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</si>
  <si>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</si>
  <si>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</si>
  <si>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</si>
  <si>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</si>
  <si>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</si>
  <si>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</si>
  <si>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</si>
  <si>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</si>
  <si>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</si>
  <si>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</si>
  <si>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</si>
  <si>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</si>
  <si>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</si>
  <si>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</si>
  <si>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</si>
  <si>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</si>
  <si>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</si>
  <si>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</si>
  <si>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</si>
  <si>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</si>
  <si>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</si>
  <si>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</si>
  <si>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</si>
  <si>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</si>
  <si>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</si>
  <si>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</si>
  <si>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</si>
  <si>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</si>
  <si>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</si>
  <si>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</si>
  <si>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</si>
  <si>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</si>
  <si>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</si>
  <si>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</si>
  <si>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</si>
  <si>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</si>
  <si>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</si>
  <si>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</si>
  <si>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</si>
  <si>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</si>
  <si>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</si>
  <si>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</si>
  <si>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</si>
  <si>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</si>
  <si>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</si>
  <si>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</si>
  <si>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</si>
  <si>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</si>
  <si>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</si>
  <si>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</si>
  <si>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</si>
  <si>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</si>
  <si>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</si>
  <si>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</si>
  <si>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</si>
  <si>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</si>
  <si>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</si>
  <si>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</si>
  <si>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</si>
  <si>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</si>
  <si>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</si>
  <si>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</si>
  <si>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</si>
  <si>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</si>
  <si>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</si>
  <si>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</si>
  <si>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</si>
  <si>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</si>
  <si>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</si>
  <si>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</si>
  <si>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</si>
  <si>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</si>
  <si>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</si>
  <si>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</si>
  <si>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</si>
  <si>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</si>
  <si>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</si>
  <si>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</si>
  <si>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</si>
  <si>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</si>
  <si>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</si>
  <si>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</si>
  <si>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</si>
  <si>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</si>
  <si>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</si>
  <si>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</si>
  <si>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</si>
  <si>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</si>
  <si>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</si>
  <si>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</si>
  <si>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</si>
  <si>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</si>
  <si>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</si>
  <si>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</si>
  <si>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</si>
  <si>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</si>
  <si>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</si>
  <si>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</si>
  <si>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</si>
  <si>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</si>
  <si>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</si>
  <si>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</si>
  <si>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</si>
  <si>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</si>
  <si>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</si>
  <si>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</si>
  <si>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</si>
  <si>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</si>
  <si>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</si>
  <si>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</si>
  <si>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</si>
  <si>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</si>
  <si>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</si>
  <si>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</si>
  <si>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</si>
  <si>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</si>
  <si>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</si>
  <si>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</si>
  <si>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</si>
  <si>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</si>
  <si>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</si>
  <si>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</si>
  <si>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</si>
  <si>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</si>
  <si>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</si>
  <si>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</si>
  <si>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</si>
  <si>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</si>
  <si>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</si>
  <si>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</si>
  <si>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</si>
  <si>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</si>
  <si>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</si>
  <si>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</si>
  <si>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</si>
  <si>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</si>
  <si>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</si>
  <si>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</si>
  <si>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</si>
  <si>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</si>
  <si>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</si>
  <si>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</si>
  <si>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</si>
  <si>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</si>
  <si>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</si>
  <si>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</si>
  <si>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</si>
  <si>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</si>
  <si>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</si>
  <si>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</si>
  <si>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</si>
  <si>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</si>
  <si>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</si>
  <si>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</si>
  <si>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</si>
  <si>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</si>
  <si>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</si>
  <si>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</si>
  <si>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</si>
  <si>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</si>
  <si>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</si>
  <si>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</si>
  <si>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</si>
  <si>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</si>
  <si>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</si>
  <si>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</si>
  <si>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</si>
  <si>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</si>
  <si>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</si>
  <si>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</si>
  <si>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</si>
  <si>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</si>
  <si>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</si>
  <si>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</si>
  <si>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</si>
  <si>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</si>
  <si>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</si>
  <si>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</si>
  <si>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</si>
  <si>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</si>
  <si>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</si>
  <si>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</si>
  <si>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</si>
  <si>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</si>
  <si>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</si>
  <si>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</si>
  <si>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</si>
  <si>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</si>
  <si>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</si>
  <si>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</si>
  <si>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</si>
  <si>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</si>
  <si>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</si>
  <si>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</si>
  <si>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</si>
  <si>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</si>
  <si>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</si>
  <si>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</si>
  <si>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</si>
  <si>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</si>
  <si>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</si>
  <si>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</si>
  <si>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</si>
  <si>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</si>
  <si>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</si>
  <si>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</si>
  <si>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</si>
  <si>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</si>
  <si>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</si>
  <si>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</si>
  <si>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</si>
  <si>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</si>
  <si>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</si>
  <si>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</si>
  <si>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</si>
  <si>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</si>
  <si>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</si>
  <si>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</si>
  <si>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</si>
  <si>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</si>
  <si>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</si>
  <si>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</si>
  <si>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</si>
  <si>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</si>
  <si>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</si>
  <si>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</si>
  <si>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</si>
  <si>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</si>
  <si>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</si>
  <si>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</si>
  <si>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</si>
  <si>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</si>
  <si>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</si>
  <si>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</si>
  <si>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</si>
  <si>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</si>
  <si>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</si>
  <si>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</si>
  <si>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</si>
  <si>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</si>
  <si>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</si>
  <si>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</si>
  <si>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</si>
  <si>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</si>
  <si>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</si>
  <si>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</si>
  <si>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</si>
  <si>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</si>
  <si>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</si>
  <si>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</si>
  <si>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</si>
  <si>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</si>
  <si>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</si>
  <si>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</si>
  <si>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</si>
  <si>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</si>
  <si>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</si>
  <si>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</si>
  <si>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</si>
  <si>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</si>
  <si>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</si>
  <si>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</si>
  <si>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</si>
  <si>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</si>
  <si>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</si>
  <si>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</si>
  <si>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</si>
  <si>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</si>
  <si>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</si>
  <si>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</si>
  <si>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</si>
  <si>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</si>
  <si>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</si>
  <si>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</si>
  <si>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</si>
  <si>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</si>
  <si>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</si>
  <si>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</si>
  <si>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</si>
  <si>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</si>
  <si>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</si>
  <si>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</si>
  <si>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</si>
  <si>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</si>
  <si>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</si>
  <si>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</si>
  <si>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</si>
  <si>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</si>
  <si>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</si>
  <si>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</si>
  <si>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</si>
  <si>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</si>
  <si>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</si>
  <si>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</si>
  <si>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</si>
  <si>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</si>
  <si>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</si>
  <si>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</si>
  <si>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</si>
  <si>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</si>
  <si>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</si>
  <si>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</si>
  <si>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</si>
  <si>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</si>
  <si>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</si>
  <si>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</si>
  <si>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</si>
  <si>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</si>
  <si>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</si>
  <si>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</si>
  <si>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</si>
  <si>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</si>
  <si>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</si>
  <si>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</si>
  <si>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</si>
  <si>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</si>
  <si>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</si>
  <si>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</si>
  <si>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</si>
  <si>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</si>
  <si>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</si>
  <si>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</si>
  <si>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</si>
  <si>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</si>
  <si>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</si>
  <si>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</si>
  <si>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</si>
  <si>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</si>
  <si>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</si>
  <si>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</si>
  <si>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</si>
  <si>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</si>
  <si>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</si>
  <si>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</si>
  <si>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</si>
  <si>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</si>
  <si>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</si>
  <si>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</si>
  <si>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</si>
  <si>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</si>
  <si>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</si>
  <si>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</si>
  <si>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</si>
  <si>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</si>
  <si>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</si>
  <si>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</si>
  <si>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</si>
  <si>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</si>
  <si>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</si>
  <si>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</si>
  <si>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</si>
  <si>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</si>
  <si>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</si>
  <si>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</si>
  <si>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</si>
  <si>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</si>
  <si>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</si>
  <si>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</si>
  <si>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</si>
  <si>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</si>
  <si>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</si>
  <si>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</si>
  <si>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</si>
  <si>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</si>
  <si>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</si>
  <si>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</si>
  <si>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</si>
  <si>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</si>
  <si>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</si>
  <si>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</si>
  <si>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</si>
  <si>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</si>
  <si>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</si>
  <si>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</si>
  <si>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</si>
  <si>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</si>
  <si>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</si>
  <si>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</si>
  <si>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</si>
  <si>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</si>
  <si>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</si>
  <si>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</si>
  <si>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</si>
  <si>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</si>
  <si>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</si>
  <si>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</si>
  <si>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</si>
  <si>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</si>
  <si>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</si>
  <si>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</si>
  <si>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</si>
  <si>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</si>
  <si>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</si>
  <si>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</si>
  <si>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</si>
  <si>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</si>
  <si>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</si>
  <si>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</si>
  <si>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</si>
  <si>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</si>
  <si>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</si>
  <si>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</si>
  <si>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</si>
  <si>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</si>
  <si>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</si>
  <si>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</si>
  <si>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</si>
  <si>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</si>
  <si>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</si>
  <si>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</si>
  <si>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</si>
  <si>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</si>
  <si>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</si>
  <si>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</si>
  <si>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</si>
  <si>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</si>
  <si>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</si>
  <si>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</si>
  <si>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</si>
  <si>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</si>
  <si>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</si>
  <si>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</si>
  <si>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</si>
  <si>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</si>
  <si>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</si>
  <si>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</si>
  <si>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</si>
  <si>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</si>
  <si>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</si>
  <si>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</si>
  <si>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</si>
  <si>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</si>
  <si>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</si>
  <si>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</si>
  <si>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</si>
  <si>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</si>
  <si>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</si>
  <si>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</si>
  <si>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</si>
  <si>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</si>
  <si>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</si>
  <si>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</si>
  <si>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</si>
  <si>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</si>
  <si>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</si>
  <si>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</si>
  <si>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</si>
  <si>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</si>
  <si>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</si>
  <si>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</si>
  <si>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</si>
  <si>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</si>
  <si>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</si>
  <si>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</si>
  <si>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</si>
  <si>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</si>
  <si>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</si>
  <si>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</si>
  <si>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</si>
  <si>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</si>
  <si>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</si>
  <si>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</si>
  <si>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</si>
  <si>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</si>
  <si>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</si>
  <si>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</si>
  <si>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</si>
  <si>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</si>
  <si>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</si>
  <si>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</si>
  <si>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</si>
  <si>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</si>
  <si>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</si>
  <si>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</si>
  <si>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</si>
  <si>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</si>
  <si>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</si>
  <si>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</si>
  <si>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</si>
  <si>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</si>
  <si>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</si>
  <si>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</si>
  <si>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</si>
  <si>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</si>
  <si>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</si>
  <si>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</si>
  <si>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</si>
  <si>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</si>
  <si>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</si>
  <si>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</si>
  <si>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</si>
  <si>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</si>
  <si>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</si>
  <si>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</si>
  <si>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</si>
  <si>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</si>
  <si>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</si>
  <si>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</si>
  <si>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</si>
  <si>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</si>
  <si>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</si>
  <si>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</si>
  <si>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</si>
  <si>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</si>
  <si>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</si>
  <si>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</si>
  <si>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</si>
  <si>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</si>
  <si>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</si>
  <si>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</si>
  <si>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</si>
  <si>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</si>
  <si>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</si>
  <si>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</si>
  <si>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</si>
  <si>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</si>
  <si>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</si>
  <si>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</si>
  <si>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</si>
  <si>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</si>
  <si>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</si>
  <si>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</si>
  <si>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</si>
  <si>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</si>
  <si>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</si>
  <si>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</si>
  <si>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</si>
  <si>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</si>
  <si>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</si>
  <si>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</si>
  <si>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</si>
  <si>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</si>
  <si>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</si>
  <si>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</si>
  <si>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</si>
  <si>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</si>
  <si>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</si>
  <si>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</si>
  <si>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</si>
  <si>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</si>
  <si>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</si>
  <si>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</si>
  <si>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</si>
  <si>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</si>
  <si>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</si>
  <si>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</si>
  <si>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</si>
  <si>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</si>
  <si>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</si>
  <si>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</si>
  <si>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</si>
  <si>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</si>
  <si>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</si>
  <si>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</si>
  <si>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</si>
  <si>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</si>
  <si>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</si>
  <si>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</si>
  <si>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</si>
  <si>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</si>
  <si>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</si>
  <si>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</si>
  <si>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</si>
  <si>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</si>
  <si>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</si>
  <si>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</si>
  <si>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</si>
  <si>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</si>
  <si>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</si>
  <si>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</si>
  <si>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</si>
  <si>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</si>
  <si>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</si>
  <si>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</si>
  <si>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</si>
  <si>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</si>
  <si>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</si>
  <si>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</si>
  <si>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</si>
  <si>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</si>
  <si>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</si>
  <si>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</si>
  <si>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</si>
  <si>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</si>
  <si>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</si>
  <si>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</si>
  <si>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</si>
  <si>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</si>
  <si>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</si>
  <si>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</si>
  <si>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</si>
  <si>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</si>
  <si>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</si>
  <si>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</si>
  <si>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</si>
  <si>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</si>
  <si>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</si>
  <si>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</si>
  <si>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</si>
  <si>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</si>
  <si>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</si>
  <si>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</si>
  <si>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</si>
  <si>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</si>
  <si>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</si>
  <si>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</si>
  <si>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</si>
  <si>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</si>
  <si>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</si>
  <si>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</si>
  <si>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</si>
  <si>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</si>
  <si>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</si>
  <si>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</si>
  <si>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</si>
  <si>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</si>
  <si>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</si>
  <si>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</si>
  <si>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</si>
  <si>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</si>
  <si>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</si>
  <si>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</si>
  <si>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</si>
  <si>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</si>
  <si>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</si>
  <si>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</si>
  <si>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</si>
  <si>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</si>
  <si>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</si>
  <si>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</si>
  <si>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</si>
  <si>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</si>
  <si>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</si>
  <si>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</si>
  <si>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</si>
  <si>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</si>
  <si>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</si>
  <si>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</si>
  <si>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</si>
  <si>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</si>
  <si>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</si>
  <si>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</si>
  <si>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</si>
  <si>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</si>
  <si>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</si>
  <si>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</si>
  <si>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</si>
  <si>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</si>
  <si>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</si>
  <si>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</si>
  <si>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</si>
  <si>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</si>
  <si>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</si>
  <si>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</si>
  <si>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</si>
  <si>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</si>
  <si>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</si>
  <si>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</si>
  <si>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</si>
  <si>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</si>
  <si>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</si>
  <si>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</si>
  <si>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</si>
  <si>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</si>
  <si>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</si>
  <si>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</si>
  <si>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</si>
  <si>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</si>
  <si>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</si>
  <si>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</si>
  <si>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</si>
  <si>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</si>
  <si>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</si>
  <si>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</si>
  <si>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</si>
  <si>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</si>
  <si>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</si>
  <si>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</si>
  <si>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</si>
  <si>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</si>
  <si>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</si>
  <si>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</si>
  <si>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</si>
  <si>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</si>
  <si>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</si>
  <si>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</si>
  <si>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</si>
  <si>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</si>
  <si>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</si>
  <si>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</si>
  <si>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</si>
  <si>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</si>
  <si>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</si>
  <si>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</si>
  <si>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</si>
  <si>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</si>
  <si>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</si>
  <si>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</si>
  <si>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</si>
  <si>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</si>
  <si>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</si>
  <si>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</si>
  <si>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</si>
  <si>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</si>
  <si>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</si>
  <si>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</si>
  <si>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</si>
  <si>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</si>
  <si>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</si>
  <si>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</si>
  <si>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</si>
  <si>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</si>
  <si>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</si>
  <si>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</si>
  <si>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</si>
  <si>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</si>
  <si>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</si>
  <si>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</si>
  <si>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</si>
  <si>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</si>
  <si>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</si>
  <si>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</si>
  <si>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</si>
  <si>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</si>
  <si>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</si>
  <si>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</si>
  <si>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</si>
  <si>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</si>
  <si>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</si>
  <si>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</si>
  <si>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</si>
  <si>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</si>
  <si>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</si>
  <si>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</si>
  <si>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</si>
  <si>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</si>
  <si>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</si>
  <si>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</si>
  <si>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</si>
  <si>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</si>
  <si>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</si>
  <si>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</si>
  <si>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</si>
  <si>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</si>
  <si>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</si>
  <si>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</si>
  <si>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</si>
  <si>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</si>
  <si>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</si>
  <si>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</si>
  <si>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</si>
  <si>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</si>
  <si>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</si>
  <si>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</si>
  <si>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</si>
  <si>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</si>
  <si>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</si>
  <si>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</si>
  <si>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</si>
  <si>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</si>
  <si>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</si>
  <si>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</si>
  <si>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</si>
  <si>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</si>
  <si>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</si>
  <si>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</si>
  <si>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</si>
  <si>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</si>
  <si>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</si>
  <si>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</si>
  <si>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</si>
  <si>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</si>
  <si>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</si>
  <si>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</si>
  <si>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</si>
  <si>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</si>
  <si>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</si>
  <si>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</si>
  <si>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</si>
  <si>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</si>
  <si>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</si>
  <si>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</si>
  <si>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</si>
  <si>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</si>
  <si>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</si>
  <si>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</si>
  <si>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</si>
  <si>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</si>
  <si>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</si>
  <si>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</si>
  <si>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</si>
  <si>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</si>
  <si>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</si>
  <si>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</si>
  <si>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</si>
  <si>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</si>
  <si>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</si>
  <si>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</si>
  <si>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</si>
  <si>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</si>
  <si>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</si>
  <si>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</si>
  <si>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</si>
  <si>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</si>
  <si>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</si>
  <si>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</si>
  <si>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</si>
  <si>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</si>
  <si>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</si>
  <si>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</si>
  <si>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</si>
  <si>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</si>
  <si>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</si>
  <si>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</si>
  <si>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</si>
  <si>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</si>
  <si>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</si>
  <si>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</si>
  <si>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</si>
  <si>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</si>
  <si>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</si>
  <si>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</si>
  <si>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</si>
  <si>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</si>
  <si>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</si>
  <si>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</si>
  <si>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</si>
  <si>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</si>
  <si>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</si>
  <si>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</si>
  <si>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</si>
  <si>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</si>
  <si>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</si>
  <si>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</si>
  <si>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</si>
  <si>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</si>
  <si>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</si>
  <si>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</si>
  <si>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</si>
  <si>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</si>
  <si>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</si>
  <si>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</si>
  <si>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</si>
  <si>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</si>
  <si>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</si>
  <si>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</si>
  <si>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</si>
  <si>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</si>
  <si>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</si>
  <si>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</si>
  <si>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</si>
  <si>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</si>
  <si>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</si>
  <si>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</si>
  <si>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</si>
  <si>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</si>
  <si>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</si>
  <si>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</si>
  <si>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</si>
  <si>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</si>
  <si>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</si>
  <si>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</si>
  <si>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</si>
  <si>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</si>
  <si>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</si>
  <si>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</si>
  <si>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</si>
  <si>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</si>
  <si>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</si>
  <si>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</si>
  <si>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</si>
  <si>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</si>
  <si>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</si>
  <si>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</si>
  <si>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</si>
  <si>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</si>
  <si>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</si>
  <si>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</si>
  <si>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</si>
  <si>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</si>
  <si>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</si>
  <si>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</si>
  <si>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</si>
  <si>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</si>
  <si>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</si>
  <si>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</si>
  <si>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</si>
  <si>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</si>
  <si>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</si>
  <si>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</si>
  <si>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</si>
  <si>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</si>
  <si>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</si>
  <si>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</si>
  <si>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</si>
  <si>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</si>
  <si>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</si>
  <si>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</si>
  <si>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</si>
  <si>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</si>
  <si>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</si>
  <si>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</si>
  <si>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</si>
  <si>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</si>
  <si>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</si>
  <si>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</si>
  <si>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</si>
  <si>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</si>
  <si>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</si>
  <si>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</si>
  <si>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</si>
  <si>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</si>
  <si>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</si>
  <si>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</si>
  <si>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</si>
  <si>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</si>
  <si>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</si>
  <si>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</si>
  <si>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</si>
  <si>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</si>
  <si>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</si>
  <si>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</si>
  <si>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</si>
  <si>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</si>
  <si>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</si>
  <si>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</si>
  <si>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</si>
  <si>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</si>
  <si>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</si>
  <si>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</si>
  <si>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</si>
  <si>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</si>
  <si>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</si>
  <si>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</si>
  <si>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</si>
  <si>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</si>
  <si>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</si>
  <si>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</si>
  <si>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</si>
  <si>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</si>
  <si>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</si>
  <si>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</si>
  <si>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</si>
  <si>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</si>
  <si>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</si>
  <si>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</si>
  <si>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</si>
  <si>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</si>
  <si>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</si>
  <si>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</si>
  <si>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</si>
  <si>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</si>
  <si>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</si>
  <si>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</si>
  <si>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</si>
  <si>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</si>
  <si>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</si>
  <si>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</si>
  <si>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</si>
  <si>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</si>
  <si>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</si>
  <si>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</si>
  <si>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</si>
  <si>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</si>
  <si>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</si>
  <si>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</si>
  <si>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</si>
  <si>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</si>
  <si>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</si>
  <si>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</si>
  <si>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</si>
  <si>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</si>
  <si>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</si>
  <si>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</si>
  <si>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</si>
  <si>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</si>
  <si>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</si>
  <si>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</si>
  <si>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</si>
  <si>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</si>
  <si>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</si>
  <si>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</si>
  <si>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</si>
  <si>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</si>
  <si>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</si>
  <si>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</si>
  <si>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</si>
  <si>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</si>
  <si>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</si>
  <si>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</si>
  <si>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</si>
  <si>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</si>
  <si>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</si>
  <si>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</si>
  <si>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</si>
  <si>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</si>
  <si>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</si>
  <si>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</si>
  <si>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</si>
  <si>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</si>
  <si>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</si>
  <si>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</si>
  <si>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</si>
  <si>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</si>
  <si>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</si>
  <si>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</si>
  <si>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</si>
  <si>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</si>
  <si>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</si>
  <si>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</si>
  <si>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</si>
  <si>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</si>
  <si>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</si>
  <si>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</si>
  <si>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</si>
  <si>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</si>
  <si>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</si>
  <si>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</si>
  <si>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</si>
  <si>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</si>
  <si>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</si>
  <si>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</si>
  <si>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</si>
  <si>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</si>
  <si>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</si>
  <si>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</si>
  <si>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</si>
  <si>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</si>
  <si>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</si>
  <si>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</si>
  <si>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</si>
  <si>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</si>
  <si>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</si>
  <si>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</si>
  <si>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</si>
  <si>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</si>
  <si>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</si>
  <si>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</si>
  <si>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</si>
  <si>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</si>
  <si>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</si>
  <si>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</si>
  <si>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</si>
  <si>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</si>
  <si>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</si>
  <si>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</si>
  <si>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</si>
  <si>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</si>
  <si>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</si>
  <si>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</si>
  <si>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</si>
  <si>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</si>
  <si>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</si>
  <si>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</si>
  <si>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</si>
  <si>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</si>
  <si>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</si>
  <si>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</si>
  <si>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</si>
  <si>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</si>
  <si>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</si>
  <si>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</si>
  <si>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</si>
  <si>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</si>
  <si>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</si>
  <si>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</si>
  <si>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</si>
  <si>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</si>
  <si>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</si>
  <si>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</si>
  <si>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</si>
  <si>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</si>
  <si>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</si>
  <si>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</si>
  <si>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</si>
  <si>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</si>
  <si>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</si>
  <si>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</si>
  <si>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</si>
  <si>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</si>
  <si>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</si>
  <si>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</si>
  <si>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</si>
  <si>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</si>
  <si>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</si>
  <si>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</si>
  <si>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</si>
  <si>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</si>
  <si>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</si>
  <si>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</si>
  <si>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</si>
  <si>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</si>
  <si>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</si>
  <si>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</si>
  <si>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</si>
  <si>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</si>
  <si>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</si>
  <si>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</si>
  <si>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</si>
  <si>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</si>
  <si>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</si>
  <si>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</si>
  <si>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</si>
  <si>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</si>
  <si>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</si>
  <si>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</si>
  <si>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</si>
  <si>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</si>
  <si>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</si>
  <si>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</si>
  <si>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</si>
  <si>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</si>
  <si>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</si>
  <si>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</si>
  <si>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</si>
  <si>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</si>
  <si>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</si>
  <si>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</si>
  <si>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</si>
  <si>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</si>
  <si>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</si>
  <si>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</si>
  <si>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</si>
  <si>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</si>
  <si>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</si>
  <si>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</si>
  <si>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</si>
  <si>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</si>
  <si>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</si>
  <si>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</si>
  <si>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</si>
  <si>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</si>
  <si>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</si>
  <si>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</si>
  <si>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</si>
  <si>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</si>
  <si>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</si>
  <si>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</si>
  <si>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</si>
  <si>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</si>
  <si>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</si>
  <si>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</si>
  <si>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</si>
  <si>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</si>
  <si>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</si>
  <si>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</si>
  <si>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</si>
  <si>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</si>
  <si>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</si>
  <si>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</si>
  <si>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</si>
  <si>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</si>
  <si>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</si>
  <si>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</si>
  <si>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</si>
  <si>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</si>
  <si>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</si>
  <si>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</si>
  <si>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</si>
  <si>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</si>
  <si>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</si>
  <si>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</si>
  <si>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</si>
  <si>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</si>
  <si>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</si>
  <si>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</si>
  <si>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</si>
  <si>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</si>
  <si>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</si>
  <si>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</si>
  <si>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</si>
  <si>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</si>
  <si>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</si>
  <si>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</si>
  <si>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</si>
  <si>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</si>
  <si>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</si>
  <si>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</si>
  <si>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</si>
  <si>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</si>
  <si>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</si>
  <si>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</si>
  <si>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</si>
  <si>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</si>
  <si>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</si>
  <si>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</si>
  <si>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</si>
  <si>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</si>
  <si>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</si>
  <si>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</si>
  <si>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</si>
  <si>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</si>
  <si>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</si>
  <si>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</si>
  <si>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</si>
  <si>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</si>
  <si>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</si>
  <si>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</si>
  <si>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</si>
  <si>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</si>
  <si>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</si>
  <si>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</si>
  <si>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</si>
  <si>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</si>
  <si>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</si>
  <si>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</si>
  <si>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</si>
  <si>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</si>
  <si>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</si>
  <si>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</si>
  <si>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</si>
  <si>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</si>
  <si>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</si>
  <si>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</si>
  <si>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</si>
  <si>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</si>
  <si>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</si>
  <si>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</si>
  <si>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</si>
  <si>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</si>
  <si>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</si>
  <si>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</si>
  <si>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</si>
  <si>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</si>
  <si>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</si>
  <si>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</si>
  <si>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</si>
  <si>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</si>
  <si>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</si>
  <si>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</si>
  <si>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</si>
  <si>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</si>
  <si>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</si>
  <si>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</si>
  <si>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</si>
  <si>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</si>
  <si>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</si>
  <si>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</si>
  <si>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</si>
  <si>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</si>
  <si>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</si>
  <si>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</si>
  <si>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</si>
  <si>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</si>
  <si>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</si>
  <si>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</si>
  <si>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</si>
  <si>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</si>
  <si>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</si>
  <si>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</si>
  <si>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</si>
  <si>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</si>
  <si>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</si>
  <si>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</si>
  <si>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</si>
  <si>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</si>
  <si>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</si>
  <si>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</si>
  <si>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</si>
  <si>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</si>
  <si>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</si>
  <si>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</si>
  <si>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</si>
  <si>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</si>
  <si>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</si>
  <si>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</si>
  <si>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</si>
  <si>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</si>
  <si>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</si>
  <si>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</si>
  <si>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</si>
  <si>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</si>
  <si>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</si>
  <si>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</si>
  <si>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</si>
  <si>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</si>
  <si>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</si>
  <si>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</si>
  <si>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</si>
  <si>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</si>
  <si>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</si>
  <si>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</si>
  <si>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</si>
  <si>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</si>
  <si>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</si>
  <si>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</si>
  <si>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</si>
  <si>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</si>
  <si>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</si>
  <si>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</si>
  <si>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</si>
  <si>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</si>
  <si>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</si>
  <si>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</si>
  <si>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</si>
  <si>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</si>
  <si>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</si>
  <si>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</si>
  <si>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</si>
  <si>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</si>
  <si>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</si>
  <si>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</si>
  <si>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</si>
  <si>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</si>
  <si>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</si>
  <si>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</si>
  <si>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</si>
  <si>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</si>
  <si>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</si>
  <si>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</si>
  <si>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</si>
  <si>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</si>
  <si>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</si>
  <si>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</si>
  <si>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</si>
  <si>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</si>
  <si>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</si>
  <si>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</si>
  <si>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</si>
  <si>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</si>
  <si>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</si>
  <si>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</si>
  <si>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</si>
  <si>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</si>
  <si>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</si>
  <si>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</si>
  <si>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</si>
  <si>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</si>
  <si>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</si>
  <si>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</si>
  <si>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</si>
  <si>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</si>
  <si>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</si>
  <si>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</si>
  <si>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</si>
  <si>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</si>
  <si>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</si>
  <si>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</si>
  <si>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</si>
  <si>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</si>
  <si>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</si>
  <si>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</si>
  <si>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</si>
  <si>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</si>
  <si>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</si>
  <si>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</si>
  <si>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</si>
  <si>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</si>
  <si>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</si>
  <si>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</si>
  <si>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</si>
  <si>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</si>
  <si>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</si>
  <si>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</si>
  <si>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</si>
  <si>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</si>
  <si>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</si>
  <si>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</si>
  <si>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</si>
  <si>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</si>
  <si>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</si>
  <si>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</si>
  <si>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</si>
  <si>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</si>
  <si>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</si>
  <si>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</si>
  <si>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</si>
  <si>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</si>
  <si>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</si>
  <si>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</si>
  <si>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</si>
  <si>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</si>
  <si>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</si>
  <si>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</si>
  <si>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</si>
  <si>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</si>
  <si>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</si>
  <si>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</si>
  <si>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</si>
  <si>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</si>
  <si>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</si>
  <si>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</si>
  <si>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</si>
  <si>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</si>
  <si>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</si>
  <si>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</si>
  <si>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</si>
  <si>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</si>
  <si>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</si>
  <si>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</si>
  <si>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</si>
  <si>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</si>
  <si>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</si>
  <si>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</si>
  <si>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</si>
  <si>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</si>
  <si>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</si>
  <si>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</si>
  <si>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</si>
  <si>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</si>
  <si>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</si>
  <si>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</si>
  <si>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</si>
  <si>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</si>
  <si>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</si>
  <si>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</si>
  <si>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</si>
  <si>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</si>
  <si>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</si>
  <si>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</si>
  <si>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</si>
  <si>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</si>
  <si>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</si>
  <si>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</si>
  <si>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</si>
  <si>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</si>
  <si>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</si>
  <si>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</si>
  <si>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</si>
  <si>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</si>
  <si>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</si>
  <si>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</si>
  <si>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</si>
  <si>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</si>
  <si>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</si>
  <si>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</si>
  <si>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</si>
  <si>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</si>
  <si>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</si>
  <si>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</si>
  <si>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</si>
  <si>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</si>
  <si>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</si>
  <si>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</si>
  <si>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</si>
  <si>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</si>
  <si>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</si>
  <si>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</si>
  <si>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</si>
  <si>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</si>
  <si>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</si>
  <si>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</si>
  <si>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</si>
  <si>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</si>
  <si>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</si>
  <si>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</si>
  <si>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</si>
  <si>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</si>
  <si>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</si>
  <si>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</si>
  <si>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</si>
  <si>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</si>
  <si>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</si>
  <si>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</si>
  <si>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</si>
  <si>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</si>
  <si>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</si>
  <si>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</si>
  <si>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</si>
  <si>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</si>
  <si>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</si>
  <si>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</si>
  <si>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</si>
  <si>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</si>
  <si>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</si>
  <si>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</si>
  <si>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</si>
  <si>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</si>
  <si>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</si>
  <si>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</si>
  <si>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</si>
  <si>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</si>
  <si>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</si>
  <si>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</si>
  <si>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</si>
  <si>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</si>
  <si>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</si>
  <si>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</si>
  <si>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</si>
  <si>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</si>
  <si>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</si>
  <si>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</si>
  <si>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</si>
  <si>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</si>
  <si>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</si>
  <si>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</si>
  <si>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</si>
  <si>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</si>
  <si>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</si>
  <si>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</si>
  <si>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</si>
  <si>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</si>
  <si>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</si>
  <si>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</si>
  <si>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</si>
  <si>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</si>
  <si>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</si>
  <si>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</si>
  <si>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</si>
  <si>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</si>
  <si>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</si>
  <si>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</si>
  <si>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</si>
  <si>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</si>
  <si>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</si>
  <si>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</si>
  <si>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</si>
  <si>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</si>
  <si>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</si>
  <si>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</si>
  <si>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</si>
  <si>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</si>
  <si>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</si>
  <si>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</si>
  <si>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</si>
  <si>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</si>
  <si>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</si>
  <si>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</si>
  <si>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</si>
  <si>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</si>
  <si>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</si>
  <si>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</si>
  <si>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</si>
  <si>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</si>
  <si>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</si>
  <si>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</si>
  <si>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</si>
  <si>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</si>
  <si>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</si>
  <si>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</si>
  <si>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</si>
  <si>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</si>
  <si>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</si>
  <si>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</si>
  <si>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</si>
  <si>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</si>
  <si>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</si>
  <si>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</si>
  <si>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</si>
  <si>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</si>
  <si>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</si>
  <si>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</si>
  <si>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</si>
  <si>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</si>
  <si>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</si>
  <si>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</si>
  <si>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</si>
  <si>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</si>
  <si>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</si>
  <si>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</si>
  <si>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</si>
  <si>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</si>
  <si>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</si>
  <si>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</si>
  <si>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</si>
  <si>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</si>
  <si>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</si>
  <si>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</si>
  <si>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</si>
  <si>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</si>
  <si>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</si>
  <si>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</si>
  <si>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</si>
  <si>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</si>
  <si>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</si>
  <si>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</si>
  <si>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</si>
  <si>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</si>
  <si>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</si>
  <si>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</si>
  <si>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</si>
  <si>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</si>
  <si>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</si>
  <si>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</si>
  <si>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</si>
  <si>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</si>
  <si>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</si>
  <si>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</si>
  <si>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</si>
  <si>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</si>
  <si>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</si>
  <si>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</si>
  <si>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</si>
  <si>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</si>
  <si>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</si>
  <si>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</si>
  <si>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</si>
  <si>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</si>
  <si>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</si>
  <si>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</si>
  <si>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</si>
  <si>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</si>
  <si>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</si>
  <si>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</si>
  <si>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</si>
  <si>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</si>
  <si>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</si>
  <si>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</si>
  <si>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</si>
  <si>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</si>
  <si>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</si>
  <si>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</si>
  <si>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</si>
  <si>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</si>
  <si>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</si>
  <si>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</si>
  <si>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</si>
  <si>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</si>
  <si>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</si>
  <si>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</si>
  <si>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</si>
  <si>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</si>
  <si>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</si>
  <si>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</si>
  <si>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</si>
  <si>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</si>
  <si>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</si>
  <si>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</si>
  <si>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</si>
  <si>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</si>
  <si>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</si>
  <si>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</si>
  <si>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</si>
  <si>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</si>
  <si>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</si>
  <si>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</si>
  <si>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</si>
  <si>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</si>
  <si>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</si>
  <si>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</si>
  <si>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</si>
  <si>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</si>
  <si>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</si>
  <si>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</si>
  <si>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</si>
  <si>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</si>
  <si>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</si>
  <si>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</si>
  <si>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</si>
  <si>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</si>
  <si>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</si>
  <si>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</si>
  <si>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</si>
  <si>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</si>
  <si>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</si>
  <si>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</si>
  <si>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</si>
  <si>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</si>
  <si>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</si>
  <si>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</si>
  <si>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</si>
  <si>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</si>
  <si>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</si>
  <si>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</si>
  <si>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</si>
  <si>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</si>
  <si>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</si>
  <si>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</si>
  <si>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</si>
  <si>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</si>
  <si>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</si>
  <si>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</si>
  <si>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</si>
  <si>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</si>
  <si>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</si>
  <si>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</si>
  <si>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</si>
  <si>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</si>
  <si>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</si>
  <si>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</si>
  <si>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</si>
  <si>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</si>
  <si>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</si>
  <si>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</si>
  <si>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</si>
  <si>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</si>
  <si>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</si>
  <si>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</si>
  <si>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</si>
  <si>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</si>
  <si>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</si>
  <si>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</si>
  <si>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</si>
  <si>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</si>
  <si>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</si>
  <si>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</si>
  <si>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</si>
  <si>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</si>
  <si>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</si>
  <si>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</si>
  <si>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</si>
  <si>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</si>
  <si>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</si>
  <si>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</si>
  <si>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</si>
  <si>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</si>
  <si>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</si>
  <si>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</si>
  <si>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</si>
  <si>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</si>
  <si>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</si>
  <si>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</si>
  <si>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</si>
  <si>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</si>
  <si>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</si>
  <si>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</si>
  <si>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</si>
  <si>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</si>
  <si>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</si>
  <si>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</si>
  <si>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</si>
  <si>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</si>
  <si>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</si>
  <si>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</si>
  <si>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</si>
  <si>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</si>
  <si>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</si>
  <si>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</si>
  <si>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</si>
  <si>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</si>
  <si>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</si>
  <si>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</si>
  <si>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</si>
  <si>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</si>
  <si>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</si>
  <si>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</si>
  <si>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</si>
  <si>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</si>
  <si>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</si>
  <si>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</si>
  <si>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</si>
  <si>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</si>
  <si>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</si>
  <si>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</si>
  <si>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</si>
  <si>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</si>
  <si>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</si>
  <si>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</si>
  <si>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</si>
  <si>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</si>
  <si>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</si>
  <si>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</si>
  <si>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</si>
  <si>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</si>
  <si>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</si>
  <si>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</si>
  <si>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</si>
  <si>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</si>
  <si>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</si>
  <si>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</si>
  <si>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</si>
  <si>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</si>
  <si>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</si>
  <si>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</si>
  <si>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</si>
  <si>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</si>
  <si>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</si>
  <si>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</si>
  <si>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</si>
  <si>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</si>
  <si>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</si>
  <si>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</si>
  <si>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</si>
  <si>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</si>
  <si>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</si>
  <si>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</si>
  <si>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</si>
  <si>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</si>
  <si>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</si>
  <si>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</si>
  <si>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</si>
  <si>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</si>
  <si>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</si>
  <si>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</si>
  <si>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</si>
  <si>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</si>
  <si>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</si>
  <si>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</si>
  <si>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</si>
  <si>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</si>
  <si>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</si>
  <si>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</si>
  <si>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</si>
  <si>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</si>
  <si>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</si>
  <si>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</si>
  <si>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</si>
  <si>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</si>
  <si>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</si>
  <si>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</si>
  <si>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</si>
  <si>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</si>
  <si>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</si>
  <si>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</si>
  <si>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</si>
  <si>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</si>
  <si>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</si>
  <si>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</si>
  <si>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</si>
  <si>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</si>
  <si>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</si>
  <si>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</si>
  <si>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</si>
  <si>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</si>
  <si>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</si>
  <si>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</si>
  <si>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</si>
  <si>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</si>
  <si>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</si>
  <si>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</si>
  <si>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</si>
  <si>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</si>
  <si>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</si>
  <si>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</si>
  <si>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</si>
  <si>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</si>
  <si>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</si>
  <si>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</si>
  <si>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</si>
  <si>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</si>
  <si>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</si>
  <si>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</si>
  <si>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</si>
  <si>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</si>
  <si>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</si>
  <si>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</si>
  <si>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</si>
  <si>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</si>
  <si>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</si>
  <si>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</si>
  <si>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</si>
  <si>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</si>
  <si>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</si>
  <si>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</si>
  <si>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</si>
  <si>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</si>
  <si>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</si>
  <si>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</si>
  <si>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</si>
  <si>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</si>
  <si>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</si>
  <si>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</si>
  <si>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</si>
  <si>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</si>
  <si>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</si>
  <si>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</si>
  <si>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</si>
  <si>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</si>
  <si>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</si>
  <si>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</si>
  <si>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</si>
  <si>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</si>
  <si>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</si>
  <si>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</si>
  <si>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</si>
  <si>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</si>
  <si>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</si>
  <si>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</si>
  <si>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</si>
  <si>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</si>
  <si>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</si>
  <si>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</si>
  <si>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</si>
  <si>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</si>
  <si>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</si>
  <si>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</si>
  <si>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</si>
  <si>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</si>
  <si>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</si>
  <si>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</si>
  <si>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</si>
  <si>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</si>
  <si>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</si>
  <si>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</si>
  <si>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</si>
  <si>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</si>
  <si>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</si>
  <si>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</si>
  <si>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</si>
  <si>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</si>
  <si>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</si>
  <si>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</si>
  <si>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</si>
  <si>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</si>
  <si>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</si>
  <si>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</si>
  <si>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</si>
  <si>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</si>
  <si>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</si>
  <si>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</si>
  <si>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</si>
  <si>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</si>
  <si>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</si>
  <si>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</si>
  <si>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</si>
  <si>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</si>
  <si>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</si>
  <si>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</si>
  <si>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</si>
  <si>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</si>
  <si>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</si>
  <si>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</si>
  <si>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</si>
  <si>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</si>
  <si>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</si>
  <si>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</si>
  <si>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</si>
  <si>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</si>
  <si>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</si>
  <si>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</si>
  <si>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</si>
  <si>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</si>
  <si>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</si>
  <si>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</si>
  <si>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</si>
  <si>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</si>
  <si>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</si>
  <si>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</si>
  <si>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</si>
  <si>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</si>
  <si>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</si>
  <si>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</si>
  <si>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</si>
  <si>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</si>
  <si>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</si>
  <si>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</si>
  <si>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</si>
  <si>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</si>
  <si>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</si>
  <si>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</si>
  <si>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</si>
  <si>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</si>
  <si>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</si>
  <si>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</si>
  <si>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</si>
  <si>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</si>
  <si>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</si>
  <si>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</si>
  <si>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</si>
  <si>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</si>
  <si>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</si>
  <si>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</si>
  <si>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</si>
  <si>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</si>
  <si>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</si>
  <si>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</si>
  <si>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</si>
  <si>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</si>
  <si>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</si>
  <si>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</si>
  <si>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</si>
  <si>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</si>
  <si>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</si>
  <si>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</si>
  <si>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</si>
  <si>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</si>
  <si>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</si>
  <si>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</si>
  <si>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</si>
  <si>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</si>
  <si>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</si>
  <si>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</si>
  <si>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</si>
  <si>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</si>
  <si>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</si>
  <si>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</si>
  <si>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</si>
  <si>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</si>
  <si>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</si>
  <si>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</si>
  <si>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</si>
  <si>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</si>
  <si>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</si>
  <si>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</si>
  <si>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</si>
  <si>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</si>
  <si>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</si>
  <si>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</si>
  <si>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</si>
  <si>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</si>
  <si>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</si>
  <si>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</si>
  <si>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</si>
  <si>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</si>
  <si>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</si>
  <si>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</si>
  <si>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</si>
  <si>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</si>
  <si>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</si>
  <si>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</si>
  <si>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</si>
  <si>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</si>
  <si>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</si>
  <si>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</si>
  <si>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</si>
  <si>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</si>
  <si>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</si>
  <si>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</si>
  <si>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</si>
  <si>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</si>
  <si>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</si>
  <si>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</si>
  <si>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</si>
  <si>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</si>
  <si>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</si>
  <si>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</si>
  <si>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</si>
  <si>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</si>
  <si>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</si>
  <si>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</si>
  <si>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</si>
  <si>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</si>
  <si>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</si>
  <si>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</si>
  <si>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</si>
  <si>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</si>
  <si>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</si>
  <si>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</si>
  <si>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</si>
  <si>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</si>
  <si>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</si>
  <si>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</si>
  <si>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</si>
  <si>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</si>
  <si>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</si>
  <si>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</si>
  <si>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</si>
  <si>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</si>
  <si>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</si>
  <si>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</si>
  <si>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</si>
  <si>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</si>
  <si>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</si>
  <si>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</si>
  <si>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</si>
  <si>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</si>
  <si>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</si>
  <si>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</si>
  <si>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</si>
  <si>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</si>
  <si>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</si>
  <si>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</si>
  <si>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</si>
  <si>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</si>
  <si>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</si>
  <si>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</si>
  <si>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</si>
  <si>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</si>
  <si>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</si>
  <si>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</si>
  <si>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</si>
  <si>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</si>
  <si>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</si>
  <si>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</si>
  <si>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</si>
  <si>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</si>
  <si>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</si>
  <si>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</si>
  <si>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</si>
  <si>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</si>
  <si>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</si>
  <si>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</si>
  <si>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</si>
  <si>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</si>
  <si>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</si>
  <si>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</si>
  <si>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</si>
  <si>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</si>
  <si>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</si>
  <si>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</si>
  <si>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</si>
  <si>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</si>
  <si>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</si>
  <si>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</si>
  <si>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</si>
  <si>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</si>
  <si>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</si>
  <si>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</si>
  <si>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</si>
  <si>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</si>
  <si>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</si>
  <si>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</si>
  <si>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</si>
  <si>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</si>
  <si>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</si>
  <si>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</si>
  <si>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</si>
  <si>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</si>
  <si>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</si>
  <si>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</si>
  <si>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</si>
  <si>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</si>
  <si>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</si>
  <si>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</si>
  <si>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</si>
  <si>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</si>
  <si>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</si>
  <si>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</si>
  <si>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</si>
  <si>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</si>
  <si>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</si>
  <si>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</si>
  <si>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</si>
  <si>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</si>
  <si>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</si>
  <si>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</si>
  <si>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</si>
  <si>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</si>
  <si>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</si>
  <si>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</si>
  <si>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</si>
  <si>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</si>
  <si>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</si>
  <si>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</si>
  <si>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</si>
  <si>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</si>
  <si>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</si>
  <si>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</si>
  <si>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</si>
  <si>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</si>
  <si>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</si>
  <si>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</si>
  <si>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</si>
  <si>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</si>
  <si>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</si>
  <si>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</si>
  <si>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</si>
  <si>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</si>
  <si>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</si>
  <si>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</si>
  <si>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</si>
  <si>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</si>
  <si>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</si>
  <si>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</si>
  <si>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</si>
  <si>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</si>
  <si>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</si>
  <si>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</si>
  <si>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</si>
  <si>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</si>
  <si>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</si>
  <si>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</si>
  <si>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</si>
  <si>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</si>
  <si>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</si>
  <si>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</si>
  <si>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</si>
  <si>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</si>
  <si>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</si>
  <si>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</si>
  <si>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</si>
  <si>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</si>
  <si>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</si>
  <si>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</si>
  <si>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</si>
  <si>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</si>
  <si>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</si>
  <si>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</si>
  <si>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</si>
  <si>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</si>
  <si>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</si>
  <si>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</si>
  <si>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</si>
  <si>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</si>
  <si>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</si>
  <si>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</si>
  <si>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</si>
  <si>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</si>
  <si>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</si>
  <si>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</si>
  <si>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</si>
  <si>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</si>
  <si>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</si>
  <si>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</si>
  <si>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</si>
  <si>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</si>
  <si>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</si>
  <si>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</si>
  <si>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</si>
  <si>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</si>
  <si>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</si>
  <si>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</si>
  <si>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</si>
  <si>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</si>
  <si>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</si>
  <si>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</si>
  <si>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</si>
  <si>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</si>
  <si>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</si>
  <si>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</si>
  <si>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</si>
  <si>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</si>
  <si>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</si>
  <si>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</si>
  <si>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</si>
  <si>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</si>
  <si>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</si>
  <si>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</si>
  <si>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</si>
  <si>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</si>
  <si>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</si>
  <si>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</si>
  <si>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</si>
  <si>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</si>
  <si>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</si>
  <si>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</si>
  <si>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</si>
  <si>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</si>
  <si>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</si>
  <si>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</si>
  <si>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</si>
  <si>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</si>
  <si>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</si>
  <si>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</si>
  <si>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</si>
  <si>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</si>
  <si>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</si>
  <si>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</si>
  <si>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</si>
  <si>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</si>
  <si>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</si>
  <si>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</si>
  <si>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</si>
  <si>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</si>
  <si>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</si>
  <si>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</si>
  <si>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</si>
  <si>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</si>
  <si>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</si>
  <si>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</si>
  <si>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</si>
  <si>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</si>
  <si>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</si>
  <si>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</si>
  <si>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</si>
  <si>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</si>
  <si>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</si>
  <si>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</si>
  <si>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</si>
  <si>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</si>
  <si>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</si>
  <si>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</si>
  <si>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</si>
  <si>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</si>
  <si>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</si>
  <si>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</si>
  <si>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</si>
  <si>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</si>
  <si>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</si>
  <si>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</si>
  <si>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</si>
  <si>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</si>
  <si>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</si>
  <si>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</si>
  <si>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</si>
  <si>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</si>
  <si>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</si>
  <si>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</si>
  <si>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</si>
  <si>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</si>
  <si>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</si>
  <si>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</si>
  <si>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</si>
  <si>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</si>
  <si>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</si>
  <si>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</si>
  <si>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</si>
  <si>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</si>
  <si>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</si>
  <si>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</si>
  <si>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</si>
  <si>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</si>
  <si>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</si>
  <si>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</si>
  <si>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</si>
  <si>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</si>
  <si>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</si>
  <si>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</si>
  <si>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</si>
  <si>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</si>
  <si>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</si>
  <si>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</si>
  <si>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</si>
  <si>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</si>
  <si>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</si>
  <si>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</si>
  <si>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</si>
  <si>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</si>
  <si>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</si>
  <si>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</si>
  <si>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</si>
  <si>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</si>
  <si>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</si>
  <si>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</si>
  <si>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</si>
  <si>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</si>
  <si>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</si>
  <si>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</si>
  <si>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</si>
  <si>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</si>
  <si>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</si>
  <si>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</si>
  <si>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</si>
  <si>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</si>
  <si>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</si>
  <si>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</si>
  <si>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</si>
  <si>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</si>
  <si>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</si>
  <si>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</si>
  <si>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</si>
  <si>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</si>
  <si>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</si>
  <si>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</si>
  <si>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</si>
  <si>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</si>
  <si>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</si>
  <si>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</si>
  <si>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</si>
  <si>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</si>
  <si>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</si>
  <si>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</si>
  <si>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</si>
  <si>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</si>
  <si>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</si>
  <si>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</si>
  <si>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</si>
  <si>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</si>
  <si>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</si>
  <si>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</si>
  <si>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</si>
  <si>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</si>
  <si>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</si>
  <si>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</si>
  <si>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</si>
  <si>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</si>
  <si>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</si>
  <si>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</si>
  <si>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</si>
  <si>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</si>
  <si>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</si>
  <si>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</si>
  <si>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</si>
  <si>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</si>
  <si>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</si>
  <si>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</si>
  <si>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</si>
  <si>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</si>
  <si>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</si>
  <si>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</si>
  <si>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</si>
  <si>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</si>
  <si>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</si>
  <si>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</si>
  <si>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</si>
  <si>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</si>
  <si>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</si>
  <si>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</si>
  <si>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</si>
  <si>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</si>
  <si>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</si>
  <si>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</si>
  <si>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</si>
  <si>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</si>
  <si>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</si>
  <si>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</si>
  <si>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</si>
  <si>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</si>
  <si>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</si>
  <si>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</si>
  <si>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</si>
  <si>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</si>
  <si>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</si>
  <si>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</si>
  <si>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</si>
  <si>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</si>
  <si>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</si>
  <si>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</si>
  <si>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</si>
  <si>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</si>
  <si>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</si>
  <si>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</si>
  <si>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</si>
  <si>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</si>
  <si>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</si>
  <si>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</si>
  <si>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</si>
  <si>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</si>
  <si>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</si>
  <si>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</si>
  <si>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</si>
  <si>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</si>
  <si>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</si>
  <si>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</si>
  <si>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</si>
  <si>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</si>
  <si>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</si>
  <si>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</si>
  <si>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</si>
  <si>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</si>
  <si>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</si>
  <si>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</si>
  <si>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</si>
  <si>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</si>
  <si>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</si>
  <si>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</si>
  <si>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</si>
  <si>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</si>
  <si>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</si>
  <si>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</si>
  <si>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</si>
  <si>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</si>
  <si>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</si>
  <si>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</si>
  <si>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</si>
  <si>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</si>
  <si>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</si>
  <si>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</si>
  <si>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</si>
  <si>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</si>
  <si>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</si>
  <si>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</si>
  <si>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</si>
  <si>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</si>
  <si>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</si>
  <si>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</si>
  <si>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</si>
  <si>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</si>
  <si>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</si>
  <si>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</si>
  <si>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</si>
  <si>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</si>
  <si>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</si>
  <si>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</si>
  <si>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</si>
  <si>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</si>
  <si>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</si>
  <si>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</si>
  <si>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</si>
  <si>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</si>
  <si>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</si>
  <si>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</si>
  <si>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</si>
  <si>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</si>
  <si>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</si>
  <si>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</si>
  <si>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</si>
  <si>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</si>
  <si>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</si>
  <si>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</si>
  <si>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</si>
  <si>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</si>
  <si>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</si>
  <si>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</si>
  <si>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</si>
  <si>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</si>
  <si>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</si>
  <si>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</si>
  <si>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</si>
  <si>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</si>
  <si>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</si>
  <si>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</si>
  <si>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</si>
  <si>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</si>
  <si>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</si>
  <si>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</si>
  <si>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</si>
  <si>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</si>
  <si>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</si>
  <si>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</si>
  <si>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</si>
  <si>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</si>
  <si>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</si>
  <si>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</si>
  <si>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</si>
  <si>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</si>
  <si>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</si>
  <si>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</si>
  <si>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</si>
  <si>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</si>
  <si>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</si>
  <si>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</si>
  <si>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</si>
  <si>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</si>
  <si>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</si>
  <si>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</si>
  <si>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</si>
  <si>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</si>
  <si>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</si>
  <si>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</si>
  <si>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</si>
  <si>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</si>
  <si>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</si>
  <si>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</si>
  <si>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</si>
  <si>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</si>
  <si>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</si>
  <si>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</si>
  <si>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</si>
  <si>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</si>
  <si>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</si>
  <si>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</si>
  <si>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</si>
  <si>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</si>
  <si>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</si>
  <si>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</si>
  <si>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</si>
  <si>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</si>
  <si>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</si>
  <si>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</si>
  <si>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</si>
  <si>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</si>
  <si>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</si>
  <si>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</si>
  <si>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</si>
  <si>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</si>
  <si>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</si>
  <si>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</si>
  <si>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</si>
  <si>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</si>
  <si>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</si>
  <si>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</si>
  <si>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</si>
  <si>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</si>
  <si>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</si>
  <si>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</si>
  <si>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</si>
  <si>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</si>
  <si>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</si>
  <si>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</si>
  <si>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</si>
  <si>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</si>
  <si>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</si>
  <si>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</si>
  <si>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</si>
  <si>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</si>
  <si>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</si>
  <si>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</si>
  <si>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</si>
  <si>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</si>
  <si>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</si>
  <si>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</si>
  <si>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</si>
  <si>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</si>
  <si>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</si>
  <si>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</si>
  <si>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</si>
  <si>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</si>
  <si>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</si>
  <si>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</si>
  <si>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</si>
  <si>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</si>
  <si>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</si>
  <si>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</si>
  <si>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</si>
  <si>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</si>
  <si>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</si>
  <si>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</si>
  <si>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</si>
  <si>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</si>
  <si>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</si>
  <si>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</si>
  <si>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</si>
  <si>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</si>
  <si>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</si>
  <si>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</si>
  <si>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</si>
  <si>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</si>
  <si>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</si>
  <si>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</si>
  <si>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</si>
  <si>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</si>
  <si>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</si>
  <si>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</si>
  <si>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</si>
  <si>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</si>
  <si>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</si>
  <si>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</si>
  <si>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</si>
  <si>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</si>
  <si>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</si>
  <si>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</si>
  <si>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</si>
  <si>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</si>
  <si>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</si>
  <si>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</si>
  <si>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</si>
  <si>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</si>
  <si>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</si>
  <si>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</si>
  <si>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</si>
  <si>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</si>
  <si>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</si>
  <si>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</si>
  <si>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</si>
  <si>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</si>
  <si>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</si>
  <si>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</si>
  <si>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</si>
  <si>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</si>
  <si>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</si>
  <si>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</si>
  <si>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</si>
  <si>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</si>
  <si>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</si>
  <si>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</si>
  <si>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</si>
  <si>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</si>
  <si>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</si>
  <si>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</si>
  <si>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</si>
  <si>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</si>
  <si>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</si>
  <si>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</si>
  <si>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</si>
  <si>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</si>
  <si>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</si>
  <si>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</si>
  <si>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</si>
  <si>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</si>
  <si>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</si>
  <si>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</si>
  <si>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</si>
  <si>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</si>
  <si>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</si>
  <si>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</si>
  <si>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</si>
  <si>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</si>
  <si>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</si>
  <si>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</si>
  <si>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</si>
  <si>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</si>
  <si>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</si>
  <si>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</si>
  <si>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</si>
  <si>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</si>
  <si>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</si>
  <si>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</si>
  <si>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</si>
  <si>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</si>
  <si>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</si>
  <si>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</si>
  <si>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</si>
  <si>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</si>
  <si>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</si>
  <si>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</si>
  <si>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</si>
  <si>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</si>
  <si>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</si>
  <si>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</si>
  <si>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</si>
  <si>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</si>
  <si>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</si>
  <si>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</si>
  <si>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</si>
  <si>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</si>
  <si>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</si>
  <si>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</si>
  <si>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</si>
  <si>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</si>
  <si>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</si>
  <si>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</si>
  <si>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</si>
  <si>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</si>
  <si>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</si>
  <si>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</si>
  <si>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</si>
  <si>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</si>
  <si>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</si>
  <si>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</si>
  <si>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</si>
  <si>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</si>
  <si>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</si>
  <si>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</si>
  <si>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</si>
  <si>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</si>
  <si>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</si>
  <si>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</si>
  <si>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</si>
  <si>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</si>
  <si>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</si>
  <si>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</si>
  <si>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</si>
  <si>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</si>
  <si>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</si>
  <si>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</si>
  <si>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</si>
  <si>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</si>
  <si>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</si>
  <si>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</si>
  <si>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</si>
  <si>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</si>
  <si>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</si>
  <si>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</si>
  <si>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</si>
  <si>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</si>
  <si>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</si>
  <si>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</si>
  <si>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</si>
  <si>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</si>
  <si>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</si>
  <si>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</si>
  <si>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</si>
  <si>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</si>
  <si>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</si>
  <si>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</si>
  <si>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</si>
  <si>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</si>
  <si>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</si>
  <si>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</si>
  <si>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</si>
  <si>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</si>
  <si>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</si>
  <si>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</si>
  <si>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</si>
  <si>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</si>
  <si>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</si>
  <si>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</si>
  <si>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</si>
  <si>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</si>
  <si>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</si>
  <si>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</si>
  <si>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</si>
  <si>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</si>
  <si>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</si>
  <si>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</si>
  <si>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</si>
  <si>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</si>
  <si>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</si>
  <si>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</si>
  <si>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</si>
  <si>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</si>
  <si>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</si>
  <si>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</si>
  <si>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</si>
  <si>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</si>
  <si>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</si>
  <si>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</si>
  <si>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</si>
  <si>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</si>
  <si>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</si>
  <si>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</si>
  <si>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</si>
  <si>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</si>
  <si>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</si>
  <si>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</si>
  <si>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</si>
  <si>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</si>
  <si>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</si>
  <si>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</si>
  <si>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</si>
  <si>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</si>
  <si>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</si>
  <si>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</si>
  <si>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</si>
  <si>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</si>
  <si>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</si>
  <si>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</si>
  <si>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</si>
  <si>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</si>
  <si>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</si>
  <si>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</si>
  <si>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</si>
  <si>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</si>
  <si>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</si>
  <si>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</si>
  <si>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</si>
  <si>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</si>
  <si>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</si>
  <si>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</si>
  <si>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</si>
  <si>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</si>
  <si>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</si>
  <si>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</si>
  <si>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</si>
  <si>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</si>
  <si>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</si>
  <si>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</si>
  <si>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</si>
  <si>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</si>
  <si>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</si>
  <si>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</si>
  <si>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</si>
  <si>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</si>
  <si>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</si>
  <si>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</si>
  <si>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</si>
  <si>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</si>
  <si>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</si>
  <si>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</si>
  <si>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</si>
  <si>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</si>
  <si>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</si>
  <si>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</si>
  <si>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</si>
  <si>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</si>
  <si>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</si>
  <si>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</si>
  <si>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</si>
  <si>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</si>
  <si>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</si>
  <si>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</si>
  <si>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</si>
  <si>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</si>
  <si>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</si>
  <si>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</si>
  <si>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</si>
  <si>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</si>
  <si>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</si>
  <si>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</si>
  <si>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</si>
  <si>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</si>
  <si>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</si>
  <si>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</si>
  <si>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</si>
  <si>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</si>
  <si>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</si>
  <si>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</si>
  <si>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</si>
  <si>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</si>
  <si>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</si>
  <si>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</si>
  <si>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</si>
  <si>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</si>
  <si>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</si>
  <si>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</si>
  <si>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</si>
  <si>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</si>
  <si>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</si>
  <si>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</si>
  <si>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</si>
  <si>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</si>
  <si>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</si>
  <si>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</si>
  <si>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</si>
  <si>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</si>
  <si>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</si>
  <si>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</si>
  <si>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</si>
  <si>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</si>
  <si>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</si>
  <si>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</si>
  <si>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</si>
  <si>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</si>
  <si>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</si>
  <si>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</si>
  <si>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</si>
  <si>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</si>
  <si>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</si>
  <si>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</si>
  <si>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</si>
  <si>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</si>
  <si>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</si>
  <si>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</si>
  <si>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</si>
  <si>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</si>
  <si>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</si>
  <si>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</si>
  <si>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</si>
  <si>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</si>
  <si>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</si>
  <si>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</si>
  <si>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</si>
  <si>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</si>
  <si>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</si>
  <si>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</si>
  <si>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</si>
  <si>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</si>
  <si>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</si>
  <si>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</si>
  <si>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</si>
  <si>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</si>
  <si>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</si>
  <si>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</si>
  <si>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</si>
  <si>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</si>
  <si>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</si>
  <si>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</si>
  <si>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</si>
  <si>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</si>
  <si>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</si>
  <si>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</si>
  <si>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</si>
  <si>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</si>
  <si>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</si>
  <si>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</si>
  <si>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</si>
  <si>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</si>
  <si>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</si>
  <si>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</si>
  <si>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</si>
  <si>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</si>
  <si>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</si>
  <si>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</si>
  <si>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</si>
  <si>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</si>
  <si>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</si>
  <si>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</si>
  <si>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</si>
  <si>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</si>
  <si>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</si>
  <si>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</si>
  <si>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</si>
  <si>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</si>
  <si>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</si>
  <si>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</si>
  <si>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</si>
  <si>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</si>
  <si>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</si>
  <si>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</si>
  <si>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</si>
  <si>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</si>
  <si>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</si>
  <si>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</si>
  <si>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</si>
  <si>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</si>
  <si>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</si>
  <si>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</si>
  <si>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</si>
  <si>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</si>
  <si>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</si>
  <si>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</si>
  <si>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</si>
  <si>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</si>
  <si>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</si>
  <si>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</si>
  <si>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</si>
  <si>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</si>
  <si>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</si>
  <si>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</si>
  <si>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</si>
  <si>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</si>
  <si>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</si>
  <si>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</si>
  <si>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</si>
  <si>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</si>
  <si>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</si>
  <si>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</si>
  <si>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</si>
  <si>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</si>
  <si>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</si>
  <si>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</si>
  <si>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</si>
  <si>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</si>
  <si>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</si>
  <si>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</si>
  <si>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</si>
  <si>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</si>
  <si>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</si>
  <si>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</si>
  <si>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</si>
  <si>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</si>
  <si>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</si>
  <si>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</si>
  <si>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</si>
  <si>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</si>
  <si>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</si>
  <si>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</si>
  <si>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</si>
  <si>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</si>
  <si>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</si>
  <si>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</si>
  <si>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</si>
  <si>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</si>
  <si>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</si>
  <si>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</si>
  <si>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</si>
  <si>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</si>
  <si>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</si>
  <si>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</si>
  <si>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</si>
  <si>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</si>
  <si>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</si>
  <si>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</si>
  <si>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</si>
  <si>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</si>
  <si>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</si>
  <si>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</si>
  <si>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</si>
  <si>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</si>
  <si>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</si>
  <si>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</si>
  <si>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</si>
  <si>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</si>
  <si>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</si>
  <si>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</si>
  <si>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</si>
  <si>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</si>
  <si>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</si>
  <si>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</si>
  <si>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</si>
  <si>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</si>
  <si>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</si>
  <si>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</si>
  <si>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</si>
  <si>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</si>
  <si>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</si>
  <si>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</si>
  <si>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</si>
  <si>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</si>
  <si>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</si>
  <si>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</si>
  <si>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</si>
  <si>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</si>
  <si>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</si>
  <si>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</si>
  <si>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</si>
  <si>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</si>
  <si>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</si>
  <si>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</si>
  <si>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</si>
  <si>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</si>
  <si>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</si>
  <si>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</si>
  <si>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</si>
  <si>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</si>
  <si>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</si>
  <si>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</si>
  <si>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</si>
  <si>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</si>
  <si>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</si>
  <si>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</si>
  <si>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</si>
  <si>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</si>
  <si>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</si>
  <si>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</si>
  <si>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</si>
  <si>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</si>
  <si>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</si>
  <si>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</si>
  <si>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</si>
  <si>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</si>
  <si>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</si>
  <si>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</si>
  <si>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</si>
  <si>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</si>
  <si>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</si>
  <si>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</si>
  <si>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</si>
  <si>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</si>
  <si>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</si>
  <si>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</si>
  <si>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</si>
  <si>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</si>
  <si>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</si>
  <si>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</si>
  <si>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</si>
  <si>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</si>
  <si>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</si>
  <si>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</si>
  <si>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</si>
  <si>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</si>
  <si>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</si>
  <si>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</si>
  <si>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</si>
  <si>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</si>
  <si>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</si>
  <si>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</si>
  <si>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</si>
  <si>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</si>
  <si>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</si>
  <si>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</si>
  <si>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</si>
  <si>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</si>
  <si>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</si>
  <si>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</si>
  <si>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</si>
  <si>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</si>
  <si>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</si>
  <si>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</si>
  <si>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</si>
  <si>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</si>
  <si>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</si>
  <si>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</si>
  <si>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</si>
  <si>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</si>
  <si>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</si>
  <si>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</si>
  <si>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</si>
  <si>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</si>
  <si>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</si>
  <si>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</si>
  <si>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</si>
  <si>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</si>
  <si>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</si>
  <si>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</si>
  <si>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</si>
  <si>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</si>
  <si>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</si>
  <si>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</si>
  <si>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</si>
  <si>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</si>
  <si>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</si>
  <si>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</si>
  <si>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</si>
  <si>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</si>
  <si>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</si>
  <si>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</si>
  <si>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</si>
  <si>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</si>
  <si>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</si>
  <si>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</si>
  <si>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</si>
  <si>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</si>
  <si>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</si>
  <si>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</si>
  <si>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</si>
  <si>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</si>
  <si>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</si>
  <si>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</si>
  <si>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</si>
  <si>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</si>
  <si>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</si>
  <si>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</si>
  <si>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</si>
  <si>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</si>
  <si>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</si>
  <si>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</si>
  <si>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</si>
  <si>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</si>
  <si>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</si>
  <si>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</si>
  <si>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</si>
  <si>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</si>
  <si>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</si>
  <si>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</si>
  <si>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</si>
  <si>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</si>
  <si>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</si>
  <si>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</si>
  <si>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</si>
  <si>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</si>
  <si>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</si>
  <si>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</si>
  <si>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</si>
  <si>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</si>
  <si>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</si>
  <si>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</si>
  <si>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</si>
  <si>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</si>
  <si>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</si>
  <si>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</si>
  <si>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</si>
  <si>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</si>
  <si>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</si>
  <si>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</si>
  <si>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</si>
  <si>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</si>
  <si>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</si>
  <si>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</si>
  <si>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</si>
  <si>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</si>
  <si>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</si>
  <si>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</si>
  <si>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</si>
  <si>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</si>
  <si>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</si>
  <si>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</si>
  <si>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</si>
  <si>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</si>
  <si>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</si>
  <si>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</si>
  <si>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</si>
  <si>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</si>
  <si>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</si>
  <si>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</si>
  <si>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</si>
  <si>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</si>
  <si>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</si>
  <si>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</si>
  <si>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</si>
  <si>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</si>
  <si>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</si>
  <si>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</si>
  <si>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</si>
  <si>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</si>
  <si>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</si>
  <si>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</si>
  <si>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</si>
  <si>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</si>
  <si>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</si>
  <si>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</si>
  <si>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</si>
  <si>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</si>
  <si>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</si>
  <si>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</si>
  <si>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</si>
  <si>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</si>
  <si>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</si>
  <si>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</si>
  <si>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</si>
  <si>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</si>
  <si>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</si>
  <si>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</si>
  <si>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</si>
  <si>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</si>
  <si>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</si>
  <si>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</si>
  <si>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</si>
  <si>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</si>
  <si>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</si>
  <si>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</si>
  <si>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</si>
  <si>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</si>
  <si>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</si>
  <si>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</si>
  <si>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</si>
  <si>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</si>
  <si>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</si>
  <si>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</si>
  <si>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</si>
  <si>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</si>
  <si>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</si>
  <si>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</si>
  <si>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</si>
  <si>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</si>
  <si>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</si>
  <si>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</si>
  <si>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</si>
  <si>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</si>
  <si>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</si>
  <si>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</si>
  <si>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</si>
  <si>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</si>
  <si>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</si>
  <si>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</si>
  <si>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</si>
  <si>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</si>
  <si>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</si>
  <si>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</si>
  <si>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</si>
  <si>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</si>
  <si>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</si>
  <si>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</si>
  <si>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</si>
  <si>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</si>
  <si>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</si>
  <si>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</si>
  <si>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</si>
  <si>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</si>
  <si>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</si>
  <si>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</si>
  <si>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</si>
  <si>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</si>
  <si>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</si>
  <si>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</si>
  <si>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</si>
  <si>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</si>
  <si>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</si>
  <si>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</si>
  <si>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</si>
  <si>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</si>
  <si>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</si>
  <si>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</si>
  <si>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</si>
  <si>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</si>
  <si>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</si>
  <si>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</si>
  <si>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</si>
  <si>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</si>
  <si>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</si>
  <si>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</si>
  <si>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</si>
  <si>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</si>
  <si>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</si>
  <si>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</si>
  <si>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</si>
  <si>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</si>
  <si>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</si>
  <si>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</si>
  <si>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</si>
  <si>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</si>
  <si>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</si>
  <si>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</si>
  <si>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</si>
  <si>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</si>
  <si>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</si>
  <si>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</si>
  <si>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</si>
  <si>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</si>
  <si>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</si>
  <si>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</si>
  <si>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</si>
  <si>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</si>
  <si>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</si>
  <si>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</si>
  <si>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</si>
  <si>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</si>
  <si>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</si>
  <si>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</si>
  <si>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</si>
  <si>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</si>
  <si>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</si>
  <si>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</si>
  <si>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</si>
  <si>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</si>
  <si>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</si>
  <si>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</si>
  <si>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</si>
  <si>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</si>
  <si>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</si>
  <si>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</si>
  <si>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</si>
  <si>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</si>
  <si>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</si>
  <si>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</si>
  <si>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</si>
  <si>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</si>
  <si>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</si>
  <si>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</si>
  <si>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</si>
  <si>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</si>
  <si>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</si>
  <si>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</si>
  <si>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</si>
  <si>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</si>
  <si>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</si>
  <si>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</si>
  <si>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</si>
  <si>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</si>
  <si>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</si>
  <si>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</si>
  <si>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</si>
  <si>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</si>
  <si>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</si>
  <si>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</si>
  <si>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</si>
  <si>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</si>
  <si>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</si>
  <si>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</si>
  <si>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</si>
  <si>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</si>
  <si>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</si>
  <si>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</si>
  <si>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</si>
  <si>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</si>
  <si>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</si>
  <si>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</si>
  <si>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</si>
  <si>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</si>
  <si>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</si>
  <si>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</si>
  <si>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</si>
  <si>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</si>
  <si>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</si>
  <si>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</si>
  <si>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</si>
  <si>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</si>
  <si>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</si>
  <si>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</si>
  <si>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</si>
  <si>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</si>
  <si>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</si>
  <si>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</si>
  <si>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</si>
  <si>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</si>
  <si>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</si>
  <si>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</si>
  <si>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</si>
  <si>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</si>
  <si>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</si>
  <si>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</si>
  <si>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</si>
  <si>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</si>
  <si>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</si>
  <si>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</si>
  <si>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</si>
  <si>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</si>
  <si>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</si>
  <si>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</si>
  <si>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</si>
  <si>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</si>
  <si>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</si>
  <si>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</si>
  <si>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</si>
  <si>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</si>
  <si>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</si>
  <si>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</si>
  <si>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</si>
  <si>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</si>
  <si>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</si>
  <si>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</si>
  <si>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</si>
  <si>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</si>
  <si>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</si>
  <si>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</si>
  <si>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</si>
  <si>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</si>
  <si>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</si>
  <si>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</si>
  <si>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</si>
  <si>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</si>
  <si>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</si>
  <si>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</si>
  <si>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</si>
  <si>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</si>
  <si>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</si>
  <si>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</si>
  <si>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</si>
  <si>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</si>
  <si>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</si>
  <si>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</si>
  <si>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</si>
  <si>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</si>
  <si>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</si>
  <si>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</si>
  <si>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</si>
  <si>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</si>
  <si>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</si>
  <si>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</si>
  <si>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</si>
  <si>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</si>
  <si>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</si>
  <si>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</si>
  <si>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</si>
  <si>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</si>
  <si>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</si>
  <si>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</si>
  <si>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</si>
  <si>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</si>
  <si>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</si>
  <si>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</si>
  <si>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</si>
  <si>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</si>
  <si>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</si>
  <si>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</si>
  <si>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</si>
  <si>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</si>
  <si>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</si>
  <si>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</si>
  <si>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</si>
  <si>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</si>
  <si>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</si>
  <si>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</si>
  <si>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</si>
  <si>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</si>
  <si>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</si>
  <si>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</si>
  <si>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</si>
  <si>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</si>
  <si>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</si>
  <si>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</si>
  <si>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</si>
  <si>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</si>
  <si>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</si>
  <si>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</si>
  <si>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</si>
  <si>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</si>
  <si>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</si>
  <si>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</si>
  <si>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</si>
  <si>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</si>
  <si>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</si>
  <si>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</si>
  <si>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</si>
  <si>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</si>
  <si>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</si>
  <si>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</si>
  <si>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</si>
  <si>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</si>
  <si>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</si>
  <si>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</si>
  <si>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</si>
  <si>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</si>
  <si>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</si>
  <si>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</si>
  <si>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</si>
  <si>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</si>
  <si>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</si>
  <si>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</si>
  <si>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</si>
  <si>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</si>
  <si>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</si>
  <si>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</si>
  <si>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</si>
  <si>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</si>
  <si>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</si>
  <si>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</si>
  <si>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</si>
  <si>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</si>
  <si>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</si>
  <si>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</si>
  <si>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</si>
  <si>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</si>
  <si>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</si>
  <si>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</si>
  <si>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</si>
  <si>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</si>
  <si>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</si>
  <si>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</si>
  <si>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</si>
  <si>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</si>
  <si>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</si>
  <si>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</si>
  <si>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</si>
  <si>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</si>
  <si>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</si>
  <si>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</si>
  <si>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</si>
  <si>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</si>
  <si>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</si>
  <si>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</si>
  <si>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</si>
  <si>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</si>
  <si>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</si>
  <si>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</si>
  <si>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</si>
  <si>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</si>
  <si>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</si>
  <si>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</si>
  <si>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</si>
  <si>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</si>
  <si>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</si>
  <si>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</si>
  <si>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</si>
  <si>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</si>
  <si>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</si>
  <si>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</si>
  <si>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</si>
  <si>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</si>
  <si>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Transportation &gt; Exhibit Fund-11 &gt; Line 1. New Orders</t>
  </si>
  <si>
    <t>NWCF-Transportation</t>
  </si>
  <si>
    <t>MSC Total Revenue (Total Income)</t>
  </si>
  <si>
    <t>Transportation &gt; Exhibit Fund-14 &gt; Total Income</t>
  </si>
  <si>
    <t>MSC Total Expenses (Cost of Goods Sold)</t>
  </si>
  <si>
    <t>Transportation &gt; Exhibit Fund-14 &gt; Total Expenses</t>
  </si>
  <si>
    <t>CLF M&amp;R Realignment to OMN</t>
  </si>
  <si>
    <t>MSC Total Program Changes (M&amp;R Realignment)</t>
  </si>
  <si>
    <t>Scheduled Depot Maintenance</t>
  </si>
  <si>
    <t>Transportation &gt; Narrative &gt; Significant Changes &gt; CLF</t>
  </si>
  <si>
    <t>CLF</t>
  </si>
  <si>
    <t>SMS M&amp;R Realignment to OMN</t>
  </si>
  <si>
    <t>Transportation &gt; Narrative &gt; Significant Changes &gt; SMS</t>
  </si>
  <si>
    <t>SMS</t>
  </si>
  <si>
    <t>APF-N M&amp;R Realignment to OMN</t>
  </si>
  <si>
    <t>Transportation &gt; Narrative &gt; Significant Changes &gt; APF-N</t>
  </si>
  <si>
    <t>216</t>
  </si>
  <si>
    <t>APF-N</t>
  </si>
  <si>
    <t>SSS M&amp;R Realignment to OMN</t>
  </si>
  <si>
    <t>Transportation &gt; Narrative &gt; Significant Changes &gt; SSS</t>
  </si>
  <si>
    <t>215</t>
  </si>
  <si>
    <t>SSS</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</si>
  <si>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</si>
  <si>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</si>
  <si>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</si>
  <si>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</si>
  <si>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</si>
  <si>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</si>
  <si>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</si>
  <si>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</si>
  <si>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</si>
  <si>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</si>
  <si>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</si>
  <si>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</si>
  <si>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</si>
  <si>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</si>
  <si>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</si>
  <si>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</si>
  <si>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</si>
  <si>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</si>
  <si>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</si>
  <si>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</si>
  <si>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</si>
  <si>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</si>
  <si>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</si>
  <si>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</si>
  <si>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</si>
  <si>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</si>
  <si>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</si>
  <si>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</si>
  <si>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</si>
  <si>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</si>
  <si>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</si>
  <si>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</si>
  <si>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</si>
  <si>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</si>
  <si>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</si>
  <si>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</si>
  <si>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</si>
  <si>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</si>
  <si>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</si>
  <si>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</si>
  <si>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</si>
  <si>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</si>
  <si>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</si>
  <si>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</si>
  <si>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</si>
  <si>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</si>
  <si>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</si>
  <si>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</si>
  <si>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</si>
  <si>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</si>
  <si>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</si>
  <si>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</si>
  <si>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</si>
  <si>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</si>
  <si>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</si>
  <si>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</si>
  <si>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</si>
  <si>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</si>
  <si>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</si>
  <si>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</si>
  <si>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</si>
  <si>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</si>
  <si>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</si>
  <si>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</si>
  <si>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</si>
  <si>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</si>
  <si>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</si>
  <si>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</si>
  <si>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</si>
  <si>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</si>
  <si>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</si>
  <si>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</si>
  <si>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</si>
  <si>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</si>
  <si>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</si>
  <si>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</si>
  <si>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</si>
  <si>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</si>
  <si>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</si>
  <si>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</si>
  <si>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Transportation &gt; Exhibit Fund-2 &gt; Pricing Adjustments</t>
  </si>
  <si>
    <t>Pricing Adjustments</t>
  </si>
  <si>
    <t>BP28 Ship Repairable and Consumables (Wholesale) - Total Obligations</t>
  </si>
  <si>
    <t>Sustainment Engineering/Planning/Obsolescence Support - spares</t>
  </si>
  <si>
    <t>Supply Management &gt; Exhibit SM-1 &gt; BP28 Total Obligations</t>
  </si>
  <si>
    <t>BP28</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</si>
  <si>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</si>
  <si>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</si>
  <si>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</si>
  <si>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</si>
  <si>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</si>
  <si>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</si>
  <si>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</si>
  <si>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</si>
  <si>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Supply Management &gt; Exhibit SM-1 &gt; BP81 Total Obligations</t>
  </si>
  <si>
    <t>BP81</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</si>
  <si>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</si>
  <si>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</si>
  <si>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</si>
  <si>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</si>
  <si>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</si>
  <si>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</si>
  <si>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</si>
  <si>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</si>
  <si>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</si>
  <si>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</si>
  <si>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BP34 Shipboard Repairables - Target Total</t>
  </si>
  <si>
    <t>Supply Management &gt; Exhibit SM-1 &gt; BP34 Target Total</t>
  </si>
  <si>
    <t>BP85 Aviation Repairables (Wholesale) - Total Obligations</t>
  </si>
  <si>
    <t>Supply Management &gt; Exhibit SM-1 &gt; BP85 Total Obligations</t>
  </si>
  <si>
    <t>BP85</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</si>
  <si>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</si>
  <si>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</si>
  <si>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</si>
  <si>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</si>
  <si>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</si>
  <si>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</si>
  <si>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</si>
  <si>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</si>
  <si>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Supply Management Navy - Total Obligations</t>
  </si>
  <si>
    <t>Supply Management &gt; Exhibit SM-1 &gt; Total</t>
  </si>
  <si>
    <t>NWCF-Supply</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</si>
  <si>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</si>
  <si>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</si>
  <si>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</si>
  <si>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</si>
  <si>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</si>
  <si>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</si>
  <si>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</si>
  <si>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</si>
  <si>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</si>
  <si>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</si>
  <si>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</si>
  <si>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</si>
  <si>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</si>
  <si>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</si>
  <si>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</si>
  <si>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</si>
  <si>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</si>
  <si>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</si>
  <si>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</si>
  <si>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</si>
  <si>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</si>
  <si>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</si>
  <si>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</si>
  <si>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</si>
  <si>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</si>
  <si>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</si>
  <si>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</si>
  <si>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</si>
  <si>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</si>
  <si>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</si>
  <si>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</si>
  <si>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</si>
  <si>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</si>
  <si>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</si>
  <si>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</si>
  <si>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</si>
  <si>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</si>
  <si>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</si>
  <si>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</si>
  <si>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</si>
  <si>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</si>
  <si>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</si>
  <si>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</si>
  <si>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</si>
  <si>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</si>
  <si>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</si>
  <si>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</si>
  <si>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</si>
  <si>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</si>
  <si>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</si>
  <si>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</si>
  <si>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</si>
  <si>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</si>
  <si>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</si>
  <si>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</si>
  <si>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</si>
  <si>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</si>
  <si>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</si>
  <si>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</si>
  <si>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</si>
  <si>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</si>
  <si>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</si>
  <si>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</si>
  <si>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</si>
  <si>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</si>
  <si>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</si>
  <si>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</si>
  <si>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</si>
  <si>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</si>
  <si>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</si>
  <si>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</si>
  <si>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</si>
  <si>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</si>
  <si>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</si>
  <si>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</si>
  <si>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</si>
  <si>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</si>
  <si>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</si>
  <si>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</si>
  <si>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</si>
  <si>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</si>
  <si>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</si>
  <si>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</si>
  <si>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</si>
  <si>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</si>
  <si>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</si>
  <si>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</si>
  <si>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</si>
  <si>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</si>
  <si>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</si>
  <si>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</si>
  <si>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</si>
  <si>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</si>
  <si>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</si>
  <si>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</si>
  <si>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</si>
  <si>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</si>
  <si>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</si>
  <si>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</si>
  <si>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</si>
  <si>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</si>
  <si>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</si>
  <si>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</si>
  <si>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</si>
  <si>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</si>
  <si>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</si>
  <si>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</si>
  <si>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</si>
  <si>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</si>
  <si>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</si>
  <si>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</si>
  <si>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</si>
  <si>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</si>
  <si>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</si>
  <si>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</si>
  <si>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</si>
  <si>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Supply Management &gt; Narrative &gt; Significant Changes &gt; VACL Material Strategy</t>
  </si>
  <si>
    <t>Submarine Wholeness (Shipyards) CA increase</t>
  </si>
  <si>
    <t>Supply Management &gt; Narrative &gt; Contract Authority &gt; Retail</t>
  </si>
  <si>
    <t>Amphibious Reset Steam and Diesel BOM</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</si>
  <si>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</si>
  <si>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</si>
  <si>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</si>
  <si>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</si>
  <si>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</si>
  <si>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</si>
  <si>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</si>
  <si>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</si>
  <si>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</si>
  <si>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</si>
  <si>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</si>
  <si>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</si>
  <si>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</si>
  <si>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</si>
  <si>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FRC Total New Orders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</si>
  <si>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</si>
  <si>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</si>
  <si>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</si>
  <si>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</si>
  <si>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</si>
  <si>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</si>
  <si>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</si>
  <si>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</si>
  <si>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</si>
  <si>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</si>
  <si>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</si>
  <si>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</si>
  <si>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</si>
  <si>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</si>
  <si>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</si>
  <si>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</si>
  <si>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</si>
  <si>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</si>
  <si>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</si>
  <si>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</si>
  <si>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</si>
  <si>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</si>
  <si>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</si>
  <si>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</si>
  <si>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</si>
  <si>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</si>
  <si>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</si>
  <si>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</si>
  <si>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</si>
  <si>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</si>
  <si>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</si>
  <si>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</si>
  <si>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</si>
  <si>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</si>
  <si>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</si>
  <si>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</si>
  <si>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</si>
  <si>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</si>
  <si>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</si>
  <si>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</si>
  <si>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</si>
  <si>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</si>
  <si>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</si>
  <si>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</si>
  <si>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General Auxiliary</t>
  </si>
  <si>
    <t>AG</t>
  </si>
  <si>
    <t>R&amp;D &gt; Exhibit Fund-9B &gt; NAWC-38 Vessel Replacement</t>
  </si>
  <si>
    <t>Lake Glendora Heavyweight Ship Shock Platform Infrastructure (Tunable Deck)</t>
  </si>
  <si>
    <t>R&amp;D CIP Total</t>
  </si>
  <si>
    <t>R&amp;D &gt; Exhibit Fund-9B &gt; FY24 &gt; NSWC Crane</t>
  </si>
  <si>
    <t>156</t>
  </si>
  <si>
    <t>NSWC Crane</t>
  </si>
  <si>
    <t>Battery-Rated Environmental Test Chamber</t>
  </si>
  <si>
    <t>R&amp;D &gt; Exhibit Fund-9B &gt; FY25 &gt; NSWC Carderock</t>
  </si>
  <si>
    <t>NSWC Carderock</t>
  </si>
  <si>
    <t>Deployable Signature Measurement System</t>
  </si>
  <si>
    <t>154</t>
  </si>
  <si>
    <t>Modernized Deployable Signature Measurement System for Navy Platforms (RCS)</t>
  </si>
  <si>
    <t>R&amp;D &gt; Exhibit Fund-9B &gt; FY26 &gt; NSWC Carderock</t>
  </si>
  <si>
    <t>Hydrostatic Pressure Vessel</t>
  </si>
  <si>
    <t>R&amp;D &gt; Exhibit Fund-9B &gt; FY24 &gt; NUWC Newport</t>
  </si>
  <si>
    <t>162</t>
  </si>
  <si>
    <t>NUWC Newport</t>
  </si>
  <si>
    <t>Payload Integration Modernization for Payload Tube Facility - System</t>
  </si>
  <si>
    <t>R&amp;D &gt; Exhibit Fund-9B &gt; FY26 &gt; NUWC Newport</t>
  </si>
  <si>
    <t>Building 1319 Land Based Submarine Radio Room Integration</t>
  </si>
  <si>
    <t>R&amp;D &gt; Exhibit Fund-9B &gt; FY24 &gt; NUWC Newport Minor Construction</t>
  </si>
  <si>
    <t>NUWC Newport Minor Construction</t>
  </si>
  <si>
    <t>Submarine Defense Systems Land Based Integration and Test Facility</t>
  </si>
  <si>
    <t>R&amp;D &gt; Exhibit Fund-9B &gt; FY25 &gt; NUWC Newport Minor Construction</t>
  </si>
  <si>
    <t>Building 13 Heading Sensor Calibration Facility Upgrades</t>
  </si>
  <si>
    <t>R&amp;D &gt; Exhibit Fund-9B &gt; FY26 &gt; NUWC Newport Minor Construction</t>
  </si>
  <si>
    <t>Building 124 Upgrade - Construction</t>
  </si>
  <si>
    <t>Deep Depth Test Facility Modernization</t>
  </si>
  <si>
    <t>Pier 171 Upgrades</t>
  </si>
  <si>
    <t>UUV/CUUV Support Craft</t>
  </si>
  <si>
    <t>Unmanned Maritime Platforms</t>
  </si>
  <si>
    <t>Unmanned Undersea Vehicles</t>
  </si>
  <si>
    <t>R&amp;D &gt; Exhibit Fund-9B &gt; FY25 &gt; NUWC Keyport</t>
  </si>
  <si>
    <t>NUWC Keyport</t>
  </si>
  <si>
    <t>Over the Horizon (OTH) Lab Facility - 100% Design</t>
  </si>
  <si>
    <t>R&amp;D &gt; Exhibit Fund-9B &gt; FY26 &gt; NSWC Port Hueneme Minor Construction</t>
  </si>
  <si>
    <t>NSWC Port Hueneme Minor Construction</t>
  </si>
  <si>
    <t>VLS Automated Test Equipment Innovation Facility - 100% Design</t>
  </si>
  <si>
    <t>Maritime Mining Lab</t>
  </si>
  <si>
    <t>Mine Warfare</t>
  </si>
  <si>
    <t>MCM</t>
  </si>
  <si>
    <t>R&amp;D &gt; Exhibit Fund-9B &gt; FY26 &gt; NSWC Panama City Minor Construction</t>
  </si>
  <si>
    <t>NSWC Panama City Minor Construction</t>
  </si>
  <si>
    <t>Shipboard/Ground Systems Lab Design</t>
  </si>
  <si>
    <t>R&amp;D &gt; Exhibit Fund-9B &gt; FY26 &gt; NSWC Crane Minor Construction</t>
  </si>
  <si>
    <t>NSWC Crane Minor Construction</t>
  </si>
  <si>
    <t>MINCON Construct ARD Boathouse #11</t>
  </si>
  <si>
    <t>R&amp;D &gt; Exhibit Fund-9B &gt; FY26 &gt; NSWC Carderock Minor Construction</t>
  </si>
  <si>
    <t>NSWC Carderock Minor Construction</t>
  </si>
  <si>
    <t>MINCON Construct V-47 Boathouse</t>
  </si>
  <si>
    <t>LMSR (Large Medium Speed Ro/Ro) - Construction &amp; Conversion</t>
  </si>
  <si>
    <t>T-AKR</t>
  </si>
  <si>
    <t>Supp Book &gt; Exhibit RF-1 &gt; NDSF &gt; BA01 &gt; LMSR</t>
  </si>
  <si>
    <t>Supp Book p.2</t>
  </si>
  <si>
    <t>NDSF</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</si>
  <si>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</si>
  <si>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</si>
  <si>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</si>
  <si>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</si>
  <si>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</si>
  <si>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</si>
  <si>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</si>
  <si>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</si>
  <si>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</si>
  <si>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</si>
  <si>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</si>
  <si>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</si>
  <si>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</si>
  <si>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</si>
  <si>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</si>
  <si>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2|3</t>
  </si>
  <si>
    <t>BA1 &gt; Ship Operations &gt; 1B4B Ship Maintenance &gt; Financial Summary</t>
  </si>
  <si>
    <t>1B4B</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</si>
  <si>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</si>
  <si>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</si>
  <si>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</si>
  <si>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</si>
  <si>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</si>
  <si>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</si>
  <si>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</si>
  <si>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</si>
  <si>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</si>
  <si>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</si>
  <si>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</si>
  <si>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</si>
  <si>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</si>
  <si>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</si>
  <si>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</si>
  <si>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</si>
  <si>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</si>
  <si>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</si>
  <si>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</si>
  <si>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</si>
  <si>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</si>
  <si>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</si>
  <si>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</si>
  <si>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</si>
  <si>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</si>
  <si>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</si>
  <si>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</si>
  <si>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BA1 &gt; 1B4B &gt; Reconciliation &gt; Program Increases &gt; i</t>
  </si>
  <si>
    <t>Program Increases</t>
  </si>
  <si>
    <t>i</t>
  </si>
  <si>
    <t>Non-Depot / Intermediate Maintenance (IL) - RMC Support</t>
  </si>
  <si>
    <t>BA1 &gt; 1B4B &gt; Reconciliation &gt; Program Increases &gt; ii</t>
  </si>
  <si>
    <t>ii</t>
  </si>
  <si>
    <t>PSNSY - USS KENTUCKY (SSBN 737) Induction</t>
  </si>
  <si>
    <t>SSBN / SSGN</t>
  </si>
  <si>
    <t>BA1 &gt; 1B4B &gt; Reconciliation &gt; Program Increases &gt; iii</t>
  </si>
  <si>
    <t>iii</t>
  </si>
  <si>
    <t>ORATA - Outsourcing to Private Sector</t>
  </si>
  <si>
    <t>BA1 &gt; 1B4B &gt; Reconciliation &gt; Program Increases &gt; iv</t>
  </si>
  <si>
    <t>iv</t>
  </si>
  <si>
    <t>CIA - CVN 69, CVN 74, CVN 71 Inductions</t>
  </si>
  <si>
    <t>BA1 &gt; 1B4B &gt; Reconciliation &gt; Program Increases &gt; v</t>
  </si>
  <si>
    <t>v</t>
  </si>
  <si>
    <t>PHNSY - AUKUS SRF-W Non-Labor Support</t>
  </si>
  <si>
    <t>BA1 &gt; 1B4B &gt; Reconciliation &gt; Program Increases &gt; vi</t>
  </si>
  <si>
    <t>vi</t>
  </si>
  <si>
    <t>SIA - USS ARLEIGH BURKE (DDG 51) / USS RUSHMORE (LSD 47)</t>
  </si>
  <si>
    <t>BA1 &gt; 1B4B &gt; Reconciliation &gt; Program Increases &gt; vii</t>
  </si>
  <si>
    <t>vii</t>
  </si>
  <si>
    <t>PSNSY - CVN 72 DPIA / CVN 70 PIA / CVN 73 SRA</t>
  </si>
  <si>
    <t>BA1 &gt; 1B4B &gt; Reconciliation &gt; Program Increases &gt; viii</t>
  </si>
  <si>
    <t>viii</t>
  </si>
  <si>
    <t>PSNSY - USS MICHIGAN (SSGN 727) Complexity</t>
  </si>
  <si>
    <t>BA1 &gt; 1B4B &gt; Reconciliation &gt; Program Increases &gt; ix</t>
  </si>
  <si>
    <t>ix</t>
  </si>
  <si>
    <t>PIA - USS GERALD R. FORD (CVN 78)</t>
  </si>
  <si>
    <t>BA1 &gt; 1B4B &gt; Reconciliation &gt; Program Increases &gt; x</t>
  </si>
  <si>
    <t>x</t>
  </si>
  <si>
    <t>PHNSY - AUKUS SRF-W Civilian Personnel</t>
  </si>
  <si>
    <t>BA1 &gt; 1B4B &gt; Reconciliation &gt; Program Increases &gt; xi</t>
  </si>
  <si>
    <t>xi</t>
  </si>
  <si>
    <t>PNSY - USS NEW MEXICO (SSN 779) DMP</t>
  </si>
  <si>
    <t>BA1 &gt; 1B4B &gt; Reconciliation &gt; Program Increases &gt; xii</t>
  </si>
  <si>
    <t>xii</t>
  </si>
  <si>
    <t>NNSY - USS GERALD R. FORD (CVN 78) PIA</t>
  </si>
  <si>
    <t>BA1 &gt; 1B4B &gt; Reconciliation &gt; Program Increases &gt; xiv</t>
  </si>
  <si>
    <t>33</t>
  </si>
  <si>
    <t>xiv</t>
  </si>
  <si>
    <t>PNSY - USS ALBANY (SSN 753) DSRA / USS NEW MEXICO (SSN 779) DMP</t>
  </si>
  <si>
    <t>BA1 &gt; 1B4B &gt; Reconciliation &gt; Program Increases &gt; xv</t>
  </si>
  <si>
    <t>xv</t>
  </si>
  <si>
    <t>SRA - USS JOHN F. KENNEDY (CVN 79) Decrease</t>
  </si>
  <si>
    <t>BA1 &gt; 1B4B &gt; Reconciliation &gt; Program Decreases &gt; ii</t>
  </si>
  <si>
    <t>Program Decreases</t>
  </si>
  <si>
    <t>Efficiency - Contract Services Reduction</t>
  </si>
  <si>
    <t>BA1 &gt; 1B4B &gt; Reconciliation &gt; Program Decreases &gt; iv</t>
  </si>
  <si>
    <t>Efficiency - Workforce Optimization (Public Shipyards)</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</si>
  <si>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</si>
  <si>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</si>
  <si>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</si>
  <si>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</si>
  <si>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</si>
  <si>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</si>
  <si>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</si>
  <si>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</si>
  <si>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</si>
  <si>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</si>
  <si>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</si>
  <si>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</si>
  <si>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</si>
  <si>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</si>
  <si>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</si>
  <si>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</si>
  <si>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</si>
  <si>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</si>
  <si>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</si>
  <si>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</si>
  <si>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</si>
  <si>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</si>
  <si>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</si>
  <si>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</si>
  <si>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</si>
  <si>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</si>
  <si>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</si>
  <si>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</si>
  <si>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</si>
  <si>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</si>
  <si>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</si>
  <si>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</si>
  <si>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</si>
  <si>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</si>
  <si>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</si>
  <si>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</si>
  <si>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</si>
  <si>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</si>
  <si>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</si>
  <si>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</si>
  <si>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</si>
  <si>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</si>
  <si>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</si>
  <si>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</si>
  <si>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</si>
  <si>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</si>
  <si>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</si>
  <si>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</si>
  <si>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</si>
  <si>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</si>
  <si>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</si>
  <si>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</si>
  <si>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</si>
  <si>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</si>
  <si>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</si>
  <si>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</si>
  <si>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</si>
  <si>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</si>
  <si>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</si>
  <si>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</si>
  <si>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</si>
  <si>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</si>
  <si>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</si>
  <si>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</si>
  <si>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Command Ships</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</si>
  <si>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</si>
  <si>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</si>
  <si>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</si>
  <si>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</si>
  <si>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</si>
  <si>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</si>
  <si>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</si>
  <si>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</si>
  <si>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</si>
  <si>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</si>
  <si>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</si>
  <si>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</si>
  <si>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</si>
  <si>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</si>
  <si>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</si>
  <si>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</si>
  <si>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</si>
  <si>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</si>
  <si>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</si>
  <si>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</si>
  <si>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</si>
  <si>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</si>
  <si>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</si>
  <si>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</si>
  <si>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</si>
  <si>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</si>
  <si>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</si>
  <si>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</si>
  <si>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</si>
  <si>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</si>
  <si>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</si>
  <si>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</si>
  <si>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</si>
  <si>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</si>
  <si>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</si>
  <si>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</si>
  <si>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</si>
  <si>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</si>
  <si>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</si>
  <si>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</si>
  <si>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</si>
  <si>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</si>
  <si>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</si>
  <si>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</si>
  <si>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</si>
  <si>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</si>
  <si>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</si>
  <si>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</si>
  <si>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</si>
  <si>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</si>
  <si>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</si>
  <si>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</si>
  <si>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</si>
  <si>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</si>
  <si>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</si>
  <si>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</si>
  <si>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</si>
  <si>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</si>
  <si>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</si>
  <si>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</si>
  <si>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</si>
  <si>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</si>
  <si>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</si>
  <si>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</si>
  <si>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</si>
  <si>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</si>
  <si>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</si>
  <si>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</si>
  <si>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</si>
  <si>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</si>
  <si>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</si>
  <si>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</si>
  <si>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</si>
  <si>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</si>
  <si>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</si>
  <si>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</si>
  <si>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</si>
  <si>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</si>
  <si>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</si>
  <si>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</si>
  <si>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</si>
  <si>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</si>
  <si>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</si>
  <si>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</si>
  <si>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</si>
  <si>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</si>
  <si>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</si>
  <si>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</si>
  <si>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</si>
  <si>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</si>
  <si>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</si>
  <si>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</si>
  <si>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</si>
  <si>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</si>
  <si>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</si>
  <si>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</si>
  <si>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</si>
  <si>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</si>
  <si>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</si>
  <si>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</si>
  <si>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</si>
  <si>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</si>
  <si>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</si>
  <si>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</si>
  <si>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</si>
  <si>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</si>
  <si>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Material Support Ships</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</si>
  <si>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</si>
  <si>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</si>
  <si>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</si>
  <si>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</si>
  <si>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</si>
  <si>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</si>
  <si>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</si>
  <si>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</si>
  <si>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</si>
  <si>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</si>
  <si>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</si>
  <si>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</si>
  <si>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</si>
  <si>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</si>
  <si>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</si>
  <si>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</si>
  <si>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</si>
  <si>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</si>
  <si>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High Speed Transport</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</si>
  <si>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</si>
  <si>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</si>
  <si>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</si>
  <si>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</si>
  <si>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</si>
  <si>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</si>
  <si>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</si>
  <si>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</si>
  <si>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</si>
  <si>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</si>
  <si>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</si>
  <si>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</si>
  <si>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</si>
  <si>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</si>
  <si>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</si>
  <si>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</si>
  <si>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</si>
  <si>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</si>
  <si>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</si>
  <si>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</si>
  <si>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</si>
  <si>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</si>
  <si>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</si>
  <si>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</si>
  <si>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</si>
  <si>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</si>
  <si>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</si>
  <si>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</si>
  <si>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</si>
  <si>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</si>
  <si>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</si>
  <si>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</si>
  <si>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</si>
  <si>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Submarine Escort Ship</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</si>
  <si>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</si>
  <si>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</si>
  <si>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</si>
  <si>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</si>
  <si>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</si>
  <si>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</si>
  <si>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</si>
  <si>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</si>
  <si>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</si>
  <si>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</si>
  <si>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</si>
  <si>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</si>
  <si>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</si>
  <si>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</si>
  <si>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</si>
  <si>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</si>
  <si>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</si>
  <si>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</si>
  <si>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</si>
  <si>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</si>
  <si>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</si>
  <si>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</si>
  <si>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</si>
  <si>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</si>
  <si>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</si>
  <si>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</si>
  <si>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</si>
  <si>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</si>
  <si>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</si>
  <si>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</si>
  <si>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</si>
  <si>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</si>
  <si>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</si>
  <si>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</si>
  <si>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</si>
  <si>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</si>
  <si>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</si>
  <si>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</si>
  <si>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</si>
  <si>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</si>
  <si>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</si>
  <si>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</si>
  <si>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</si>
  <si>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</si>
  <si>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</si>
  <si>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</si>
  <si>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</si>
  <si>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</si>
  <si>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</si>
  <si>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</si>
  <si>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</si>
  <si>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</si>
  <si>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</si>
  <si>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</si>
  <si>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</si>
  <si>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</si>
  <si>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</si>
  <si>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</si>
  <si>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</si>
  <si>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</si>
  <si>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</si>
  <si>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</si>
  <si>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</si>
  <si>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</si>
  <si>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</si>
  <si>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</si>
  <si>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</si>
  <si>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</si>
  <si>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</si>
  <si>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</si>
  <si>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</si>
  <si>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</si>
  <si>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</si>
  <si>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</si>
  <si>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</si>
  <si>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</si>
  <si>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</si>
  <si>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</si>
  <si>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</si>
  <si>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</si>
  <si>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</si>
  <si>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</si>
  <si>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</si>
  <si>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</si>
  <si>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</si>
  <si>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</si>
  <si>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</si>
  <si>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</si>
  <si>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</si>
  <si>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</si>
  <si>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</si>
  <si>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</si>
  <si>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</si>
  <si>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</si>
  <si>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</si>
  <si>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</si>
  <si>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</si>
  <si>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</si>
  <si>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</si>
  <si>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</si>
  <si>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</si>
  <si>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</si>
  <si>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</si>
  <si>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</si>
  <si>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</si>
  <si>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</si>
  <si>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</si>
  <si>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</si>
  <si>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</si>
  <si>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</si>
  <si>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</si>
  <si>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</si>
  <si>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</si>
  <si>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</si>
  <si>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</si>
  <si>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</si>
  <si>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</si>
  <si>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</si>
  <si>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</si>
  <si>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</si>
  <si>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</si>
  <si>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</si>
  <si>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</si>
  <si>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</si>
  <si>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</si>
  <si>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</si>
  <si>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</si>
  <si>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</si>
  <si>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</si>
  <si>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</si>
  <si>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</si>
  <si>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</si>
  <si>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</si>
  <si>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</si>
  <si>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</si>
  <si>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</si>
  <si>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</si>
  <si>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</si>
  <si>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</si>
  <si>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</si>
  <si>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</si>
  <si>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</si>
  <si>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</si>
  <si>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</si>
  <si>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</si>
  <si>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</si>
  <si>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</si>
  <si>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</si>
  <si>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</si>
  <si>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</si>
  <si>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</si>
  <si>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</si>
  <si>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</si>
  <si>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</si>
  <si>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</si>
  <si>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</si>
  <si>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</si>
  <si>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</si>
  <si>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</si>
  <si>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</si>
  <si>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</si>
  <si>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</si>
  <si>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</si>
  <si>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</si>
  <si>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</si>
  <si>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</si>
  <si>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</si>
  <si>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</si>
  <si>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</si>
  <si>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BA1 &gt; 1B5B &gt; Performance Criteria</t>
  </si>
  <si>
    <t>186</t>
  </si>
  <si>
    <t>Mine Countermeasures Ship Support</t>
  </si>
  <si>
    <t>PRE/PRL CV/CVN Technical Support</t>
  </si>
  <si>
    <t>Service Craft Support, Boats/Targets Rehab</t>
  </si>
  <si>
    <t>Surface &amp; Amphibious Ship Support</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</si>
  <si>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</si>
  <si>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</si>
  <si>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</si>
  <si>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</si>
  <si>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</si>
  <si>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</si>
  <si>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</si>
  <si>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</si>
  <si>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</si>
  <si>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</si>
  <si>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</si>
  <si>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BA1 &gt; 1B5B &gt; NMP &gt; DDG</t>
  </si>
  <si>
    <t>NMP - Amphibious Ships</t>
  </si>
  <si>
    <t>BA1 &gt; 1B5B &gt; NMP &gt; Amphibious Ships</t>
  </si>
  <si>
    <t>Amphibious Ships</t>
  </si>
  <si>
    <t>NMP - Surface Combatants</t>
  </si>
  <si>
    <t>BA1 &gt; 1B5B &gt; NMP &gt; Surface Combatants</t>
  </si>
  <si>
    <t>NMP - Carriers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</si>
  <si>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</si>
  <si>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</si>
  <si>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</si>
  <si>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</si>
  <si>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</si>
  <si>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</si>
  <si>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</si>
  <si>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</si>
  <si>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</si>
  <si>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</si>
  <si>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</si>
  <si>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</si>
  <si>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</si>
  <si>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</si>
  <si>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</si>
  <si>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</si>
  <si>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</si>
  <si>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</si>
  <si>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</si>
  <si>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</si>
  <si>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</si>
  <si>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</si>
  <si>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</si>
  <si>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</si>
  <si>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</si>
  <si>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</si>
  <si>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</si>
  <si>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</si>
  <si>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</si>
  <si>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</si>
  <si>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</si>
  <si>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</si>
  <si>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</si>
  <si>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BA1 &gt; 1B5B &gt; Performance Criteria &gt; NAVSEA HQ</t>
  </si>
  <si>
    <t>NAVSEA HQ</t>
  </si>
  <si>
    <t>Ship Prepositioning and Surge</t>
  </si>
  <si>
    <t>BA2 &gt; Mobilization &gt; 2A1F Ship Prepositioning and Surge</t>
  </si>
  <si>
    <t>21</t>
  </si>
  <si>
    <t>2A1F</t>
  </si>
  <si>
    <t>INLS Electrical/Mechanical/Propulsion Obsolescence</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</si>
  <si>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</si>
  <si>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</si>
  <si>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</si>
  <si>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</si>
  <si>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</si>
  <si>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</si>
  <si>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</si>
  <si>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</si>
  <si>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</si>
  <si>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</si>
  <si>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</si>
  <si>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</si>
  <si>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</si>
  <si>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</si>
  <si>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</si>
  <si>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BA2 &gt; 2A2F &gt; Force Structure &gt; LMSR</t>
  </si>
  <si>
    <t>446</t>
  </si>
  <si>
    <t>LMSR</t>
  </si>
  <si>
    <t>Aviation Support Ships (T-AVB) (2 vessels)</t>
  </si>
  <si>
    <t>Aviation Logistics Support Ship</t>
  </si>
  <si>
    <t>AVB</t>
  </si>
  <si>
    <t>BA2 &gt; 2A2F &gt; Force Structure &gt; T-AVB</t>
  </si>
  <si>
    <t>T-AVB</t>
  </si>
  <si>
    <t>Crane Ships (T-ACS) (4 vessels)</t>
  </si>
  <si>
    <t>Crane Ship</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</si>
  <si>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</si>
  <si>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</si>
  <si>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</si>
  <si>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</si>
  <si>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</si>
  <si>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</si>
  <si>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</si>
  <si>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</si>
  <si>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</si>
  <si>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</si>
  <si>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</si>
  <si>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Inactive Ship Maintenance Facility &amp; Operations</t>
  </si>
  <si>
    <t>BA2 &gt; 2B2G &gt; Inactive Ship Maintenance</t>
  </si>
  <si>
    <t>459</t>
  </si>
  <si>
    <t>CVN 068</t>
  </si>
  <si>
    <t>USS NIMITZ (CVN 68) - I&amp;D and STOP</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</si>
  <si>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</si>
  <si>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</si>
  <si>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</si>
  <si>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</si>
  <si>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</si>
  <si>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</si>
  <si>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</si>
  <si>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</si>
  <si>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</si>
  <si>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</si>
  <si>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</si>
  <si>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</si>
  <si>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</si>
  <si>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</si>
  <si>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</si>
  <si>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</si>
  <si>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</si>
  <si>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</si>
  <si>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</si>
  <si>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</si>
  <si>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</si>
  <si>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</si>
  <si>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</si>
  <si>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</si>
  <si>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</si>
  <si>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</si>
  <si>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</si>
  <si>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</si>
  <si>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</si>
  <si>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</si>
  <si>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Submarine Industrial Base (SIB) Recapitalization</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</si>
  <si>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</si>
  <si>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</si>
  <si>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</si>
  <si>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</si>
  <si>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</si>
  <si>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</si>
  <si>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</si>
  <si>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</si>
  <si>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</si>
  <si>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</si>
  <si>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</si>
  <si>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</si>
  <si>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</si>
  <si>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</si>
  <si>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</si>
  <si>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</si>
  <si>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</si>
  <si>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Hull, Mechanical &amp; Electrical Support (NAVSEA)</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</si>
  <si>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</si>
  <si>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</si>
  <si>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</si>
  <si>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</si>
  <si>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</si>
  <si>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</si>
  <si>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</si>
  <si>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</si>
  <si>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</si>
  <si>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</si>
  <si>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</si>
  <si>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</si>
  <si>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</si>
  <si>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</si>
  <si>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</si>
  <si>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</si>
  <si>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</si>
  <si>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</si>
  <si>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</si>
  <si>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</si>
  <si>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</si>
  <si>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</si>
  <si>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</si>
  <si>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</si>
  <si>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</si>
  <si>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</si>
  <si>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</si>
  <si>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</si>
  <si>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</si>
  <si>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</si>
  <si>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</si>
  <si>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</si>
  <si>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</si>
  <si>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</si>
  <si>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</si>
  <si>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BA1 &gt; 1C6C &gt; Diving and Salvage</t>
  </si>
  <si>
    <t>Weapons Maintenance</t>
  </si>
  <si>
    <t>BA1 &gt; Weapons Support &gt; 1D4D Weapons Maintenance</t>
  </si>
  <si>
    <t>1D4D</t>
  </si>
  <si>
    <t>Tomahawk Systems (All-Up Round and TTWCS)</t>
  </si>
  <si>
    <t>BA1 &gt; 1D4D &gt; Tomahawk Systems</t>
  </si>
  <si>
    <t>366</t>
  </si>
  <si>
    <t>Close-In Weapons System (CIWS)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</si>
  <si>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</si>
  <si>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</si>
  <si>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</si>
  <si>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</si>
  <si>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</si>
  <si>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</si>
  <si>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</si>
  <si>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</si>
  <si>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</si>
  <si>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</si>
  <si>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</si>
  <si>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</si>
  <si>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</si>
  <si>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</si>
  <si>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</si>
  <si>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</si>
  <si>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</si>
  <si>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</si>
  <si>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</si>
  <si>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</si>
  <si>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</si>
  <si>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</si>
  <si>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</si>
  <si>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BA1 &gt; 1D4D &gt; Submarine Acquisition &gt; SSTD</t>
  </si>
  <si>
    <t>SSTD</t>
  </si>
  <si>
    <t>Surface Mine Countermeasures (SMCM)</t>
  </si>
  <si>
    <t>BA1 &gt; 1D4D &gt; Littoral &amp; Mine Warfare &gt; SMCM</t>
  </si>
  <si>
    <t>368</t>
  </si>
  <si>
    <t>SMCM</t>
  </si>
  <si>
    <t>MCM USV (Mine Countermeasures Unmanned Surface Vehicle)</t>
  </si>
  <si>
    <t>Unmanned Surface Vehicles</t>
  </si>
  <si>
    <t>MUSV</t>
  </si>
  <si>
    <t>BA1 &gt; 1D4D &gt; Littoral &amp; Mine Warfare &gt; MCMUSV</t>
  </si>
  <si>
    <t>MCMUSV</t>
  </si>
  <si>
    <t>LCS Mission Modules</t>
  </si>
  <si>
    <t>BA1 &gt; 1D4D &gt; Littoral &amp; Mine Warfare &gt; LCS MM</t>
  </si>
  <si>
    <t>LCS MM - LCS MISSION MODULES</t>
  </si>
  <si>
    <t>Orca Extra Large UUV (XLUUV)</t>
  </si>
  <si>
    <t>XLUUV</t>
  </si>
  <si>
    <t>BA1 &gt; 1D4D &gt; Littoral &amp; Mine Warfare &gt; XLUUV</t>
  </si>
  <si>
    <t>Small Unmanned Surface Vehicle (sUSV)</t>
  </si>
  <si>
    <t>SUSV / VSUSV</t>
  </si>
  <si>
    <t>BA1 &gt; 1D4D &gt; Littoral &amp; Mine Warfare &gt; sUSV</t>
  </si>
  <si>
    <t>sUSV</t>
  </si>
  <si>
    <t>Sonar Towed Array Replenishment Spares</t>
  </si>
  <si>
    <t>BA1 &gt; 1D4D &gt; Submarine Acquisition &gt; Sonar Towed Array</t>
  </si>
  <si>
    <t>Sonar Towed Array</t>
  </si>
  <si>
    <t>Sustainment, Restoration and Modernization</t>
  </si>
  <si>
    <t>BA1 &gt; Base Support &gt; BSM1 Sustainment, Restoration and Modernization</t>
  </si>
  <si>
    <t>PSNS Drydock 4 Seismic Repairs</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</si>
  <si>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</si>
  <si>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</si>
  <si>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</si>
  <si>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</si>
  <si>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</si>
  <si>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</si>
  <si>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</si>
  <si>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</si>
  <si>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</si>
  <si>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</si>
  <si>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</si>
  <si>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</si>
  <si>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</si>
  <si>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</si>
  <si>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</si>
  <si>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</si>
  <si>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</si>
  <si>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</si>
  <si>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</si>
  <si>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</si>
  <si>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</si>
  <si>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</si>
  <si>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</si>
  <si>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</si>
  <si>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</si>
  <si>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</si>
  <si>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</si>
  <si>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</si>
  <si>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</si>
  <si>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</si>
  <si>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</si>
  <si>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</si>
  <si>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</si>
  <si>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</si>
  <si>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</si>
  <si>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</si>
  <si>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</si>
  <si>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</si>
  <si>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</si>
  <si>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</si>
  <si>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</si>
  <si>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</si>
  <si>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</si>
  <si>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</si>
  <si>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</si>
  <si>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</si>
  <si>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</si>
  <si>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</si>
  <si>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</si>
  <si>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</si>
  <si>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</si>
  <si>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</si>
  <si>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</si>
  <si>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</si>
  <si>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</si>
  <si>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</si>
  <si>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</si>
  <si>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</si>
  <si>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</si>
  <si>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</si>
  <si>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</si>
  <si>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</si>
  <si>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</si>
  <si>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</si>
  <si>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</si>
  <si>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</si>
  <si>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</si>
  <si>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</si>
  <si>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</si>
  <si>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</si>
  <si>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</si>
  <si>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</si>
  <si>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</si>
  <si>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</si>
  <si>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</si>
  <si>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</si>
  <si>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</si>
  <si>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</si>
  <si>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</si>
  <si>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</si>
  <si>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PHNSY&amp;IMF Infrastructure Total</t>
  </si>
  <si>
    <t>Availability Support</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</si>
  <si>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</si>
  <si>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</si>
  <si>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</si>
  <si>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</si>
  <si>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</si>
  <si>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</si>
  <si>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</si>
  <si>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</si>
  <si>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</si>
  <si>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</si>
  <si>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</si>
  <si>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</si>
  <si>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</si>
  <si>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</si>
  <si>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</si>
  <si>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</si>
  <si>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</si>
  <si>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</si>
  <si>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</si>
  <si>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</si>
  <si>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</si>
  <si>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</si>
  <si>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</si>
  <si>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</si>
  <si>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</si>
  <si>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</si>
  <si>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</si>
  <si>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</si>
  <si>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</si>
  <si>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</si>
  <si>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</si>
  <si>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</si>
  <si>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</si>
  <si>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</si>
  <si>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</si>
  <si>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</si>
  <si>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</si>
  <si>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</si>
  <si>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</si>
  <si>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</si>
  <si>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</si>
  <si>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</si>
  <si>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</si>
  <si>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</si>
  <si>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</si>
  <si>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</si>
  <si>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</si>
  <si>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</si>
  <si>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</si>
  <si>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</si>
  <si>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</si>
  <si>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</si>
  <si>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</si>
  <si>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</si>
  <si>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</si>
  <si>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</si>
  <si>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</si>
  <si>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</si>
  <si>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</si>
  <si>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</si>
  <si>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</si>
  <si>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</si>
  <si>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</si>
  <si>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</si>
  <si>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</si>
  <si>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</si>
  <si>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</si>
  <si>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</si>
  <si>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</si>
  <si>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</si>
  <si>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</si>
  <si>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</si>
  <si>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</si>
  <si>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</si>
  <si>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</si>
  <si>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</si>
  <si>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</si>
  <si>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</si>
  <si>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</si>
  <si>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</si>
  <si>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</si>
  <si>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</si>
  <si>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</si>
  <si>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</si>
  <si>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</si>
  <si>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</si>
  <si>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</si>
  <si>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</si>
  <si>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</si>
  <si>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</si>
  <si>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</si>
  <si>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</si>
  <si>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</si>
  <si>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</si>
  <si>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</si>
  <si>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</si>
  <si>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</si>
  <si>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</si>
  <si>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</si>
  <si>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</si>
  <si>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</si>
  <si>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</si>
  <si>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</si>
  <si>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</si>
  <si>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</si>
  <si>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</si>
  <si>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</si>
  <si>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</si>
  <si>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</si>
  <si>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</si>
  <si>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</si>
  <si>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</si>
  <si>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</si>
  <si>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</si>
  <si>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</si>
  <si>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</si>
  <si>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</si>
  <si>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</si>
  <si>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</si>
  <si>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</si>
  <si>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</si>
  <si>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</si>
  <si>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</si>
  <si>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</si>
  <si>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</si>
  <si>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</si>
  <si>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</si>
  <si>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</si>
  <si>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</si>
  <si>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</si>
  <si>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</si>
  <si>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</si>
  <si>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</si>
  <si>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</si>
  <si>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</si>
  <si>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</si>
  <si>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</si>
  <si>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</si>
  <si>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</si>
  <si>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</si>
  <si>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</si>
  <si>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</si>
  <si>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</si>
  <si>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</si>
  <si>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</si>
  <si>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</si>
  <si>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</si>
  <si>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</si>
  <si>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</si>
  <si>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</si>
  <si>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</si>
  <si>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</si>
  <si>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</si>
  <si>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</si>
  <si>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</si>
  <si>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</si>
  <si>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</si>
  <si>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</si>
  <si>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</si>
  <si>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</si>
  <si>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</si>
  <si>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</si>
  <si>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</si>
  <si>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</si>
  <si>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</si>
  <si>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</si>
  <si>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</si>
  <si>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</si>
  <si>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</si>
  <si>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</si>
  <si>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</si>
  <si>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</si>
  <si>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</si>
  <si>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</si>
  <si>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</si>
  <si>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</si>
  <si>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</si>
  <si>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</si>
  <si>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</si>
  <si>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</si>
  <si>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</si>
  <si>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</si>
  <si>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</si>
  <si>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</si>
  <si>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</si>
  <si>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</si>
  <si>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</si>
  <si>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</si>
  <si>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</si>
  <si>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</si>
  <si>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</si>
  <si>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</si>
  <si>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</si>
  <si>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</si>
  <si>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</si>
  <si>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</si>
  <si>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</si>
  <si>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</si>
  <si>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</si>
  <si>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</si>
  <si>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</si>
  <si>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</si>
  <si>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</si>
  <si>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</si>
  <si>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</si>
  <si>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</si>
  <si>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</si>
  <si>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</si>
  <si>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</si>
  <si>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</si>
  <si>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</si>
  <si>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</si>
  <si>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</si>
  <si>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</si>
  <si>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</si>
  <si>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</si>
  <si>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</si>
  <si>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</si>
  <si>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</si>
  <si>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</si>
  <si>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</si>
  <si>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</si>
  <si>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</si>
  <si>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</si>
  <si>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</si>
  <si>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</si>
  <si>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</si>
  <si>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</si>
  <si>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</si>
  <si>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</si>
  <si>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</si>
  <si>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</si>
  <si>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</si>
  <si>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</si>
  <si>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</si>
  <si>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</si>
  <si>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</si>
  <si>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</si>
  <si>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</si>
  <si>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</si>
  <si>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</si>
  <si>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</si>
  <si>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</si>
  <si>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</si>
  <si>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</si>
  <si>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</si>
  <si>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</si>
  <si>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</si>
  <si>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</si>
  <si>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</si>
  <si>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</si>
  <si>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</si>
  <si>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</si>
  <si>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</si>
  <si>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</si>
  <si>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</si>
  <si>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</si>
  <si>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</si>
  <si>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</si>
  <si>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</si>
  <si>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</si>
  <si>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</si>
  <si>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</si>
  <si>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</si>
  <si>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</si>
  <si>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</si>
  <si>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</si>
  <si>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</si>
  <si>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</si>
  <si>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</si>
  <si>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</si>
  <si>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</si>
  <si>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</si>
  <si>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</si>
  <si>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</si>
  <si>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</si>
  <si>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</si>
  <si>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</si>
  <si>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</si>
  <si>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</si>
  <si>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</si>
  <si>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</si>
  <si>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</si>
  <si>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</si>
  <si>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</si>
  <si>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</si>
  <si>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</si>
  <si>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</si>
  <si>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</si>
  <si>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</si>
  <si>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</si>
  <si>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</si>
  <si>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</si>
  <si>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</si>
  <si>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</si>
  <si>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</si>
  <si>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</si>
  <si>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</si>
  <si>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</si>
  <si>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</si>
  <si>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</si>
  <si>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</si>
  <si>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</si>
  <si>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</si>
  <si>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</si>
  <si>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</si>
  <si>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</si>
  <si>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</si>
  <si>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</si>
  <si>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</si>
  <si>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</si>
  <si>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</si>
  <si>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</si>
  <si>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</si>
  <si>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</si>
  <si>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</si>
  <si>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</si>
  <si>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</si>
  <si>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</si>
  <si>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</si>
  <si>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</si>
  <si>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</si>
  <si>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</si>
  <si>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</si>
  <si>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</si>
  <si>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</si>
  <si>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</si>
  <si>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</si>
  <si>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</si>
  <si>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</si>
  <si>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</si>
  <si>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</si>
  <si>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</si>
  <si>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</si>
  <si>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</si>
  <si>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</si>
  <si>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</si>
  <si>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</si>
  <si>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</si>
  <si>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</si>
  <si>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</si>
  <si>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</si>
  <si>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</si>
  <si>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</si>
  <si>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</si>
  <si>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</si>
  <si>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</si>
  <si>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</si>
  <si>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</si>
  <si>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</si>
  <si>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</si>
  <si>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</si>
  <si>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</si>
  <si>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</si>
  <si>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</si>
  <si>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</si>
  <si>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</si>
  <si>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</si>
  <si>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</si>
  <si>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</si>
  <si>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</si>
  <si>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</si>
  <si>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</si>
  <si>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</si>
  <si>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</si>
  <si>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</si>
  <si>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</si>
  <si>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</si>
  <si>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</si>
  <si>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</si>
  <si>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</si>
  <si>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</si>
  <si>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</si>
  <si>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</si>
  <si>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</si>
  <si>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</si>
  <si>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</si>
  <si>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</si>
  <si>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</si>
  <si>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</si>
  <si>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</si>
  <si>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</si>
  <si>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</si>
  <si>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</si>
  <si>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</si>
  <si>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</si>
  <si>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</si>
  <si>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</si>
  <si>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</si>
  <si>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</si>
  <si>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</si>
  <si>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</si>
  <si>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</si>
  <si>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</si>
  <si>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</si>
  <si>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</si>
  <si>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</si>
  <si>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</si>
  <si>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</si>
  <si>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</si>
  <si>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</si>
  <si>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</si>
  <si>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</si>
  <si>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</si>
  <si>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</si>
  <si>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</si>
  <si>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</si>
  <si>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</si>
  <si>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</si>
  <si>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</si>
  <si>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</si>
  <si>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</si>
  <si>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</si>
  <si>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</si>
  <si>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</si>
  <si>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</si>
  <si>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</si>
  <si>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</si>
  <si>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</si>
  <si>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</si>
  <si>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</si>
  <si>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</si>
  <si>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</si>
  <si>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</si>
  <si>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</si>
  <si>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</si>
  <si>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</si>
  <si>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</si>
  <si>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</si>
  <si>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</si>
  <si>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</si>
  <si>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</si>
  <si>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</si>
  <si>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</si>
  <si>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</si>
  <si>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</si>
  <si>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</si>
  <si>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</si>
  <si>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</si>
  <si>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</si>
  <si>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</si>
  <si>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</si>
  <si>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</si>
  <si>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</si>
  <si>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</si>
  <si>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</si>
  <si>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</si>
  <si>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</si>
  <si>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</si>
  <si>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</si>
  <si>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</si>
  <si>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</si>
  <si>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</si>
  <si>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</si>
  <si>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</si>
  <si>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</si>
  <si>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</si>
  <si>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</si>
  <si>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</si>
  <si>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</si>
  <si>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</si>
  <si>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</si>
  <si>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</si>
  <si>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</si>
  <si>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</si>
  <si>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</si>
  <si>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</si>
  <si>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</si>
  <si>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</si>
  <si>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</si>
  <si>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</si>
  <si>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</si>
  <si>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</si>
  <si>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</si>
  <si>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</si>
  <si>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</si>
  <si>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</si>
  <si>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</si>
  <si>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</si>
  <si>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</si>
  <si>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</si>
  <si>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</si>
  <si>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</si>
  <si>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</si>
  <si>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</si>
  <si>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</si>
  <si>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</si>
  <si>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</si>
  <si>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</si>
  <si>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</si>
  <si>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</si>
  <si>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</si>
  <si>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</si>
  <si>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</si>
  <si>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</si>
  <si>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</si>
  <si>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</si>
  <si>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</si>
  <si>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</si>
  <si>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</si>
  <si>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</si>
  <si>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</si>
  <si>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</si>
  <si>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</si>
  <si>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</si>
  <si>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</si>
  <si>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</si>
  <si>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</si>
  <si>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</si>
  <si>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</si>
  <si>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</si>
  <si>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</si>
  <si>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</si>
  <si>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</si>
  <si>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</si>
  <si>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</si>
  <si>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</si>
  <si>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</si>
  <si>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</si>
  <si>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</si>
  <si>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</si>
  <si>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</si>
  <si>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</si>
  <si>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</si>
  <si>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</si>
  <si>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</si>
  <si>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</si>
  <si>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</si>
  <si>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</si>
  <si>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</si>
  <si>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</si>
  <si>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</si>
  <si>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</si>
  <si>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</si>
  <si>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</si>
  <si>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</si>
  <si>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</si>
  <si>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</si>
  <si>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</si>
  <si>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</si>
  <si>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</si>
  <si>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</si>
  <si>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</si>
  <si>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</si>
  <si>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</si>
  <si>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</si>
  <si>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</si>
  <si>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</si>
  <si>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</si>
  <si>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</si>
  <si>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</si>
  <si>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</si>
  <si>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</si>
  <si>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</si>
  <si>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</si>
  <si>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</si>
  <si>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</si>
  <si>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</si>
  <si>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</si>
  <si>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</si>
  <si>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</si>
  <si>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</si>
  <si>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</si>
  <si>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</si>
  <si>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</si>
  <si>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</si>
  <si>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</si>
  <si>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</si>
  <si>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</si>
  <si>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</si>
  <si>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</si>
  <si>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</si>
  <si>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</si>
  <si>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</si>
  <si>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</si>
  <si>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</si>
  <si>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</si>
  <si>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</si>
  <si>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</si>
  <si>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</si>
  <si>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</si>
  <si>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</si>
  <si>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</si>
  <si>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</si>
  <si>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</si>
  <si>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</si>
  <si>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</si>
  <si>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</si>
  <si>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</si>
  <si>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</si>
  <si>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</si>
  <si>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</si>
  <si>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</si>
  <si>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</si>
  <si>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</si>
  <si>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</si>
  <si>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</si>
  <si>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</si>
  <si>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</si>
  <si>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</si>
  <si>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</si>
  <si>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</si>
  <si>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</si>
  <si>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</si>
  <si>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</si>
  <si>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</si>
  <si>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</si>
  <si>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</si>
  <si>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</si>
  <si>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</si>
  <si>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</si>
  <si>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</si>
  <si>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</si>
  <si>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</si>
  <si>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</si>
  <si>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</si>
  <si>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</si>
  <si>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</si>
  <si>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</si>
  <si>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</si>
  <si>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</si>
  <si>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</si>
  <si>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</si>
  <si>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</si>
  <si>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</si>
  <si>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</si>
  <si>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</si>
  <si>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</si>
  <si>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</si>
  <si>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</si>
  <si>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</si>
  <si>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</si>
  <si>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</si>
  <si>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</si>
  <si>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</si>
  <si>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</si>
  <si>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</si>
  <si>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</si>
  <si>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</si>
  <si>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</si>
  <si>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</si>
  <si>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</si>
  <si>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</si>
  <si>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</si>
  <si>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</si>
  <si>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</si>
  <si>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</si>
  <si>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</si>
  <si>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</si>
  <si>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</si>
  <si>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</si>
  <si>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</si>
  <si>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</si>
  <si>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</si>
  <si>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</si>
  <si>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</si>
  <si>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</si>
  <si>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</si>
  <si>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</si>
  <si>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</si>
  <si>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</si>
  <si>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</si>
  <si>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</si>
  <si>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</si>
  <si>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</si>
  <si>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</si>
  <si>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</si>
  <si>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</si>
  <si>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</si>
  <si>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</si>
  <si>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</si>
  <si>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</si>
  <si>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</si>
  <si>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</si>
  <si>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</si>
  <si>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</si>
  <si>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</si>
  <si>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</si>
  <si>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</si>
  <si>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</si>
  <si>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</si>
  <si>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</si>
  <si>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</si>
  <si>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</si>
  <si>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</si>
  <si>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</si>
  <si>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</si>
  <si>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</si>
  <si>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</si>
  <si>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</si>
  <si>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</si>
  <si>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</si>
  <si>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</si>
  <si>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</si>
  <si>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</si>
  <si>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</si>
  <si>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</si>
  <si>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</si>
  <si>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</si>
  <si>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</si>
  <si>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</si>
  <si>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</si>
  <si>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</si>
  <si>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</si>
  <si>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</si>
  <si>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</si>
  <si>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</si>
  <si>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</si>
  <si>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</si>
  <si>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</si>
  <si>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</si>
  <si>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</si>
  <si>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</si>
  <si>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</si>
  <si>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</si>
  <si>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</si>
  <si>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</si>
  <si>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</si>
  <si>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</si>
  <si>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</si>
  <si>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</si>
  <si>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</si>
  <si>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</si>
  <si>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</si>
  <si>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</si>
  <si>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</si>
  <si>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</si>
  <si>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</si>
  <si>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</si>
  <si>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</si>
  <si>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</si>
  <si>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</si>
  <si>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</si>
  <si>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</si>
  <si>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</si>
  <si>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</si>
  <si>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</si>
  <si>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</si>
  <si>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</si>
  <si>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</si>
  <si>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</si>
  <si>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</si>
  <si>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</si>
  <si>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OPN BA01 &gt; BSA 01 Ship Propulsion Equipment &gt; P-40 LI 0131</t>
  </si>
  <si>
    <t>0131</t>
  </si>
  <si>
    <t>2</t>
  </si>
  <si>
    <t>Surface Combatant HM&amp;E</t>
  </si>
  <si>
    <t>OPN BA01 &gt; BSA 02 Generators &gt; P-40 LI 0200</t>
  </si>
  <si>
    <t>0200</t>
  </si>
  <si>
    <t>3</t>
  </si>
  <si>
    <t>Other Navigation Equipment</t>
  </si>
  <si>
    <t>OPN BA01 &gt; BSA 06 Navigation Equipment &gt; P-40 LI 0670</t>
  </si>
  <si>
    <t>GW054: NAVIGATION TRAINING EQUIPMENT</t>
  </si>
  <si>
    <t>4</t>
  </si>
  <si>
    <t>Sub Periscope Imaging and Supt Equip Prog</t>
  </si>
  <si>
    <t>OPN BA01 &gt; BSA 09 Other Shipboard Equipment &gt; P-40 LI 0840</t>
  </si>
  <si>
    <t>0840</t>
  </si>
  <si>
    <t>5</t>
  </si>
  <si>
    <t>DDG Mod</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</si>
  <si>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</si>
  <si>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</si>
  <si>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</si>
  <si>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</si>
  <si>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</si>
  <si>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</si>
  <si>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</si>
  <si>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</si>
  <si>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</si>
  <si>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</si>
  <si>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</si>
  <si>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</si>
  <si>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</si>
  <si>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</si>
  <si>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</si>
  <si>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</si>
  <si>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</si>
  <si>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</si>
  <si>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</si>
  <si>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</si>
  <si>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</si>
  <si>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</si>
  <si>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</si>
  <si>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OPN BA01 &gt; BSA 09 Other Shipboard Equipment &gt; P-40 LI 0910</t>
  </si>
  <si>
    <t>0910</t>
  </si>
  <si>
    <t>7</t>
  </si>
  <si>
    <t>Command and Control Switchboard</t>
  </si>
  <si>
    <t>OPN BA01 &gt; BSA 09 Other Shipboard Equipment &gt; P-40 LI 0925</t>
  </si>
  <si>
    <t>0925</t>
  </si>
  <si>
    <t>8</t>
  </si>
  <si>
    <t>LHA/LHD Midlife</t>
  </si>
  <si>
    <t>OPN BA01 &gt; BSA 09 Other Shipboard Equipment &gt; P-40 LI 0933</t>
  </si>
  <si>
    <t>9</t>
  </si>
  <si>
    <t>LCC 19/20 Extended Service Life Program</t>
  </si>
  <si>
    <t>OPN BA01 &gt; BSA 09 Other Shipboard Equipment &gt; P-40 LI 0934</t>
  </si>
  <si>
    <t>0934</t>
  </si>
  <si>
    <t>10</t>
  </si>
  <si>
    <t>Pollution Control Equipment</t>
  </si>
  <si>
    <t>OPN BA01 &gt; BSA 09 Other Shipboard Equipment &gt; P-40 LI 0935</t>
  </si>
  <si>
    <t>0935</t>
  </si>
  <si>
    <t>11</t>
  </si>
  <si>
    <t>Submarine Support Equipment</t>
  </si>
  <si>
    <t>OPN BA01 &gt; BSA 09 Other Shipboard Equipment &gt; P-40 LI 0941</t>
  </si>
  <si>
    <t>0941</t>
  </si>
  <si>
    <t>Virginia Class Support Equipment</t>
  </si>
  <si>
    <t>OPN BA01 &gt; BSA 09 Other Shipboard Equipment &gt; P-40 LI 0942</t>
  </si>
  <si>
    <t>0942</t>
  </si>
  <si>
    <t>13</t>
  </si>
  <si>
    <t>LCS Class Support Equipment</t>
  </si>
  <si>
    <t>OPN BA01 &gt; BSA 09 Other Shipboard Equipment &gt; P-40 LI 0944</t>
  </si>
  <si>
    <t>0944</t>
  </si>
  <si>
    <t>Submarine Batteries</t>
  </si>
  <si>
    <t>OPN BA01 &gt; BSA 09 Other Shipboard Equipment &gt; P-40 LI 0945</t>
  </si>
  <si>
    <t>0945</t>
  </si>
  <si>
    <t>LPD Class Support Equipment</t>
  </si>
  <si>
    <t>OPN BA01 &gt; BSA 09 Other Shipboard Equipment &gt; P-40 LI 0946</t>
  </si>
  <si>
    <t>403</t>
  </si>
  <si>
    <t>0946</t>
  </si>
  <si>
    <t>16</t>
  </si>
  <si>
    <t>DDG 1000 Class Support Equipment</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</si>
  <si>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</si>
  <si>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</si>
  <si>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</si>
  <si>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</si>
  <si>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</si>
  <si>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</si>
  <si>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</si>
  <si>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</si>
  <si>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</si>
  <si>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</si>
  <si>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</si>
  <si>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OPN BA01 &gt; BSA 09 Other Shipboard Equipment &gt; P-40 LI 0950</t>
  </si>
  <si>
    <t>455</t>
  </si>
  <si>
    <t>0950</t>
  </si>
  <si>
    <t>Deep Subm Sys Proj (DSSP) Equip</t>
  </si>
  <si>
    <t>OPN BA01 &gt; BSA 09 Other Shipboard Equipment &gt; P-40 LI 0955</t>
  </si>
  <si>
    <t>463</t>
  </si>
  <si>
    <t>0955</t>
  </si>
  <si>
    <t>HJ030 - RESCUE SUPPORT EQUIPMENT</t>
  </si>
  <si>
    <t>CG Modernization</t>
  </si>
  <si>
    <t>OPN BA01 &gt; BSA 09 Other Shipboard Equipment &gt; P-40 LI 0960</t>
  </si>
  <si>
    <t>467</t>
  </si>
  <si>
    <t>0960</t>
  </si>
  <si>
    <t>OPN BA01 &gt; BSA 09 Other Shipboard Equipment &gt; P-40 LI 0970</t>
  </si>
  <si>
    <t>469</t>
  </si>
  <si>
    <t>0970</t>
  </si>
  <si>
    <t>Underwater EOD Equipment</t>
  </si>
  <si>
    <t>OPN BA01 &gt; BSA 09 Other Shipboard Equipment &gt; P-40 LI 0977</t>
  </si>
  <si>
    <t>473</t>
  </si>
  <si>
    <t>0977</t>
  </si>
  <si>
    <t>Underwater EOD Programs</t>
  </si>
  <si>
    <t>23</t>
  </si>
  <si>
    <t>Items Less Than $5 Million</t>
  </si>
  <si>
    <t>OPN BA01 &gt; BSA 09 Other Shipboard Equipment &gt; P-40 LI 0981</t>
  </si>
  <si>
    <t>495</t>
  </si>
  <si>
    <t>0981</t>
  </si>
  <si>
    <t>OPN BA01 &gt; BSA 09 Other Shipboard Equipment &gt; P-40 LI 0989</t>
  </si>
  <si>
    <t>509</t>
  </si>
  <si>
    <t>0989</t>
  </si>
  <si>
    <t>CW001 CHEMICAL WARFARE PROGRAM JBAIDS</t>
  </si>
  <si>
    <t>26</t>
  </si>
  <si>
    <t>Ship Maintenance Repair and Modernization</t>
  </si>
  <si>
    <t>2/4</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</si>
  <si>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</si>
  <si>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</si>
  <si>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</si>
  <si>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</si>
  <si>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</si>
  <si>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</si>
  <si>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</si>
  <si>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</si>
  <si>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</si>
  <si>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</si>
  <si>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</si>
  <si>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</si>
  <si>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</si>
  <si>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</si>
  <si>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</si>
  <si>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</si>
  <si>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</si>
  <si>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</si>
  <si>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OPN BA01 &gt; BSA 10 Reactor Plant Equipment &gt; P-40 LI 1020</t>
  </si>
  <si>
    <t>543</t>
  </si>
  <si>
    <t>1020</t>
  </si>
  <si>
    <t>29</t>
  </si>
  <si>
    <t>Diving and Salvage Equipment</t>
  </si>
  <si>
    <t>OPN BA01 &gt; BSA 11 Ocean Engineering &gt; P-40 LI 1130</t>
  </si>
  <si>
    <t>547</t>
  </si>
  <si>
    <t>1130</t>
  </si>
  <si>
    <t>Medium Unmanned Surface Vehicle (MUSVs)</t>
  </si>
  <si>
    <t>Full vessel procurement</t>
  </si>
  <si>
    <t>OPN BA01 &gt; BSA 12 Small Boats &gt; P-1 Line #30</t>
  </si>
  <si>
    <t>Standard Boats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</si>
  <si>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</si>
  <si>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</si>
  <si>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</si>
  <si>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</si>
  <si>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</si>
  <si>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</si>
  <si>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</si>
  <si>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</si>
  <si>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</si>
  <si>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</si>
  <si>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</si>
  <si>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</si>
  <si>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</si>
  <si>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</si>
  <si>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</si>
  <si>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OPN BA01 &gt; BSA 14 Production Facilities Equipment &gt; P-40 LI 1445</t>
  </si>
  <si>
    <t>589</t>
  </si>
  <si>
    <t>1445</t>
  </si>
  <si>
    <t>LCS Common Mission Modules Equipment</t>
  </si>
  <si>
    <t>OPN BA01 &gt; BSA 15 Other Ship Support &gt; P-40 LI 1600</t>
  </si>
  <si>
    <t>607</t>
  </si>
  <si>
    <t>1600</t>
  </si>
  <si>
    <t>34</t>
  </si>
  <si>
    <t>LCS MCM Mission Modules</t>
  </si>
  <si>
    <t>OPN BA01 &gt; BSA 15 Other Ship Support &gt; P-40 LI 1601</t>
  </si>
  <si>
    <t>621</t>
  </si>
  <si>
    <t>1601</t>
  </si>
  <si>
    <t>LCS MCM Mission Packages</t>
  </si>
  <si>
    <t>36</t>
  </si>
  <si>
    <t>LCS SUW Mission Modules</t>
  </si>
  <si>
    <t>OPN BA01 &gt; BSA 15 Other Ship Support &gt; P-40 LI 1603</t>
  </si>
  <si>
    <t>635</t>
  </si>
  <si>
    <t>1603</t>
  </si>
  <si>
    <t>37</t>
  </si>
  <si>
    <t>LCS In-Service Modernization</t>
  </si>
  <si>
    <t>OPN BA01 &gt; BSA 15 Other Ship Support &gt; P-40 LI 1604</t>
  </si>
  <si>
    <t>641</t>
  </si>
  <si>
    <t>1604</t>
  </si>
  <si>
    <t>MT005 LCS Combat System Modernization</t>
  </si>
  <si>
    <t>Small &amp; Medium UUV</t>
  </si>
  <si>
    <t>UUV</t>
  </si>
  <si>
    <t>OPN BA01 &gt; BSA 15 Other Ship Support &gt; P-40 LI 1611</t>
  </si>
  <si>
    <t>667</t>
  </si>
  <si>
    <t>1611</t>
  </si>
  <si>
    <t>Extra Large UUV</t>
  </si>
  <si>
    <t>OPN BA01 &gt; BSA 15 Other Ship Support &gt; P-1 Line #39</t>
  </si>
  <si>
    <t>LSD Midlife &amp; Modernization</t>
  </si>
  <si>
    <t>OPN BA01 &gt; BSA 16 Logistic Support &gt; P-40 LI 1610</t>
  </si>
  <si>
    <t>681</t>
  </si>
  <si>
    <t>1610</t>
  </si>
  <si>
    <t>ST001 - LSD Mod HM&amp;E Modernization</t>
  </si>
  <si>
    <t>OPN_BA2</t>
  </si>
  <si>
    <t>Budget Activity 02: Communications and electronics equipment</t>
  </si>
  <si>
    <t>OPN BA2 P-1 Summary / 1810N Budget Activity Summary</t>
  </si>
  <si>
    <t>2026</t>
  </si>
  <si>
    <t>Funding realigned to LI 2981 In-Service Radars and Sensors</t>
  </si>
  <si>
    <t>OPN BA2 &gt; BSA 2: Ship Sonars &gt; LI 2026 SPQ-9B Radar</t>
  </si>
  <si>
    <t>BR040 AN/SPQ-9B RADAR</t>
  </si>
  <si>
    <t>1 / BR040 AN/SPQ-9B RADAR FMP EQUIPMENT</t>
  </si>
  <si>
    <t>LI 2026 SPQ-9B Radar</t>
  </si>
  <si>
    <t>OPN BA2 &gt; BSA 2: Ship Sonars &gt; LI 2026 SPQ-9B Radar &gt; P-3a BR040</t>
  </si>
  <si>
    <t>BR040</t>
  </si>
  <si>
    <t>2136</t>
  </si>
  <si>
    <t>AN/SQQ-89 Surf ASW Cmbt Sys</t>
  </si>
  <si>
    <t>OPN BA2 &gt; BSA 2: Ship Sonars &gt; LI 2136 AN/SQQ-89 Surf ASW Cmbt Sys</t>
  </si>
  <si>
    <t>69</t>
  </si>
  <si>
    <t>AN/SQQ-89(V) SURFACE ASW COMBAT SYSTEM</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</si>
  <si>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</si>
  <si>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</si>
  <si>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</si>
  <si>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</si>
  <si>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</si>
  <si>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</si>
  <si>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</si>
  <si>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</si>
  <si>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</si>
  <si>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</si>
  <si>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</si>
  <si>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</si>
  <si>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</si>
  <si>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</si>
  <si>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</si>
  <si>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OPN BA2 &gt; BSA 2: Ship Sonars &gt; LI 2136 &gt; P-3a TI/Refresh BIP</t>
  </si>
  <si>
    <t>TI/Refresh BIP</t>
  </si>
  <si>
    <t>2150</t>
  </si>
  <si>
    <t>SSN Acoustic Equipment</t>
  </si>
  <si>
    <t>OPN BA2 &gt; BSA 2: Ship Sonars &gt; LI 2150 SSN Acoustic Equipment</t>
  </si>
  <si>
    <t>SA105 SONAR SUPPORT EQUIPMENT</t>
  </si>
  <si>
    <t>LWWAA Unit 6512 Tech Refresh</t>
  </si>
  <si>
    <t>LI 2150 SSN Acoustic Equipment</t>
  </si>
  <si>
    <t>OPN BA2 &gt; BSA 2: Ship Sonars &gt; LI 2150 &gt; LWWAA</t>
  </si>
  <si>
    <t>SSBN Legacy Interface Hardware</t>
  </si>
  <si>
    <t>OPN BA2 &gt; BSA 2: Ship Sonars &gt; LI 2150 &gt; SSBN Legacy</t>
  </si>
  <si>
    <t>Low Cost Conformal Array (LCCA)</t>
  </si>
  <si>
    <t>OPN BA2 &gt; BSA 2: Ship Sonars &gt; LI 2150 &gt; LCCA</t>
  </si>
  <si>
    <t>High Frequency Sail Array (HFSA)</t>
  </si>
  <si>
    <t>OPN BA2 &gt; BSA 2: Ship Sonars &gt; LI 2150 &gt; HFSA</t>
  </si>
  <si>
    <t>Large Vertical Array (LVA) - OHIO Class</t>
  </si>
  <si>
    <t>OPN BA2 &gt; BSA 2: Ship Sonars &gt; LI 2150 &gt; LVA Ohio</t>
  </si>
  <si>
    <t>Large Vertical Array (LVA) - VIRGINIA Class</t>
  </si>
  <si>
    <t>OPN BA2 &gt; BSA 2: Ship Sonars &gt; LI 2150 &gt; LVA Virginia</t>
  </si>
  <si>
    <t>A-RCI Tech Insertion - Los Angeles Class</t>
  </si>
  <si>
    <t>OPN BA2 &gt; BSA 2: Ship Sonars &gt; LI 2150 &gt; ARCI 688</t>
  </si>
  <si>
    <t>A-RCI Tech Insertion - Seawolf Class</t>
  </si>
  <si>
    <t>OPN BA2 &gt; BSA 2: Ship Sonars &gt; LI 2150 &gt; ARCI Seawolf</t>
  </si>
  <si>
    <t>A-RCI Tech Insertion - Virginia Class (BLK I-IV)</t>
  </si>
  <si>
    <t>OPN BA2 &gt; BSA 2: Ship Sonars &gt; LI 2150 &gt; ARCI Virginia</t>
  </si>
  <si>
    <t>SSBN Technical Insertion Conversion (OHIO)</t>
  </si>
  <si>
    <t>OPN BA2 &gt; BSA 2: Ship Sonars &gt; LI 2150 &gt; SSBN TI Ohio</t>
  </si>
  <si>
    <t>CRAW MK 58 Torpedo Integration Kits</t>
  </si>
  <si>
    <t>OPN BA2 &gt; BSA 2: Ship Sonars &gt; LI 2150 &gt; CRAW MK 58</t>
  </si>
  <si>
    <t>2176</t>
  </si>
  <si>
    <t>Undersea Warfare Support Equipment</t>
  </si>
  <si>
    <t>Funding realigned to LI 2136 AN/SQQ-89</t>
  </si>
  <si>
    <t>OPN BA2 &gt; BSA 2: Ship Sonars &gt; LI 2176 Undersea Warfare Support Equipment</t>
  </si>
  <si>
    <t>2210</t>
  </si>
  <si>
    <t>Submarine Acoustic Warfare System</t>
  </si>
  <si>
    <t>OPN BA2 &gt; BSA 3: ASW Electronic Equipment &gt; LI 2210 Submarine Acoustic Warfare System</t>
  </si>
  <si>
    <t>2213</t>
  </si>
  <si>
    <t>Surface Ship Torpedo Def (SSTD)</t>
  </si>
  <si>
    <t>OPN BA2 &gt; BSA 3: ASW Electronic Equipment &gt; LI 2213 Surface Ship Torpedo Def (SSTD)</t>
  </si>
  <si>
    <t>2225</t>
  </si>
  <si>
    <t>Fixed Surveillance System</t>
  </si>
  <si>
    <t>OPN BA2 &gt; BSA 3: ASW Electronic Equipment &gt; LI 2225 Fixed Surveillance System</t>
  </si>
  <si>
    <t>Classified</t>
  </si>
  <si>
    <t>2237</t>
  </si>
  <si>
    <t>SURTASS</t>
  </si>
  <si>
    <t>OPN BA2 &gt; BSA 3: ASW Electronic Equipment &gt; LI 2237 SURTASS</t>
  </si>
  <si>
    <t>Integrated Common Processor (ICP)</t>
  </si>
  <si>
    <t>LI 2237 SURTASS</t>
  </si>
  <si>
    <t>OPN BA2 &gt; BSA 3 &gt; LI 2237 SURTASS &gt; ICP</t>
  </si>
  <si>
    <t>TL-29A Twinline</t>
  </si>
  <si>
    <t>OPN BA2 &gt; BSA 3 &gt; LI 2237 SURTASS &gt; TL-29A</t>
  </si>
  <si>
    <t>Japanese Auxiliary Oceanographic Surveillance (J-AOS)</t>
  </si>
  <si>
    <t>OPN BA2 &gt; BSA 3 &gt; LI 2237 SURTASS &gt; J-AOS</t>
  </si>
  <si>
    <t>208</t>
  </si>
  <si>
    <t>2312</t>
  </si>
  <si>
    <t>AN/SLQ-32</t>
  </si>
  <si>
    <t>OPN BA2 &gt; BSA 4: Electronic Warfare Equipment &gt; LI 2312 AN/SLQ-32</t>
  </si>
  <si>
    <t>213</t>
  </si>
  <si>
    <t>SEWIP Block 1 - AN/SLQ-32 Improvements</t>
  </si>
  <si>
    <t>LI 2312 AN/SLQ-32</t>
  </si>
  <si>
    <t>OPN BA2 &gt; BSA 4 &gt; LI 2312 &gt; SEWIP Block 1</t>
  </si>
  <si>
    <t>SEWIP Block 1B3 - High Gain High Sensitivity (HGHS)</t>
  </si>
  <si>
    <t>OPN BA2 &gt; BSA 4 &gt; LI 2312 &gt; SEWIP Block 1B3</t>
  </si>
  <si>
    <t>SEWIP Block 2 - Electronic Support (ES) System</t>
  </si>
  <si>
    <t>OPN BA2 &gt; BSA 4 &gt; LI 2312 &gt; SEWIP Block 2</t>
  </si>
  <si>
    <t>SEWIP Block 3 - Electronic Attack (EA)</t>
  </si>
  <si>
    <t>OPN BA2 &gt; BSA 4 &gt; LI 2312 &gt; SEWIP Block 3</t>
  </si>
  <si>
    <t>242</t>
  </si>
  <si>
    <t>TC070 - Scaled Onboard Electronic Attack (SOEA)</t>
  </si>
  <si>
    <t>Scaled Onboard Electronic Attack (SOEA)</t>
  </si>
  <si>
    <t>OPN BA2 &gt; BSA 4 &gt; LI 2312 &gt; SOEA</t>
  </si>
  <si>
    <t>2360</t>
  </si>
  <si>
    <t>Shipboard IW Exploit</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</si>
  <si>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</si>
  <si>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</si>
  <si>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</si>
  <si>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</si>
  <si>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</si>
  <si>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</si>
  <si>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</si>
  <si>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</si>
  <si>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</si>
  <si>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</si>
  <si>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</si>
  <si>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</si>
  <si>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</si>
  <si>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</si>
  <si>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</si>
  <si>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OPN BA2 &gt; BSA 5: Reconnaissance Equipment &gt; LI 2361 Automatic Identification System (AIS)</t>
  </si>
  <si>
    <t>1U030 Automatic Identification Systems (AIS)</t>
  </si>
  <si>
    <t>2606</t>
  </si>
  <si>
    <t>Cooperative Engagement Capability</t>
  </si>
  <si>
    <t>OPN BA2 &gt; BSA 7: Other Ship Electronic Equipment &gt; LI 2606 Cooperative Engagement Capability</t>
  </si>
  <si>
    <t>2611</t>
  </si>
  <si>
    <t>Naval Tactical Command Support System (NTCSS)</t>
  </si>
  <si>
    <t>OPN BA2 &gt; BSA 7: Other Ship Electronic Equipment &gt; LI 2611 Naval Tact Cmd Supt Sys (NTCSS)</t>
  </si>
  <si>
    <t>2614</t>
  </si>
  <si>
    <t>Advanced Tactical Data Link Systems (ATDLS)</t>
  </si>
  <si>
    <t>OPN BA2 &gt; BSA 7: Other Ship Electronic Equipment &gt; LI 2614 Adv Tact Data Link Sys (ATDLS)</t>
  </si>
  <si>
    <t>Adv Tact Data Link Sys (ATDLS)</t>
  </si>
  <si>
    <t>2618</t>
  </si>
  <si>
    <t>Navy Command and Control System (NCCS)</t>
  </si>
  <si>
    <t>OPN BA2 &gt; BSA 7: Other Ship Electronic Equipment &gt; LI 2618 Navy Command and Control System (NCCS)</t>
  </si>
  <si>
    <t>2622</t>
  </si>
  <si>
    <t>Minesweeping System Replacement</t>
  </si>
  <si>
    <t>OPN BA2 &gt; BSA 7: Other Ship Electronic Equipment &gt; LI 2622 Minesweeping System Replacement</t>
  </si>
  <si>
    <t>MAGNETIC SILENCING FACILITY UPGRADES</t>
  </si>
  <si>
    <t>2657</t>
  </si>
  <si>
    <t>NAVSTAR GPS Receivers (Space)</t>
  </si>
  <si>
    <t>OPN BA2 &gt; BSA 7: Other Ship Electronic Equipment &gt; LI 2657 NAVSTAR GPS Receivers (Space)</t>
  </si>
  <si>
    <t>2666</t>
  </si>
  <si>
    <t>American Forces Radio and TV Service (AFRTS)</t>
  </si>
  <si>
    <t>OPN BA2 &gt; BSA 7: Other Ship Electronic Equipment &gt; LI 2666 American Forces Radio and TV Service (AFRTS)</t>
  </si>
  <si>
    <t>2676</t>
  </si>
  <si>
    <t>Funding realigned to LI 0950 (BA1)</t>
  </si>
  <si>
    <t>OPN BA2 &gt; BSA 7: Other Ship Electronic Equipment &gt; LI 2676 Strategic Platform Support Equip</t>
  </si>
  <si>
    <t>P1221 Strategic Platform Support Equip NPES</t>
  </si>
  <si>
    <t>2820</t>
  </si>
  <si>
    <t>Ashore ATC Equipment</t>
  </si>
  <si>
    <t>OPN BA2 &gt; BSA 9: Aviation Electronic Equipment &gt; LI 2820 Ashore ATC Equipment</t>
  </si>
  <si>
    <t>2830</t>
  </si>
  <si>
    <t>Afloat ATC Equipment</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</si>
  <si>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</si>
  <si>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</si>
  <si>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</si>
  <si>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</si>
  <si>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</si>
  <si>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</si>
  <si>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</si>
  <si>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</si>
  <si>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</si>
  <si>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</si>
  <si>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OPN BA2 &gt; BSA 9: Aviation Electronic Equipment &gt; LI 2851 ID Systems</t>
  </si>
  <si>
    <t>Mark XIIA Mode 5</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</si>
  <si>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</si>
  <si>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</si>
  <si>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</si>
  <si>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</si>
  <si>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</si>
  <si>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</si>
  <si>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</si>
  <si>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</si>
  <si>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OPN BA2 &gt; BSA 9 &gt; LI 2851 &gt; DDG 1000 IFF</t>
  </si>
  <si>
    <t>501</t>
  </si>
  <si>
    <t>2867</t>
  </si>
  <si>
    <t>Joint Precision Approach and Landing System (JPALS)</t>
  </si>
  <si>
    <t>OPN BA2 &gt; BSA 9: Aviation Electronic Equipment &gt; LI 2867 Joint Precision Approach and Landing System (JPALS)</t>
  </si>
  <si>
    <t>507</t>
  </si>
  <si>
    <t>CR001 AN/USN-3 (V)1</t>
  </si>
  <si>
    <t>2876</t>
  </si>
  <si>
    <t>Naval Mission Planning Systems</t>
  </si>
  <si>
    <t>OPN BA2 &gt; BSA 9: Aviation Electronic Equipment &gt; LI 2876 Naval Mission Planning Systems</t>
  </si>
  <si>
    <t>513</t>
  </si>
  <si>
    <t>2900</t>
  </si>
  <si>
    <t>Maritime Integrated Broadcast System</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</si>
  <si>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</si>
  <si>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</si>
  <si>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</si>
  <si>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</si>
  <si>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</si>
  <si>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</si>
  <si>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OPN BA2 &gt; BSA 10: Other Shore Electronic Equipment &gt; LI 2906 Tactical/Mobile C4I Systems</t>
  </si>
  <si>
    <t>529</t>
  </si>
  <si>
    <t>T4050 Tactical/Mobile</t>
  </si>
  <si>
    <t>2914</t>
  </si>
  <si>
    <t>Intelligence Surveillance and Reconnaissance (ISR)</t>
  </si>
  <si>
    <t>OPN BA2 &gt; BSA 10: Other Shore Electronic Equipment &gt; LI 2914 ISR</t>
  </si>
  <si>
    <t>2915</t>
  </si>
  <si>
    <t>OPN BA2 &gt; BSA 10: Other Shore Electronic Equipment &gt; LI 2915 CANES</t>
  </si>
  <si>
    <t>557</t>
  </si>
  <si>
    <t>2920</t>
  </si>
  <si>
    <t>OPN BA2 &gt; BSA 10: Other Shore Electronic Equipment &gt; LI 2920 RADIAC</t>
  </si>
  <si>
    <t>2925</t>
  </si>
  <si>
    <t>CANES Intell</t>
  </si>
  <si>
    <t>OPN BA2 &gt; BSA 10: Other Shore Electronic Equipment &gt; LI 2925 CANES Intell</t>
  </si>
  <si>
    <t>583</t>
  </si>
  <si>
    <t>2940</t>
  </si>
  <si>
    <t>Gen Purp Elec Test Equip (GPETE)</t>
  </si>
  <si>
    <t>OPN BA2 &gt; BSA 10: Other Shore Electronic Equipment &gt; LI 2940 Gen Purp Elec Test Equip (GPETE)</t>
  </si>
  <si>
    <t>593</t>
  </si>
  <si>
    <t>2950</t>
  </si>
  <si>
    <t>Network Tactical Common Data Link (NTCDL) / MASF</t>
  </si>
  <si>
    <t>OPN BA2 &gt; BSA 10: Other Shore Electronic Equipment &gt; LI 2950 Network Tactical CDL (MASF)</t>
  </si>
  <si>
    <t>603</t>
  </si>
  <si>
    <t>Network Tactical Common Data Link (CDL)</t>
  </si>
  <si>
    <t>2960</t>
  </si>
  <si>
    <t>Integ Combat System Test Facility</t>
  </si>
  <si>
    <t>OPN BA2 &gt; BSA 10: Other Shore Electronic Equipment &gt; LI 2960 Integ Combat System Test Facility</t>
  </si>
  <si>
    <t>2970</t>
  </si>
  <si>
    <t>EMI Control Instrumentation</t>
  </si>
  <si>
    <t>OPN BA2 &gt; BSA 10: Other Shore Electronic Equipment &gt; LI 2970 EMI Control Instrumentation</t>
  </si>
  <si>
    <t>615</t>
  </si>
  <si>
    <t>MA204 EMI CONTROL INSTRUMENTATION</t>
  </si>
  <si>
    <t>2981</t>
  </si>
  <si>
    <t>In-Service Radars and Sensors</t>
  </si>
  <si>
    <t>OPN BA2 &gt; BSA 10: Other Shore Electronic Equipment &gt; LI 2981 In-Service Radars and Sensors</t>
  </si>
  <si>
    <t>619</t>
  </si>
  <si>
    <t>AN/SPS-73(V) Navigation Radar / NGSSR Upgrade</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</si>
  <si>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</si>
  <si>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</si>
  <si>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</si>
  <si>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</si>
  <si>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</si>
  <si>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</si>
  <si>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</si>
  <si>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</si>
  <si>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</si>
  <si>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</si>
  <si>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</si>
  <si>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</si>
  <si>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</si>
  <si>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</si>
  <si>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</si>
  <si>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</si>
  <si>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</si>
  <si>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</si>
  <si>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OPN BA2 &gt; BSA 11: Shipboard Communications &gt; LI 2437 Battle Force Tactical Network</t>
  </si>
  <si>
    <t>647</t>
  </si>
  <si>
    <t>BATTLE FORCE TACTICAL NETWORK</t>
  </si>
  <si>
    <t>Shipboard Tactical Comms</t>
  </si>
  <si>
    <t>OPN BA2 &gt; BSA 11: Shipboard Communications &gt; LI 3010 Shipboard Tactical Comms</t>
  </si>
  <si>
    <t>651</t>
  </si>
  <si>
    <t>Ship Communications Automation</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</si>
  <si>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</si>
  <si>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</si>
  <si>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</si>
  <si>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</si>
  <si>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</si>
  <si>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</si>
  <si>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</si>
  <si>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</si>
  <si>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</si>
  <si>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</si>
  <si>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</si>
  <si>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</si>
  <si>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</si>
  <si>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</si>
  <si>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</si>
  <si>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</si>
  <si>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</si>
  <si>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</si>
  <si>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</si>
  <si>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</si>
  <si>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</si>
  <si>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</si>
  <si>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</si>
  <si>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</si>
  <si>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</si>
  <si>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</si>
  <si>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</si>
  <si>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</si>
  <si>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</si>
  <si>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</si>
  <si>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OPN BA2 &gt; BSA 13: Satellite Communications &gt; LI 3215 Satellite Communications Systems</t>
  </si>
  <si>
    <t>701</t>
  </si>
  <si>
    <t>Global Broadcast Service (GBS)</t>
  </si>
  <si>
    <t>LI 3215 Satellite Communications Systems</t>
  </si>
  <si>
    <t>OPN BA2 &gt; BSA 13 &gt; LI 3215 &gt; GBS</t>
  </si>
  <si>
    <t>707</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</si>
  <si>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</si>
  <si>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</si>
  <si>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</si>
  <si>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</si>
  <si>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</si>
  <si>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</si>
  <si>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</si>
  <si>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</si>
  <si>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</si>
  <si>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OPN BA2 &gt; BSA 13: Satellite Communications &gt; LI 3216 Navy Multiband Terminal (NMT)</t>
  </si>
  <si>
    <t>719</t>
  </si>
  <si>
    <t>NMT Service Life Extension Modernization (SLEMOD) Kits</t>
  </si>
  <si>
    <t>LI 3216 NMT</t>
  </si>
  <si>
    <t>OPN BA2 &gt; BSA 13 &gt; LI 3216 &gt; NMT SLEMOD</t>
  </si>
  <si>
    <t>724</t>
  </si>
  <si>
    <t>3222</t>
  </si>
  <si>
    <t>Mobile Advanced EHF Terminal (MAT)</t>
  </si>
  <si>
    <t>OPN BA2 &gt; BSA 13: Satellite Communications &gt; LI 3222 Mobile Advanced EHF Terminal (MAT)</t>
  </si>
  <si>
    <t>737</t>
  </si>
  <si>
    <t>3302</t>
  </si>
  <si>
    <t>Joint Communications Support Element (JCSE)</t>
  </si>
  <si>
    <t>OPN BA2 &gt; BSA 14: Shore Communications &gt; LI 3302 Joint Communications Support Element (JCSE)</t>
  </si>
  <si>
    <t>743</t>
  </si>
  <si>
    <t>Joint Communications Support Element Modernization</t>
  </si>
  <si>
    <t>3415</t>
  </si>
  <si>
    <t>Info Systems Security Program (ISSP)</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</si>
  <si>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</si>
  <si>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</si>
  <si>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</si>
  <si>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</si>
  <si>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</si>
  <si>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</si>
  <si>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</si>
  <si>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</si>
  <si>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</si>
  <si>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</si>
  <si>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</si>
  <si>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OPN BA2 &gt; BSA 15 &gt; LI 3415 &gt; KM Afloat</t>
  </si>
  <si>
    <t>767</t>
  </si>
  <si>
    <t>Key Management (KM) - Afloat (DA005)</t>
  </si>
  <si>
    <t>SHARKCAGE</t>
  </si>
  <si>
    <t>OPN BA2 &gt; BSA 15 &gt; LI 3415 &gt; SHARKCAGE</t>
  </si>
  <si>
    <t>775</t>
  </si>
  <si>
    <t>3417</t>
  </si>
  <si>
    <t>MIO Intel Exploitation Team</t>
  </si>
  <si>
    <t>OPN BA2 &gt; BSA 15: Cryptographic Equipment &gt; LI 3417 MIO Intel Exploitation Team</t>
  </si>
  <si>
    <t>781</t>
  </si>
  <si>
    <t>343SA - Maritime Interdiction Operations Intel Exploitation Team</t>
  </si>
  <si>
    <t>3501</t>
  </si>
  <si>
    <t>Cryptologic Communications Equip</t>
  </si>
  <si>
    <t>OPN BA2 &gt; BSA 16: Cryptologic Equipment &gt; LI 3501 Cryptologic Communications Equip</t>
  </si>
  <si>
    <t>785</t>
  </si>
  <si>
    <t>3620</t>
  </si>
  <si>
    <t>Coast Guard Equipment</t>
  </si>
  <si>
    <t>OPN BA2 &gt; BSA 17: Other Electronic Support &gt; LI 3620 Coast Guard Equipment</t>
  </si>
  <si>
    <t>797</t>
  </si>
  <si>
    <t>CG001 - SPQ-9B RADAR</t>
  </si>
  <si>
    <t>LI 3620 Coast Guard Equipment</t>
  </si>
  <si>
    <t>USCG</t>
  </si>
  <si>
    <t>Cutters</t>
  </si>
  <si>
    <t>National Security Cutters</t>
  </si>
  <si>
    <t>WMSL</t>
  </si>
  <si>
    <t>OPN BA2 &gt; BSA 17 &gt; LI 3620 &gt; CG001 SPQ-9B</t>
  </si>
  <si>
    <t>CG001</t>
  </si>
  <si>
    <t>CG002 IFF AIMS</t>
  </si>
  <si>
    <t>OPN BA2 &gt; BSA 17 &gt; LI 3620 &gt; CG002 IFF</t>
  </si>
  <si>
    <t>CG002</t>
  </si>
  <si>
    <t>CG003 DECOYS MK 53</t>
  </si>
  <si>
    <t>OPN BA2 &gt; BSA 17 &gt; LI 3620 &gt; CG003 Decoys</t>
  </si>
  <si>
    <t>CG003</t>
  </si>
  <si>
    <t>CG004 SLQ-32</t>
  </si>
  <si>
    <t>OPN BA2 &gt; BSA 17 &gt; LI 3620 &gt; CG004 SLQ-32</t>
  </si>
  <si>
    <t>CG004</t>
  </si>
  <si>
    <t>CG007 MULTI-MODE RADAR</t>
  </si>
  <si>
    <t>OPN BA2 &gt; BSA 17 &gt; LI 3620 &gt; CG007 MMR</t>
  </si>
  <si>
    <t>798</t>
  </si>
  <si>
    <t>CG007</t>
  </si>
  <si>
    <t>CG008 ATHENA CCD</t>
  </si>
  <si>
    <t>OPN BA2 &gt; BSA 17 &gt; LI 3620 &gt; CG008 ATHENA CCD</t>
  </si>
  <si>
    <t>CG008</t>
  </si>
  <si>
    <t>OPC C4I</t>
  </si>
  <si>
    <t>OPN BA2 &gt; BSA 17 &gt; LI 3620 &gt; OPC C4I</t>
  </si>
  <si>
    <t>CG006 COMBAT SYSTEM INTEGRATION</t>
  </si>
  <si>
    <t>OPN BA2 &gt; BSA 17 &gt; LI 3620 &gt; CG006 CSI</t>
  </si>
  <si>
    <t>CG006</t>
  </si>
  <si>
    <t>OPN_BA3</t>
  </si>
  <si>
    <t>Sonobuoys - All Types</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</si>
  <si>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</si>
  <si>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</si>
  <si>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</si>
  <si>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</si>
  <si>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</si>
  <si>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</si>
  <si>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</si>
  <si>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</si>
  <si>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</si>
  <si>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</si>
  <si>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</si>
  <si>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</si>
  <si>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</si>
  <si>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</si>
  <si>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</si>
  <si>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</si>
  <si>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</si>
  <si>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</si>
  <si>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</si>
  <si>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</si>
  <si>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</si>
  <si>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</si>
  <si>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</si>
  <si>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</si>
  <si>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</si>
  <si>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</si>
  <si>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</si>
  <si>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</si>
  <si>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</si>
  <si>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</si>
  <si>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</si>
  <si>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</si>
  <si>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</si>
  <si>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</si>
  <si>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</si>
  <si>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</si>
  <si>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</si>
  <si>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</si>
  <si>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</si>
  <si>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</si>
  <si>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</si>
  <si>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</si>
  <si>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</si>
  <si>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</si>
  <si>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</si>
  <si>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</si>
  <si>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</si>
  <si>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</si>
  <si>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</si>
  <si>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</si>
  <si>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</si>
  <si>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</si>
  <si>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</si>
  <si>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</si>
  <si>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</si>
  <si>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</si>
  <si>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</si>
  <si>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</si>
  <si>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</si>
  <si>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</si>
  <si>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</si>
  <si>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</si>
  <si>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</si>
  <si>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</si>
  <si>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</si>
  <si>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</si>
  <si>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</si>
  <si>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</si>
  <si>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</si>
  <si>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</si>
  <si>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</si>
  <si>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</si>
  <si>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</si>
  <si>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</si>
  <si>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</si>
  <si>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</si>
  <si>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</si>
  <si>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</si>
  <si>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</si>
  <si>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</si>
  <si>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</si>
  <si>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</si>
  <si>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</si>
  <si>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</si>
  <si>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</si>
  <si>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</si>
  <si>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</si>
  <si>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</si>
  <si>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</si>
  <si>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</si>
  <si>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</si>
  <si>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</si>
  <si>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</si>
  <si>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</si>
  <si>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</si>
  <si>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</si>
  <si>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</si>
  <si>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</si>
  <si>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</si>
  <si>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P-40 / BA03 / BSA03 Aircraft Support Equipment / LI 4213</t>
  </si>
  <si>
    <t>4213</t>
  </si>
  <si>
    <t>Expeditionary Airfields (Item 1 of LI 4213)</t>
  </si>
  <si>
    <t>115 / Aircraft Support Equipment</t>
  </si>
  <si>
    <t>P-5 Cost Analysis / LI 4213 / Item 1 - Expeditionary Airfields</t>
  </si>
  <si>
    <t>Expeditionary Airfields</t>
  </si>
  <si>
    <t>Acft Rearming Equip (Item 2 of LI 4213)</t>
  </si>
  <si>
    <t>P-5 Cost Analysis / LI 4213 / Item 2 - Acft Rearming Equip</t>
  </si>
  <si>
    <t>Acft Rearming Equip</t>
  </si>
  <si>
    <t>Air Launch &amp; Recovery Equip (Item 3 of LI 4213)</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</si>
  <si>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</si>
  <si>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</si>
  <si>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</si>
  <si>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</si>
  <si>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</si>
  <si>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</si>
  <si>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</si>
  <si>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</si>
  <si>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</si>
  <si>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</si>
  <si>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</si>
  <si>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</si>
  <si>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</si>
  <si>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</si>
  <si>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</si>
  <si>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</si>
  <si>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</si>
  <si>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</si>
  <si>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</si>
  <si>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</si>
  <si>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</si>
  <si>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</si>
  <si>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P-5 Cost Analysis / LI 4213 / Item 4 - Natural Disaster Recovery</t>
  </si>
  <si>
    <t>Natural Disaster Recovery</t>
  </si>
  <si>
    <t>LAMPS MK III - SRQ(KU)-4 (S1010)</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</si>
  <si>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</si>
  <si>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</si>
  <si>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</si>
  <si>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</si>
  <si>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</si>
  <si>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</si>
  <si>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</si>
  <si>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</si>
  <si>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</si>
  <si>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</si>
  <si>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P-3a / LI 4213 / Mod 2 - CMV22</t>
  </si>
  <si>
    <t>/ LI 4213 / Mod 2 - CMV22</t>
  </si>
  <si>
    <t>CMV-22 SCD B Kits (Organic)</t>
  </si>
  <si>
    <t>115-P3a-2 / CMV22 Ship Mods</t>
  </si>
  <si>
    <t>Advanced Arresting Gear (AAG)</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</si>
  <si>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</si>
  <si>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</si>
  <si>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</si>
  <si>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</si>
  <si>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</si>
  <si>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</si>
  <si>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</si>
  <si>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</si>
  <si>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</si>
  <si>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</si>
  <si>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</si>
  <si>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</si>
  <si>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</si>
  <si>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</si>
  <si>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</si>
  <si>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</si>
  <si>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</si>
  <si>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</si>
  <si>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</si>
  <si>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</si>
  <si>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</si>
  <si>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</si>
  <si>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</si>
  <si>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</si>
  <si>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</si>
  <si>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</si>
  <si>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</si>
  <si>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</si>
  <si>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</si>
  <si>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</si>
  <si>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</si>
  <si>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</si>
  <si>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</si>
  <si>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</si>
  <si>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</si>
  <si>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</si>
  <si>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</si>
  <si>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</si>
  <si>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</si>
  <si>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4/6</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</si>
  <si>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</si>
  <si>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</si>
  <si>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</si>
  <si>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</si>
  <si>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</si>
  <si>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</si>
  <si>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</si>
  <si>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</si>
  <si>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</si>
  <si>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</si>
  <si>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</si>
  <si>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</si>
  <si>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</si>
  <si>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</si>
  <si>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</si>
  <si>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</si>
  <si>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</si>
  <si>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</si>
  <si>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</si>
  <si>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</si>
  <si>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</si>
  <si>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</si>
  <si>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</si>
  <si>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</si>
  <si>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</si>
  <si>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</si>
  <si>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</si>
  <si>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</si>
  <si>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</si>
  <si>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</si>
  <si>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</si>
  <si>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</si>
  <si>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</si>
  <si>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</si>
  <si>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</si>
  <si>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</si>
  <si>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</si>
  <si>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</si>
  <si>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</si>
  <si>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</si>
  <si>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</si>
  <si>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</si>
  <si>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</si>
  <si>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</si>
  <si>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</si>
  <si>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</si>
  <si>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</si>
  <si>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</si>
  <si>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P-40 / BA03 / BSA03 Aircraft Support Equipment / LI 4268</t>
  </si>
  <si>
    <t>4268</t>
  </si>
  <si>
    <t>Aviation Life Support</t>
  </si>
  <si>
    <t>Aviation Life Support (Item 1 of LI 4268)</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</si>
  <si>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</si>
  <si>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</si>
  <si>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</si>
  <si>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</si>
  <si>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</si>
  <si>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</si>
  <si>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</si>
  <si>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</si>
  <si>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</si>
  <si>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</si>
  <si>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</si>
  <si>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</si>
  <si>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</si>
  <si>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</si>
  <si>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</si>
  <si>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</si>
  <si>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</si>
  <si>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</si>
  <si>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P-5 / LI 4268 / Item 2 - AMAS</t>
  </si>
  <si>
    <t>Aviation Maintenance Advancement Solutions (AMAS)</t>
  </si>
  <si>
    <t>S6003 Aviation Maintenance Advancement Solution Hardware</t>
  </si>
  <si>
    <t>121-I2 / AMAS</t>
  </si>
  <si>
    <t>S6840 AMAS Production Support</t>
  </si>
  <si>
    <t>ALIS SHIP INSTALLATION (P-3a of LI 4268)</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</si>
  <si>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</si>
  <si>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</si>
  <si>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</si>
  <si>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</si>
  <si>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</si>
  <si>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</si>
  <si>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</si>
  <si>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</si>
  <si>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</si>
  <si>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</si>
  <si>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</si>
  <si>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</si>
  <si>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</si>
  <si>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</si>
  <si>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</si>
  <si>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</si>
  <si>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</si>
  <si>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</si>
  <si>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</si>
  <si>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</si>
  <si>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</si>
  <si>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</si>
  <si>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</si>
  <si>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</si>
  <si>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</si>
  <si>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</si>
  <si>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</si>
  <si>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</si>
  <si>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</si>
  <si>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</si>
  <si>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</si>
  <si>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</si>
  <si>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</si>
  <si>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</si>
  <si>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</si>
  <si>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</si>
  <si>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</si>
  <si>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</si>
  <si>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</si>
  <si>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</si>
  <si>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</si>
  <si>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</si>
  <si>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</si>
  <si>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</si>
  <si>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</si>
  <si>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</si>
  <si>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</si>
  <si>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</si>
  <si>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</si>
  <si>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</si>
  <si>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</si>
  <si>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</si>
  <si>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</si>
  <si>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</si>
  <si>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</si>
  <si>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</si>
  <si>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</si>
  <si>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</si>
  <si>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</si>
  <si>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</si>
  <si>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</si>
  <si>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</si>
  <si>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</si>
  <si>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</si>
  <si>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</si>
  <si>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</si>
  <si>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</si>
  <si>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</si>
  <si>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</si>
  <si>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</si>
  <si>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</si>
  <si>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</si>
  <si>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</si>
  <si>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</si>
  <si>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</si>
  <si>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</si>
  <si>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</si>
  <si>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</si>
  <si>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</si>
  <si>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OPN BA4 / BSA 3: Ship Missile Systems Equipment / HARPOON Support Equipment</t>
  </si>
  <si>
    <t>Harpoon Support Equipment</t>
  </si>
  <si>
    <t>ILS (Harpoon)</t>
  </si>
  <si>
    <t>5227 / HARPOON Support Equipment</t>
  </si>
  <si>
    <t>OPN BA4 / BSA 3 / HARPOON Support Equipment / ILS</t>
  </si>
  <si>
    <t>5231</t>
  </si>
  <si>
    <t>Ship Missile Support Equipment</t>
  </si>
  <si>
    <t>OPN BA4 / BSA 3: Ship Missile Systems Equipment / Ship Missile Support Equipment</t>
  </si>
  <si>
    <t>NATO SEASPARROW</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</si>
  <si>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</si>
  <si>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</si>
  <si>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</si>
  <si>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</si>
  <si>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</si>
  <si>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OPN BA4 / BSA 3 / Ship Missile Support / NATO SEASPARROW / Engineering</t>
  </si>
  <si>
    <t>MK57 MOD 14-19 Modernization</t>
  </si>
  <si>
    <t>MK57 Mod 14-19 Logistics</t>
  </si>
  <si>
    <t>OPN BA4 / BSA 3 / Ship Missile Support / NATO SEASPARROW / Logistics</t>
  </si>
  <si>
    <t>MK57 Mod 14-19 Depot</t>
  </si>
  <si>
    <t>OPN BA4 / BSA 3 / Ship Missile Support / NATO SEASPARROW / Depot</t>
  </si>
  <si>
    <t>MK57 Mod 14-19 Cyber</t>
  </si>
  <si>
    <t>OPN BA4 / BSA 3 / Ship Missile Support / NATO SEASPARROW / Cyber</t>
  </si>
  <si>
    <t>MK57 Mod 14-19 Safety</t>
  </si>
  <si>
    <t>OPN BA4 / BSA 3 / Ship Missile Support / NATO SEASPARROW / Safety</t>
  </si>
  <si>
    <t>Afloat Counter-Unmanned Aerial Systems (Afloat C-UAS)</t>
  </si>
  <si>
    <t>OPN BA4 / BSA 3 / Ship Missile Support / Afloat C-UAS</t>
  </si>
  <si>
    <t>RAM Launchers</t>
  </si>
  <si>
    <t>OPN BA4 / BSA 3 / Ship Missile Support / RAM Launchers</t>
  </si>
  <si>
    <t>UR006</t>
  </si>
  <si>
    <t>UR006 RAM Launchers Production Support</t>
  </si>
  <si>
    <t>OPN BA4 / BSA 3 / Ship Missile Support / RAM Launchers / Prod Support</t>
  </si>
  <si>
    <t>Ship Self Defense System</t>
  </si>
  <si>
    <t>OPN BA4 / BSA 3 / Ship Missile Support / Ship Self Defense System</t>
  </si>
  <si>
    <t>UQ002</t>
  </si>
  <si>
    <t>UQ002 - SSDS Production Support</t>
  </si>
  <si>
    <t>OPN BA4 / BSA 3 / Ship Missile Support / SSDS / Production Support</t>
  </si>
  <si>
    <t>UQ003</t>
  </si>
  <si>
    <t>UQ003 - SSDS ECP / SCD</t>
  </si>
  <si>
    <t>OPN BA4 / BSA 3 / Ship Missile Support / SSDS / ECP</t>
  </si>
  <si>
    <t>UQ004</t>
  </si>
  <si>
    <t>UQ004 - SSDS Training</t>
  </si>
  <si>
    <t>OPN BA4 / BSA 3 / Ship Missile Support / SSDS / Training</t>
  </si>
  <si>
    <t>UQ005A</t>
  </si>
  <si>
    <t>UQ005A - SSDS COTS Eng/Obsolescence Kits</t>
  </si>
  <si>
    <t>OPN BA4 / BSA 3 / Ship Missile Support / SSDS / COTS Obsolescence</t>
  </si>
  <si>
    <t>UQ007</t>
  </si>
  <si>
    <t>UQ007 - Combat System Ship Qualification Trial (CSSQT)</t>
  </si>
  <si>
    <t>OPN BA4 / BSA 3 / Ship Missile Support / SSDS / CSSQT</t>
  </si>
  <si>
    <t>UQ008</t>
  </si>
  <si>
    <t>UQ008 - Combat System Documentation &amp; Support</t>
  </si>
  <si>
    <t>OPN BA4 / BSA 3 / Ship Missile Support / SSDS / Doc Support</t>
  </si>
  <si>
    <t>AEGIS Support Equipment</t>
  </si>
  <si>
    <t>OPN BA4 / BSA 3 / Ship Missile Support / AEGIS Support Equipment</t>
  </si>
  <si>
    <t>L7001</t>
  </si>
  <si>
    <t>L7001 - Depot Special Tooling/Test Equipment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</si>
  <si>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</si>
  <si>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</si>
  <si>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</si>
  <si>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</si>
  <si>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</si>
  <si>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</si>
  <si>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</si>
  <si>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</si>
  <si>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</si>
  <si>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</si>
  <si>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</si>
  <si>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</si>
  <si>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OPN BA4 / BSA 3 / Ship Missile Support / AEGIS / Ship Change Procurement</t>
  </si>
  <si>
    <t>L7012</t>
  </si>
  <si>
    <t>L7012 - SPY 1D/DV Radar Enhancements (ALPS)</t>
  </si>
  <si>
    <t>OPN BA4 / BSA 3 / Ship Missile Support / AEGIS / SPY ALPS</t>
  </si>
  <si>
    <t>L7014</t>
  </si>
  <si>
    <t>L7014 - SPY Wholeness</t>
  </si>
  <si>
    <t>OPN BA4 / BSA 3 / Ship Missile Support / AEGIS / SPY Wholeness</t>
  </si>
  <si>
    <t>L7018</t>
  </si>
  <si>
    <t>L7018 - Enhanced Collection System (ECS) Proc &amp; Install Support</t>
  </si>
  <si>
    <t>OPN BA4 / BSA 3 / Ship Missile Support / AEGIS / ECS</t>
  </si>
  <si>
    <t>L7019</t>
  </si>
  <si>
    <t>L7019 - AEGIS Depot Maintenance Support</t>
  </si>
  <si>
    <t>OPN BA4 / BSA 3 / Ship Missile Support / AEGIS / Depot Maint</t>
  </si>
  <si>
    <t>L7600</t>
  </si>
  <si>
    <t>L7600 - Aegis Support Equipment Installation</t>
  </si>
  <si>
    <t>OPN BA4 / BSA 3 / Ship Missile Support / AEGIS / Installation</t>
  </si>
  <si>
    <t>Integrated Combat System (ICS) Equipment</t>
  </si>
  <si>
    <t>OPN BA4 / BSA 3 / Ship Missile Support / ICS Equipment</t>
  </si>
  <si>
    <t>MK57 SUPPORT EQUIPMENT</t>
  </si>
  <si>
    <t>OPN BA4 / BSA 3 / Ship Missile Support / MK57 Support</t>
  </si>
  <si>
    <t>MK57 UCEU Production Engineering and Logistics Support</t>
  </si>
  <si>
    <t>MK57 Support Equipment</t>
  </si>
  <si>
    <t>OPN BA4 / BSA 3 / Ship Missile Support / MK57 / Prod Eng</t>
  </si>
  <si>
    <t>Vertical Launch Systems</t>
  </si>
  <si>
    <t>OPN BA4 / BSA 3 / Ship Missile Support / VLS</t>
  </si>
  <si>
    <t>VLS ORDALTS</t>
  </si>
  <si>
    <t>OPN BA4 / BSA 3 / Ship Missile Support / VLS / ORDALTs</t>
  </si>
  <si>
    <t>VLS Production Engineering</t>
  </si>
  <si>
    <t>OPN BA4 / BSA 3 / Ship Missile Support / VLS / Prod Eng</t>
  </si>
  <si>
    <t>5A5IN Install Equipment N86</t>
  </si>
  <si>
    <t>OPN BA4 / BSA 3 / Ship Missile Support / VLS / Install</t>
  </si>
  <si>
    <t>OTH Weapon System</t>
  </si>
  <si>
    <t>OPN BA4 / BSA 3 / Ship Missile Support / OTH Weapon System</t>
  </si>
  <si>
    <t>OTH Procurement</t>
  </si>
  <si>
    <t>OPN BA4 / BSA 3 / Ship Missile Support / OTH / Procurement</t>
  </si>
  <si>
    <t>OTH WS Installation</t>
  </si>
  <si>
    <t>OPN BA4 / BSA 3 / Ship Missile Support / OTH / Installation</t>
  </si>
  <si>
    <t>DRAKE</t>
  </si>
  <si>
    <t>OPN BA4 / BSA 3 / Ship Missile Support / DRAKE</t>
  </si>
  <si>
    <t>NATO SEASPARROW (NSSMS Mk 57) [P-3a Mod 1]</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</si>
  <si>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</si>
  <si>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</si>
  <si>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</si>
  <si>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</si>
  <si>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</si>
  <si>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</si>
  <si>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</si>
  <si>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</si>
  <si>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</si>
  <si>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</si>
  <si>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</si>
  <si>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</si>
  <si>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</si>
  <si>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</si>
  <si>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</si>
  <si>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</si>
  <si>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</si>
  <si>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</si>
  <si>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</si>
  <si>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</si>
  <si>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</si>
  <si>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</si>
  <si>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</si>
  <si>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</si>
  <si>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</si>
  <si>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</si>
  <si>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</si>
  <si>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</si>
  <si>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</si>
  <si>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</si>
  <si>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</si>
  <si>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</si>
  <si>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</si>
  <si>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</si>
  <si>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</si>
  <si>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</si>
  <si>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</si>
  <si>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</si>
  <si>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</si>
  <si>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</si>
  <si>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</si>
  <si>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</si>
  <si>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</si>
  <si>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</si>
  <si>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</si>
  <si>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</si>
  <si>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</si>
  <si>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OPN BA4 / BSA 3: Ship Missile Systems Equipment / Tomahawk Support Equipment</t>
  </si>
  <si>
    <t>525300, TOMAHAWK Support Equipment</t>
  </si>
  <si>
    <t>TTWCS Hardware</t>
  </si>
  <si>
    <t>5253 / Tomahawk Support Equipment</t>
  </si>
  <si>
    <t>OPN BA4 / BSA 3 / Tomahawk Support / TTWCS Hardware</t>
  </si>
  <si>
    <t>TTWCS Product Improvement</t>
  </si>
  <si>
    <t>OPN BA4 / BSA 3 / Tomahawk Support / TTWCS Product Improvement</t>
  </si>
  <si>
    <t>Tomahawk Mission Planning Center (TMPC) Hardware</t>
  </si>
  <si>
    <t>OPN BA4 / BSA 3 / Tomahawk Support / TMPC Hardware</t>
  </si>
  <si>
    <t>TMPC Product Improvements</t>
  </si>
  <si>
    <t>OPN BA4 / BSA 3 / Tomahawk Support / TMPC Product Improvements</t>
  </si>
  <si>
    <t>TTWCS Production Engineering</t>
  </si>
  <si>
    <t>OPN BA4 / BSA 3 / Tomahawk Support / TTWCS Prod Eng</t>
  </si>
  <si>
    <t>TTWCS Integrated Logistic Support</t>
  </si>
  <si>
    <t>OPN BA4 / BSA 3 / Tomahawk Support / TTWCS ILS</t>
  </si>
  <si>
    <t>TMPC Production Engineering</t>
  </si>
  <si>
    <t>OPN BA4 / BSA 3 / Tomahawk Support / TMPC Prod Eng</t>
  </si>
  <si>
    <t>TMPC Production Support</t>
  </si>
  <si>
    <t>OPN BA4 / BSA 3 / Tomahawk Support / TMPC Prod Support</t>
  </si>
  <si>
    <t>TMPC Integrated Logistic Support</t>
  </si>
  <si>
    <t>OPN BA4 / BSA 3 / Tomahawk Support / TMPC ILS</t>
  </si>
  <si>
    <t>5353</t>
  </si>
  <si>
    <t>CPS Support Equipment</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</si>
  <si>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</si>
  <si>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</si>
  <si>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</si>
  <si>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</si>
  <si>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</si>
  <si>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</si>
  <si>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</si>
  <si>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</si>
  <si>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</si>
  <si>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</si>
  <si>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</si>
  <si>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</si>
  <si>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</si>
  <si>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</si>
  <si>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</si>
  <si>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</si>
  <si>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</si>
  <si>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</si>
  <si>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</si>
  <si>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</si>
  <si>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</si>
  <si>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</si>
  <si>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</si>
  <si>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</si>
  <si>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</si>
  <si>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</si>
  <si>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</si>
  <si>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</si>
  <si>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</si>
  <si>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</si>
  <si>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</si>
  <si>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</si>
  <si>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</si>
  <si>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</si>
  <si>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</si>
  <si>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</si>
  <si>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</si>
  <si>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</si>
  <si>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</si>
  <si>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</si>
  <si>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</si>
  <si>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</si>
  <si>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</si>
  <si>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</si>
  <si>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</si>
  <si>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</si>
  <si>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</si>
  <si>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</si>
  <si>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</si>
  <si>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</si>
  <si>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</si>
  <si>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</si>
  <si>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</si>
  <si>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</si>
  <si>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</si>
  <si>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</si>
  <si>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</si>
  <si>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</si>
  <si>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</si>
  <si>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</si>
  <si>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</si>
  <si>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</si>
  <si>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</si>
  <si>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</si>
  <si>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</si>
  <si>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</si>
  <si>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</si>
  <si>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</si>
  <si>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</si>
  <si>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</si>
  <si>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</si>
  <si>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</si>
  <si>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</si>
  <si>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</si>
  <si>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</si>
  <si>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</si>
  <si>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</si>
  <si>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</si>
  <si>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</si>
  <si>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</si>
  <si>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</si>
  <si>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</si>
  <si>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</si>
  <si>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</si>
  <si>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</si>
  <si>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</si>
  <si>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</si>
  <si>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</si>
  <si>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</si>
  <si>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</si>
  <si>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</si>
  <si>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</si>
  <si>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</si>
  <si>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</si>
  <si>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</si>
  <si>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</si>
  <si>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</si>
  <si>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</si>
  <si>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</si>
  <si>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</si>
  <si>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</si>
  <si>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</si>
  <si>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</si>
  <si>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</si>
  <si>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</si>
  <si>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</si>
  <si>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</si>
  <si>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</si>
  <si>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</si>
  <si>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</si>
  <si>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</si>
  <si>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</si>
  <si>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</si>
  <si>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</si>
  <si>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</si>
  <si>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</si>
  <si>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</si>
  <si>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</si>
  <si>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</si>
  <si>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</si>
  <si>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</si>
  <si>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</si>
  <si>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</si>
  <si>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</si>
  <si>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</si>
  <si>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</si>
  <si>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</si>
  <si>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</si>
  <si>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</si>
  <si>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</si>
  <si>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</si>
  <si>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</si>
  <si>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</si>
  <si>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</si>
  <si>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</si>
  <si>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</si>
  <si>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</si>
  <si>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</si>
  <si>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</si>
  <si>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</si>
  <si>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OPN BA4 / BSA 5 / SSN Combat Control / P-3a SSN774 PSA</t>
  </si>
  <si>
    <t>5429</t>
  </si>
  <si>
    <t>ASW Support Equipment</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</si>
  <si>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</si>
  <si>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</si>
  <si>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</si>
  <si>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</si>
  <si>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</si>
  <si>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</si>
  <si>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</si>
  <si>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</si>
  <si>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</si>
  <si>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</si>
  <si>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</si>
  <si>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</si>
  <si>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</si>
  <si>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</si>
  <si>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</si>
  <si>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</si>
  <si>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</si>
  <si>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</si>
  <si>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</si>
  <si>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</si>
  <si>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</si>
  <si>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</si>
  <si>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</si>
  <si>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</si>
  <si>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</si>
  <si>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</si>
  <si>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</si>
  <si>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</si>
  <si>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</si>
  <si>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</si>
  <si>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</si>
  <si>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</si>
  <si>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</si>
  <si>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</si>
  <si>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</si>
  <si>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</si>
  <si>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</si>
  <si>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</si>
  <si>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</si>
  <si>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</si>
  <si>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</si>
  <si>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</si>
  <si>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</si>
  <si>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</si>
  <si>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</si>
  <si>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</si>
  <si>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OPN BA4 / BSA 5 / ASW Support / P-3a AN/UQN-10 Fathometer</t>
  </si>
  <si>
    <t>VC010 - AN/UQN-10 SONAR SOUNDING SET FATHOMETER</t>
  </si>
  <si>
    <t>5509</t>
  </si>
  <si>
    <t>EOD Equipment</t>
  </si>
  <si>
    <t>OPN BA4 / BSA 6: Other Ordnance Support Equipment / EOD Equipment</t>
  </si>
  <si>
    <t>EOD - CREW Equipment</t>
  </si>
  <si>
    <t>VN077</t>
  </si>
  <si>
    <t>VN077 - Navy EOD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</si>
  <si>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</si>
  <si>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</si>
  <si>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</si>
  <si>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</si>
  <si>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</si>
  <si>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</si>
  <si>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</si>
  <si>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OPN BA4 / BSA 6 / EOD Equipment / CUAS DRAKE</t>
  </si>
  <si>
    <t>212</t>
  </si>
  <si>
    <t>DRAKE Systems/Tech Insertion Undersea Enterprise</t>
  </si>
  <si>
    <t>OPN BA4 / BSA 6 / EOD Equipment / DRAKE Undersea</t>
  </si>
  <si>
    <t>DRAKE Systems/Tech Insertion Air Enterprise</t>
  </si>
  <si>
    <t>OPN BA4 / BSA 6 / EOD Equipment / DRAKE Air Enterprise</t>
  </si>
  <si>
    <t>5510</t>
  </si>
  <si>
    <t>Directed Energy Systems</t>
  </si>
  <si>
    <t>OPN BA4 / BSA 6: Other Ordnance Support Equipment / Directed Energy Systems</t>
  </si>
  <si>
    <t>DE001 - DIRECTED ENERGY SYSTEMS</t>
  </si>
  <si>
    <t>DE001</t>
  </si>
  <si>
    <t>DE001 ILS/Production Support</t>
  </si>
  <si>
    <t>5510 / Directed Energy Systems</t>
  </si>
  <si>
    <t>OPN BA4 / BSA 6 / Directed Energy / ILS Prod Support</t>
  </si>
  <si>
    <t>DE001 Engineering Change Proposals (ECPs)</t>
  </si>
  <si>
    <t>OPN BA4 / BSA 6 / Directed Energy / ECPs</t>
  </si>
  <si>
    <t>DE001 Spares</t>
  </si>
  <si>
    <t>OPN BA4 / BSA 6 / Directed Energy / Spares</t>
  </si>
  <si>
    <t>DE001 Tech Refresh</t>
  </si>
  <si>
    <t>OPN BA4 / BSA 6 / Directed Energy / Tech Refresh</t>
  </si>
  <si>
    <t>5543</t>
  </si>
  <si>
    <t>OPN BA4 / BSA 6: Other Ordnance Support Equipment / Items Less Than $5 Million</t>
  </si>
  <si>
    <t>RA005</t>
  </si>
  <si>
    <t>RA005 - Fleet Mine Support Equipment</t>
  </si>
  <si>
    <t>5543 / Items Less Than $5 Million</t>
  </si>
  <si>
    <t>OPN BA4 / BSA 6 / Items &lt;$5M / Fleet Mine Support</t>
  </si>
  <si>
    <t>RA003</t>
  </si>
  <si>
    <t>RA003 - Industrial Facilities (NIROP ABL)</t>
  </si>
  <si>
    <t>OPN BA4 / BSA 6 / Items &lt;$5M / NIROP ABL</t>
  </si>
  <si>
    <t>5530</t>
  </si>
  <si>
    <t>Anti-ship Missile Decoy System</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</si>
  <si>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</si>
  <si>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</si>
  <si>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</si>
  <si>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</si>
  <si>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</si>
  <si>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</si>
  <si>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</si>
  <si>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</si>
  <si>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</si>
  <si>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</si>
  <si>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</si>
  <si>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</si>
  <si>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</si>
  <si>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</si>
  <si>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</si>
  <si>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</si>
  <si>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</si>
  <si>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</si>
  <si>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</si>
  <si>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</si>
  <si>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</si>
  <si>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</si>
  <si>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</si>
  <si>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</si>
  <si>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</si>
  <si>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</si>
  <si>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</si>
  <si>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</si>
  <si>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</si>
  <si>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</si>
  <si>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</si>
  <si>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</si>
  <si>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</si>
  <si>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</si>
  <si>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</si>
  <si>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</si>
  <si>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</si>
  <si>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</si>
  <si>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</si>
  <si>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</si>
  <si>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</si>
  <si>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</si>
  <si>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</si>
  <si>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</si>
  <si>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</si>
  <si>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</si>
  <si>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</si>
  <si>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</si>
  <si>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</si>
  <si>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</si>
  <si>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</si>
  <si>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</si>
  <si>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</si>
  <si>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</si>
  <si>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</si>
  <si>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</si>
  <si>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</si>
  <si>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</si>
  <si>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</si>
  <si>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OPN BA4 / BSA 7 / Sub Training / HM&amp;E / Sub Training Dev</t>
  </si>
  <si>
    <t>Ship Control Trainers</t>
  </si>
  <si>
    <t>OPN BA4 / BSA 7 / Sub Training / HM&amp;E / Ship Control</t>
  </si>
  <si>
    <t>TD200</t>
  </si>
  <si>
    <t>TD200 Engineering Trainers</t>
  </si>
  <si>
    <t>OPN BA4 / BSA 7 / Sub Training / Engineering Trainers</t>
  </si>
  <si>
    <t>240</t>
  </si>
  <si>
    <t>TD200 ENGINEERING TRAINERS</t>
  </si>
  <si>
    <t>FIDE</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</si>
  <si>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</si>
  <si>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</si>
  <si>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</si>
  <si>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</si>
  <si>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</si>
  <si>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</si>
  <si>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</si>
  <si>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</si>
  <si>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</si>
  <si>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</si>
  <si>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</si>
  <si>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</si>
  <si>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</si>
  <si>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</si>
  <si>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</si>
  <si>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</si>
  <si>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</si>
  <si>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</si>
  <si>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</si>
  <si>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</si>
  <si>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</si>
  <si>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</si>
  <si>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</si>
  <si>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</si>
  <si>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TD 400 / Combat Control Acoustic</t>
  </si>
  <si>
    <t>OPN BA4 / BSA 7 / Sub Training / Acoustic / FRTT</t>
  </si>
  <si>
    <t>Engineering Tech Support</t>
  </si>
  <si>
    <t>OPN BA4 / BSA 7 / Sub Training / Acoustic / Eng Tech Support</t>
  </si>
  <si>
    <t>TD 500</t>
  </si>
  <si>
    <t>TD 500 Attack Center Trainers</t>
  </si>
  <si>
    <t>OPN BA4 / BSA 7 / Sub Training / Attack Center Trainers</t>
  </si>
  <si>
    <t>TD 500 ATTACK CENTER TRAINERS</t>
  </si>
  <si>
    <t>Submarine Attack Centers</t>
  </si>
  <si>
    <t>TD 500 / Attack Center Trainers</t>
  </si>
  <si>
    <t>OPN BA4 / BSA 7 / Sub Training / Attack Center / SAC</t>
  </si>
  <si>
    <t>SSBN SSGN SSN EPM</t>
  </si>
  <si>
    <t>OPN BA4 / BSA 7 / Sub Training / Attack Center / EPM</t>
  </si>
  <si>
    <t>SMMTT Tech Support</t>
  </si>
  <si>
    <t>OPN BA4 / BSA 7 / Sub Training / Attack Center / SMMTT</t>
  </si>
  <si>
    <t>Submarine Attack Center Modifications [P-3a Mod 1]</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</si>
  <si>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</si>
  <si>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</si>
  <si>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</si>
  <si>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</si>
  <si>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</si>
  <si>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</si>
  <si>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</si>
  <si>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</si>
  <si>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</si>
  <si>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</si>
  <si>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</si>
  <si>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</si>
  <si>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</si>
  <si>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</si>
  <si>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</si>
  <si>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</si>
  <si>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</si>
  <si>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</si>
  <si>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</si>
  <si>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</si>
  <si>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</si>
  <si>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</si>
  <si>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</si>
  <si>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</si>
  <si>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</si>
  <si>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</si>
  <si>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</si>
  <si>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</si>
  <si>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</si>
  <si>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</si>
  <si>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</si>
  <si>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</si>
  <si>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</si>
  <si>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</si>
  <si>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</si>
  <si>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</si>
  <si>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</si>
  <si>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</si>
  <si>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</si>
  <si>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</si>
  <si>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</si>
  <si>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</si>
  <si>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</si>
  <si>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</si>
  <si>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</si>
  <si>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</si>
  <si>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</si>
  <si>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</si>
  <si>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</si>
  <si>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</si>
  <si>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</si>
  <si>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</si>
  <si>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</si>
  <si>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</si>
  <si>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</si>
  <si>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</si>
  <si>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</si>
  <si>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</si>
  <si>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</si>
  <si>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</si>
  <si>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</si>
  <si>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</si>
  <si>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</si>
  <si>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</si>
  <si>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</si>
  <si>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</si>
  <si>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</si>
  <si>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</si>
  <si>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</si>
  <si>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</si>
  <si>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</si>
  <si>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</si>
  <si>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</si>
  <si>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</si>
  <si>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</si>
  <si>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</si>
  <si>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</si>
  <si>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</si>
  <si>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</si>
  <si>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</si>
  <si>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</si>
  <si>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</si>
  <si>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</si>
  <si>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</si>
  <si>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</si>
  <si>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</si>
  <si>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</si>
  <si>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</si>
  <si>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</si>
  <si>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</si>
  <si>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</si>
  <si>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</si>
  <si>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</si>
  <si>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</si>
  <si>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</si>
  <si>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</si>
  <si>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</si>
  <si>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</si>
  <si>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Exhibit P-40 / BA05 Civil Engineering Support Equipment / Civil Engineering Support Equipment / Line 146</t>
  </si>
  <si>
    <t>6033</t>
  </si>
  <si>
    <t>BA06</t>
  </si>
  <si>
    <t>Total Supply Support Equipment</t>
  </si>
  <si>
    <t>Exhibit P-1 / BA06 Supply Support Equipment</t>
  </si>
  <si>
    <t>Supply Equipment</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</si>
  <si>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</si>
  <si>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</si>
  <si>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</si>
  <si>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</si>
  <si>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</si>
  <si>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</si>
  <si>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</si>
  <si>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Exhibit P-40 / BA06 Supply Support Equipment / Supply Support Equipment / Line 153</t>
  </si>
  <si>
    <t>7069</t>
  </si>
  <si>
    <t>BA07</t>
  </si>
  <si>
    <t>Total Personnel &amp; Command Support Equipment</t>
  </si>
  <si>
    <t>Exhibit P-1 / BA07 Personnel &amp; Command Support Equipment</t>
  </si>
  <si>
    <t>Medical Support Equipment</t>
  </si>
  <si>
    <t>Exhibit P-40 / BA07 Personnel &amp; Command Support Equipment / Command Support Equipment / Line 158</t>
  </si>
  <si>
    <t>8109</t>
  </si>
  <si>
    <t>BA08</t>
  </si>
  <si>
    <t>Total Spares and Repair Parts</t>
  </si>
  <si>
    <t>Exhibit P-1 / BA08 Spares and Repair Parts</t>
  </si>
  <si>
    <t>Exhibit P-40 / BA08 Spares and Repair Parts / Spares and Repair Parts / Line 176 (BLIN 9020)</t>
  </si>
  <si>
    <t>VIRGINIA Class (VACL) Spares and Repair Parts</t>
  </si>
  <si>
    <t>Exhibit P-40 / BA08 Spares and Repair Parts / Spares and Repair Parts / Line 177 (BLIN 9021)</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</si>
  <si>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</si>
  <si>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</si>
  <si>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</si>
  <si>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</si>
  <si>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</si>
  <si>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</si>
  <si>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</si>
  <si>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</si>
  <si>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</si>
  <si>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</si>
  <si>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</si>
  <si>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</si>
  <si>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</si>
  <si>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</si>
  <si>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</si>
  <si>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</si>
  <si>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</si>
  <si>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</si>
  <si>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</si>
  <si>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</si>
  <si>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</si>
  <si>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</si>
  <si>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</si>
  <si>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</si>
  <si>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</si>
  <si>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</si>
  <si>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</si>
  <si>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</si>
  <si>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</si>
  <si>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</si>
  <si>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</si>
  <si>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</si>
  <si>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</si>
  <si>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</si>
  <si>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</si>
  <si>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</si>
  <si>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</si>
  <si>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</si>
  <si>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</si>
  <si>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</si>
  <si>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</si>
  <si>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</si>
  <si>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</si>
  <si>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</si>
  <si>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</si>
  <si>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</si>
  <si>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</si>
  <si>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</si>
  <si>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</si>
  <si>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</si>
  <si>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</si>
  <si>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</si>
  <si>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</si>
  <si>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</si>
  <si>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</si>
  <si>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</si>
  <si>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</si>
  <si>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</si>
  <si>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</si>
  <si>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</si>
  <si>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</si>
  <si>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</si>
  <si>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</si>
  <si>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</si>
  <si>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</si>
  <si>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</si>
  <si>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</si>
  <si>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</si>
  <si>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</si>
  <si>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</si>
  <si>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</si>
  <si>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</si>
  <si>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</si>
  <si>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</si>
  <si>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</si>
  <si>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</si>
  <si>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</si>
  <si>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</si>
  <si>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</si>
  <si>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</si>
  <si>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</si>
  <si>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</si>
  <si>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</si>
  <si>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</si>
  <si>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</si>
  <si>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</si>
  <si>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</si>
  <si>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</si>
  <si>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</si>
  <si>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</si>
  <si>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</si>
  <si>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</si>
  <si>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</si>
  <si>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</si>
  <si>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</si>
  <si>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</si>
  <si>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</si>
  <si>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</si>
  <si>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</si>
  <si>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</si>
  <si>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</si>
  <si>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</si>
  <si>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</si>
  <si>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</si>
  <si>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</si>
  <si>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</si>
  <si>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</si>
  <si>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</si>
  <si>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</si>
  <si>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</si>
  <si>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</si>
  <si>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1507N &gt; BA 01 &gt; BSA 2: Modification of Missiles &gt; LI 1250 TRIDENT II Mods</t>
  </si>
  <si>
    <t>TRIDENT II Mods: D5 Life Extension</t>
  </si>
  <si>
    <t>2 / TRIDENT II Mods</t>
  </si>
  <si>
    <t>1507N &gt; BA 01 &gt; LI 1250 &gt; P-5 Item 1: D5 Life Extension</t>
  </si>
  <si>
    <t>TRIDENT II Mods - D5 Life Extension</t>
  </si>
  <si>
    <t>TRIDENT II Mods: Operating &amp; Support Costs</t>
  </si>
  <si>
    <t>1507N &gt; BA 01 &gt; LI 1250 &gt; P-5 Item 2: Operating &amp; Support Costs</t>
  </si>
  <si>
    <t>TRIDENT II Mods -Operating and Support Costs</t>
  </si>
  <si>
    <t>TRIDENT II Mods: D5 Life Extension 2 (D5LE2)</t>
  </si>
  <si>
    <t>1507N &gt; BA 01 &gt; LI 1250 &gt; P-5 Item 3: D5LE2</t>
  </si>
  <si>
    <t>1350</t>
  </si>
  <si>
    <t>Missile Industrial Facilities</t>
  </si>
  <si>
    <t>1507N &gt; BA 01 &gt; BSA 3: Support Equipment &amp; Facilities &gt; LI 1350 Missile Industrial Facilities</t>
  </si>
  <si>
    <t>2101</t>
  </si>
  <si>
    <t>Tomahawk</t>
  </si>
  <si>
    <t>1507N &gt; BA 02 &gt; BSA 1: Strategic Missiles &gt; LI 2101 Tomahawk</t>
  </si>
  <si>
    <t>2206</t>
  </si>
  <si>
    <t>AMRAAM</t>
  </si>
  <si>
    <t>1507N &gt; BA 02 &gt; BSA 2: Tactical Missiles &gt; LI 2206 AMRAAM</t>
  </si>
  <si>
    <t>2209</t>
  </si>
  <si>
    <t>Sidewinder</t>
  </si>
  <si>
    <t>1507N &gt; BA 02 &gt; BSA 2: Tactical Missiles &gt; LI 2209 Sidewinder</t>
  </si>
  <si>
    <t>SIDEWINDER BLOCK II</t>
  </si>
  <si>
    <t>Joint Advance Tactical Missile (JATM)</t>
  </si>
  <si>
    <t>1507N &gt; BA 02 &gt; BSA 2: Tactical Missiles &gt; LI 2210 JATM</t>
  </si>
  <si>
    <t>2234</t>
  </si>
  <si>
    <t>Standard Missile</t>
  </si>
  <si>
    <t>1507N &gt; BA 02 &gt; BSA 2: Tactical Missiles &gt; LI 2234 Standard Missile</t>
  </si>
  <si>
    <t>STANDARD MISSILE</t>
  </si>
  <si>
    <t>Standard Missile Advance Procurement</t>
  </si>
  <si>
    <t>10 / Standard Missile</t>
  </si>
  <si>
    <t>1507N &gt; BA 02 &gt; BSA 2: Tactical Missiles &gt; LI 2234 Standard Missile AP</t>
  </si>
  <si>
    <t>2238</t>
  </si>
  <si>
    <t>Small Diameter Bomb II (SDB II)</t>
  </si>
  <si>
    <t>1507N &gt; BA 02 &gt; BSA 2: Tactical Missiles &gt; LI 2238 SDB II</t>
  </si>
  <si>
    <t>2242</t>
  </si>
  <si>
    <t>Rolling Airframe Missile (RAM)</t>
  </si>
  <si>
    <t>1507N &gt; BA 02 &gt; BSA 2: Tactical Missiles &gt; LI 2242 RAM</t>
  </si>
  <si>
    <t>MSE Missile</t>
  </si>
  <si>
    <t>1507N &gt; BA 02 &gt; BSA 2: Tactical Missiles &gt; MSE Missile (P-1 only)</t>
  </si>
  <si>
    <t>2248</t>
  </si>
  <si>
    <t>Joint Air Ground Missile (JAGM)</t>
  </si>
  <si>
    <t>1507N &gt; BA 02 &gt; BSA 2: Tactical Missiles &gt; LI 2248 JAGM</t>
  </si>
  <si>
    <t>2254</t>
  </si>
  <si>
    <t>Hellfire</t>
  </si>
  <si>
    <t>1507N &gt; BA 02 &gt; BSA 2: Tactical Missiles &gt; LI 2254 Hellfire</t>
  </si>
  <si>
    <t>Hellfire Missile</t>
  </si>
  <si>
    <t>2280</t>
  </si>
  <si>
    <t>Aerial Targets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</si>
  <si>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</si>
  <si>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</si>
  <si>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</si>
  <si>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</si>
  <si>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</si>
  <si>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</si>
  <si>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</si>
  <si>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</si>
  <si>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</si>
  <si>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</si>
  <si>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</si>
  <si>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</si>
  <si>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</si>
  <si>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</si>
  <si>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</si>
  <si>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</si>
  <si>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1507N &gt; BA 02 &gt; BSA 2: Tactical Missiles &gt; LI 2290 Other Missile Support</t>
  </si>
  <si>
    <t>2291</t>
  </si>
  <si>
    <t>LRASM</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</si>
  <si>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</si>
  <si>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</si>
  <si>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</si>
  <si>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</si>
  <si>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</si>
  <si>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</si>
  <si>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</si>
  <si>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</si>
  <si>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</si>
  <si>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</si>
  <si>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1507N &gt; BA 02 &gt; BSA 2: Tactical Missiles &gt; LI 2292 NSM</t>
  </si>
  <si>
    <t>Naval Strike Missile (NSM) Advance Procurement</t>
  </si>
  <si>
    <t>21 / Naval Strike Missile (NSM)</t>
  </si>
  <si>
    <t>1507N &gt; BA 02 &gt; BSA 2: Tactical Missiles &gt; LI 2292 NSM AP</t>
  </si>
  <si>
    <t>2301</t>
  </si>
  <si>
    <t>Tomahawk Mods</t>
  </si>
  <si>
    <t>1507N &gt; BA 02 &gt; BSA 3: Modification of Missiles &gt; LI 2301 Tomahawk Mods</t>
  </si>
  <si>
    <t>TACTOM NAV/COMMs Modernization and Recertification Kits</t>
  </si>
  <si>
    <t>2307</t>
  </si>
  <si>
    <t>Evolved Sea Sparrow Missile (ESSM)</t>
  </si>
  <si>
    <t>1507N &gt; BA 02 &gt; BSA 3: Modification of Missiles &gt; LI 2307 ESSM</t>
  </si>
  <si>
    <t>2327</t>
  </si>
  <si>
    <t>AARGM-ER</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</si>
  <si>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</si>
  <si>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</si>
  <si>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</si>
  <si>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</si>
  <si>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</si>
  <si>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</si>
  <si>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</si>
  <si>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28 / AARGM-ER</t>
  </si>
  <si>
    <t>1507N &gt; BA 02 &gt; BSA 3: Modification of Missiles &gt; LI 2327 AARGM-ER AP</t>
  </si>
  <si>
    <t>2356</t>
  </si>
  <si>
    <t>Standard Missiles Mods</t>
  </si>
  <si>
    <t>1507N &gt; BA 02 &gt; BSA 3: Modification of Missiles &gt; LI 2356 Standard Missiles Mods</t>
  </si>
  <si>
    <t>325</t>
  </si>
  <si>
    <t>2420</t>
  </si>
  <si>
    <t>Weapons Industrial Facilities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</si>
  <si>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</si>
  <si>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</si>
  <si>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</si>
  <si>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</si>
  <si>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</si>
  <si>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</si>
  <si>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1507N &gt; BA 03 &gt; BSA 1: Torpedoes and Related Equip &gt; LI 3113 SSTD</t>
  </si>
  <si>
    <t>3117</t>
  </si>
  <si>
    <t>MK-48 Torpedo</t>
  </si>
  <si>
    <t>1507N &gt; BA 03 &gt; BSA 1: Torpedoes and Related Equip &gt; LI 3117 MK-48 Torpedo</t>
  </si>
  <si>
    <t>3141</t>
  </si>
  <si>
    <t>ASW Targets</t>
  </si>
  <si>
    <t>1507N &gt; BA 03 &gt; BSA 1: Torpedoes and Related Equip &gt; LI 3141 ASW Targets</t>
  </si>
  <si>
    <t>ASW TARGETS</t>
  </si>
  <si>
    <t>MK-54 Torpedo Mods</t>
  </si>
  <si>
    <t>1507N &gt; BA 03 &gt; BSA 2: Mod of Torpedoes &gt; LI 3215 MK-54 Torpedo Mods</t>
  </si>
  <si>
    <t>3225</t>
  </si>
  <si>
    <t>MK-48 Torpedo ADCAP Mods</t>
  </si>
  <si>
    <t>1507N &gt; BA 03 &gt; BSA 2: Mod of Torpedoes &gt; LI 3225 MK-48 ADCAP Mods</t>
  </si>
  <si>
    <t>3231</t>
  </si>
  <si>
    <t>Maritime Mines</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</si>
  <si>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</si>
  <si>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</si>
  <si>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</si>
  <si>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</si>
  <si>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</si>
  <si>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</si>
  <si>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</si>
  <si>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</si>
  <si>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</si>
  <si>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</si>
  <si>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</si>
  <si>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</si>
  <si>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</si>
  <si>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</si>
  <si>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</si>
  <si>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</si>
  <si>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</si>
  <si>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</si>
  <si>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</si>
  <si>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</si>
  <si>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</si>
  <si>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</si>
  <si>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</si>
  <si>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</si>
  <si>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</si>
  <si>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</si>
  <si>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</si>
  <si>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</si>
  <si>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</si>
  <si>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</si>
  <si>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</si>
  <si>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1507N &gt; BA 03 &gt; BSA 3: Support Equipment &gt; LI 3302 ASW Range Support</t>
  </si>
  <si>
    <t>483</t>
  </si>
  <si>
    <t>2410</t>
  </si>
  <si>
    <t>First Destination Transportation</t>
  </si>
  <si>
    <t>1507N &gt; BA 03 &gt; BSA 4: Destination Transportation &gt; LI 2410 FDT</t>
  </si>
  <si>
    <t>489</t>
  </si>
  <si>
    <t>FIRST DESTINATION TRANSPORTATION (FDT)</t>
  </si>
  <si>
    <t>4129</t>
  </si>
  <si>
    <t>Small Arms and Weapons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</si>
  <si>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</si>
  <si>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</si>
  <si>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</si>
  <si>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</si>
  <si>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</si>
  <si>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</si>
  <si>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</si>
  <si>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</si>
  <si>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</si>
  <si>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</si>
  <si>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</si>
  <si>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1507N &gt; BA 04 &gt; BSA 2: Mod of Guns and Gun Mounts &gt; LI 4205 CIWS Mods</t>
  </si>
  <si>
    <t>Close-In Wpns Sys (CIWS) Mods</t>
  </si>
  <si>
    <t>4206</t>
  </si>
  <si>
    <t>Coast Guard Weapons</t>
  </si>
  <si>
    <t>1507N &gt; BA 04 &gt; BSA 2: Mod of Guns and Gun Mounts &gt; LI 4206 Coast Guard Weapons</t>
  </si>
  <si>
    <t>519</t>
  </si>
  <si>
    <t>Coast Guard Weapons: MK 110 Gun (57mm)</t>
  </si>
  <si>
    <t>53 / Coast Guard Weapons</t>
  </si>
  <si>
    <t>1507N &gt; BA 04 &gt; BSA 2 &gt; LI 4206 &gt; CG002 MK 110 GUN</t>
  </si>
  <si>
    <t>Coast Guard Weapons: MK 160 GCS</t>
  </si>
  <si>
    <t>1507N &gt; BA 04 &gt; BSA 2 &gt; LI 4206 &gt; CG003 MK 160 GCS</t>
  </si>
  <si>
    <t>Coast Guard Weapons: MK 38 Machine Gun Systems</t>
  </si>
  <si>
    <t>1507N &gt; BA 04 &gt; BSA 2 &gt; LI 4206 &gt; CG004 MK 38 MGS</t>
  </si>
  <si>
    <t>Coast Guard Weapons: Gun Weapon System Integration</t>
  </si>
  <si>
    <t>1507N &gt; BA 04 &gt; BSA 2 &gt; LI 4206 &gt; CG005 GWS Integration</t>
  </si>
  <si>
    <t>Gun Mount Mods</t>
  </si>
  <si>
    <t>1507N &gt; BA 04 &gt; BSA 2: Mod of Guns and Gun Mounts &gt; LI 4217 Gun Mount Mods</t>
  </si>
  <si>
    <t>Gun Mount Mods: Medium Caliber</t>
  </si>
  <si>
    <t>54 / Gun Mount Mods</t>
  </si>
  <si>
    <t>1507N &gt; BA 04 &gt; BSA 2 &gt; LI 4217 &gt; E5002 Medium Caliber Gun Mods</t>
  </si>
  <si>
    <t>Gun Mount Mods: Minor Caliber (MK38)</t>
  </si>
  <si>
    <t>1507N &gt; BA 04 &gt; BSA 2 &gt; LI 4217 &gt; E5006 Minor Caliber Gun Mods</t>
  </si>
  <si>
    <t>Gun Mount Mods: Major Caliber (MK45)</t>
  </si>
  <si>
    <t>1507N &gt; BA 04 &gt; BSA 2 &gt; LI 4217 &gt; E5011 Major Caliber Gun Mods</t>
  </si>
  <si>
    <t>4221</t>
  </si>
  <si>
    <t>LCS Module Weapons</t>
  </si>
  <si>
    <t>1507N &gt; BA 04 &gt; BSA 2: Mod of Guns and Gun Mounts &gt; LI 4221 LCS Module Weapons</t>
  </si>
  <si>
    <t>4225</t>
  </si>
  <si>
    <t>Airborne Mine Neutralization Systems</t>
  </si>
  <si>
    <t>1507N &gt; BA 04 &gt; BSA 2: Mod of Guns and Gun Mounts &gt; LI 4225 Airborne Mine Neutralization</t>
  </si>
  <si>
    <t>565</t>
  </si>
  <si>
    <t>ARCHERFISH Mine Neutralization Combat Rounds</t>
  </si>
  <si>
    <t>6120</t>
  </si>
  <si>
    <t>1507N &gt; BA 06 &gt; BSA 1: Spares and Repair Parts &gt; LI 6120 Spares</t>
  </si>
  <si>
    <t>575</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</si>
  <si>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</si>
  <si>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</si>
  <si>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</si>
  <si>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</si>
  <si>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</si>
  <si>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</si>
  <si>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</si>
  <si>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</si>
  <si>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1,4,5</t>
  </si>
  <si>
    <t>PC&amp;I &gt; Vessels - PPA &gt; Budget Comparison and Adjustments</t>
  </si>
  <si>
    <t>USCG-Vessels</t>
  </si>
  <si>
    <t>N024_000006384</t>
  </si>
  <si>
    <t>In-Service Vessel Sustainment</t>
  </si>
  <si>
    <t>PC&amp;I &gt; Vessels - PPA &gt; In-Service Vessel Sustainment - Investment</t>
  </si>
  <si>
    <t>47-Foot MLB SLEP</t>
  </si>
  <si>
    <t>N024_000006384 / In-Service Vessel Sustainment</t>
  </si>
  <si>
    <t>PC&amp;I &gt; Vessels - PPA &gt; In-Service Vessel Sustainment &gt; 47-Foot MLB SLEP</t>
  </si>
  <si>
    <t>CG Yard-Supported Investments (subtotal)</t>
  </si>
  <si>
    <t>PC&amp;I &gt; Vessels - PPA &gt; In-Service Vessel Sustainment &gt; CG Yard-Supported Investments (Overall Investment Funding)</t>
  </si>
  <si>
    <t>N024-000000001</t>
  </si>
  <si>
    <t>270-foot Medium Endurance Cutter (WMEC) SLEP</t>
  </si>
  <si>
    <t>PC&amp;I &gt; Vessels - PPA &gt; In-Service Vessel Sustainment &gt; CG Yard-Supported &gt; 270-ft WMEC SLEP</t>
  </si>
  <si>
    <t>270-ft WMEC SLEP</t>
  </si>
  <si>
    <t>175-foot Coastal Buoy Tender (WLM) MMA</t>
  </si>
  <si>
    <t>Coastal Buoy Tenders</t>
  </si>
  <si>
    <t>WLM</t>
  </si>
  <si>
    <t>PC&amp;I &gt; Vessels - PPA &gt; In-Service Vessel Sustainment &gt; CG Yard-Supported &gt; 175-ft WLM MMA</t>
  </si>
  <si>
    <t>175-ft WLM MMA</t>
  </si>
  <si>
    <t>CGC Healy SLEP</t>
  </si>
  <si>
    <t>PC&amp;I &gt; Vessels - PPA &gt; In-Service Vessel Sustainment &gt; CG Yard-Supported &gt; CGC Healy SLEP</t>
  </si>
  <si>
    <t>418-foot National Security Cutter (WMSL) MMA</t>
  </si>
  <si>
    <t>PC&amp;I &gt; Vessels - PPA &gt; In-Service Vessel Sustainment &gt; CG Yard-Supported &gt; 418-ft WMSL MMA</t>
  </si>
  <si>
    <t>418-ft WMSL MMA</t>
  </si>
  <si>
    <t>N024_000006369</t>
  </si>
  <si>
    <t>National Security Cutter</t>
  </si>
  <si>
    <t>PC&amp;I &gt; Vessels - PPA &gt; Budget Comparison and Adjustments &gt; Investment Descriptions</t>
  </si>
  <si>
    <t>N024_000006362</t>
  </si>
  <si>
    <t>Offshore Patrol Cutter</t>
  </si>
  <si>
    <t>Full ship DD&amp;C / LLTM</t>
  </si>
  <si>
    <t>WMSM</t>
  </si>
  <si>
    <t>PC&amp;I &gt; Vessels - PPA &gt; Offshore Patrol Cutter - Investment</t>
  </si>
  <si>
    <t>N024_000006370</t>
  </si>
  <si>
    <t>Fast Response Cutter</t>
  </si>
  <si>
    <t>Fast Response Cutters</t>
  </si>
  <si>
    <t>WPC</t>
  </si>
  <si>
    <t>PC&amp;I &gt; Vessels - PPA &gt; Fast Response Cutter - Investment</t>
  </si>
  <si>
    <t>N024_000006371</t>
  </si>
  <si>
    <t>Boats</t>
  </si>
  <si>
    <t>PC&amp;I &gt; Vessels - PPA &gt; Boats - Investment</t>
  </si>
  <si>
    <t>N024_000006381</t>
  </si>
  <si>
    <t>Polar Security Cutter</t>
  </si>
  <si>
    <t>Icebreakers, Oceangoing</t>
  </si>
  <si>
    <t>WAGB</t>
  </si>
  <si>
    <t>PC&amp;I &gt; Vessels - PPA &gt; Polar Security Cutter - Investment</t>
  </si>
  <si>
    <t>N024_000006440</t>
  </si>
  <si>
    <t>Commercially Available Polar Icebreaker</t>
  </si>
  <si>
    <t>N024_000006543</t>
  </si>
  <si>
    <t>Great Lakes Icebreaker</t>
  </si>
  <si>
    <t>Icebreakers, Great Lakes</t>
  </si>
  <si>
    <t>WLBB</t>
  </si>
  <si>
    <t>N024_000006386</t>
  </si>
  <si>
    <t>Waterways Commerce Cutter</t>
  </si>
  <si>
    <t>Waterways Commerce Cutters</t>
  </si>
  <si>
    <t>WCC</t>
  </si>
  <si>
    <t>PC&amp;I &gt; Vessels - PPA &gt; Waterways Commerce Cutter - Investment</t>
  </si>
  <si>
    <t>N024_000006383</t>
  </si>
  <si>
    <t>Survey and Design - Vessels Boats and Aircraft</t>
  </si>
  <si>
    <t>PC&amp;I &gt; Other Acquisition Programs - PPA &gt; Survey and Design - Vessels, Boats, and Aircraft - Investment</t>
  </si>
  <si>
    <t>N024_000006401</t>
  </si>
  <si>
    <t>Other Equipment and Systems</t>
  </si>
  <si>
    <t>PC&amp;I &gt; Other Acquisition Programs - PPA &gt; Other Equipment and Systems - Investment</t>
  </si>
  <si>
    <t>Vessel Operation Maintenance and Test Equipment</t>
  </si>
  <si>
    <t>N024_000006401 / Other Equipment and Systems</t>
  </si>
  <si>
    <t>PC&amp;I &gt; Other Acquisition Programs - PPA &gt; Other Equipment and Systems &gt; End Items Breakdown</t>
  </si>
  <si>
    <t>USCG-OtherAcq</t>
  </si>
  <si>
    <t>End Items Breakdown</t>
  </si>
  <si>
    <t>N024_000006394</t>
  </si>
  <si>
    <t>Program Oversight and Management</t>
  </si>
  <si>
    <t>PC&amp;I &gt; Other Acquisition Programs - PPA &gt; Program Oversight and Management - Investment</t>
  </si>
  <si>
    <t>PC&amp;I &gt; Other Acquisition Programs - PPA &gt; C4ISR - Investment</t>
  </si>
  <si>
    <t>Cyber and Enterprise Mission Platform</t>
  </si>
  <si>
    <t>PC&amp;I &gt; Other Acquisition Programs - PPA &gt; Cyber and Enterprise Mission Platform - Investment</t>
  </si>
  <si>
    <t>In-Service Systems Sustainment (ISSS)</t>
  </si>
  <si>
    <t>PC&amp;I &gt; Other Acquisition Programs - PPA &gt; In-Service System Sustainment - Investment</t>
  </si>
  <si>
    <t>N024_000006392</t>
  </si>
  <si>
    <t>Major Acquisition Systems Infrastructure</t>
  </si>
  <si>
    <t>PC&amp;I &gt; Shore Facilities and Aids to Navigation - PPA &gt; Major Acquisition Systems Infrastructure - Investment</t>
  </si>
  <si>
    <t>N024_000006404</t>
  </si>
  <si>
    <t>Unmanned Aircraft Systems (on NSCs)</t>
  </si>
  <si>
    <t>PC&amp;I &gt; Aircraft - PPA &gt; Unmanned Aircraft Systems - Investment</t>
  </si>
  <si>
    <t>O&amp;S</t>
  </si>
  <si>
    <t>Depot Level Maintenance (O&amp;S legislative earmark)</t>
  </si>
  <si>
    <t>Operations and Support (total)</t>
  </si>
  <si>
    <t>O&amp;S &gt; Proposed Legislative Language</t>
  </si>
  <si>
    <t>USCG-O&amp;S</t>
  </si>
  <si>
    <t>Proposed Legislative Language</t>
  </si>
  <si>
    <t>Surface Air and Shore Operations (PPA Level II)</t>
  </si>
  <si>
    <t>2,3</t>
  </si>
  <si>
    <t>O&amp;S &gt; Field Operations - PPA &gt; Surface, Air, and Shore Operations - PPA Level II</t>
  </si>
  <si>
    <t>USCG-Shore</t>
  </si>
  <si>
    <t>Operation and Maintenance of Equipment (Field Ops OC 25.7)</t>
  </si>
  <si>
    <t>O&amp;S &gt; Field Operations - PPA &gt; Non Pay by Object Class &gt; 25.7</t>
  </si>
  <si>
    <t>Commercial Icebreaker Follow-On (O&amp;S program change)</t>
  </si>
  <si>
    <t>O&amp;S &gt; Justification of Program Changes &gt; Program Change 5</t>
  </si>
  <si>
    <t>Fast Response Cutter (FRC) Follow-On (O&amp;S program change)</t>
  </si>
  <si>
    <t>O&amp;S &gt; Justification of Program Changes &gt; Program Change 8</t>
  </si>
  <si>
    <t>Offshore Patrol Cutter (OPC) Follow-On (O&amp;S program change)</t>
  </si>
  <si>
    <t>O&amp;S &gt; Justification of Program Changes &gt; Program Change 16</t>
  </si>
  <si>
    <t>Waterways Commerce Cutter (WCC) Follow-On (O&amp;S program change)</t>
  </si>
  <si>
    <t>O&amp;S &gt; Justification of Program Changes &gt; Program Change 21</t>
  </si>
  <si>
    <t>Decommission Reliance Class Medium Endurance Cutters (WMEC) (O&amp;S)</t>
  </si>
  <si>
    <t>O&amp;S &gt; Justification of Program Changes &gt; Program Change 6</t>
  </si>
  <si>
    <t>Indo-Pacific Expansion (O&amp;S program change)</t>
  </si>
  <si>
    <t>O&amp;S &gt; Justification of Program Changes &gt; Program Change 14</t>
  </si>
  <si>
    <t>Search and Rescue Capabilities (O&amp;S program change)</t>
  </si>
  <si>
    <t>O&amp;S &gt; Justification of Program Changes &gt; Program Change 17</t>
  </si>
  <si>
    <t>Yard Fund (Revolving)</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</si>
  <si>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</si>
  <si>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</si>
  <si>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</si>
  <si>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</si>
  <si>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</si>
  <si>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</si>
  <si>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</si>
  <si>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</si>
  <si>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</si>
  <si>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</si>
  <si>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</si>
  <si>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</si>
  <si>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</si>
  <si>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</si>
  <si>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</si>
  <si>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</si>
  <si>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</si>
  <si>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</si>
  <si>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</si>
  <si>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</si>
  <si>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</si>
  <si>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</si>
  <si>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</si>
  <si>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</si>
  <si>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</si>
  <si>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</si>
  <si>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</si>
  <si>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</si>
  <si>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P-1 Exhibit &gt; 1611N &gt; BA02 Other Warships &gt; LI 8 Surface Ship Industrial Base</t>
  </si>
  <si>
    <t>BBG(X)</t>
  </si>
  <si>
    <t>P-1 Exhibit &gt; 1611N &gt; BA02 Other Warships &gt; LI 9 BBG(X) AP CY</t>
  </si>
  <si>
    <t>FF(X)</t>
  </si>
  <si>
    <t>P-1 Exhibit &gt; 1611N &gt; BA02 Other Warships &gt; LI 17 FF(X)</t>
  </si>
  <si>
    <t>AS Submarine Tender</t>
  </si>
  <si>
    <t>P-1 Exhibit &gt; 1611N &gt; BA05 Auxiliaries &gt; LI 26 As Submarine Tender</t>
  </si>
  <si>
    <t>SMS-Special Mission Ship</t>
  </si>
  <si>
    <t>P-1 Exhibit &gt; 1611N &gt; BA05 Auxiliaries &gt; LI 27 SMS-Special Mission Ship</t>
  </si>
  <si>
    <t>Next Generation Logistics Ship</t>
  </si>
  <si>
    <t>P-1 Exhibit &gt; 1611N &gt; BA05 Auxiliaries &gt; LI 30 Next Generation Logistics Ship</t>
  </si>
  <si>
    <t>Bulk Fuel Vessel</t>
  </si>
  <si>
    <t>P-1 Exhibit &gt; 1611N &gt; BA05 Auxiliaries &gt; LI 40 Bulk Fuel Vessel</t>
  </si>
  <si>
    <t>T-AH(X)</t>
  </si>
  <si>
    <t>P-1 Exhibit &gt; 1611N &gt; BA05 Auxiliaries &gt; LI 41 T-AH(X)</t>
  </si>
  <si>
    <t>Fireboats</t>
  </si>
  <si>
    <t>Other Craft, Self-Propelled</t>
  </si>
  <si>
    <t>P-1 Exhibit &gt; 1611N &gt; BA05 Auxiliaries &gt; LI 42 Fireboats</t>
  </si>
  <si>
    <t>FY2026</t>
  </si>
  <si>
    <t>Total Funding</t>
  </si>
  <si>
    <t>All Navy + USCG appropriations for vessel-related activity, FY2026 ($K)</t>
  </si>
  <si>
    <t>(A) FY2026 Total Funding by Work Type</t>
  </si>
  <si>
    <t>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</si>
  <si>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</si>
  <si>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</si>
  <si>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</si>
  <si>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</si>
  <si>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</si>
  <si>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</si>
  <si>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</si>
  <si>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</si>
  <si>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Total</t>
  </si>
  <si>
    <t>(B) FY2026 Total Funding by Vessel Category</t>
  </si>
  <si>
    <t>Category</t>
  </si>
  <si>
    <t>TAM Scope</t>
  </si>
  <si>
    <t>YES → TAM</t>
  </si>
  <si>
    <t>No — small craft</t>
  </si>
  <si>
    <t>No — non-oceangoing</t>
  </si>
  <si>
    <t>No — under 65 ft</t>
  </si>
  <si>
    <t>Unattributed (fleet-wide)</t>
  </si>
  <si>
    <t>No — not vessel-specific</t>
  </si>
  <si>
    <t>TAM-eligible</t>
  </si>
  <si>
    <t>(C) FY2026 Total Funding by Source Book</t>
  </si>
  <si>
    <t>Newbuild TAM — FY2026 ($K)</t>
  </si>
  <si>
    <t>New Construction scoped to Combatant Ships, Auxiliary Ships, USCG Cutters &amp; Unmanned Platforms</t>
  </si>
  <si>
    <t>(A) Bridge: Total NC Funding → Newbuild TAM</t>
  </si>
  <si>
    <t>Total New Construction Funding</t>
  </si>
  <si>
    <t xml:space="preserve">  Less: Unattributed (fleet-wide NC items)</t>
  </si>
  <si>
    <t xml:space="preserve">  Less: Combatant Crafts</t>
  </si>
  <si>
    <t xml:space="preserve">  Less: Support Crafts</t>
  </si>
  <si>
    <t>Newbuild TAM</t>
  </si>
  <si>
    <t>(B) Newbuild TAM by Vessel Type</t>
  </si>
  <si>
    <t>Service</t>
  </si>
  <si>
    <t>% of TAM</t>
  </si>
  <si>
    <t>(C) Newbuild TAM — DD&amp;C vs AP/LLTM by Vessel Type (Mekko)</t>
  </si>
  <si>
    <t>Sub-Category</t>
  </si>
  <si>
    <t>Full Ship DD&amp;C</t>
  </si>
  <si>
    <t>Advance Procurement / LLTM</t>
  </si>
  <si>
    <t>Other NC Sub-Categories</t>
  </si>
  <si>
    <t>Total ($K)</t>
  </si>
  <si>
    <t>(D) Newbuild TAM by Hull Program — FY2026 ($K)</t>
  </si>
  <si>
    <t>Same funding as (B) broken down to individual hull programs.</t>
  </si>
  <si>
    <t>Hull Program</t>
  </si>
  <si>
    <t>SSN (Submarines)</t>
  </si>
  <si>
    <t>SSBN (Submarines)</t>
  </si>
  <si>
    <t>DDG (Surface Combatants)</t>
  </si>
  <si>
    <t>CVN (Aircraft Carriers)</t>
  </si>
  <si>
    <t>LSM (Expeditionary &amp; Seabasing Ships)</t>
  </si>
  <si>
    <t>T-AO (Combat Logistics Ships)</t>
  </si>
  <si>
    <t>MUSV (Unmanned Surface Vehicles)</t>
  </si>
  <si>
    <t>LPD (Amphibious Warfare Ships)</t>
  </si>
  <si>
    <t>T-AK / T-AKR (Cargo &amp; Vehicle Cargo Ships)</t>
  </si>
  <si>
    <t>LHA (Amphibious Warfare Ships)</t>
  </si>
  <si>
    <t>T-AGOS (Surveillance Ships)</t>
  </si>
  <si>
    <t>FFG (Surface Combatants)</t>
  </si>
  <si>
    <t>UUV (Unmanned Undersea Vehicles)</t>
  </si>
  <si>
    <t>T-ATS (Salvage Ships &amp; Fleet Ocean Tugs)</t>
  </si>
  <si>
    <t>WMSM (Offshore Patrol Cutter)</t>
  </si>
  <si>
    <t>WPC (Fast Response Cutters)</t>
  </si>
  <si>
    <t>WAGB (Icebreakers, Oceangoing)</t>
  </si>
  <si>
    <t>WCC (Waterways Commerce Cutters)</t>
  </si>
  <si>
    <t>Newbuild SAM — FY2026 ($K)</t>
  </si>
  <si>
    <t>Newbuild TAM excluding vessel types not addressable by PA</t>
  </si>
  <si>
    <t>(A) Bridge: Newbuild TAM → Newbuild SAM</t>
  </si>
  <si>
    <t xml:space="preserve">  Less: Submarines</t>
  </si>
  <si>
    <t xml:space="preserve">  Less: Aircraft Carriers</t>
  </si>
  <si>
    <t xml:space="preserve">  Less: Unmanned Undersea Vehicles</t>
  </si>
  <si>
    <t>Newbuild SAM</t>
  </si>
  <si>
    <t>(B) Newbuild SAM by Vessel Type</t>
  </si>
  <si>
    <t>% of SAM</t>
  </si>
  <si>
    <t>(C) Newbuild SAM — DD&amp;C vs AP/LLTM by Vessel Type (Mekko)</t>
  </si>
  <si>
    <t>(D) Newbuild SAM by Hull Program — FY2026 ($K)</t>
  </si>
  <si>
    <t>Same funding as (B) broken down to individual hull programs — the level at which budget line items are traceable.</t>
  </si>
  <si>
    <t>(E) P-5c Gross Cost Category Breakdown by Hull — FY2026 ($K)</t>
  </si>
  <si>
    <t>Gross total-ship-estimate costs from Exhibit P-5c. These are pre-AP/SFF and will NOT match SAM net totals.</t>
  </si>
  <si>
    <t>Gross Total ($K)</t>
  </si>
  <si>
    <t>Cost category mix (% of gross total per hull program)</t>
  </si>
  <si>
    <t>(F) Proportional Cost Category Allocation to SAM Net Totals — FY2026 ($K)</t>
  </si>
  <si>
    <t>P-5c percentage mix from (E) applied to SAM net budget-authority totals from (D). Totals reconcile to SAM.</t>
  </si>
  <si>
    <t>SAM Net Total ($K)</t>
  </si>
  <si>
    <t>Newbuild SAM Cost Detail — FY2026 ($K)</t>
  </si>
  <si>
    <t>Gross ship-cost breakdown from P-5c and P-8a exhibits by hull program. NOT net budget authority — see Newbuild SAM for reconciled values.</t>
  </si>
  <si>
    <t>(A) P-5c Total Ship Cost by Hull &amp; Cost Category — FY2026 ($K)</t>
  </si>
  <si>
    <t>(B) P-8a System-Level Detail by Hull Program — FY2026 ($K)</t>
  </si>
  <si>
    <t>Individual GFE systems from Exhibit P-8a, grouped by cost category within each hull program.</t>
  </si>
  <si>
    <t>System</t>
  </si>
  <si>
    <t>% of Hull</t>
  </si>
  <si>
    <t>DDG Total</t>
  </si>
  <si>
    <t>LHA Total</t>
  </si>
  <si>
    <t>FFG Total</t>
  </si>
  <si>
    <t>LPD Total</t>
  </si>
  <si>
    <t>T-AGOS Total</t>
  </si>
  <si>
    <t>T-AO Total</t>
  </si>
  <si>
    <t>(C) Top P-8a Systems — Cross-Program Summary — FY2026 ($K)</t>
  </si>
  <si>
    <t>Largest GFE systems aggregated across all SAM hull programs.</t>
  </si>
  <si>
    <t># Hulls</t>
  </si>
  <si>
    <t>Hull Programs</t>
  </si>
  <si>
    <t>FFG, LHA</t>
  </si>
  <si>
    <t>Total (top systems)</t>
  </si>
  <si>
    <t>MRO TAM — FY2026 ($K)</t>
  </si>
  <si>
    <t>MRO &amp; sustainment scoped to Combatant Ships, Auxiliary Ships, USCG Cutters &amp; Unmanned Platforms</t>
  </si>
  <si>
    <t>(A) Bridge: Total MRO Funding → MRO TAM</t>
  </si>
  <si>
    <t>Total MRO Funding (Buckets 2–7)</t>
  </si>
  <si>
    <t xml:space="preserve">  Less: Unattributed (fleet-wide MRO items)</t>
  </si>
  <si>
    <t>MRO TAM</t>
  </si>
  <si>
    <t>(B) MRO TAM by Work Type</t>
  </si>
  <si>
    <t>Continuous / Emergent Maintenance</t>
  </si>
  <si>
    <t>Modernization</t>
  </si>
  <si>
    <t>Major Life-Cycle Events / RCOH</t>
  </si>
  <si>
    <t>Sustainment Engineering</t>
  </si>
  <si>
    <t>(C) MRO TAM by Vessel Type</t>
  </si>
  <si>
    <t>(D) MRO TAM — Work Type by Vessel Type (Mekko)</t>
  </si>
  <si>
    <t>MRO SAM — FY2026 ($K)</t>
  </si>
  <si>
    <t>Outsourceable MRO: SDM + Modernization, excluding non-addressable vessel types</t>
  </si>
  <si>
    <t>(A) Bridge: MRO TAM → MRO SAM</t>
  </si>
  <si>
    <t xml:space="preserve">  Less: Non-outsourceable work types</t>
  </si>
  <si>
    <t>MRO SAM</t>
  </si>
  <si>
    <t>(B) MRO SAM by Vessel Type</t>
  </si>
  <si>
    <t>SDM ($K)</t>
  </si>
  <si>
    <t>Mod ($K)</t>
  </si>
  <si>
    <t>(C) MRO SAM — SDM vs Modernization by Vessel Type (Mekko)</t>
  </si>
  <si>
    <t>FY2027</t>
  </si>
  <si>
    <t>All Navy + USCG appropriations for vessel-related activity, FY2027 ($K)</t>
  </si>
  <si>
    <t>(A) FY2027 Total Funding by Work Type</t>
  </si>
  <si>
    <t>FY2027 ($K)</t>
  </si>
  <si>
    <t>(B) FY2027 Total Funding by Vessel Category</t>
  </si>
  <si>
    <t>(C) FY2027 Total Funding by Source Book</t>
  </si>
  <si>
    <t>Newbuild TAM — FY2027 ($K)</t>
  </si>
  <si>
    <t>(D) Newbuild TAM by Hull Program — FY2027 ($K)</t>
  </si>
  <si>
    <t>AS (Material Support Ships)</t>
  </si>
  <si>
    <t>T-AH (Hospital Ship)</t>
  </si>
  <si>
    <t>Newbuild SAM — FY2027 ($K)</t>
  </si>
  <si>
    <t>(D) Newbuild SAM by Hull Program — FY2027 ($K)</t>
  </si>
  <si>
    <t>MRO TAM — FY2027 ($K)</t>
  </si>
  <si>
    <t>MRO SAM — FY2027 ($K)</t>
  </si>
  <si>
    <t>Competitive Dynamics</t>
  </si>
  <si>
    <t>FY20-26 contract obligation analysis — primes, subcontractors, and FY26 vehicle crosswalk ($K)</t>
  </si>
  <si>
    <t>(A) Top Prime Contractors — FY20-26 Window Obligation</t>
  </si>
  <si>
    <t>Contractor</t>
  </si>
  <si>
    <t>Parent</t>
  </si>
  <si>
    <t>Window ($K)</t>
  </si>
  <si>
    <t>Key Programs</t>
  </si>
  <si>
    <t>Huntington Ingalls Industries</t>
  </si>
  <si>
    <t>HII</t>
  </si>
  <si>
    <t>DDG-51 $11.4B, LPD $4.7B, LHA $4.5B, DDG-1000 $0.3B, depot</t>
  </si>
  <si>
    <t>Raytheon / RTX</t>
  </si>
  <si>
    <t>RTX Corp</t>
  </si>
  <si>
    <t>Standard Missile $5.7B, SPY-6 $3.5B, CIWS/RAM $2.0B, DDG-1000 $0.9B, CEC $0.6B</t>
  </si>
  <si>
    <t>Bath Iron Works</t>
  </si>
  <si>
    <t>General Dynamics</t>
  </si>
  <si>
    <t>DDG-51 FY23-27 $5.0B, FY18-22 $3.3B, FY13-17 $0.5B, DDG-1000 $0.2B</t>
  </si>
  <si>
    <t>BAE Systems</t>
  </si>
  <si>
    <t>BAE Systems plc</t>
  </si>
  <si>
    <t>DDG/LHD/LPD/LSD/CG depot maintenance — Norfolk, San Diego, Jacksonville, Hawaii</t>
  </si>
  <si>
    <t>Lockheed Martin</t>
  </si>
  <si>
    <t>LM</t>
  </si>
  <si>
    <t>SLQ-32(V)6 $0.8B, SSDS $0.4B, HELIOS $0.1B, LCS Freedom $0.3B</t>
  </si>
  <si>
    <t>Metro Machine Corp</t>
  </si>
  <si>
    <t>--</t>
  </si>
  <si>
    <t>LHD/DDG/LSD depot maintenance — Norfolk</t>
  </si>
  <si>
    <t>NASSCO</t>
  </si>
  <si>
    <t>LHA/LHD/LSD/DDG/CG depot maintenance — San Diego</t>
  </si>
  <si>
    <t>Vigor Marine LLC</t>
  </si>
  <si>
    <t>DDG/CG depot maintenance — Portland, OR</t>
  </si>
  <si>
    <t>Northrop Grumman Systems</t>
  </si>
  <si>
    <t>NG</t>
  </si>
  <si>
    <t>Knifefish/LCS $0.35B, SEWIP Block 3 $0.14B, ALMDS $0.07B</t>
  </si>
  <si>
    <t>QED Systems</t>
  </si>
  <si>
    <t>Third-party planning DDG/CG/LPD/LHD</t>
  </si>
  <si>
    <t>Continental Maritime</t>
  </si>
  <si>
    <t>DDG depot — San Diego</t>
  </si>
  <si>
    <t>Textron Systems</t>
  </si>
  <si>
    <t>Textron</t>
  </si>
  <si>
    <t>UISS $0.24B</t>
  </si>
  <si>
    <t>Advanced Technology International</t>
  </si>
  <si>
    <t>OTA consortium: MK-54 MOD 2, SPY-6 prototype, HEL, LHD midlife</t>
  </si>
  <si>
    <t>General Dynamics Mission Systems</t>
  </si>
  <si>
    <t>MK-54 MOD 1 $0.12B, Knifefish Block 1 $0.08B</t>
  </si>
  <si>
    <t>SAIC</t>
  </si>
  <si>
    <t>DDG-1000 engineering, SSTD Nixie, torpedo defense</t>
  </si>
  <si>
    <t>Marine Hydraulics International</t>
  </si>
  <si>
    <t>DDG/LSD depot + sub-prime on LHD primes</t>
  </si>
  <si>
    <t>Bollinger Shipyards</t>
  </si>
  <si>
    <t>Bollinger</t>
  </si>
  <si>
    <t>MCM USV production</t>
  </si>
  <si>
    <t>Ultra Electronics Ocean Systems</t>
  </si>
  <si>
    <t>Ultra</t>
  </si>
  <si>
    <t>MK 54 MOD 0 array kits + Nixie production</t>
  </si>
  <si>
    <t>Penn State Applied Research Lab</t>
  </si>
  <si>
    <t>Penn State</t>
  </si>
  <si>
    <t>MK-54 MOD 2 engineering, HEL development</t>
  </si>
  <si>
    <t>Total (top 19)</t>
  </si>
  <si>
    <t>(B) Top Subcontractors — Hidden Supply Chain</t>
  </si>
  <si>
    <t>Parent Company</t>
  </si>
  <si>
    <t>Sub Total ($K)</t>
  </si>
  <si>
    <t># Primes</t>
  </si>
  <si>
    <t># PIIDs</t>
  </si>
  <si>
    <t>Primary Programs</t>
  </si>
  <si>
    <t>Fincantieri (Marinette Marine)</t>
  </si>
  <si>
    <t>LCS Freedom hull builder — actual constructor under LM prime</t>
  </si>
  <si>
    <t>Timken Gears &amp; Services</t>
  </si>
  <si>
    <t>DDG/LHD/CG propulsion gearing</t>
  </si>
  <si>
    <t>General Dynamics (rolled up)</t>
  </si>
  <si>
    <t>GD Mission Systems $359M on SPY-6, GD-OTS, GDIT</t>
  </si>
  <si>
    <t>L3Harris (Aerojet Rocketdyne)</t>
  </si>
  <si>
    <t>Solid rocket motors for Standard Missile family</t>
  </si>
  <si>
    <t>Rolls-Royce</t>
  </si>
  <si>
    <t>Gas turbines, waterjets, gearing — DDG/LCS/LPD/LHA + depot</t>
  </si>
  <si>
    <t>CAES (Cobham)</t>
  </si>
  <si>
    <t>RF assemblies on SPY-6 $170M, SEWIP $110M, SLQ-32 $95M</t>
  </si>
  <si>
    <t>Northrop Grumman (as sub)</t>
  </si>
  <si>
    <t>SPY-6 RF $114M, CIWS, LPD/LHA construction</t>
  </si>
  <si>
    <t>IMIA</t>
  </si>
  <si>
    <t>Hull coatings / paint across 28 depot availabilities</t>
  </si>
  <si>
    <t>L3Harris (excl. Aerojet)</t>
  </si>
  <si>
    <t>Maritime Power, Cincinnati Electronics, Fuzing — broadest footprint</t>
  </si>
  <si>
    <t>Johnson Controls (incl. York)</t>
  </si>
  <si>
    <t>HVAC / chilled water on DDG/LPD/LHA + depot</t>
  </si>
  <si>
    <t>GE Aerospace</t>
  </si>
  <si>
    <t>LM2500 gas turbines on DDG-51 + GE Power Conversion LHA 9</t>
  </si>
  <si>
    <t>Fairbanks Morse Defense</t>
  </si>
  <si>
    <t>Diesel generators / propulsion on LPD/LHA + depot rebuilds</t>
  </si>
  <si>
    <t>Leonardo DRS</t>
  </si>
  <si>
    <t>Naval Power Systems, Network &amp; Imaging, Laurel Technologies</t>
  </si>
  <si>
    <t>Sparton DeLeon Springs</t>
  </si>
  <si>
    <t>ASW sensors / payload on Raytheon Barracuda</t>
  </si>
  <si>
    <t>RAM-System GmbH</t>
  </si>
  <si>
    <t>RAM missile co-development with Raytheon (Germany)</t>
  </si>
  <si>
    <t>Bay Metals &amp; Fabrication</t>
  </si>
  <si>
    <t>Norfolk metal fab serving 9 depot availabilities</t>
  </si>
  <si>
    <t>US Joiner LLC</t>
  </si>
  <si>
    <t>Interior outfitting — LPD construction + depot</t>
  </si>
  <si>
    <t>United Rentals</t>
  </si>
  <si>
    <t>Equipment rental across 29 depot availabilities</t>
  </si>
  <si>
    <t>Honeywell</t>
  </si>
  <si>
    <t>IMUs / IRUs on Standard Missile + CIWS</t>
  </si>
  <si>
    <t>Anaren</t>
  </si>
  <si>
    <t>RF combiners/dividers on SPY-6</t>
  </si>
  <si>
    <t>Total (top 20)</t>
  </si>
  <si>
    <t>(C) Per-Program Subaward Summary</t>
  </si>
  <si>
    <t>Program</t>
  </si>
  <si>
    <t>Total Subs ($K)</t>
  </si>
  <si>
    <t>Top Sub 1</t>
  </si>
  <si>
    <t>Top Sub 2</t>
  </si>
  <si>
    <t>Top Sub 3</t>
  </si>
  <si>
    <t>DDG-51 New Construction</t>
  </si>
  <si>
    <t>GE Aerospace $88M</t>
  </si>
  <si>
    <t>Johnson Controls $76M</t>
  </si>
  <si>
    <t>Timken Gears $41M</t>
  </si>
  <si>
    <t>DDG Mod — SPY-6</t>
  </si>
  <si>
    <t>GD Mission Systems $359M</t>
  </si>
  <si>
    <t>CAES $170M</t>
  </si>
  <si>
    <t>Northrop Grumman $114M</t>
  </si>
  <si>
    <t>DDG Mod — CIWS/RAM/SeaRAM</t>
  </si>
  <si>
    <t>RAM-System GmbH $98M</t>
  </si>
  <si>
    <t>L3Harris $39M</t>
  </si>
  <si>
    <t>GD $35M</t>
  </si>
  <si>
    <t>LCS Freedom Construction</t>
  </si>
  <si>
    <t>Marinette Marine $2,487M</t>
  </si>
  <si>
    <t>Rolls-Royce $196M</t>
  </si>
  <si>
    <t>Airbus US $56M</t>
  </si>
  <si>
    <t>Trident Sensors $215M</t>
  </si>
  <si>
    <t>Teledyne $55M</t>
  </si>
  <si>
    <t>GD $13M</t>
  </si>
  <si>
    <t>LHA New Construction</t>
  </si>
  <si>
    <t>Fairbanks Morse $40M</t>
  </si>
  <si>
    <t>Leonardo DRS $34M</t>
  </si>
  <si>
    <t>LPD Flight II New Construction</t>
  </si>
  <si>
    <t>Fairbanks Morse $65M</t>
  </si>
  <si>
    <t>US Joiner $36M</t>
  </si>
  <si>
    <t>Caterpillar $20M</t>
  </si>
  <si>
    <t>Standard Missile Family</t>
  </si>
  <si>
    <t>L3Harris (Aerojet) $390M</t>
  </si>
  <si>
    <t>Honeywell $43M</t>
  </si>
  <si>
    <t>Goodrich $32M</t>
  </si>
  <si>
    <t>Red River Technology $61M</t>
  </si>
  <si>
    <t>Air Masters $6M</t>
  </si>
  <si>
    <t>DDG Mod — CEC</t>
  </si>
  <si>
    <t>Sechan Electronics $7M</t>
  </si>
  <si>
    <t>Action Electronics $5M</t>
  </si>
  <si>
    <t>DDG Mod — SSDS</t>
  </si>
  <si>
    <t>Mission Solutions $14M</t>
  </si>
  <si>
    <t>PMAT $6M</t>
  </si>
  <si>
    <t>DDG Mod — HELIOS</t>
  </si>
  <si>
    <t>MZA Associates $25M</t>
  </si>
  <si>
    <t>L3 Technologies $22M</t>
  </si>
  <si>
    <t>Sparton $108M</t>
  </si>
  <si>
    <t>Teledyne $17M</t>
  </si>
  <si>
    <t>MK-54 Torpedo</t>
  </si>
  <si>
    <t>L3Harris (Aerojet) $25M</t>
  </si>
  <si>
    <t>J&amp;E Precision Tool $3M</t>
  </si>
  <si>
    <t>Depot Maintenance</t>
  </si>
  <si>
    <t>IMIA $204M</t>
  </si>
  <si>
    <t>Bay Metals $93M</t>
  </si>
  <si>
    <t>US Joiner $88M</t>
  </si>
  <si>
    <t>(D) FY2026 SAM Line Item to Contract Vehicle Crosswalk</t>
  </si>
  <si>
    <t>FY26 SAM Line</t>
  </si>
  <si>
    <t>FY26 ($K)</t>
  </si>
  <si>
    <t>Contract Vehicle / Prime</t>
  </si>
  <si>
    <t>OMN_Vol2 LHD/AMPHIBS depot</t>
  </si>
  <si>
    <t>BAE Norfolk/SD, Metro Machine, NASSCO</t>
  </si>
  <si>
    <t>OMN_Vol2 LHD/AMPHIBS modernization</t>
  </si>
  <si>
    <t>BAE Norfolk/SD, Metro Machine</t>
  </si>
  <si>
    <t>OPN BA1 Line 8 LHA/LHD Midlife</t>
  </si>
  <si>
    <t>BAE / Metro / Gibbs &amp; Cox</t>
  </si>
  <si>
    <t>LHD Total</t>
  </si>
  <si>
    <t>SCN 3010 LPD Flight II procurement</t>
  </si>
  <si>
    <t>HII — N0002424C2473 ($5.80B ceiling)</t>
  </si>
  <si>
    <t>SCN 3010 LPD Flight II AP</t>
  </si>
  <si>
    <t>HII — N0002424C2473 AP scope</t>
  </si>
  <si>
    <t>OMN_Vol2 LPD depot</t>
  </si>
  <si>
    <t>BAE Norfolk/SD</t>
  </si>
  <si>
    <t>OPN BA1 Line 15 LPD Class Support</t>
  </si>
  <si>
    <t>HII Class Eng ($225M) + Raytheon LCE&amp;S ($485M)</t>
  </si>
  <si>
    <t>OMN_Vol2 LSD depot</t>
  </si>
  <si>
    <t>NASSCO, BAE, Metro Machine</t>
  </si>
  <si>
    <t>OMN_Vol2 LSD modernization</t>
  </si>
  <si>
    <t>Alteration installation (small)</t>
  </si>
  <si>
    <t>LSD Total</t>
  </si>
  <si>
    <t>SCN 3041 LHA Replacement</t>
  </si>
  <si>
    <t>HII — N0002420C2437 LHA 9 ($3.14B ceiling)</t>
  </si>
  <si>
    <t>OMN_Vol2 LHA depot</t>
  </si>
  <si>
    <t>NASSCO — LHA 6 DSRA ($198M ceiling)</t>
  </si>
  <si>
    <t>SCN 2122 DDG-51 procurement</t>
  </si>
  <si>
    <t>HII FY23-27 MYP + BIW FY23-27 MYP</t>
  </si>
  <si>
    <t>SCN 2122 DDG-51 AP</t>
  </si>
  <si>
    <t>HII + BIW — AP against FY23-27 MYPs</t>
  </si>
  <si>
    <t>SCN 2119 DDG-1000</t>
  </si>
  <si>
    <t>HII Mod Planning + BIW Planning Yard</t>
  </si>
  <si>
    <t>OMN_Vol2 DDG depot</t>
  </si>
  <si>
    <t>BAE / NASSCO / Continental / Vigor / MHI / Metro</t>
  </si>
  <si>
    <t>OMN_Vol2 DDG modernization</t>
  </si>
  <si>
    <t>Cross-vehicle alteration installation</t>
  </si>
  <si>
    <t>WPN 2234 Standard Missile</t>
  </si>
  <si>
    <t>Raytheon SM production vehicles</t>
  </si>
  <si>
    <t>OPN BA1 Line 5 DDG Mod</t>
  </si>
  <si>
    <t>SPY-6, SEWIP, SSDS, CEC, CIWS, HELIOS, Aegis kits</t>
  </si>
  <si>
    <t>WPN 3215 MK-54 Torpedo Mods</t>
  </si>
  <si>
    <t>GDMS MK 54 MOD 1 + Ultra MK 54 MOD 0 + ATI OTAs</t>
  </si>
  <si>
    <t>OPN BA1 Line 16 DDG-1000 Support</t>
  </si>
  <si>
    <t>Raytheon DDG-1000 mission sys + BIW Planning Yard</t>
  </si>
  <si>
    <t>OMN_Vol2 LCS depot</t>
  </si>
  <si>
    <t>LM Freedom ISEA + GDMS Independence ISEA + avails</t>
  </si>
  <si>
    <t>OMN_Vol2 LCS modernization</t>
  </si>
  <si>
    <t>LM + GDMS combat system ISEA + ITT-2A</t>
  </si>
  <si>
    <t>OPN BA1 Line 37 LCS In-Service Mod</t>
  </si>
  <si>
    <t>LM, GDMS, Textron, BAH PEO LCS support</t>
  </si>
  <si>
    <t>OPN BA1 Line 34 LCS MCM Modules</t>
  </si>
  <si>
    <t>UISS (Textron), Knifefish (GDMS/NG), MCM USV (Bollinger)</t>
  </si>
  <si>
    <t>WPN 2292 Naval Strike Missile</t>
  </si>
  <si>
    <t>Raytheon NSM integration + Kongsberg OEM via FMS</t>
  </si>
  <si>
    <t>LCS Total</t>
  </si>
  <si>
    <t>OMN_Vol2 CG depot</t>
  </si>
  <si>
    <t>Vigor, BAE Norfolk, NASSCO, HII CG planning</t>
  </si>
  <si>
    <t>OMN_Vol2 CG modernization</t>
  </si>
  <si>
    <t>Same vendor pool — alteration installation</t>
  </si>
  <si>
    <t>CG Total</t>
  </si>
  <si>
    <t>Validation</t>
  </si>
  <si>
    <t>Data dictionary and validation rules for the consolidated line-item dataset</t>
  </si>
  <si>
    <t>Sheet</t>
  </si>
  <si>
    <t>Field</t>
  </si>
  <si>
    <t>Value</t>
  </si>
  <si>
    <t>Description</t>
  </si>
  <si>
    <t>Notes</t>
  </si>
  <si>
    <t>ROW TYPES</t>
  </si>
  <si>
    <t>Row Types</t>
  </si>
  <si>
    <t>Tag</t>
  </si>
  <si>
    <t>(no tag)</t>
  </si>
  <si>
    <t>Additive — safe to sum for TAM totals. This row represents a standalone budget line item whose funding is not double-counted elsewhere in the file.</t>
  </si>
  <si>
    <t>TAM = sum of all (no tag) + [PARENT] rows</t>
  </si>
  <si>
    <t>Parent row whose children carry the detail. The parent holds the aggregate total; its [SUB] children break that total into components.</t>
  </si>
  <si>
    <t>Include in TAM sum alongside (no tag). Do NOT also sum the [SUB] children — that would double-count.</t>
  </si>
  <si>
    <t>Sub-item breakdown of a parent. Provides granular detail but double-counts if summed with the parent row.</t>
  </si>
  <si>
    <t>Parent Item column points to the parent row (by Line Number and/or Title). Exclude from TAM sum if you are already summing [PARENT].</t>
  </si>
  <si>
    <t>Alternative cut of the same money — e.g., availability types vs. individual hulls, or P-5c cost breakdowns vs. P-40 line items.</t>
  </si>
  <si>
    <t>Parent Item column indicates what this is an alternative view of. Always exclude from TAM sums.</t>
  </si>
  <si>
    <t>Deferred maintenance or unfunded requirements — real need identified in the budget justification but NOT included in the enacted/requested funding.</t>
  </si>
  <si>
    <t>Exclude from TAM. Useful for gap analysis (funded vs. required).</t>
  </si>
  <si>
    <t>Context data that is not additive — unit costs, O&amp;S program changes, revolving fund notes, weapon system cost tables.</t>
  </si>
  <si>
    <t>Exclude from TAM. Included for analytical context only.</t>
  </si>
  <si>
    <t>TAM FORMULA</t>
  </si>
  <si>
    <t>TAM Formula</t>
  </si>
  <si>
    <t>Formula</t>
  </si>
  <si>
    <t>FY2026 TAM = SUM(FY2026_Funding_K) WHERE Row_Type IN ('', '[PARENT]')</t>
  </si>
  <si>
    <t>Rows with no tag (additive) plus [PARENT] rows give non-overlapping TAM totals. FY2026_Funding_K for each row is selected from the first non-blank column in the priority order below.</t>
  </si>
  <si>
    <t>Column priority for per-row FY2026 funding: (1) FY2026_DAA_Enacted_Total_K [col R] first, (2) FY2026_Total_K [col N] if (1) is blank, (3) FY2026_Request_K [col L] if (1) and (2) are blank.</t>
  </si>
  <si>
    <t>Note</t>
  </si>
  <si>
    <t>Double-counting guard</t>
  </si>
  <si>
    <t>Never sum [PARENT] and its [SUB] children together. Never sum [ALT_VIEW] with either [PARENT] or (no tag) rows.</t>
  </si>
  <si>
    <t>OPN_BA4 convention</t>
  </si>
  <si>
    <t>OPN_BA4 has zero (no tag) rows — all items are [PARENT] or [SUB]. TAM for BA4 = sum of [PARENT] rows only.</t>
  </si>
  <si>
    <t>Cross-book overlap</t>
  </si>
  <si>
    <t>NWCF and OMN fund some of the same activities (NWCF is a revolving fund reimbursed by OMN). Use Source_Book to isolate when needed.</t>
  </si>
  <si>
    <t>BUCKET DEFINITIONS</t>
  </si>
  <si>
    <t>Buckets</t>
  </si>
  <si>
    <t>Bucket #</t>
  </si>
  <si>
    <t>New Construction — Design, construction, and delivery of new vessels from detail design through sea trials.</t>
  </si>
  <si>
    <t>Primary budget anchors: SCN (Navy), PC&amp;I (USCG). Keywords: DD&amp;C, LLTM, advance procurement.</t>
  </si>
  <si>
    <t>Scheduled Depot Maintenance &amp; Repair — Planned depot-level work to restore/sustain material condition during CNO-scheduled availabilities.</t>
  </si>
  <si>
    <t>Primary budget anchor: O&amp;M,N SAG 1B4B Ship Depot Maintenance. Keywords: DSRA, SRA, DPMA, PMA, PIA, ROH, overhaul, drydock.</t>
  </si>
  <si>
    <t>Continuous / Intermediate / Emergent Maintenance — Shorter-duration, intermediate-level, continuous, and emergent/casualty work outside the big depot event.</t>
  </si>
  <si>
    <t>Keywords: CMAV, WOO, EM, emergent, casualty repair, voyage repair, dockside. Same mission as Bucket 2 but different rhythm.</t>
  </si>
  <si>
    <t>Modernization &amp; Alteration Installation — Work that changes configuration or adds capability beyond restore-only repair. Funded primarily through procurement.</t>
  </si>
  <si>
    <t>Primary budget anchors: OPN P-40 line items (DDG Mod, CG Mod, LCS Mod, etc.). Keywords: SHIPALT, ORDALT, MACHALT, tech refresh, backfit, retrofit.</t>
  </si>
  <si>
    <t>Major Life-Cycle Events / SLEP / MMA / RCOH — Multi-year platform- or class-scale recapitalization that gets its own budget line.</t>
  </si>
  <si>
    <t>Keywords: RCOH, EOH, SLEP, MMA, midlife. Separate from routine depot maintenance (Bucket 2).</t>
  </si>
  <si>
    <t>Sustainment Engineering / Planning / Obsolescence Support — Engineering, planning, DMSMS/obsolescence, and program support for in-service vessels.</t>
  </si>
  <si>
    <t>Primary budget anchor: O&amp;M,N SAG 1B5B Ship Depot Operations Support. Also includes OPN spares (BA08). Keywords: SETA, DMSMS, survey &amp; design.</t>
  </si>
  <si>
    <t>Availability Support / Husbanding / Port Services — Services that enable repair/modernization but are not themselves repair or upgrade work.</t>
  </si>
  <si>
    <t>Keywords: husbanding, pilot, tug, berthing, crane, shore power, scaffolding, environmental. Adjacent to MRO, not core MRO.</t>
  </si>
  <si>
    <t>BUCKET 1 SUB-CATEGORIES</t>
  </si>
  <si>
    <t>Bucket 1 Subs</t>
  </si>
  <si>
    <t>Detail design and construction of a complete vessel.</t>
  </si>
  <si>
    <t>Examples: DDG-51, FFG-62, CVN-79, LPD, LHA, T-AO, OPC, FRC, PSC</t>
  </si>
  <si>
    <t>Long-lead time material and advance procurement funded 1-2 years ahead of DD&amp;C.</t>
  </si>
  <si>
    <t>Examples: reactor components, propulsion equipment, combat system long-lead items</t>
  </si>
  <si>
    <t>Lead yard support, planning yard services, and design completion work.</t>
  </si>
  <si>
    <t>Examples: EB submarine planning yard, Columbia design completion</t>
  </si>
  <si>
    <t>Government-furnished equipment / combat systems procured separately from hull construction (via OPN or RDT&amp;E).</t>
  </si>
  <si>
    <t>Funded through OPN, not SCN — but supports new construction.</t>
  </si>
  <si>
    <t>VESSEL SERVICE, CATEGORY, TYPE &amp; HULL TAXONOMY</t>
  </si>
  <si>
    <t>Vessel Taxonomy</t>
  </si>
  <si>
    <t>United States Navy — commissioned warships and support craft with Navy crews.</t>
  </si>
  <si>
    <t>Warships and other combatant vessels — the core fighting and logistics fleet.</t>
  </si>
  <si>
    <t>Type</t>
  </si>
  <si>
    <t>Nuclear-powered aircraft carriers</t>
  </si>
  <si>
    <t>Hulls: CVN</t>
  </si>
  <si>
    <t>Guided-missile cruisers, destroyers, frigates, littoral combat ships</t>
  </si>
  <si>
    <t>Hulls: CG, DDG, FFG, LCS</t>
  </si>
  <si>
    <t>Attack submarines, ballistic missile submarines, guided-missile submarines</t>
  </si>
  <si>
    <t>Hulls: SSN, SSBN, SSGN</t>
  </si>
  <si>
    <t>Amphibious assault ships and transport docks</t>
  </si>
  <si>
    <t>Hulls: LHA, LHD, LPD, LSD</t>
  </si>
  <si>
    <t>Mine countermeasure ships</t>
  </si>
  <si>
    <t>Hulls: MCM</t>
  </si>
  <si>
    <t>Oilers, ammunition ships, dry cargo/ammunition ships</t>
  </si>
  <si>
    <t>Hulls: AO, AOE, AOL, AKE</t>
  </si>
  <si>
    <t>Afloat command and control platforms</t>
  </si>
  <si>
    <t>Hulls: LCC</t>
  </si>
  <si>
    <t>Submarine tenders</t>
  </si>
  <si>
    <t>Hulls: AS</t>
  </si>
  <si>
    <t>Ocean surveillance ships</t>
  </si>
  <si>
    <t>Hulls: AGOS</t>
  </si>
  <si>
    <t>Rescue/salvage ships and fleet tugs</t>
  </si>
  <si>
    <t>Hulls: ARS, ATF, ATS</t>
  </si>
  <si>
    <t>Expeditionary fast transports, sea bases, medium landing ships</t>
  </si>
  <si>
    <t>Hulls: EPF, ESB, ESD, LSM</t>
  </si>
  <si>
    <t>Non-combatant support vessels — research, cargo, hospital, and special-purpose ships.</t>
  </si>
  <si>
    <t>Floating crane ship</t>
  </si>
  <si>
    <t>Hulls: ACS</t>
  </si>
  <si>
    <t>Multi-purpose auxiliary vessels</t>
  </si>
  <si>
    <t>Hulls: AG</t>
  </si>
  <si>
    <t>Oceanographic and survey ships</t>
  </si>
  <si>
    <t>Hulls: AGM, AGOR, AGS</t>
  </si>
  <si>
    <t>Hospital ships</t>
  </si>
  <si>
    <t>Hulls: AH</t>
  </si>
  <si>
    <t>Cargo and vehicle transport ships</t>
  </si>
  <si>
    <t>Hulls: AK, AKR</t>
  </si>
  <si>
    <t>Transport Oiler</t>
  </si>
  <si>
    <t>Transport oilers</t>
  </si>
  <si>
    <t>Hulls: AOT</t>
  </si>
  <si>
    <t>Cable Repairing Ship</t>
  </si>
  <si>
    <t>Submarine cable repair ships</t>
  </si>
  <si>
    <t>Hulls: ARC</t>
  </si>
  <si>
    <t>Aviation support ships</t>
  </si>
  <si>
    <t>Hulls: AVB</t>
  </si>
  <si>
    <t>High speed transports</t>
  </si>
  <si>
    <t>Hulls: HST</t>
  </si>
  <si>
    <t>Submarine escort/support vessels</t>
  </si>
  <si>
    <t>Hulls: AGSE</t>
  </si>
  <si>
    <t>USS Constitution</t>
  </si>
  <si>
    <t>Historic warship — not operationally classified</t>
  </si>
  <si>
    <t>Hulls: None</t>
  </si>
  <si>
    <t>Smaller combatant craft — patrol, landing, and special warfare.</t>
  </si>
  <si>
    <t>Coastal patrol craft</t>
  </si>
  <si>
    <t>Hulls: PC</t>
  </si>
  <si>
    <t>Landing craft — air cushion and utility</t>
  </si>
  <si>
    <t>Hulls: LCAC, LCU</t>
  </si>
  <si>
    <t>Patrol Boats</t>
  </si>
  <si>
    <t>Various patrol boats by length</t>
  </si>
  <si>
    <t>Hulls: 36PB, 64PB, 87PB</t>
  </si>
  <si>
    <t>Naval Special Warfare craft and swimmer delivery vehicles</t>
  </si>
  <si>
    <t>Hulls: DSB, CCA, CCM, CCH, NSW RHIB, SDV, SWCS, SSC</t>
  </si>
  <si>
    <t>Unmanned surface and undersea vehicles.</t>
  </si>
  <si>
    <t>Large, medium, small, and very small unmanned surface vehicles</t>
  </si>
  <si>
    <t>Hulls: LUSV, MUSV, SUSV, VSUSV</t>
  </si>
  <si>
    <t>Extra-large, large, medium, and small unmanned undersea vehicles</t>
  </si>
  <si>
    <t>Hulls: XLUUV, LUUV, MUUV, SUUV</t>
  </si>
  <si>
    <t>Yard craft, barges, tugs, and harbor support vessels.</t>
  </si>
  <si>
    <t>Dry Docks</t>
  </si>
  <si>
    <t>Floating dry docks</t>
  </si>
  <si>
    <t>Hulls: AFDL, ARDM, AFDM</t>
  </si>
  <si>
    <t>Harbor Tugs</t>
  </si>
  <si>
    <t>Yard and harbor tugboats</t>
  </si>
  <si>
    <t>Hulls: YT, YTB, YTL</t>
  </si>
  <si>
    <t>Lighters &amp; Barges</t>
  </si>
  <si>
    <t>Non-self-propelled barges and lighters</t>
  </si>
  <si>
    <t>Hulls: YC, YCV, YFN, YFNX, YFNB, YON, YOS, YWN, YWO</t>
  </si>
  <si>
    <t>Miscellaneous self-propelled yard and special craft</t>
  </si>
  <si>
    <t>Hulls: FSF, SBX, YFB, YP, YSD, YDT, YTT</t>
  </si>
  <si>
    <t>Berthing barges, floating workshops, miscellaneous non-propelled craft</t>
  </si>
  <si>
    <t>Hulls: APL, YD, YFND, YFP, YR, YRB, YRBM, YRDH, YRDM, IX</t>
  </si>
  <si>
    <t>Sealift and marine pre-positioning support craft</t>
  </si>
  <si>
    <t>Hulls: INLS, LCM 8, LARC V, MPF UB, OPDS UB</t>
  </si>
  <si>
    <t>Ships Boats</t>
  </si>
  <si>
    <t>Motor rescue boats carried aboard ships</t>
  </si>
  <si>
    <t>Hulls: 5MRB, 7MRB, 11MRB</t>
  </si>
  <si>
    <t>Shore-Based Harbor Security Boats</t>
  </si>
  <si>
    <t>Harbor security patrol boats</t>
  </si>
  <si>
    <t>Hulls: 27HS, 28HS, 32HS, 33HS, 11MHS, 35HS, 36HS</t>
  </si>
  <si>
    <t>Military Sealift Command — civilian-crewed ships using T- prefix before hull symbol (e.g., T-AO, T-AKE, T-EPF).</t>
  </si>
  <si>
    <t>MSC shares USN categories and types</t>
  </si>
  <si>
    <t>MSC vessels fall under the same Category and Type as their USN counterparts. The T- prefix on the hull designator distinguishes them. Service column = MSC when hull starts with T-.</t>
  </si>
  <si>
    <t>Examples: T-AO (Combat Logistics Ships), T-AGOS (Surveillance Ships), T-EPF (Expeditionary &amp; Seabasing Ships)</t>
  </si>
  <si>
    <t>United States Coast Guard — cutters and boats.</t>
  </si>
  <si>
    <t>Coast Guard cutters — 65 feet and larger.</t>
  </si>
  <si>
    <t>Heavy polar icebreakers</t>
  </si>
  <si>
    <t>Hull: WAGB</t>
  </si>
  <si>
    <t>Great Lakes icebreaking cutters</t>
  </si>
  <si>
    <t>Hull: WLBB</t>
  </si>
  <si>
    <t>Legend-class national security cutters</t>
  </si>
  <si>
    <t>Hull: WMSL</t>
  </si>
  <si>
    <t>High Endurance Cutters</t>
  </si>
  <si>
    <t>Hamilton-class high endurance cutters (retiring)</t>
  </si>
  <si>
    <t>Hull: WHEC</t>
  </si>
  <si>
    <t>Medium Endurance Cutters</t>
  </si>
  <si>
    <t>270-foot and 210-foot medium endurance cutters</t>
  </si>
  <si>
    <t>Hull: WMEC</t>
  </si>
  <si>
    <t>Heritage-class offshore patrol cutters</t>
  </si>
  <si>
    <t>Hull: WMSM</t>
  </si>
  <si>
    <t>Sentinel-class fast response cutters</t>
  </si>
  <si>
    <t>Hull: WPC</t>
  </si>
  <si>
    <t>Marine Protector-class patrol boats</t>
  </si>
  <si>
    <t>Hull: WPB</t>
  </si>
  <si>
    <t>Seagoing Buoy Tenders</t>
  </si>
  <si>
    <t>Juniper-class seagoing buoy tenders</t>
  </si>
  <si>
    <t>Hull: WLB</t>
  </si>
  <si>
    <t>Keeper-class coastal buoy tenders</t>
  </si>
  <si>
    <t>Hull: WLM</t>
  </si>
  <si>
    <t>Inland Construction Tenders</t>
  </si>
  <si>
    <t>Inland construction tenders</t>
  </si>
  <si>
    <t>Hull: WLIC</t>
  </si>
  <si>
    <t>Ice Breaking Tugs</t>
  </si>
  <si>
    <t>Ice-breaking harbor tugs</t>
  </si>
  <si>
    <t>Hull: WTGB</t>
  </si>
  <si>
    <t>River Buoy Tenders</t>
  </si>
  <si>
    <t>River buoy tenders</t>
  </si>
  <si>
    <t>Hull: WLR</t>
  </si>
  <si>
    <t>Inland Buoy Tenders</t>
  </si>
  <si>
    <t>Inland buoy tenders</t>
  </si>
  <si>
    <t>Hull: WLI</t>
  </si>
  <si>
    <t>Small Harbor Tugs</t>
  </si>
  <si>
    <t>65-foot small harbor tugs</t>
  </si>
  <si>
    <t>Hull: WYTL</t>
  </si>
  <si>
    <t>Barque Eagle</t>
  </si>
  <si>
    <t>USCG training sailing vessel</t>
  </si>
  <si>
    <t>Hull: WIX</t>
  </si>
  <si>
    <t>Coast Guard boats — under 65 feet.</t>
  </si>
  <si>
    <t>Response Boats</t>
  </si>
  <si>
    <t>Motor lifeboats, response boats, transportable port security boats</t>
  </si>
  <si>
    <t>Hulls: MLB, RB-M, TPSB, RB-S II, UTM, UTL</t>
  </si>
  <si>
    <t>Aids to Navigation Boats</t>
  </si>
  <si>
    <t>Boats supporting aids to navigation mission</t>
  </si>
  <si>
    <t>Hulls: ANB, BUSL, TANB, AB-S, AB-SKF</t>
  </si>
  <si>
    <t>Cutter Boats</t>
  </si>
  <si>
    <t>Small boats deployed from cutters</t>
  </si>
  <si>
    <t>Hulls: CB-LRI, CB-OTH, ASB/LC, MSB, CB-L, CB-ATON, CB-M, CB-S, UTL</t>
  </si>
  <si>
    <t>Special Purpose Craft</t>
  </si>
  <si>
    <t>Specialized mission craft</t>
  </si>
  <si>
    <t>Hulls: SPC-SV, SPC-TTB, SPC-TB, SPC-LE, SPC-BTD, SPC-LEO, SPC-SW, SPC-IRT, SKF-ICE, SKF</t>
  </si>
  <si>
    <t>Training Craft</t>
  </si>
  <si>
    <t>Academy and training center craft</t>
  </si>
  <si>
    <t>Hulls: CT-64, SB</t>
  </si>
  <si>
    <t>VESSEL CLASS DETAILED REFERENCE (contextual / not a column in the data)</t>
  </si>
  <si>
    <t>Vessel Classes</t>
  </si>
  <si>
    <t>Reference only</t>
  </si>
  <si>
    <t>Hull</t>
  </si>
  <si>
    <t>Class</t>
  </si>
  <si>
    <t>Nimitz (CVN-68)</t>
  </si>
  <si>
    <t>Nuclear-powered carrier, 10 ships (CVN-68 through CVN-77)</t>
  </si>
  <si>
    <t>Active</t>
  </si>
  <si>
    <t>Gerald R. Ford (CVN-78)</t>
  </si>
  <si>
    <t>Next-gen nuclear carrier: CVN-78, -79, -80, -81</t>
  </si>
  <si>
    <t>Active / under construction</t>
  </si>
  <si>
    <t>Arleigh Burke (DDG-51)</t>
  </si>
  <si>
    <t>Guided-missile destroyer — Flight I/II/IIA/III</t>
  </si>
  <si>
    <t>Zumwalt (DDG-1000)</t>
  </si>
  <si>
    <t>Multi-mission stealth destroyer, 3 ships</t>
  </si>
  <si>
    <t>Ticonderoga (CG-47)</t>
  </si>
  <si>
    <t>Guided-missile cruiser (being decommissioned)</t>
  </si>
  <si>
    <t>Active (retiring)</t>
  </si>
  <si>
    <t>Constellation (FFG-62)</t>
  </si>
  <si>
    <t>Next-generation guided-missile frigate</t>
  </si>
  <si>
    <t>Under construction</t>
  </si>
  <si>
    <t>Freedom (LCS-1)</t>
  </si>
  <si>
    <t>Littoral combat ship — Freedom variant</t>
  </si>
  <si>
    <t>Independence (LCS-2)</t>
  </si>
  <si>
    <t>Littoral combat ship — Independence variant</t>
  </si>
  <si>
    <t>Los Angeles (SSN-688)</t>
  </si>
  <si>
    <t>Nuclear attack submarine — largest SSN class</t>
  </si>
  <si>
    <t>Seawolf (SSN-21)</t>
  </si>
  <si>
    <t>Nuclear attack submarine, 3 ships</t>
  </si>
  <si>
    <t>Virginia (SSN-774)</t>
  </si>
  <si>
    <t>Nuclear attack submarine — Block I through V</t>
  </si>
  <si>
    <t>Ohio (SSBN-726 / SSGN-726)</t>
  </si>
  <si>
    <t>Fleet ballistic missile sub (SSBN) and guided-missile sub (SSGN)</t>
  </si>
  <si>
    <t>Columbia (SSBN-826)</t>
  </si>
  <si>
    <t>Next-gen ballistic missile submarine</t>
  </si>
  <si>
    <t>America (LHA-6)</t>
  </si>
  <si>
    <t>Amphibious assault ship</t>
  </si>
  <si>
    <t>Wasp (LHD-1)</t>
  </si>
  <si>
    <t>Multipurpose amphibious assault ship, 8 ships</t>
  </si>
  <si>
    <t>San Antonio (LPD-17)</t>
  </si>
  <si>
    <t>Amphibious transport dock — Flight I and II</t>
  </si>
  <si>
    <t>Whidbey Island / Harpers Ferry (LSD-41/49)</t>
  </si>
  <si>
    <t>Dock landing ships (being replaced by LPD Flight II)</t>
  </si>
  <si>
    <t>Avenger (MCM-1)</t>
  </si>
  <si>
    <t>Mine countermeasures ship</t>
  </si>
  <si>
    <t>Henry J. Kaiser (T-AO 187)</t>
  </si>
  <si>
    <t>Fleet replenishment oiler (MSC)</t>
  </si>
  <si>
    <t>John Lewis (T-AO 205)</t>
  </si>
  <si>
    <t>Next-gen fleet replenishment oiler (MSC)</t>
  </si>
  <si>
    <t>Lewis and Clark (T-AKE)</t>
  </si>
  <si>
    <t>Dry cargo/ammunition ship (MSC)</t>
  </si>
  <si>
    <t>Supply (T-AOE 6)</t>
  </si>
  <si>
    <t>Fast combat support ship</t>
  </si>
  <si>
    <t>Inactive</t>
  </si>
  <si>
    <t>Spearhead (T-EPF)</t>
  </si>
  <si>
    <t>Expeditionary fast transport (MSC)</t>
  </si>
  <si>
    <t>Lewis B. Puller (T-ESB)</t>
  </si>
  <si>
    <t>Expeditionary sea base (MSC)</t>
  </si>
  <si>
    <t>Medium Landing Ship (LSM)</t>
  </si>
  <si>
    <t>New program — medium amphibious landing ship</t>
  </si>
  <si>
    <t>Under development</t>
  </si>
  <si>
    <t>Ship to Shore Connector (SSC / LCAC 100)</t>
  </si>
  <si>
    <t>Next-gen landing craft air cushion</t>
  </si>
  <si>
    <t>Landing craft utility — next generation</t>
  </si>
  <si>
    <t>Blue Ridge (LCC-19/20)</t>
  </si>
  <si>
    <t>Amphibious command ship</t>
  </si>
  <si>
    <t>Emory S. Land (AS-39)</t>
  </si>
  <si>
    <t>Submarine tender</t>
  </si>
  <si>
    <t>Victorious (T-AGOS 19)</t>
  </si>
  <si>
    <t>Ocean surveillance ship (MSC)</t>
  </si>
  <si>
    <t>Pathfinder (T-AGS 60)</t>
  </si>
  <si>
    <t>Oceanographic survey ship (MSC)</t>
  </si>
  <si>
    <t>Mercy (T-AH 19)</t>
  </si>
  <si>
    <t>Hospital ship (MSC)</t>
  </si>
  <si>
    <t>Navajo (T-ATS)</t>
  </si>
  <si>
    <t>Towing/salvage/rescue ship (MSC)</t>
  </si>
  <si>
    <t>Safeguard (ARS-50)</t>
  </si>
  <si>
    <t>Rescue and salvage ship</t>
  </si>
  <si>
    <t>Legend (WMSL-750)</t>
  </si>
  <si>
    <t>Heritage (WMSM-920)</t>
  </si>
  <si>
    <t>Sentinel (WPC-1101)</t>
  </si>
  <si>
    <t>Famous (WMEC-270)</t>
  </si>
  <si>
    <t>270-foot medium endurance cutter</t>
  </si>
  <si>
    <t>Reliance (WMEC-210)</t>
  </si>
  <si>
    <t>210-foot medium endurance cutter</t>
  </si>
  <si>
    <t>Retiring</t>
  </si>
  <si>
    <t>Polar (WAGB-10)</t>
  </si>
  <si>
    <t>Polar-class heavy icebreaker</t>
  </si>
  <si>
    <t>Active (beyond service life)</t>
  </si>
  <si>
    <t>Polar Security Cutter (WAGB)</t>
  </si>
  <si>
    <t>New heavy polar icebreaker program</t>
  </si>
  <si>
    <t>Mackinaw (WLBB-30)</t>
  </si>
  <si>
    <t>Great Lakes icebreaker</t>
  </si>
  <si>
    <t>Juniper (WLB-201)</t>
  </si>
  <si>
    <t>Seagoing buoy tender</t>
  </si>
  <si>
    <t>Keeper (WLM-551)</t>
  </si>
  <si>
    <t>Coastal buoy tender</t>
  </si>
  <si>
    <t>VESSEL COLUMN STANDARDIZATION RULES</t>
  </si>
  <si>
    <t>Standardization</t>
  </si>
  <si>
    <t>Rule</t>
  </si>
  <si>
    <t>4-column vessel hierarchy</t>
  </si>
  <si>
    <t>Vessel data split into: Vessel_Service (USN/USCG/MSC), Vessel_Category (Combatant Ships, Auxiliary Ships, etc.), Vessel_Type (e.g., Surface Combatants), Vessel_Hull (e.g., DDG, T-AO).</t>
  </si>
  <si>
    <t>Each column progressively more specific. All 4 may be populated or only broader levels.</t>
  </si>
  <si>
    <t>Service determined by hull and source</t>
  </si>
  <si>
    <t>MSC assigned when hull starts with T-. USCG assigned for Cutters/Boats categories or USCG source book. All others USN.</t>
  </si>
  <si>
    <t>Multi-type / multi-hull rows blanked</t>
  </si>
  <si>
    <t>If a line item applies to multiple vessel types or hulls, all 4 vessel columns are blank.</t>
  </si>
  <si>
    <t>Description or Citation preserves original scope.</t>
  </si>
  <si>
    <t>Vague values blanked</t>
  </si>
  <si>
    <t>Values like 'Multiple', 'Afloat (various)', 'N/A' that cannot map to a single canonical type are blanked.</t>
  </si>
  <si>
    <t>Hull extracted from class or type</t>
  </si>
  <si>
    <t>Hull derived first from vessel class (Arleigh Burke -&gt; DDG). If no class but original type was specific (e.g., 'Surface Combatants (DDG)'), hull extracted from type.</t>
  </si>
  <si>
    <t>Type has no parentheticals</t>
  </si>
  <si>
    <t>Vessel_Type uses base name only (e.g., 'Surface Combatants'). Hull abbreviations belong in Vessel_Hull.</t>
  </si>
  <si>
    <t>Blank stays blank</t>
  </si>
  <si>
    <t>If vessel info was originally blank, all 4 vessel columns remain blank.</t>
  </si>
  <si>
    <t>COMPOSITE BUCKET VALUES</t>
  </si>
  <si>
    <t>Composite buckets</t>
  </si>
  <si>
    <t>Some line items span multiple work types. Their Bucket value uses a delimiter (pipe, comma, or slash) to indicate all applicable buckets.</t>
  </si>
  <si>
    <t>Values: 2|3, 2,3, 2/4, 4/6, 1,4,5. These do not match any single-integer SUMPRODUCT filter and are correctly excluded from per-bucket TAM sums.</t>
  </si>
  <si>
    <t>TAM impact</t>
  </si>
  <si>
    <t>Composite-bucket rows are excluded from the TAM-by-work-type pivot (sheets 3 &amp; 4) because SUMPRODUCT checks D=1, D=2, etc. — a string like "2|3" fails all single-integer tests.</t>
  </si>
  <si>
    <t>To capture these rows, filter Bucket for non-integer values.</t>
  </si>
  <si>
    <t>BUCKET SUB-CATEGORIES (BUCKETS 2-7)</t>
  </si>
  <si>
    <t>Bucket 2 Subs</t>
  </si>
  <si>
    <t>CNO-scheduled depot-level maintenance availabilities (DSRA, SRA, DPMA, PMA, PIA, drydock).</t>
  </si>
  <si>
    <t>113 rows in current data.</t>
  </si>
  <si>
    <t>Ship availability periods for maintenance and repair work.</t>
  </si>
  <si>
    <t>105 rows in current data.</t>
  </si>
  <si>
    <t>Bucket 4 Subs</t>
  </si>
  <si>
    <t>Government-furnished equipment and combat system modernization installations.</t>
  </si>
  <si>
    <t>Shared with Bucket 1 — same sub-category applies to both new construction and retrofit contexts.</t>
  </si>
  <si>
    <t>Bucket 5 Subs</t>
  </si>
  <si>
    <t>Refueling Complex Overhaul — multi-year nuclear carrier recapitalization.</t>
  </si>
  <si>
    <t>187 rows in current data.</t>
  </si>
  <si>
    <t>Service Life Extension Program — extends a platform beyond original design life.</t>
  </si>
  <si>
    <t>6 rows in current data.</t>
  </si>
  <si>
    <t>Bucket 6 Subs</t>
  </si>
  <si>
    <t>Spare parts procurement supporting sustainment engineering and obsolescence management (OPN BA08).</t>
  </si>
  <si>
    <t>14 rows in current data.</t>
  </si>
  <si>
    <t>Bucket 7 Subs</t>
  </si>
  <si>
    <t>Services enabling repair/modernization — husbanding, port services, crane, scaffolding, environmental.</t>
  </si>
  <si>
    <t>76 rows in current data.</t>
  </si>
  <si>
    <t>USCG full vessel procurement — equivalent to Full ship DD&amp;C but for Coast Guard assets.</t>
  </si>
  <si>
    <t>6 rows in current data. Used for USCG cutters/boats.</t>
  </si>
  <si>
    <t>Combined full ship construction and long-lead time material in a single line item.</t>
  </si>
  <si>
    <t>3 rows in current data.</t>
  </si>
  <si>
    <t>FY 2027 COLUMNS — METHODOLOGY &amp; SOURCING</t>
  </si>
  <si>
    <t>FY 2027 Columns</t>
  </si>
  <si>
    <t>Source Document</t>
  </si>
  <si>
    <t>FY 2027 P-1 / O-1 (April 2026)</t>
  </si>
  <si>
    <t>New columns added: FY2027 Request ($K), FY2027 Mandatory Request ($K), FY2027 Total ($K). Located at end of sheet (cols AI/AJ/AK) to avoid breaking the column-letter formula references in TAM, SAM, and Competitive Dynamics.</t>
  </si>
  <si>
    <t>Status of FY27: REQUEST only, not enacted. Congress has not yet acted on the FY27 budget submission.</t>
  </si>
  <si>
    <t>Discretionary vs Mandatory</t>
  </si>
  <si>
    <t>Two separate FY27 columns</t>
  </si>
  <si>
    <t>The FY 2027 P-1 has TWO request columns: "FY 2027 Discretionary Request" (the regular annual base request) and "FY 2027 Mandatory Request" (a NEW reconciliation ask the Administration is making — round 2 mandatory funding, separate from OBBBA, NOT enacted, NOT guaranteed to pass).</t>
  </si>
  <si>
    <t>FY2027 Total = Disc Request + Mandatory Request. SCN FY27 totals: Disc $60.18B + Mand $5.65B = $65.83B.</t>
  </si>
  <si>
    <t>Same as FY26 — sum (no tag) + [PARENT] rows</t>
  </si>
  <si>
    <t>For FY27: TAM = SUM(FY27_Total) WHERE Row_Type IN ("", "[PARENT]"). Use FY2027 Total as the per-row value, OR sum FY2027 Request + FY2027 Mandatory Request separately if you want to model the two scenarios.</t>
  </si>
  <si>
    <t>Same double-counting guards apply: skip [SUB], [ALT_VIEW], [REFERENCE], [UNFUNDED]. Composite-bucket rows still excluded from per-bucket pivots.</t>
  </si>
  <si>
    <t>Net vs Gross convention</t>
  </si>
  <si>
    <t>PARENT = NET (gross − Less:AP − Less:SFF)</t>
  </si>
  <si>
    <t>Same convention as FY26 DAA columns: PARENT row holds the NET value after deducting Advance Procurement (PY) and Subsequent Full Funding (FY) lines from the gross procurement amount. Completion-PY rolldowns from earlier years are EXCLUDED from PARENT (they live in [SUB] rows).</t>
  </si>
  <si>
    <t>Validated against FY26: Virginia Class PARENT FY26 DAA Final = $2.74B = gross $5.39B − AP $2.65B (FY27 P-1 page 135). Same approach used for FY27.</t>
  </si>
  <si>
    <t>OBBBA exclusion</t>
  </si>
  <si>
    <t>OBBBA does NOT get a separate FY27 column</t>
  </si>
  <si>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</si>
  <si>
    <t>See "Budget authority vs spending implementation" row below for the nuance about why some OBBBA contracts will sign in FY27/FY28 even though the budget authority is FY26.</t>
  </si>
  <si>
    <t>Budget authority vs spending implementation</t>
  </si>
  <si>
    <t>Important conceptual distinction</t>
  </si>
  <si>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</si>
  <si>
    <t>Examples from OBBBA narrative: T-AO Oilers (item 23) — "three (3) T-AO Oilers, two (2) in FY 2026 and one (1) in FY 2027" — all $2.725B is FY26 BA, but the third oiler's contract will sign in FY27. LPD 34 / LHA 10 advance procurement (item 26) is also FY26 BA for FY27 ship buys.</t>
  </si>
  <si>
    <t>FY27 Mandatory Request vs OBBBA</t>
  </si>
  <si>
    <t>These are DIFFERENT pots of money</t>
  </si>
  <si>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</si>
  <si>
    <t>SCN FY27 Mandatory Request = $5.65B. Compare to SCN FY26 OBBBA (PL 119-21) = $17.93B. Different bills, different fiscal years, both technically "reconciliation" but accounted separately.</t>
  </si>
  <si>
    <t>Coverage by source book</t>
  </si>
  <si>
    <t>High for SCN/OPN/WPN, blank for OMN/NWCF/USCG</t>
  </si>
  <si>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</si>
  <si>
    <t>Plan: OMN/NWCF will be filled via prorated SAG-level allocation in a separate sheet (Phase 2). USCG will be filled when DHS Congressional Justification is sourced.</t>
  </si>
  <si>
    <t>New programs added in v1.21</t>
  </si>
  <si>
    <t>9 new SCN rows for FY27 P-1 line items</t>
  </si>
  <si>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</si>
  <si>
    <t>Each new row has Source=SCN, Color of Money=Procurement, no Row Type tag (additive), and full vessel taxonomy populated where available.</t>
  </si>
  <si>
    <t>1613N Maritime Industrial Base Fund</t>
  </si>
  <si>
    <t>NOT added — FY26-only appropriation</t>
  </si>
  <si>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</si>
  <si>
    <t>—</t>
  </si>
  <si>
    <t>DATA QUALITY FLAGS — KNOWN DUPLICATES &amp; INCONSISTENCIES</t>
  </si>
  <si>
    <t>Data Quality</t>
  </si>
  <si>
    <t>Submarket value duplicates (RESOLVED in v1.22)</t>
  </si>
  <si>
    <t>Surface Combatants - Large / Medium</t>
  </si>
  <si>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</si>
  <si>
    <t>If you reload data from a source that uses en-dashes, re-run the consolidation step.</t>
  </si>
  <si>
    <t>Duplicate rows across OPN_BA3 and OPN_BA5-8</t>
  </si>
  <si>
    <t>5 line items appear in both source books</t>
  </si>
  <si>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</si>
  <si>
    <t>Estimated double-count impact in FY26 and FY27: roughly +$1.0M to +$1.3M depending on year. To resolve, decide which source book is canonical and BLANK the other set's rows (do not delete — keep row positions stable for cross-sheet formula references).</t>
  </si>
  <si>
    <t>Duplicate row #1: LI 116 Advanced Arresting Gear (AAG)</t>
  </si>
  <si>
    <t>OPN_BA3 R2890 + OPN_BA5-8 R3208</t>
  </si>
  <si>
    <t>Both rows reference the same P-1 line item (Advanced Arresting Gear). Citation in OPN_BA3 says "P-40 / BA03 / BSA03 Aircraft Support Equipment / LI 4217". Citation in OPN_BA5-8 says "Exhibit P-1 / BA03 Aviation Support Equipment / Aircraft Support Equipment".</t>
  </si>
  <si>
    <t>Both populate FY27 = $23,551K disc. Pick one as canonical.</t>
  </si>
  <si>
    <t>Duplicate row #2: LI 117 Electromagnetic Aircraft Launch System (EMALS)</t>
  </si>
  <si>
    <t>OPN_BA3 R2901 + OPN_BA5-8 R3209</t>
  </si>
  <si>
    <t>Both rows reference the same P-1 line item (EMALS). Same dual-citation pattern as AAG.</t>
  </si>
  <si>
    <t>Both populate FY27 = $36,908K disc. Pick one as canonical.</t>
  </si>
  <si>
    <t>Duplicate row #3: LI 122 UMCS-Unman Carrier Aviation (UCA) Mission Control Station</t>
  </si>
  <si>
    <t>OPN_BA3 R2947 + OPN_BA5-8 R3210</t>
  </si>
  <si>
    <t>Both rows reference the same P-1 line item (UMCS-UCA). Same dual-citation pattern.</t>
  </si>
  <si>
    <t>Both populate FY27 = $211,216K disc. Pick one as canonical.</t>
  </si>
  <si>
    <t>Duplicate row #4: LI 176 Spares and Repair Parts</t>
  </si>
  <si>
    <t>OPN_BA3 R2973 + OPN_BA5-8 R3220</t>
  </si>
  <si>
    <t>Both rows reference P-1 BA08 line 176 "Spares and Repair Parts". OPN_BA3 has it because the source book includes BA08 spares; OPN_BA5-8 also covers BA08. Same line, two rows.</t>
  </si>
  <si>
    <t>Both populate FY27 = $765,711K disc. Pick one as canonical. Largest single-line double-count.</t>
  </si>
  <si>
    <t>Duplicate row #5: LI 177 VIRGINIA Class (VACL) Spares and Repair Parts</t>
  </si>
  <si>
    <t>OPN_BA3 R2974 + OPN_BA5-8 R3221</t>
  </si>
  <si>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</si>
  <si>
    <t>In FY26, both rows have data populated. For FY27, decide whether VIRGINIA Spares should be allocated as a fixed share of the consolidated BA08 line 176 ($765,711K) or left blank. If allocated, follow the same prorated approach planned for OMN/NWCF.</t>
  </si>
  <si>
    <t>PHASE 2 — OMN / NWCF / USCG FY27 ALLOCATION METHODOLOGY (planned, not yet implemented)</t>
  </si>
  <si>
    <t>Phase 2 Plan</t>
  </si>
  <si>
    <t>Why a separate sheet</t>
  </si>
  <si>
    <t>New sheet "FY27 Allocation Workbench"</t>
  </si>
  <si>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</si>
  <si>
    <t>USCG cannot be filled from this DoW exhibit set at all — it would require the DHS Coast Guard Congressional Justification, sourced separately. Phase 2 covers OMN/OMN_Vol2/NWCF only.</t>
  </si>
  <si>
    <t>Allocation rule</t>
  </si>
  <si>
    <t>Pro-rate by FY26 share of SAG total</t>
  </si>
  <si>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</si>
  <si>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</si>
  <si>
    <t>Source SAG totals (FY27)</t>
  </si>
  <si>
    <t>From FY27 O-1 / RF-1</t>
  </si>
  <si>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</si>
  <si>
    <t>These totals all have FY27 Disc Request only — no FY27 Mandatory Request for OMN/NWCF in the FY27 PB (mandatory is concentrated in procurement accounts).</t>
  </si>
  <si>
    <t>Workbench sheet structure</t>
  </si>
  <si>
    <t>One row per J Book row to be allocated</t>
  </si>
  <si>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</si>
  <si>
    <t>After review, copy col J back into the FY27 Request column of J Book Items Cons. for each row. Leave Mandatory Request blank for OMN/NWCF (no FY27 mandatory ask in those accounts).</t>
  </si>
  <si>
    <t>SAG → row mapping</t>
  </si>
  <si>
    <t>Use the Citation column</t>
  </si>
  <si>
    <t>Each OMN / OMN_Vol2 row in J Book Items Cons. has a Citation that includes the SAG code (e.g., "OMN &gt; BA01 Operating Forces &gt; 1B4B Ship Depot Maintenance &gt; ..."). Parse the SAG code from the Citation to group rows by SAG. NWCF rows similarly cite their account.</t>
  </si>
  <si>
    <t>For rows with ambiguous or missing citations, manual SAG assignment is required.</t>
  </si>
  <si>
    <t>Validation after Phase 2</t>
  </si>
  <si>
    <t>Sum check vs FY27 SAG total</t>
  </si>
  <si>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</si>
  <si>
    <t>Same TAM rules apply: only PARENT and (no tag) rows are additive. Sub rows can be filled for context but should not be summed in the SAG check.</t>
  </si>
  <si>
    <t>When NOT to prorate</t>
  </si>
  <si>
    <t>Manually populated rows</t>
  </si>
  <si>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</si>
  <si>
    <t>USCG handling</t>
  </si>
  <si>
    <t>Out of scope for Phase 2</t>
  </si>
  <si>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</si>
  <si>
    <t>Until Phase 3, USCG FY27 columns remain blank.</t>
  </si>
  <si>
    <t>TAM &amp; SAM MEKKO TABLE VERSIONS (v1 – v4)</t>
  </si>
  <si>
    <t>TAM / SAM Mekkos</t>
  </si>
  <si>
    <t>Purpose</t>
  </si>
  <si>
    <t>Mekko chart data tables</t>
  </si>
  <si>
    <t>Each Mekko table breaks FY2026 spending by vessel type (columns) and work type (rows). Values are percentages of the column total — designed to feed stacked-bar or Mekko charts. The bottom "Total" row holds absolute $K values that set the column widths.</t>
  </si>
  <si>
    <t>TAM = total addressable market. SAM = serviceable addressable market (TAM minus vessel types BuildCo cannot compete for).</t>
  </si>
  <si>
    <t>TAM scope</t>
  </si>
  <si>
    <t>All Navy + USCG vessel spending</t>
  </si>
  <si>
    <t>TAM includes all USN, MSC, and USCG vessel types present in the J Book Items Cons. data. Each row in the data is counted once using the cascading FY26 value (DAA Enacted → FY26 Total → FY26 Request). Only additive rows (no tag + [PARENT]) are summed to avoid double-counting.</t>
  </si>
  <si>
    <t>SAM scope</t>
  </si>
  <si>
    <t>TAM excl. Submarines, Aircraft Carriers &amp; UUVs</t>
  </si>
  <si>
    <t>SAM removes three vessel types that are not addressable: Submarines (nuclear-only yards), Aircraft Carriers (Newport News monopoly), and Unmanned Undersea Vehicles (specialized programs). Everything else in the SAM tables uses the same formulas and logic as TAM.</t>
  </si>
  <si>
    <t>v1 (original)</t>
  </si>
  <si>
    <t>Original Mekko tables</t>
  </si>
  <si>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</si>
  <si>
    <t>Kept for backwards compatibility. Superseded by v2+.</t>
  </si>
  <si>
    <t>v2 (comprehensive)</t>
  </si>
  <si>
    <t>All in-scope vessel types, all work types</t>
  </si>
  <si>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</si>
  <si>
    <t>v2 is the "show me everything" view. Many columns will be zero.</t>
  </si>
  <si>
    <t>v3 (scoped)</t>
  </si>
  <si>
    <t>v2 with narrower scope</t>
  </si>
  <si>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</si>
  <si>
    <t>SAM v3 answers: "of the work types a shipyard could bid on, how does spend break down by vessel type?"</t>
  </si>
  <si>
    <t>v4 (final)</t>
  </si>
  <si>
    <t>Outsourceable work types, non-zero columns only</t>
  </si>
  <si>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</si>
  <si>
    <t>v4 is the "bottom line" table for market sizing. NC has ~13 cols, MRO has ~7 cols.</t>
  </si>
  <si>
    <t>Outsourceable work types</t>
  </si>
  <si>
    <t>NC + SDM + Modernization</t>
  </si>
  <si>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</si>
  <si>
    <t>This is a simplification. Some excluded work types have outsourceable components, but the three included types represent the large, clearly biddable categories.</t>
  </si>
  <si>
    <t>DERIVED COLUMNS (v4.0 — Exhibit Level &amp; Cost Category)</t>
  </si>
  <si>
    <t>J Book Items Cons.</t>
  </si>
  <si>
    <t>Column</t>
  </si>
  <si>
    <t>Exhibit Level (col X)</t>
  </si>
  <si>
    <t>Derived column inserted by the build script between Parent Item and Vessel Service. Populated for [ALT_VIEW] rows. Values: "P-5c", "P-8a", "P-35", or blank. Parsed from the Line Item Title string pattern (e.g., "DDG-51 - P-5c - Electronics").</t>
  </si>
  <si>
    <t>Only exists in the output workbook, not the source. P-8a rows require a known cost category in the title to be tagged (filters out narrative text fragments). Blank for non-ALT_VIEW rows.</t>
  </si>
  <si>
    <t>Cost Category (col Y)</t>
  </si>
  <si>
    <t>Derived column inserted by the build script between Parent Item and Vessel Service. Populated for [ALT_VIEW] rows. Values: one of the 9 P-5c cost categories, or blank. For P-5c rows: extracted directly from the title (e.g., "Basic Construction"). For P-8a rows: the parent P-5c category (Electronics, HM&amp;E, or Ordnance). For P-35 rows: blank (not needed for current formulas).</t>
  </si>
  <si>
    <t>Valid P-5c cost categories: Plan Costs, Basic Construction, Change Orders, Electronics, Propulsion Equipment, Hull Mechanical and Electrical, Ordnance, Other Cost, Technology Insertion. Year-based P-5c breakdowns (e.g., "2014", "2026") get blank Cost Category.</t>
  </si>
  <si>
    <t>NEWBUILD SAM COST CATEGORY BREAKDOWN (v4.0 — Sections D &amp; E)</t>
  </si>
  <si>
    <t>Section</t>
  </si>
  <si>
    <t>(D) P-5c Gross Cost Category Breakdown</t>
  </si>
  <si>
    <t>Decomposes new-construction spending into P-5c cost categories (Plan Costs, Basic Construction, Change Orders, Electronics, HM&amp;E, Ordnance, Other Cost) by SAM vessel type. Values are GROSS total-ship-estimate costs from Exhibit P-5c — these are pre-AP/SFF deductions and will NOT match SAM net totals.</t>
  </si>
  <si>
    <t>FY2026 only. Uses SUMIFS on [ALT_VIEW] rows with JB_EX="P-5c". Includes a percentage sub-table showing the cost category mix per vessel type. Coverage: 6 SAM vessel types with P-5c data from 13+ ship programs.</t>
  </si>
  <si>
    <t>(E) Proportional Cost Category Allocation</t>
  </si>
  <si>
    <t>Applies the P-5c percentage mix from section (D) to the SAM net budget-authority totals from section (B). This gives a cost category decomposition that reconciles to the SAM total. Formula: SAM_net_per_type * P5c_pct_per_category.</t>
  </si>
  <si>
    <t>Allocated Total should equal SAM Net Total per vessel type. The "Check: matches SAM net?" row verifies reconciliation (should show 0.0%). Use this section for market-sizing statements like "$X.XB of DDG SAM goes to electronics/GFE."</t>
  </si>
  <si>
    <t>NEWBUILD SAM COST DETAIL SHEET (v4.0)</t>
  </si>
  <si>
    <t>Newbuild SAM Cost Detail</t>
  </si>
  <si>
    <t>(A) P-5c Total Ship Cost</t>
  </si>
  <si>
    <t>Same data as SAM section (D) but presented as a standalone Approach 2 reference. Gross P-5c values by vessel type and cost category — the actual cost of ships before AP/SFF netting. Not reconciled to budget authority.</t>
  </si>
  <si>
    <t>Useful for answering "what does a DDG-51 actually cost to build, by component?"</t>
  </si>
  <si>
    <t>(B) P-8a System-Level Detail</t>
  </si>
  <si>
    <t>Individual GFE systems from Exhibit P-8a, grouped by cost category within each vessel type. Shows system name, cost category, FY2026 $K, and % of vessel type total. Systems include radars (SPY-6, MFR), weapons (VLS, AEGIS, guns), electronics (SEWIP, SCS, EXCOMM), and HM&amp;E (generators, navigation).</t>
  </si>
  <si>
    <t>P-8a values are pre-scanned from the source and written as static values (F_BLUE font). Coverage: 4 SAM vessel types with P-8a data. Cost Element column (col AJ) provides the system name; 30 of 415 P-8a rows lack a Cost Element and are excluded.</t>
  </si>
  <si>
    <t>(C) Top P-8a Systems Cross-Program</t>
  </si>
  <si>
    <t>Largest GFE systems aggregated across all SAM vessel types, sorted by total FY2026 $K. Shows system name, cost category, total $K, number of programs, and vessel types.</t>
  </si>
  <si>
    <t>Useful for answering "what is the total radar market?" or "which GFE systems span the most programs?"</t>
  </si>
  <si>
    <t>FY2027 COST CATEGORY BREAKDOWN — NOT YET AVAILABLE</t>
  </si>
  <si>
    <t>FY2027 has no sections (D)/(E) or Cost Detail sheet</t>
  </si>
  <si>
    <t>The FY2027 SCN/OPN justification books (Exhibits P-5c, P-8a, P-35) have not been released yet. Cost category breakdowns will be added when those documents are published.</t>
  </si>
  <si>
    <t>FY2027 Newbuild SAM retains sections (A)/(B)/(C) only.</t>
  </si>
  <si>
    <t>NAMED RANGES (v4.0 additions)</t>
  </si>
  <si>
    <t>Named Range</t>
  </si>
  <si>
    <t>JB_CE (col AJ)</t>
  </si>
  <si>
    <t>Cost Element — existing column containing system names for P-8a rows (e.g., "AN/SPY-6(V)1 (AMDR)"). Shifted +2 cols due to inserted derived columns.</t>
  </si>
  <si>
    <t>Range: $AJ$5:$AJ$3381. Populated for ~385 of 415 P-8a rows.</t>
  </si>
  <si>
    <t>JB_EX (col X)</t>
  </si>
  <si>
    <t>Exhibit Level — derived column inserted between Parent Item and Vessel Service. Values: "P-5c", "P-8a", "P-35", or blank.</t>
  </si>
  <si>
    <t>Range: $X$5:$X$3381. Used in SUMIFS to filter by exhibit type.</t>
  </si>
  <si>
    <t>JB_CC (col Y)</t>
  </si>
  <si>
    <t>Cost Category — derived column inserted between Parent Item and Vessel Service. Values: P-5c cost category name or blank.</t>
  </si>
  <si>
    <t>Range: $Y$5:$Y$3381. Used in SUMIFS to filter by cost category.</t>
  </si>
  <si>
    <t>Description Notes</t>
  </si>
  <si>
    <t>Long-form description text extracted from the data sheet. Keyed by data sheet row number.</t>
  </si>
  <si>
    <t>Data Row</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</si>
  <si>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</si>
  <si>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</si>
  <si>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</si>
  <si>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</si>
  <si>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</si>
  <si>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</si>
  <si>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No advance procurement funds requested for RCOH in FY 2026. *Note: "When Required" is the number of months required before ship delivery.</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</si>
  <si>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</si>
  <si>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</si>
  <si>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</si>
  <si>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</si>
  <si>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</si>
  <si>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</si>
  <si>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</si>
  <si>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</si>
  <si>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</si>
  <si>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</si>
  <si>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</si>
  <si>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</si>
  <si>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</si>
  <si>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</si>
  <si>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</si>
  <si>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</si>
  <si>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</si>
  <si>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</si>
  <si>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</si>
  <si>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</si>
  <si>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</si>
  <si>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</si>
  <si>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</si>
  <si>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MSC operates under four distinct unit cost goals - one for each of its programs. All programs have cost/per day as the unit cost basis.</t>
  </si>
  <si>
    <t>$969.32 millions were realigned out of NWCF reimbursable authority in FY 2026.</t>
  </si>
  <si>
    <t>In support of M&amp;R transition from NWCF to OMN, $95.82 millions were realigned out of NWCF reimbursable authority in FY 2026.</t>
  </si>
  <si>
    <t>M&amp;R transition from NWCF to OMN, $209.40 millions were realigned out of NWCF reimbursable authority in FY 2026.</t>
  </si>
  <si>
    <t>In support of M&amp;R transition from NWCF to OMN, $125.46 millions were realigned out of NWCF reimbursable authority in FY 2026.</t>
  </si>
  <si>
    <t>Aligned with SECDEF priorities for mission readiness, approximately $1 billion was realigned from Navy Working Capital Fund (NWCF) to Operations and Maintenance, Navy (OMN) in FY 2026 to support maintenance and repair requirements for Military Sealift Command.</t>
  </si>
  <si>
    <t>Annualization of Prior Year Pay Raises ($18.60M), BY2 Pay Raise (-$16.90M), Fuel Price Changes ($2.10M), General Purchase Inflation ($66.30M)</t>
  </si>
  <si>
    <t>NAVSUP manages Budget Project 28 for ship repairable and consumable inventory wholesale operations.</t>
  </si>
  <si>
    <t>Budget Project 81 provides shipboard spare parts - repairables and consumables - across all Navy vessel classes.</t>
  </si>
  <si>
    <t>The Virginia Class (VACL) Material Strategy is an initiative to buy critical initial spare parts in support of VACL submarine Extended Dry-Dock Selected Restricted Availabilities (EDSRA) and Depot Modernization Periods (DMP).</t>
  </si>
  <si>
    <t>FY 2026 CA increased by $38 million from FY2025 in support of Submarine Wholeness (Shipyards) increased requirements and DLA/GSA price increase.</t>
  </si>
  <si>
    <t>Amphibious Reset Steam and Diesel BOM initiative to reduce maintenance delays for aging amphibious ships.</t>
  </si>
  <si>
    <t>The Fleet Readiness Centers (FRCs) produce quality airframes, engines, components and support equipment, and provide services that meet Naval Aviation Enterprise (NAE) goals.</t>
  </si>
  <si>
    <t>NAWC-38 Vessel Replacement NAWCAD Atlantic Targets and Marine Operations (ATMO) has a Key West mission that supports RDT&amp;E and Fleet Training with maritime support services.</t>
  </si>
  <si>
    <t>FY24 Lake Glendora- Heavyweight Ship Shock Platform Infrastructure (Tunable Deck)- $2,500K (NSWC Crane; Crane, IN) - Heavy Weight Shipboard Shock testing is required for both submerged and dry systems that are installed on any fleet vessel.</t>
  </si>
  <si>
    <t>FY25 Battery-Rated Environmental Test Chamber - $1,400K (NSWC Carderock; Bethesda, MD) - Naval Surface Warfare Center Carderock Division (NSWCCD) Topside Signature Division maintains the unique capability of at sea, in-situ dynamic radar cross section measurements.</t>
  </si>
  <si>
    <t>FY25 Deployable Signature Measurement System - $2,500K (NSWC Carderock; Bethesda, MD) - Naval Surface Warfare Center Carderock Division (NSWCCD) Topside Signature Division maintains the unique capability of at sea, in-situ dynamic radar cross section measurements.</t>
  </si>
  <si>
    <t>FY26 Modernized Deployable Signature Measurement System for Navy Platforms (Radar Cross Section) - $2,500K (NSWC Carderock; Bethesda, MD) - The proposed deliverable is a modernized mobile radar measurement system, to include updated antennas and high-powered amplifiers.</t>
  </si>
  <si>
    <t>FY24 Hydrostatic Pressure Vessel - $5,100K (NUWC Newport; Newport, RI) - Procure and integrate a Hydrostatic Pressure Vessel to perform test and evaluation of shipboard systems relative to volume requirements and hydrostatic pressure requirements.</t>
  </si>
  <si>
    <t>FY26 Payload Integration Modernization for the Payload Tube Facility - System - $3,810K (NUWC Newport; Newport, RI) - Procure and integrate the Engineering Development Modules to be integrated into the newly constructed Payload Tube Facility.</t>
  </si>
  <si>
    <t>FY24 Building 1319 Land Based Submarine Radio Room Integration- $1,362K - (NUWC Newport; Newport, RI) - Perform the construction to unify the classified Land Based Submarine Radio Room laboratories on the 1st floor of Building 1319.</t>
  </si>
  <si>
    <t>FY25 Submarine Defense Systems Land Based Integration and Test Facility - Construction - $4,725K - (NUWC Newport; Newport, RI) - Construct a 1,500 sq. ft. facility.</t>
  </si>
  <si>
    <t>FY26 Building 13 Heading Sensor Calibration Facility Upgrades - $3600K - (NUWC Newport; Newport, RI) - Construct a heading sensor calibration facility in Building 13 at Naval Station Newport to support towed array module level heading sensor calibration.</t>
  </si>
  <si>
    <t>FY26 Building 124 Upgrade - Construction - $8,500K - (NUWC Newport; Newport, RI) - Construct a laboratory space as part of Building 124 to allow for current and future processing requirements of fleet weapons integration work.</t>
  </si>
  <si>
    <t>FY25 Deep Depth Test Facility Modernization - Construction - $2,521K - (NUWC Newport; Newport, RI) - Perform the construction to modernize the Deep Depth Test Facility to combat degradation and enhance safety by modernizing the Movable Pressure Vessel.</t>
  </si>
  <si>
    <t>FY25 Pier 171 Upgrades - $5,835K - (NUWC Newport; Newport, RI) - Perform construction on Pier 171 at Division Newport's Stillwater Basin to construct a pier that can support a gross vehicle weight limit of 20,000 pounds.</t>
  </si>
  <si>
    <t>FY25 UUV/CUUV Support Craft - $2,500K - (NUWC Keyport; Keyport, WA) - Procure a vessel to support all UUV/CUUV (and additional) projects during range testing.</t>
  </si>
  <si>
    <t>FY26 Over the Horizon (OTH) Lab Facility - 100% Design- $800K (NSWC Port Hueneme; Port Hueneme, CA) - Current Building 1326 does not have sufficient space and is in disrepair.</t>
  </si>
  <si>
    <t>FY26 VLS Automated Test Equipment Innovation Facility - 100% Design- $800K (NSWC Port Hueneme; Port Hueneme, CA) - Current space in Bldg 7 (Rm 1A&amp;7A) isn't viable for operational testing (space flooded) and doesn't support growth of the VLS Automated Test Equipment.</t>
  </si>
  <si>
    <t>FY26 Maritime Mining Lab - $4,000K (NSWC Panama City; Panama City, FL) - An 100' X 40' structure with an open first floor high bay including modular rooms, unisex restroom, and lab sinks to the rear.</t>
  </si>
  <si>
    <t>FY26 Shipboard/Ground Systems Lab Design- $1,800K (NSWC Crane; Crane, IN) - This project will provide adequate space for accomplishing the growing workload in Strategic Systems Shipboard and Ground Systems including hardware and cybersecurity aspects.</t>
  </si>
  <si>
    <t>FY26 MINCON Construct ARD Boathouse #11 - $1,500 (NSWC Carderock; Bethesda, MD) - New boathouse construction to replace the existing capability, built in 1942.</t>
  </si>
  <si>
    <t>FY26 MINCON Construct V-47 Boathouse - $4,690K (NSWC Carderock; Bethesda, MD) - This MINCON would construct a boat house adjacent to the small boat floating finger piers to provide covered boat slips to allow quick repair and/or load out of craft in severe weather.</t>
  </si>
  <si>
    <t>"The total Ship Maintenance program supports 8 Overhauls &amp; 60 maintenance availabilities in FY 2024."</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</si>
  <si>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</si>
  <si>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</si>
  <si>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"Puget Sound Naval Shipyard and Intermediate Maintenance Facility (PSNSY and IMF): Increase in non-labor costs due to increase maintenance workload at PSNSY for induction of USS KENTUCKY (SSBN 737). (Baseline: $871,165)"</t>
  </si>
  <si>
    <t>"Miscellaneous Restricted Technical Availability (RA/TA) (ORATA): Program increase in Outsourcing workload from the Naval Shipyards to the private sector in an effort to increase total capacity to improve submarine readiness. (Baseline: $990,461)"</t>
  </si>
  <si>
    <t>"Carrier Incremental Availabilities (CIA): Program increase in private sector CVN maintenance cost due to induction of USS DWIGHT D. EISENHOWER (CVN 69), USS JOHN C. STENNIS (CVN 74) and USS THEODORE ROOSEVELT (CVN"</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</si>
  <si>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</si>
  <si>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"Surface Incremental Availabilties (SIA): Program increase in private sector DDG maintenance cost due to induction of USS ARLIEGH BURKE (DDG 51) and USS RUSHMORE (LSD 47). (Baseline: $63,660)"</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</si>
  <si>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</si>
  <si>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"Puget Sound Naval Shipyard and Intermediate Maintenance Facility (PSNSY and IMF): Increase in non-labor costs due to increase maintenance workload complexities at PSNSY for USS MICHIGAN (SSGN 727). (Baseline: $871,165)"</t>
  </si>
  <si>
    <t>"Planned Incremental Availabilities (PIA): Program increase in private sector CVN maintenance cost due to induction of USS GERALD R. FORD (CVN 78). (Baseline: $322,052)"</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</si>
  <si>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</si>
  <si>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"Portsmouth Naval Shipyard (PNSY): Program increase due to increase maintenance workload at PNSY for induction of USS NEW MEXICO (SSN 779) Depot Modernization Period (DMP). (Baseline: $1,468,055)"</t>
  </si>
  <si>
    <t>"Norfolk Naval Shipyard (NNSY): Program increase in civilian personnel costs due to increase maintenance and workload at NNSY for induction of USS GERALD R. FORD (CVN 78) Planned Incremental Availability (PIA). (Baseline: $1,259,521; +92 civilian FTE)"</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</si>
  <si>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</si>
  <si>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"Selective Restricted Availabilities (SRA): Program decrease due to a decrease in requirements for induction of USS JOHN"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</si>
  <si>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</si>
  <si>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</si>
  <si>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"System Engineering requirements to support planned Pointing &amp; Firing Cutouts. DDG 1000 completing modernization availability in FY25."</t>
  </si>
  <si>
    <t>"ISEA support for increased reliability and sustainability; combat system support facilities for LCS testing, integration, and certification. Includes LCS 13-19 in-service retention."</t>
  </si>
  <si>
    <t>"DDG Modernization planned installations, availability planning, training, waterfront engineering. Ships in execution: DDG 75, DDG 91, DDG 101, DDG 103."</t>
  </si>
  <si>
    <t>"USS IWO JIMA (LHD 7) JSF Modernization shifting to FY2026 from FY25."</t>
  </si>
  <si>
    <t>"Dual Band Radar obsolescence and RADAR Suite Drawings on CVN 78. CVN schedule-driven availabilities with Ship Change Documents."</t>
  </si>
  <si>
    <t>"LOG IT Modernization requirements supporting digital data transformation."</t>
  </si>
  <si>
    <t>"Increase in scope and complexity of barge overhaul contracted availabilities. CLU lease supporting 4 to 6 DDGs forward deployed to Rota, Spain."</t>
  </si>
  <si>
    <t>"Submarine Industrial Base (SIB) government oversight to achieve 1+2 production cadence. Workforce optimization reducing 228 FTEs."</t>
  </si>
  <si>
    <t>"Operations and maintenance of Maritime Prepositioning Ships, exercise support, and sealift sustainment."</t>
  </si>
  <si>
    <t>"Improved Navy Lighterage System electrical/mechanical/propulsion obsolescence management."</t>
  </si>
  <si>
    <t>"Large Medium Speed Roll-on/Roll-off ships transferred from Army to Navy. Includes $116,930K transfer from O&amp;M Army."</t>
  </si>
  <si>
    <t>"Inactive Ship Maintenance Facility CIVPERS and facility operations."</t>
  </si>
  <si>
    <t>"Inactivation and Defueling (I&amp;D) plus Ships Terminal Offload Plan (STOP) for CVN 68."</t>
  </si>
  <si>
    <t>"HM&amp;E maintenance problem resolution support for fleet, shipyards and industrial activities. Submarine maintenance planning management, standards, and material condition assessment."</t>
  </si>
  <si>
    <t>"CVN 78 Class lifecycle training for HM&amp;E systems."</t>
  </si>
  <si>
    <t>"Technical Authority and Systems Engineering for ships and ship systems. Damage Control, Fire Protection programs. Naval Ship Technical Manual maintenance."</t>
  </si>
  <si>
    <t>"Magnetic Silencing In-Service Support for degaussing systems on Navy, Coast Guard, MSC ships."</t>
  </si>
  <si>
    <t>"Operations and maintenance for LCAC and LCU in support of ARG operational requirements. Transferred largely to 1B1B/1B4B in FY26."</t>
  </si>
  <si>
    <t>"Navy ship salvage and Underwater Ship Husbandry; Emergency Ship Salvage Material (ESSM) bases; Navy Certification and ISEA support for Fleet diving systems."</t>
  </si>
  <si>
    <t>"CIWS configurations across 11 different ship classes. Full Mission Capable mounts for Red Sea operations."</t>
  </si>
  <si>
    <t>"MK48 Heavyweight Torpedo and Lightweight Torpedo depot maintenance and engineering/logistics."</t>
  </si>
  <si>
    <t>"Anti Torpedo Torpedo Defense System (ATTDS) comprised of CAT and TWS."</t>
  </si>
  <si>
    <t>"In-Service Engineering Agent support for LCS mission module maintenance."</t>
  </si>
  <si>
    <t>"Global Autonomous Reconnaissance Craft and Production-Ready, Inexpensive, Maritime Expeditionary sUSV."</t>
  </si>
  <si>
    <t>"TB-16 series, TB-23, TB-29 series, TB-34 series towed array spares."</t>
  </si>
  <si>
    <t>"Facility Sustainment, Restoration, and Modernization (FSRM) for shore activities including shipyards. 62,960 facilities."</t>
  </si>
  <si>
    <t>"Puget Sound Naval Shipyard Drydock 4 seismic repairs - one-time mandatory/reconciliation funding."</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</si>
  <si>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</si>
  <si>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</si>
  <si>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This program provides procurement and improvements of navigation equipment to include Inertial Navigation equipment such as gyrocompasses, speed sensors, Electronic Chart Display and Information System (ECDIS) and major components for other navigation systems.</t>
  </si>
  <si>
    <t>The Submarine Periscope, Imaging, and Support Equipment program provides critical electromagnetic systems to all classes of submarine platforms. This includes Imaging, Electronic Warfare (EW), and RADAR systems which provide navigation safety and collision avoidance.</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</si>
  <si>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</si>
  <si>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The program procures shipboard firefighting equipment. Equipment is procured based on installation schedules.</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</si>
  <si>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</si>
  <si>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The Landing Helicopter Assault (LHA) and Landing Helicopter Dock (LHD) Modernization Program is required to upgrade the in-service LHA 6 and LHD 1 Class ships in order to keep the LHA and LHD Class relevant and operational.</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</si>
  <si>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</si>
  <si>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</si>
  <si>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</si>
  <si>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The VIRGINIA Class BLI 0942 provides a wide range of materials required to operate, test, support and maintain the viability of VIRGINIA SSN774 Class Submarines.</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</si>
  <si>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</si>
  <si>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FY 2026 funding supports the procurement of replacement Valve Regulated Lead Acid (VRLA) batteries for LOS ANGELES (5); OHIO (4); SEAWOLF (1); VIRGINIA (11); VA VRLA installation tray (1) and associated production engineering.</t>
  </si>
  <si>
    <t>The FY 2026 request for LPD Class Support Equipment includes $101,042 thousand of discretionary and $24,500 thousand of mandatory (reconciliation). The mandatory funds support AMPHIB modernization, LPD availability procurements and LPD Midlife availabilities.</t>
  </si>
  <si>
    <t>Combat system computing infrastructure (data centers, network infrastructure &amp; communications devices) is more than a decade old and requires extensive modernization and technology refresh to sustain operations, mitigate obsolescence.</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</si>
  <si>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</si>
  <si>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</si>
  <si>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FY 2024 funds in the amount of $30M was requested and provided to complete maintenance and conduct Combat Systems Ship's Qualification Trials (CSSQT) for the USS CHOSIN (CG 65) and USS CAPE ST GEORGE (CG 71).</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</si>
  <si>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</si>
  <si>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</si>
  <si>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</si>
  <si>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OPNAVINST 3400.10G articulates U.S. Navy Chemical, Biological and Radiological Defense (CBRD) policy and establishes functional responsibilities to ensure the highest level of the Fleet readiness and warfighting sustainability in a CBR environment.</t>
  </si>
  <si>
    <t>FY 2026 funds $2.4B for Continental United Status (CONUS) private contracted surface and submarine maintenance in both U.S. Pacific Fleet (CPF) and U.S. Fleet Forces Command (FFC).</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</si>
  <si>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</si>
  <si>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</si>
  <si>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Naval Sea Systems Command (NAVSEA) -- Boats are procured to fill allowances established by CNO and NAVSEA and to replace boats now in service which are beyond economical repair at shore activities and aboard ships.</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</si>
  <si>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</si>
  <si>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Littoral Combat Ship (LCS) focused mission packages provide the operational commander with capabilities to perform Mine Countermeasures (MCM) operations and a Surface Warfare (SUW) detect-to-engage capability to counter small boat threats.</t>
  </si>
  <si>
    <t>The Littoral Combat Ship (LCS) Mine Countermeasures (MCM) Mission Package (MP) counters bottom, tethered, near surface, and surface mines in the littorals without putting Sailors in the minefield. MCM MP achieved Initial Operational Capability in 31MAR2023.</t>
  </si>
  <si>
    <t>The Surface Warfare (SUW) Mission Package (MP) increases firepower and offensive/defensive capabilities against large numbers of highly maneuverable, fast, small craft threats, giving Littoral Combat Ships (LCS) the ability to protect the sea lanes.</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</si>
  <si>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</si>
  <si>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</si>
  <si>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Modernized LSD 41/49 Class ships transport and launch amphibious craft and vehicles with their crews and embarked personnel in amphibious assault operations.</t>
  </si>
  <si>
    <t>OPN BA2 total - roll-up of all BA2 line items</t>
  </si>
  <si>
    <t>Beginning in FY26, all funding under LI 2026 has been realigned to LI 2981 - In-Service Radars and Sensors. This program provides for procurement of AN/SPQ-9B radars whose primary mission is to detect and track low flying Anti-Ship Missile targets in heavy clutter.</t>
  </si>
  <si>
    <t>Procures AN/SPQ-9B Radars to add Anti-Ship Missile Defense (ASMD) capability to Shipboard Combat Systems. Procures radars to support combat systems on the following ship classes: CG, LHA, DDG, CVN, LHD, LPD, U.S. Coast Guard National Security Cutter and a Training Unit.</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</si>
  <si>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</si>
  <si>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</si>
  <si>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AN/SQQ-89A(V)15 Build-In-Place Technology Insertion/Refresh upgrade for DDG51 Class platforms.</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</si>
  <si>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</si>
  <si>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Funding supports procurement of Light Weight Wide Aperture Array (LWWAA) Unit 6512 receiver hardware for technology refresh for Software and Hardware updates to accommodate shifts in technology to counter obsolescence on Block I/II VIRGINIA Class submarines.</t>
  </si>
  <si>
    <t>Funding supports procurement of hardware to accommodate increased power requirements of SSBN modernization equipment.</t>
  </si>
  <si>
    <t>Procurement of Low Cost Conformal Array (LCCA) to provide enhanced situational awareness and collision avoidance capability.</t>
  </si>
  <si>
    <t>The High Frequency Sail Array (HFSA) provides high frequency active and passive capability supporting Anti-Submarine Warfare (ASW) and Anti-Surface Warfare (ASUW) for SSNs, and contact avoidance for SSNs and SSBNs.</t>
  </si>
  <si>
    <t>The Large Vertical Array (LVA) provides improved detection and enhanced tactical situational awareness capability for tracking targets of interest, and supports acoustic superiority objectives for OHIO class submarines.</t>
  </si>
  <si>
    <t>Procurement of the VIRGINIA Class Large Vertical Array (LVA) provides improved detection and enhanced tactical situational awareness capability for tracking targets of interest, and supports acoustic superiority objectives for the VIRGINIA class submarines.</t>
  </si>
  <si>
    <t>Provides technology insertion upgrade kits to previously installed A-RCI systems, providing the latest and most current capability and includes tech insertion to Legacy Replacement components on Los Angeles Class submarines.</t>
  </si>
  <si>
    <t>Provides technology insertion upgrade kits to previously installed A-RCI systems, providing the latest and most current capability and includes tech insertion to Legacy Replacement components on Seawolf Class submarines.</t>
  </si>
  <si>
    <t>Provides technology insertion upgrade kits to previously A-RCI installed systems on the VA Class Blocks I-III, providing the latest and most current capability.</t>
  </si>
  <si>
    <t>Provides sonar modernization to the SSBN (TRIDENT) Class Submarine Fleet.</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</si>
  <si>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</si>
  <si>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NOTE: Effective FY 2026, all funding and programs within OPN BLI 2176 moved into OPN BLI 2136 in support of the PE/BLI consolidation initiative prescribed within the DoD Implementation Plan from the Commission on PPBE Reform Final Report.</t>
  </si>
  <si>
    <t>The Submarine Acoustic Warfare System (SAWS) program provides submarines with expendable defensive countermeasures and the systems necessary to externally launch against torpedo and acoustic sensor threats.</t>
  </si>
  <si>
    <t>Surface Ship Torpedo Defense (SSTD) provides a layered torpedo defense to protect surface ships against current and future threats. Sustains deployed systems including the towed AN/SLQ-25A/C (NIXIE) countermeasure. Modernizes NIXIE to the AN/SLQ-25E variant.</t>
  </si>
  <si>
    <t>The details of this budget justification are classified, per Executive Order 13526.</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</si>
  <si>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</si>
  <si>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</si>
  <si>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P-3A breaks out specific U.S. requirements of cost sharing for Japanese Auxiliary Oceanographic Surveillance (J-AOS) ships and shore sites.</t>
  </si>
  <si>
    <t>Surface Electronic Warfare (EW) Improvement Program (SEWIP) will develop a modern, highly capable family of EW systems by block upgrade of the current AN/SLQ-32 system that is robust in detecting and countering current and future threats.</t>
  </si>
  <si>
    <t>High Gain High Sensitivity (HGHS) Adjunct Sensor is a critical improvement for threat correlation, situational awareness, and extending the battle space. The SEWIP Block 1B3 and Block 2 units are installed conjunctively to compose the AN/SLQ-32(V)6 system.</t>
  </si>
  <si>
    <t>SEWIP Block 2 provides AN/SLQ-32(V) an upgraded antenna, receiver, and combat systems interface. The upgrades will pace the evolving threat, improve detection and accuracy and mitigate EMI.</t>
  </si>
  <si>
    <t>Block 3 provides an Electronic Attack (EA) capability improvement required for the AN/SLQ-32(V) system to keep pace with the evolving threat. The program provides a common EA capability to surface ships (CVN, DDG, and LHD).</t>
  </si>
  <si>
    <t>Funding for LI 3501 Cryptologic Carry-On Program (CCOP) has been realigned into LI 2360 Shipboard Information Warfare (IW) starting in FY 2026. This effort consolidates existing PEs/BLIs to group technology projects to allow flexibility.</t>
  </si>
  <si>
    <t>Funding for LI 2900 Maritime Integrated Broadcast System (MIBS) has been realigned into LI 2361 starting in FY 2026. This effort consolidates existing PEs/BLIs to group technology projects.</t>
  </si>
  <si>
    <t>CEC significantly improves Battle Force Anti-Air Warfare (AAW) capability by coordinating all Battle Force AAW sensors into a single, real-time, composite track picture capable of fire control quality.</t>
  </si>
  <si>
    <t>NTCSS is the logistics information system which enables combat lethality by generating and sustaining Navy and Marine Corps force maintenance and logistics readiness for operational commanders afloat and ashore.</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</si>
  <si>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</si>
  <si>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Includes Global Command and Control System-Maritime (GCCS-M), the Navy fielded portions of GCCS-Joint, and Joint Automated Deep Operations Coordination System (JADOCS).</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</si>
  <si>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</si>
  <si>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NAVSTAR GPS provides assured and protected navigation solutions to Warfighters through supported, affordable, and integrated systems, and is the primary source of positioning, navigation and timing information for the Department of Defense.</t>
  </si>
  <si>
    <t>AFRTS shipboard systems provide command information to deployed Sailors and Marines and allow for the distribution of AFRTS programming. The systems contribute significantly to the habitability of Navy ships.</t>
  </si>
  <si>
    <t>Funding in this P-1 line provides Non-Propulsion Electronics equipment that will be installed aboard TRIDENT Class submarines as part of the Obsolete Equipment Replacement (OER) Program. Beginning in FY25, all requirements are aligned under 0950.</t>
  </si>
  <si>
    <t>Marine Air Traffic Control and Landing Systems (MATCALS) and DoD Advanced Automation System (DAAS) and other shore-based ATC equipment. Includes ATNAVICS, TACAN replacements, and FAA NextGen compliance systems.</t>
  </si>
  <si>
    <t>Shipboard Air Traffic Control (SATC) and Automatic Carrier Landing System (ACLS). Includes Shipboard Air Traffic Radar (SATR) AN/SPN-50(V) and AN/SPN-35/41/46 modifications.</t>
  </si>
  <si>
    <t>The Identification Systems program funds procurements and ECPs to address obsolescence for Mark XII / Mark XIIA systems including AN/UPX-37, AN/UPX-41, AN/UPX-45 and AN/UPX-50 Digital Interrogators, AN/APX-118 and AN/APX-123 Common Digital Transponders.</t>
  </si>
  <si>
    <t>Mark XIIA Mode 5 provides improved secure cooperative combat identification throughout IFF. Mode 5 is a product improvement installed via engineering changes to digital MarkXII interrogators and transponders.</t>
  </si>
  <si>
    <t>Modernization of the DDG 1000 Zumwalt Class IFF Sensor Suite includes product improvement and engineering changes for a three panel electronically scanned array (ESA) antenna.</t>
  </si>
  <si>
    <t>JPALS is the primary precision approach and landing system for CVN and LHA/D ships to support aircraft without SPN-46 ACLS capability, including F-35B, F-35C, MQ-25, CVM-22 and future platforms.</t>
  </si>
  <si>
    <t>This line item provides funding to procure Mission Planning workstations and associated Support Equipment for the NavMPS family of systems including JMPS-M, CMPC, JMPS-E, Electronic Kneeboard (EKB), and CMBRE.</t>
  </si>
  <si>
    <t>Funding for Maritime Integrated Broadcast System (MIBS) has been realigned out of LI 2900 into LI 2361 starting in FY 2026.</t>
  </si>
  <si>
    <t>TacMobile is the ground station program that supports P-8A Poseidon and MQ-4C Triton pre and post-flight C4I requirements and Inflight Command and Control support. These ground stations provide critical reach-back capabilities.</t>
  </si>
  <si>
    <t>Distributed Common Ground Systems-Navy (DCGS-N) is the Navy instance of the DCGS Family of Systems providing systems capable of receiving, processing, exploiting, and disseminating data from airborne and national reconnaissance platforms.</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</si>
  <si>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</si>
  <si>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</si>
  <si>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Consolidated Afloat Networks and Enterprise Services (CANES) Intelligence variant operates at the Tactical Edge, modernizing and protecting tactical intelligence networks against increased cyber threats.</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</si>
  <si>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</si>
  <si>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NTCDL provides the ability to transmit/receive real-time ISR data simultaneously from multiple sources and exchange command and control information across dissimilar joint, service, coalition, and civil networks.</t>
  </si>
  <si>
    <t>This program supports various Navy Land Based Test Sites (LBTS) required to support integration and interoperability testing including NSWC Dahlgren and other test sites.</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</si>
  <si>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</si>
  <si>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Beginning in FY26, all funding under LI 2026 SPQ-9B Radar has been realigned to LI 2981 In-Service Radars and Sensors. Includes AN/SPS-73 Navigation Radar, AN/SPS-48G Air Surveillance Radar, AN/SPY-1 RM&amp;A Improvements, SPY-6 Family of Radars O&amp;S, and SPEIR Block I.</t>
  </si>
  <si>
    <t>The AN/SPS-73(V) Radar provides navigation and general surface search radar functionality on all U.S. Navy ships. NGSSR upgrade will improve surface combatant's ability to engage FAC/FIAC tracking and periscope detection.</t>
  </si>
  <si>
    <t>The details of this Budget Line Item are classified SECRET//NOFORN and are submitted to Congress in the classified budget justification books.</t>
  </si>
  <si>
    <t>Funding provides for the procurement and installation of Integrated Waveform (IW) and Mobile User Objective System (MUOS) Digital Modular Radio (DMR) systems and IW and MUOS upgrade kits.</t>
  </si>
  <si>
    <t>Ship Communications Automation supports Automated Digital Network System (ADNS), Legacy Network Operation Rolling Tide (ORT), Tactical Messaging, Shore Tactical Assured Command and Control (STACC), and Piers / Enterprise Pier Connectivity Architecture (EPCA).</t>
  </si>
  <si>
    <t>STACC supports Fleet Commanders and Shore C2 users by globally connecting and consolidating common services, enabling resiliency, deploying resilient C2, and proactive network defense.</t>
  </si>
  <si>
    <t>Amphib Comms: Enhanced Position Location Reporting System - Data Radio (EPLRS-DR)/EMUT provides secure Anti-Jam UHF communications. Beginning in FY25, Blue in Support of Green (BISOG) Tactical Communications has been changed to Amphibious Communications.</t>
  </si>
  <si>
    <t>The SATCOM Systems line provides funding for procurement of shipboard terminal equipment for ship-to-ship, ship-to-shore, and ship-to-aircraft tactical communications via earth orbiting relay satellites.</t>
  </si>
  <si>
    <t>CBSP is the U.S. Navy Commercial SATCOM program providing the Navy's access to geostationary and NGSO constellations. CBSP provides the only source of wideband SATCOM to Patrol Coastal (PC) and Mine Countermeasure (MCM) Ships.</t>
  </si>
  <si>
    <t>NMT SLEMOD Kits Afloat and Ashore - FY 2026 request includes funding for NMT Service Life Extension Modernization (SLEMOD) Kits procurement of 35 kits (29 Surface Afloat, 3 Sub Afloat and 3 Ashore).</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</si>
  <si>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</si>
  <si>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Beginning in FY 2026, SATCOM Terminals realigned from OPN BLI 3216 to OPN BLI 3222 Mobile Advanced EHF Terminal (MAT), which is classified SECRET/NOFORN.</t>
  </si>
  <si>
    <t>Under JECC / USTRANSCOM, JCSE is the only DoD organization specifically formed that provides crisis and contingency communications to meet the operational support needs of the JCS, Combatant Commands, DoD agencies and non-DoD agencies.</t>
  </si>
  <si>
    <t>The ISSP ensures the protection of Navy and joint cyberspace systems from exploitation and attack. Systems include wired and wireless telecommunications systems, cybersecurity systems, and the content processed, stored, or transmitted therein.</t>
  </si>
  <si>
    <t>KM is a combination of Tier 1 Key Management Infrastructure (KMI), Tier 2 security equipment, and Tier 3 equipment and software for Key distribution and loading into End Cryptographic Units.</t>
  </si>
  <si>
    <t>SHARKCAGE is a global, federated Defensive Cyberspace Operations (DCO) enclave consisting of sensor nodes, DCO analysis workbenches, and analytic nodes. Utilizing passive taps, SHARKCAGE consolidates cyber event data from multiple platforms and networks.</t>
  </si>
  <si>
    <t>Tactical Electronic Warfare (EW) equipment used in support of indications, warning, and force protection. Tactical EW systems provide the capability to collect data in both digital and analogue Radio Frequency (RF) environments.</t>
  </si>
  <si>
    <t>Cryptologic Carry-On Program (CCOP) procures state-of-the-art COTS SIGINT equipment. Beginning in FY 2026, CCOP has been realigned into LI 2360 Shipboard IW Exploit.</t>
  </si>
  <si>
    <t>The Coast Guard Equipment line funds the sensors of the Navy-Type/Navy-Owned Coast Guard Combat System Suite for USCG cutters under the Coast Guard Surface Acquisition Program. The Combat System Suite must complement and integrate with Navy Combat Systems.</t>
  </si>
  <si>
    <t>Provides the AN/SPQ-9B radar for the Maritime Security Cutter, Large (WMSL) Class, aka the National Security Cutter (NSC), to track surface targets and low fliers in support of potential gun engagements.</t>
  </si>
  <si>
    <t>Provides the MK 53 Decoy Launching System (DLS) for the NSC (WMSL), PSC, and the OPC (WMSM) to provide soft-kill capability.</t>
  </si>
  <si>
    <t>Provides the AN/SLQ-32 Electronic Warfare System and the BEWT for the NSC (WMSL) to perform Electronic Support Measures to support soft-kill measures.</t>
  </si>
  <si>
    <t>MMR will provide Air Surveillance, Surface Surveillance, GWS support and IFF Antenna functions for OPC and PSC.</t>
  </si>
  <si>
    <t>ATHENA Control, Correlation &amp; Display (CCD) System for the OPC and PSC. Uses existing AEGIS BSL 9 Common Source Library (CSL) code to control and display MMR and IFF data.</t>
  </si>
  <si>
    <t>Ensures successful integration and system interoperability of Navy type equipment for USCG NSCs (WMSLs), FRCs (WPCs), OPCs (WMSMs), PSCs (WMSPs) and the 270' WMEC modernization effort.</t>
  </si>
  <si>
    <t>Sonobuoys are air launched expendable electro-mechanical sensors designed to relay underwater sounds associated with ships and submarines to remote processors critical to USN Air ASW mission</t>
  </si>
  <si>
    <t>Minotaur Family of Services provides interoperable systems including Minotaur Core and Minotaur Data Link Processor for information exchange</t>
  </si>
  <si>
    <t>Weapons Range Support Equipment provides systems for tactical training ranges including ocean systems TCTS electronic warfare and live-virtual-constructive capabilities</t>
  </si>
  <si>
    <t>Aviation support equipment: expeditionary airfields aircraft rearming equipment air launch and recovery equipment ship modifications for LAMPS/CMV-22 and ALIS ship installations</t>
  </si>
  <si>
    <t>EAF surfacing lighting and arresting gear for expeditionary airfield operations</t>
  </si>
  <si>
    <t>Aircraft rearming equipment including ordnance assembly transport and loading systems</t>
  </si>
  <si>
    <t>Aircraft launch recovery visual landing aids and related information systems for CVN DDG ACS LHD and shore stations</t>
  </si>
  <si>
    <t>Natural disaster recovery support equipment</t>
  </si>
  <si>
    <t>AN/SRQ-4(Ku) data link MH-60 to surface ships. Installs on 68 DDG and 22 CG plus 10 shore sites</t>
  </si>
  <si>
    <t>CMV-22 SCD Turn-Key Mod modifying CVN ships for CMV-22 aircraft replacing C-2 COD. CVN-68 CVN-76 CVN-69</t>
  </si>
  <si>
    <t>Advanced Arresting Gear life cycle support modifications and upgrades for Ford Class Carriers JCTS and RALS systems</t>
  </si>
  <si>
    <t>EMALS replacing C13 Steam Catapult aboard Ford Class carriers providing improved reliability maintainability reduced manning and increased operational availability</t>
  </si>
  <si>
    <t>Meteorological equipment including satellite receiver upgrades METOC SASC upgrades LBS-UUV gliders tactical METOC apps and HWDDC for force-level ships</t>
  </si>
  <si>
    <t>Airborne Mine Countermeasures Equipment deployed on MH-60S and MH-53E helicopters. MCM Mission Package fielded on LCS in FY2025</t>
  </si>
  <si>
    <t>Aviation support equipment including aviation life support helmets/hearing protection physiological monitoring AMAS logistics and ALIS ship installation</t>
  </si>
  <si>
    <t>Survival electronics helmets hearing protection displays life support systems physiological monitoring</t>
  </si>
  <si>
    <t>AMAS creates integrated cost-efficient maintenance and logistics support system for the warfighter</t>
  </si>
  <si>
    <t>Autonomic Logistics Information System ship installation aboard CVN LHD LHA for F-35 operations. 2 ships in FY26</t>
  </si>
  <si>
    <t>UMCS builds integrates installs and sustains systems to operate MQ-25 CCA and future unmanned systems afloat and ashore. Modifies approx 12-15 spaces on CVN</t>
  </si>
  <si>
    <t>Program terminating in FY25. Software production enterprise architecture production engineering and ILS</t>
  </si>
  <si>
    <t>"Ship gun system equipment provides funds for the procurement of equipment, material and Ordnance Alterations to improve combat effectiveness and logistic supportability for gun and mission planning systems, and ancillary support equipment."</t>
  </si>
  <si>
    <t>"Procures various Product Improvements for MK46 OSS/MK20 Electro-Optical Sight System (EOSS) on DDG 51 and CG 47 Class ships"</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</si>
  <si>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</si>
  <si>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"ILS: required to re-integrate ENCAPs into the submarine databases and firing systems"</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</si>
  <si>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</si>
  <si>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"additional engineering required to provide ESSM Block 2 capability in Functional Compatibility to CVN/LHA/LHD ships"</t>
  </si>
  <si>
    <t>"Hardware/Software engineering support for the modernization/upgrade of the NSSMS MK57 systems"</t>
  </si>
  <si>
    <t>"Logistics support including Supply Data Management Configuration Training and Quality Management during the modernization/upgrade and installation of NSSMS MK57 systems on CVN/LHA/LHDs"</t>
  </si>
  <si>
    <t>"Depot Workload Planning Budget Updates and Estimating Contract Upgrade/Repair Engineering OM&amp;S Inventory/Warehouse Management and Depot Logistics Support"</t>
  </si>
  <si>
    <t>"document and validate system compliance with NIST SP 800-53A assessment procedures obtain RMF authorization"</t>
  </si>
  <si>
    <t>"qualified system safety program Principal for Safety (PFS) and PFS safety engineering support for in service NSSMS MK57 system configurations"</t>
  </si>
  <si>
    <t>"Funds provided procurement and installation of multiple candidate Afloat C-UAS in response to combat operation in the Red Sea"</t>
  </si>
  <si>
    <t>"annual requirement which supports all on-going production and installation efforts Design Agent engineering and field activity support"</t>
  </si>
  <si>
    <t>"annual requirement which supports all on-going production and installation efforts"</t>
  </si>
  <si>
    <t>"FY26 funding provides required Production support efforts for 11 ships"</t>
  </si>
  <si>
    <t>"FY26 funding provides required SSDS ECP / SCD efforts for 7 ships"</t>
  </si>
  <si>
    <t>"FY26 funding provides required SSDS Training efforts for 6 ships"</t>
  </si>
  <si>
    <t>"COTS/Obsolescence engineering support for SSDS hardware Cyber Security hardware component procurement assembly and installation"</t>
  </si>
  <si>
    <t>"CSSQT in FY26 includes: $9913K for conduct of 2 CSSQT events (1 LHD and 1 LPD)"</t>
  </si>
  <si>
    <t>"CS documentation produced for all CVN and Amphibious Class Ships undergoing Combat System SSDS MK 2 upgrades"</t>
  </si>
  <si>
    <t>"Special test equipment (ADEPT/Radiation Probes) for AEGIS WS on CGs DDGs. MK 99 MFCS illuminator and pedestal refurbishment"</t>
  </si>
  <si>
    <t>"fleet hardware issues related to equipment obsolescence high failure DMS. FY26 increase due to FLT I DDG Service Life Extension"</t>
  </si>
  <si>
    <t>"AEGIS Linear Processing System (ALPS) provides AN/SPY-1D/D(V) radar with AAW improvements. FY26 Increase for planned ALPS Procurements to proliferate warfighting capability"</t>
  </si>
  <si>
    <t>"Convert LNA Arrays into standard SPY-1 configurations to support Battle-Spares for DDG 51 Class"</t>
  </si>
  <si>
    <t>"centralized modern data collection and processing capability to Aegis CGs and DDGs"</t>
  </si>
  <si>
    <t>"ORDALT installation and other Ship Changes for AEGIS Combat System readiness. FY26 increase due to FLT I DDG Service Life Extension"</t>
  </si>
  <si>
    <t>"IaaS Equipment to support combat system LBTS and shipsets in support of DDG FFG and US Coast Guard WMSM installations"</t>
  </si>
  <si>
    <t>"systems engineering testing engineering changes cyber security accreditation installation production support DDG 1000 Class"</t>
  </si>
  <si>
    <t>"systems engineering testing engineering changes cyber security accreditation installation production support"</t>
  </si>
  <si>
    <t>"ECP/ORDALT for Fleet operational availability capability safety and survivability. FY25-FY26 increase attributed to additional procurement ORDALTS Reload and Handling equipment initiatives"</t>
  </si>
  <si>
    <t>"sustaining engineering support for Fleet investigations and safety issues"</t>
  </si>
  <si>
    <t>"FY26 increase due to 4 OTH WS procurements for LCS Freedom Class 13-19 restoration"</t>
  </si>
  <si>
    <t>"FY26 OTH Installation increase due to Freedom installation acceleration"</t>
  </si>
  <si>
    <t>"Procures ECPs for DRAKE 2.0 systems and Retrofit Kits to upgrade DRAKE 1.0 Systems currently fielded onboard all Submarine Classes"</t>
  </si>
  <si>
    <t>"Equipment procurements on the P3a 1. Objective Configuration H/W line supports the NSSMS Mk57 Mod 14 (L class ships) for installation on six LHD 1 class ships.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</si>
  <si>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</si>
  <si>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</si>
  <si>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</si>
  <si>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"address hardware obsolescence through periodic COTS hardware refresh procurement of TTWCS components for retrofit onto Fleet surface platforms"</t>
  </si>
  <si>
    <t>"FY26 initiates modernization and consolidation of legacy software code to contemporary software languages containerization and modularity upgrades"</t>
  </si>
  <si>
    <t>"hardware for TMPC 7.X modernization upgrades at CMSAs TSMPCs CSGs CVNs and Firing Units"</t>
  </si>
  <si>
    <t>"TMPC redesign (TMPC X) - ground up redesign of TPS TNT and MDS components. Modern software development integrated cyber protections reduced mission planning times"</t>
  </si>
  <si>
    <t>"kit production in support of Surface installations onboard firing units"</t>
  </si>
  <si>
    <t>"installations onboard surface and submarine firing units"</t>
  </si>
  <si>
    <t>"systems engineering support for system design and definition of requirements"</t>
  </si>
  <si>
    <t>"user events requirements validation systems engineering technical reviews software formal qualification testing"</t>
  </si>
  <si>
    <t>"continues TMPC 6.0 CVNs FRU DDGs/CGs/SSNs. TMPC 7.X supports key mission planning timeline improvements cybersecurity hardening"</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</si>
  <si>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</si>
  <si>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</si>
  <si>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"ESGN(R) Stable Platform and Housing Material and Shock Isolation System Kits"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</si>
  <si>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</si>
  <si>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"This program will provide submarine combat control systems with COTS-based upgrades to combat control and tactical control hardware and software."</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</si>
  <si>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</si>
  <si>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</si>
  <si>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</si>
  <si>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</si>
  <si>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</si>
  <si>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"Procurement is a recapitalization of funds to purchase Large Unmanned Ground Vehicles (UGV) robotic systems for Navy EOD Shore Based Detachments (SBD) and next generation radiological detection equipment"</t>
  </si>
  <si>
    <t>"Procures DRAKE 2.0 systems for the surface subsurface carrier amphibious and MSC assets for the US Navy"</t>
  </si>
  <si>
    <t>"Procures 13 DRAKE 2.0 systems and 27 Retrofit Kits to upgrade DRAKE 1.0 Systems currently fielded onboard all Submarine Classes"</t>
  </si>
  <si>
    <t>"Procures Retrofit Kits to upgrade 44 DRAKE 1.0 Systems currently fielded onboard all CVN Class Ships"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</si>
  <si>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</si>
  <si>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"FY26 ILS/Production funding is required to maintain the Government capability to perform repairs on system components that have failed during shipboard operations"</t>
  </si>
  <si>
    <t>"FY26 ECP funding will address previously known emergent and anticipated reliability and other Fleet generated emergent issues"</t>
  </si>
  <si>
    <t>"FY26 Spares funding will support the procurement of long lead time spares and repair parts for critical system components"</t>
  </si>
  <si>
    <t>"FY26 Tech Refresh funding will support Government components developed in prior years that will be replaced by available (newer) components/sub-systems"</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</si>
  <si>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</si>
  <si>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"Mine Countermeasure (MCM) Targets are used to physically and electronically emulate foreign mine threats for Fleet training exercises ranges and platform and system validation"</t>
  </si>
  <si>
    <t>"Provides funding for the procurement of industrial equipment in support of core manufacturing and production requirements at the Government-Owned/Contractor-Operated (GOCO) Naval Industrial Reserve Ordnance Plant (NIROP) Allegany Ballistics Laboratory (ABL)"</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</si>
  <si>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</si>
  <si>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"Divestment of AOEW starting in FY26 AOEW CDD was cancelled and requirements were transferred to other programs"</t>
  </si>
  <si>
    <t>"LEED is replacing NULKA. LEED cannot field across all navy ships (DDGs CVNs CGs LHAs LPDs LSDs LCCs and FFGs)"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</si>
  <si>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</si>
  <si>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"FY2026 funding supports procurement of two Firefighting Trainer equipment suites"</t>
  </si>
  <si>
    <t>"FY2026 procures Atmosphere Control Equipment upgrades to the simulator and Instructor Operator Station"</t>
  </si>
  <si>
    <t>"FY2026 procures two Ship Control Operator Trainer Technical Refreshes"</t>
  </si>
  <si>
    <t>"FY2026 procures Submarine Basic Maintenance Course and FIDE training laboratories - Includes S6G S8G S9G S1B A4W A1B and CVN77 Nuclear Power Operator Trainers"</t>
  </si>
  <si>
    <t>"FY2026 procures Submarine Basic Maintenance Course and FIDE training laboratories"</t>
  </si>
  <si>
    <t>"FY2026 adds funding for procurement and delivery of Columbia Class trainer equipment"</t>
  </si>
  <si>
    <t>"FY2026 reduces quantity procurement from five to one. This procures one Sonar Employment Trainer (SET)"</t>
  </si>
  <si>
    <t>"FY2026 funds Cyber Security Multi-Purpose Interactive Trainer (MIT) and STRATUS engineering support. Also provides funding to include SEAWOLF Class like sensors into the COAET for TTF Bangor training"</t>
  </si>
  <si>
    <t>"FY2026 procures four Submarine Attack Center modernization efforts"</t>
  </si>
  <si>
    <t>"FY2026 procures four Submarine Attack Center modernization efforts to include procurements related to TI/APB modernization hardware and software for SSN/SSBN/SSGN submarine attack centers"</t>
  </si>
  <si>
    <t>"Includes 688 VA SSGN SSBN and CLB EPMs"</t>
  </si>
  <si>
    <t>"FY2026 increases due to additional tech support required for adding Large Vertical Array (LVA) capabilities to VA Class SMMTTS"</t>
  </si>
  <si>
    <t>"Submarine Attack Center Modifications line upgrades hardware, software and simulation to match current Fleet configurations."</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</si>
  <si>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</si>
  <si>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</si>
  <si>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</si>
  <si>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</si>
  <si>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Material Handling Equipment (MHE) and Shipboard Mobile Support Equipment (SMSE) is critical as ships cannot be mission-ready without the proper MHE/SMSE to move essential ammo, stores and material. Includes Navy Cash program for shipboard retail automation.</t>
  </si>
  <si>
    <t>The details of this budget justification are classified, per Executive Order 13526, Sec 1.4 (a) and are submitted annually to Congress in the classified budget justification book.</t>
  </si>
  <si>
    <t>The Medical Support Equipment (MSE) program funds new medical capability and new technology on naval operating ships. MSE configuration management, spares, technical manuals and installations are also funded through this line item.</t>
  </si>
  <si>
    <t>OPN-8 Budget Line Item (BLI) 9020 Spares and Repair Parts Budget provides funding to procure spares for systems and equipment budgeted in Budget Activities (BA) 01-07. This budget is a follow on account, which supports End Item Hardware procurements.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</si>
  <si>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</si>
  <si>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</si>
  <si>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The D5 Life Extension (D5LE) program funds re-entry body Joint Fuze Sustainment, the guidance system SPALT kits program, procures missile electronics packages (Flight Control Electronic Assembly, Missile Inverter, Command Sequencer, and Interlocks) and production support.</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</si>
  <si>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</si>
  <si>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</si>
  <si>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Funding for Missile Industrial Facilities provides for capital maintenance projects at Navy-owned Naval Industrial Reserve Ordnance Plants (NIROPs) at Sunnyvale, California, Santa Cruz, California, and Bacchus, Utah in support of the Fleet Ballistic Missile program.</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</si>
  <si>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</si>
  <si>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</si>
  <si>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</si>
  <si>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The details of this budget justification are classified per Executive Order 13526 Sec 1.4 (a) and are submitted annually to Congress in the classified budget justification book.</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</si>
  <si>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</si>
  <si>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</si>
  <si>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Small Diameter Bomb Increment II (SDB II) is an ACAT 1C program providing the warfighter a capability to attack mobile targets in all weather. The U.S. Air Force (USAF) is the lead service. The SDB II increases joint lethality in contested environments.</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</si>
  <si>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</si>
  <si>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Reconciliation-only item. No detail exhibit in unclassified justification book. FY2026 mandatory funding only.</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</si>
  <si>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</si>
  <si>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AGM-114 Hellfire is a family of laser guided missiles employed against stationary, moving, land, aerial and maritime targets by both rotary and fixed wing aircraft.</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</si>
  <si>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</si>
  <si>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</si>
  <si>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Long Range Anti-Ship Missile (LRASM) is Increment 1 of the Offensive Anti-Surface Warfare (OASuW) weapon development program. LRASM (AGM-158C) is a key air launched component of the Navy's overall Cruise Missile Strategy.</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</si>
  <si>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</si>
  <si>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</si>
  <si>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</si>
  <si>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</si>
  <si>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</si>
  <si>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</si>
  <si>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</si>
  <si>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</si>
  <si>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</si>
  <si>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</si>
  <si>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</si>
  <si>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The CBASS torpedo kit consists of three major components: Guidance &amp; Control Box (GCB), a Broadband Sonar Analog Receiver (BSAR), and preamplifier.</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</si>
  <si>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</si>
  <si>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The Torpedo Support Equipment account procures various 4T material and associated torpedo components required to maintain weapons for Surface Ships, Submarines, Fixed Wing, and Rotary Wing to achieve ASW and Anti-Surface Warfare (ASUW) readiness.</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</si>
  <si>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</si>
  <si>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</si>
  <si>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</si>
  <si>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</si>
  <si>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The Coast Guard Weapons line funds the gun weapon systems of the Navy-Type/Navy-Owned Coast Guard Combat System Suite for the United States Coast Guard (USCG) cutters under the Coast Guard Surface Acquisition Program.</t>
  </si>
  <si>
    <t>Provides the 57mm MK 110 gun to engage surface threats, independently or in cooperation with other forces, achieving mission kill on high-speed coastal patrol craft beyond small and intermediate caliber gunfire effective range.</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</si>
  <si>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</si>
  <si>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Provides the MK 38 Mod 2/3/4 Machine Gun System (MGS) equipment and ILS for the Fast Response Cutter (FRC), Offshore Patrol Cutter (OPC/WMSM), Medium Endurance Cutter (WMEC), and Polar Security Cutter (PSC/WMSP).</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</si>
  <si>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</si>
  <si>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Gun Mount Mods supports various types of Gun Weapon Systems, sub-system modifications, and upgrade requirements.</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</si>
  <si>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</si>
  <si>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</si>
  <si>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</si>
  <si>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</si>
  <si>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Airborne Mine Countermeasures (AMCM) Equipment is currently deployed on MH-53E helicopters (through FY 2027) and MH-60S helicopters to counter the threat of sea mines. The equipment is divided into three categories -- minesweeping, mine hunting, and mine neutralization.</t>
  </si>
  <si>
    <t>The Weapons Procurement, Navy (WPN-6) budget line item (BLI) is made up of three budget sub-line items (SUBLIs): SUBLI (20) Initial Spares, SUBLI (30) Torpedo Initial Spares, SUBLI (70) Lay-in and Inventory Augmentation, and SUBLI (90) Vendor Direct/Replenishment spares.</t>
  </si>
  <si>
    <t>The Vessels PPA provides funding to continue the Service's largest fleet recapitalization since World War II.</t>
  </si>
  <si>
    <t>In-Service Vessel Sustainment Investment (ISVS) consists of two sub-investments: The SLEP for the 47-foot Motor Life Boats (MLBs), and USCG Yard-supported Investments</t>
  </si>
  <si>
    <t>The ISVS investment supports SLEP efforts on the 47-foot MLBs to extend the service life of 107 boats in the Coast Guard's fleet of 117 MLBs by an estimated 20 years.</t>
  </si>
  <si>
    <t>The ISVS program provides program management and logistics support for vessel repair availabilities including MMAs and SLEPs on existing Coast Guard vessels. This investment includes vessel availabilities supported by the Coast Guard Yard.</t>
  </si>
  <si>
    <t>The FY 2026 Budget funds program management activities and production efforts on the 270-foot Medium Endurance Cutter SLEP</t>
  </si>
  <si>
    <t>Continue detail design engineering and procurement for long lead time materials for 175-foot WLM MMA. Continue production on first 175-foot WLM MMA. Begin production on second hull.</t>
  </si>
  <si>
    <t>Continue detail design engineering and procurement for long lead time materials for CGC Healy SLEP.</t>
  </si>
  <si>
    <t>Continue detail design engineering and procurement for long lead time materials for 418-foot WMSL MMA.</t>
  </si>
  <si>
    <t>This investment supports the acquisition of NSCs, including Post Delivery Activities (PDA) necessary to make these cutters ready for operations. No funding was requested in the FY 2026 Budget for this.</t>
  </si>
  <si>
    <t>This investment supports the acquisition of 25 planned OPCs, including PDA necessary to make these cutters ready for operations</t>
  </si>
  <si>
    <t>This investment supports the continued FRC production, including those intended for Indo-Pacific operations.</t>
  </si>
  <si>
    <t>This investment supports the acquisition, development, and management of production, delivery, and warranty support for multi-mission cutter and shore-based boats</t>
  </si>
  <si>
    <t>This program supports the acquisition of PSCs, including PDA necessary to make these cutters ready for operations.</t>
  </si>
  <si>
    <t>This investment supports the acquisition of CAPI as a bridge to national presence in the Arctic while the Coast Guard recapitalizes and expands its polar fleet. No funding was requested in the FY 2026 Budget for this.</t>
  </si>
  <si>
    <t>This investment supports the acquisition of a domestic heavy icebreaker to maintain waterborne commerce operating on the Great Lakes during the winter months. No funding was requested in the FY 2026 Budget for this.</t>
  </si>
  <si>
    <t>The WCC program recapitalizes the capabilities provided by the current fleet of inland tenders and barges commissioned between 1944 and 1991.</t>
  </si>
  <si>
    <t>This investment primarily funds multi-year engineering survey and design work in direct support of emerging cutter, boat, and aircraft acquisitions and SLEP.</t>
  </si>
  <si>
    <t>This investment manages procurement of end-use equipment that supports operations, including vessel travel lifts, specialized test equipment for depot maintenance, and specialized vehicles.</t>
  </si>
  <si>
    <t>End items supporting vessel operation, maintenance, and test requirements.</t>
  </si>
  <si>
    <t>This investment provides the Coast Guard with the overarching capability to protect the government's interests during acquisitions to ensure contractors and suppliers deliver required products and services.</t>
  </si>
  <si>
    <t>This investment integrates and supports the design, development, and information assurance posture of C4ISR integrated hardware and software systems on NSCs, OPCs, PSCs, FRCs, WCCs, and legacy 270-foot WMECs undergoing SLEPs.</t>
  </si>
  <si>
    <t>This investment supports the Coast Guard's Cyber and Enterprise Mission Platform (EMP), delivering operational and mission support capabilities for C5I.</t>
  </si>
  <si>
    <t>The principal focus of ISSS activities is providing maintenance and upgrades for C5I systems to ensure continued operational capability. The majority of critical NSC C5I systems face obsolescence in the coming years.</t>
  </si>
  <si>
    <t>This program supports shore facility infrastructure modifications, upgrades, new construction, and real property and land acquisition associated with homeporting new or modified cutters, boats, and aircraft.</t>
  </si>
  <si>
    <t>This investment provides persistent airborne surveillance capability and serves as an ISR platform for Coast Guard operations. Continues to support installation of the UAS system on the NSC fleet.</t>
  </si>
  <si>
    <t>$400,000,000 shall remain available until September 30, 2027, which shall only be available for depot level maintenance</t>
  </si>
  <si>
    <t>The FY 2026 Budget funds Operation and Maintenance (O&amp;M) for a recently acquired commercially available polar icebreaker, the future Coast Guard Cutter Storis.</t>
  </si>
  <si>
    <t>The FY 2026 Budget funds personnel, O&amp;M, and mission support elements for four FRCs scheduled for delivery in FY 2026.</t>
  </si>
  <si>
    <t>The FY 2026 Budget funds the crew (first phase) for Coast Guard Cutter Pickering the fifth OPC which is scheduled for delivery in FY 2027.</t>
  </si>
  <si>
    <t>The FY 2026 request funds crew and O&amp;M for two WCCs scheduled for delivery in FY 2026.</t>
  </si>
  <si>
    <t>The FY 2026 Budget decommissions three 210-foot Reliance Class WMECs. The 210-foot Reliance Class fleet is operating well beyond its projected 20-year service life.</t>
  </si>
  <si>
    <t>The FY 2026 Budget strengthens Coast Guard operations in the Indo-Pacific region. Key investments include sustaining more frequent and effective surface deployments through increased funding for operations, maintenance, C5I enhancements</t>
  </si>
  <si>
    <t>The FY 2026 Budget enhances the Service's search and rescue capabilities by providing funds to procure service-life boat replacements and establish a full-time multi-mission boat station in the U.S. Virgin Islands.</t>
  </si>
  <si>
    <t>The Coast Guard Yard, located in Curtis Bay, MD, provides engineering support and industrial services for maintenance and repair of Coast Guard cutters, aids to navigation and other equipment.</t>
  </si>
  <si>
    <t>Industrial base investment for surface combatant construction (FY27 mandatory request).</t>
  </si>
  <si>
    <t>New large surface combatant program (BBG(X)). FY27 advance procurement to support a future ship buy.</t>
  </si>
  <si>
    <t>Future Frigate (FF(X)). 1 ship in FY27 — appears to be a new procurement line distinct from FFG-62 Constellation.</t>
  </si>
  <si>
    <t>New submarine tender procurement. 2 ships in FY27.</t>
  </si>
  <si>
    <t>New Special Mission Ship (SMS) program. 1 ship in FY27 (mandatory request).</t>
  </si>
  <si>
    <t>NGLS — new logistics ship program. FY26 had AP funding; no FY27 funding shown in P-1.</t>
  </si>
  <si>
    <t>New Bulk Fuel Vessel program. 1 ship in FY27.</t>
  </si>
  <si>
    <t>Next-generation hospital ship (T-AH replacement). 1 ship in FY27 (mandatory request).</t>
  </si>
  <si>
    <t>New Fireboats procurement. 5 fireboats in FY27 (mandatory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</si>
</sst>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quot;-&quot;"/>
    <numFmt numFmtId="165" formatCode="0.0%;[Red]\(0.0%\);&quot;-&quot;"/>
  </numFmts>
  <fonts count="22" x14ac:knownFonts="1">
    <font>
      <sz val="11"/>
      <color theme="1"/>
      <name val="Calibri"/>
      <family val="2"/>
      <scheme val="minor"/>
    </font>
    <font>
      <b/>
      <sz val="8"/>
      <color rgb="FFFFFFFF"/>
      <name val="Arial"/>
      <family val="2"/>
    </font>
    <font>
      <i/>
      <sz val="8"/>
      <color rgb="FF808080"/>
      <name val="Arial"/>
      <family val="2"/>
    </font>
    <font>
      <b/>
      <sz val="8"/>
      <color rgb="FF000000"/>
      <name val="Arial"/>
      <family val="2"/>
    </font>
    <font>
      <sz val="8"/>
      <color rgb="FF000000"/>
      <name val="Arial"/>
      <family val="2"/>
    </font>
    <font>
      <b/>
      <sz val="8"/>
      <color rgb="FFFFFFFF"/>
      <name val="Arial"/>
      <family val="2"/>
    </font>
    <font>
      <sz val="8"/>
      <color rgb="FF0000FF"/>
      <name val="Arial"/>
      <family val="2"/>
    </font>
    <font>
      <i/>
      <sz val="8"/>
      <color rgb="FF808080"/>
      <name val="Arial"/>
      <family val="2"/>
    </font>
    <font>
      <b/>
      <sz val="8"/>
      <color rgb="FF000000"/>
      <name val="Arial"/>
      <family val="2"/>
    </font>
    <font>
      <sz val="8"/>
      <color rgb="FF000000"/>
      <name val="Arial"/>
      <family val="2"/>
    </font>
    <font>
      <b/>
      <sz val="8"/>
      <color rgb="FF1F314F"/>
      <name val="Arial"/>
      <family val="2"/>
    </font>
    <font>
      <b/>
      <i/>
      <sz val="8"/>
      <color rgb="FF000000"/>
      <name val="Arial"/>
      <family val="2"/>
    </font>
    <font>
      <i/>
      <sz val="8"/>
      <color rgb="FF000000"/>
      <name val="Arial"/>
      <family val="2"/>
    </font>
    <font>
      <sz val="8"/>
      <color rgb="FF2E7D32"/>
      <name val="Arial"/>
      <family val="2"/>
    </font>
    <font>
      <b/>
      <sz val="8"/>
      <color rgb="FFFFFFFF"/>
      <name val="Arial"/>
      <family val="2"/>
      <charset val="1"/>
    </font>
    <font>
      <i/>
      <sz val="8"/>
      <color theme="1" tint="0.49949644459364606"/>
      <name val="Arial"/>
      <family val="2"/>
      <charset val="1"/>
    </font>
    <font>
      <i/>
      <sz val="8"/>
      <color rgb="FF000000"/>
      <name val="Arial"/>
      <family val="2"/>
      <charset val="1"/>
    </font>
    <font>
      <sz val="8"/>
      <color rgb="FF000000"/>
      <name val="Arial"/>
      <family val="2"/>
      <charset val="1"/>
    </font>
    <font>
      <b/>
      <sz val="8"/>
      <color rgb="FF000000"/>
      <name val="Arial"/>
      <family val="2"/>
      <charset val="1"/>
    </font>
    <font>
      <sz val="8"/>
      <color theme="1"/>
      <name val="Arial"/>
      <family val="2"/>
    </font>
    <font>
      <b/>
      <sz val="8"/>
      <name val="Arial"/>
      <family val="2"/>
    </font>
    <font>
      <sz val="8"/>
      <name val="Arial"/>
      <family val="2"/>
    </font>
  </fonts>
  <fills count="10">
    <fill>
      <patternFill patternType="none"/>
    </fill>
    <fill>
      <patternFill patternType="gray125"/>
    </fill>
    <fill>
      <patternFill patternType="solid"/>
    </fill>
    <fill>
      <patternFill patternType="solid">
        <fgColor rgb="FFF2F4F7"/>
        <bgColor rgb="FFF2F4F7"/>
      </patternFill>
    </fill>
    <fill>
      <patternFill patternType="solid">
        <fgColor rgb="FF808080"/>
        <bgColor rgb="FF808080"/>
      </patternFill>
    </fill>
    <fill>
      <patternFill patternType="solid">
        <fgColor rgb="FFE0F2F1"/>
        <bgColor rgb="FFE0F2F1"/>
      </patternFill>
    </fill>
    <fill>
      <patternFill patternType="solid">
        <fgColor rgb="FFF2F4F7"/>
        <bgColor rgb="FFF2F4F7"/>
      </patternFill>
    </fill>
    <fill>
      <patternFill patternType="solid">
        <fgColor rgb="FF000000"/>
        <bgColor rgb="FF003300"/>
      </patternFill>
    </fill>
    <fill>
      <patternFill patternType="solid">
        <fgColor rgb="FFFFFFFF"/>
        <bgColor rgb="FFF2F4F7"/>
      </patternFill>
    </fill>
    <fill>
      <patternFill patternType="solid">
        <fgColor rgb="FFF2F4F7"/>
        <bgColor rgb="FFF0F4FA"/>
      </patternFill>
    </fill>
  </fills>
  <borders count="9">
    <border>
      <left/>
      <right/>
      <top/>
      <bottom/>
      <diagonal/>
    </border>
    <border>
      <left/>
      <right/>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top style="medium">
        <color auto="1"/>
      </top>
      <bottom/>
      <diagonal/>
    </border>
    <border>
      <left/>
      <right/>
      <top style="medium">
        <color auto="1"/>
      </top>
      <bottom/>
      <diagonal/>
    </border>
    <border>
      <left style="thin">
        <color auto="1"/>
      </left>
      <right/>
      <top/>
      <bottom style="thin">
        <color auto="1"/>
      </bottom>
      <diagonal/>
    </border>
    <border>
      <left style="thin">
        <color auto="1"/>
      </left>
      <right/>
      <top style="medium">
        <color auto="1"/>
      </top>
      <bottom/>
      <diagonal/>
    </border>
  </borders>
  <cellStyleXfs count="1">
    <xf numFmtId="0" fontId="0" fillId="0" borderId="0"/>
  </cellStyleXfs>
  <cellXfs count="52">
    <xf numFmtId="0" fontId="0" fillId="0" borderId="0" xfId="0"/>
    <xf numFmtId="0" fontId="1" fillId="2" borderId="0" xfId="0" applyFont="1" applyFill="1"/>
    <xf numFmtId="0" fontId="0" fillId="2" borderId="0" xfId="0" applyFill="1"/>
    <xf numFmtId="0" fontId="2" fillId="0" borderId="0" xfId="0" applyFont="1"/>
    <xf numFmtId="0" fontId="3" fillId="0" borderId="1" xfId="0" applyFont="1" applyBorder="1" applyAlignment="1">
      <alignment vertical="center"/>
    </xf>
    <xf numFmtId="0" fontId="4" fillId="0" borderId="0" xfId="0" applyFont="1" applyAlignment="1">
      <alignment vertical="center"/>
    </xf>
    <xf numFmtId="0" fontId="5" fillId="4" borderId="0" xfId="0" applyFont="1" applyFill="1" applyAlignment="1">
      <alignment vertical="center"/>
    </xf>
    <xf numFmtId="0" fontId="0" fillId="4" borderId="0" xfId="0" applyFill="1" applyAlignment="1">
      <alignment vertical="center"/>
    </xf>
    <xf numFmtId="0" fontId="5" fillId="4" borderId="2" xfId="0" applyFont="1" applyFill="1" applyBorder="1" applyAlignment="1">
      <alignment vertical="center"/>
    </xf>
    <xf numFmtId="0" fontId="3" fillId="0" borderId="3" xfId="0" applyFont="1" applyBorder="1" applyAlignment="1">
      <alignment vertical="center"/>
    </xf>
    <xf numFmtId="0" fontId="4" fillId="0" borderId="2" xfId="0" applyFont="1" applyBorder="1" applyAlignment="1">
      <alignment vertical="center"/>
    </xf>
    <xf numFmtId="0" fontId="6" fillId="0" borderId="0" xfId="0" applyFont="1" applyAlignment="1">
      <alignment vertical="center"/>
    </xf>
    <xf numFmtId="0" fontId="0" fillId="0" borderId="2" xfId="0" applyBorder="1"/>
    <xf numFmtId="164" fontId="6" fillId="0" borderId="0" xfId="0" applyNumberFormat="1" applyFont="1" applyAlignment="1">
      <alignment vertical="center"/>
    </xf>
    <xf numFmtId="164" fontId="6" fillId="0" borderId="2" xfId="0" applyNumberFormat="1" applyFont="1" applyBorder="1" applyAlignment="1">
      <alignment vertical="center"/>
    </xf>
    <xf numFmtId="0" fontId="5" fillId="2" borderId="0" xfId="0" applyFont="1" applyFill="1" applyAlignment="1">
      <alignment vertical="center"/>
    </xf>
    <xf numFmtId="0" fontId="0" fillId="2" borderId="0" xfId="0" applyFill="1" applyAlignment="1">
      <alignment vertical="center"/>
    </xf>
    <xf numFmtId="0" fontId="7" fillId="0" borderId="0" xfId="0" applyFont="1" applyAlignment="1">
      <alignment vertical="center"/>
    </xf>
    <xf numFmtId="0" fontId="8" fillId="0" borderId="4" xfId="0" applyFont="1" applyBorder="1" applyAlignment="1">
      <alignment vertical="center"/>
    </xf>
    <xf numFmtId="0" fontId="9" fillId="0" borderId="0" xfId="0" applyFont="1" applyAlignment="1">
      <alignment vertical="center"/>
    </xf>
    <xf numFmtId="164" fontId="9" fillId="0" borderId="0" xfId="0" applyNumberFormat="1" applyFont="1" applyAlignment="1">
      <alignment vertical="center"/>
    </xf>
    <xf numFmtId="0" fontId="8" fillId="0" borderId="5" xfId="0" applyFont="1" applyBorder="1" applyAlignment="1">
      <alignment vertical="center"/>
    </xf>
    <xf numFmtId="164" fontId="8" fillId="0" borderId="5" xfId="0" applyNumberFormat="1" applyFont="1" applyBorder="1" applyAlignment="1">
      <alignment vertical="center"/>
    </xf>
    <xf numFmtId="0" fontId="0" fillId="0" borderId="6" xfId="0" applyBorder="1"/>
    <xf numFmtId="0" fontId="10" fillId="5" borderId="0" xfId="0" applyFont="1" applyFill="1" applyAlignment="1">
      <alignment vertical="center"/>
    </xf>
    <xf numFmtId="164" fontId="10" fillId="5" borderId="0" xfId="0" applyNumberFormat="1" applyFont="1" applyFill="1" applyAlignment="1">
      <alignment vertical="center"/>
    </xf>
    <xf numFmtId="165" fontId="12" fillId="0" borderId="0" xfId="0" applyNumberFormat="1" applyFont="1" applyAlignment="1">
      <alignment vertical="center"/>
    </xf>
    <xf numFmtId="165" fontId="11" fillId="0" borderId="5" xfId="0" applyNumberFormat="1" applyFont="1" applyBorder="1" applyAlignment="1">
      <alignment vertical="center"/>
    </xf>
    <xf numFmtId="0" fontId="0" fillId="6" borderId="0" xfId="0" applyFill="1" applyAlignment="1">
      <alignment vertical="center"/>
    </xf>
    <xf numFmtId="0" fontId="8" fillId="6" borderId="2" xfId="0" applyFont="1" applyFill="1" applyBorder="1" applyAlignment="1">
      <alignment vertical="center"/>
    </xf>
    <xf numFmtId="0" fontId="0" fillId="6" borderId="2" xfId="0" applyFill="1" applyBorder="1" applyAlignment="1">
      <alignment vertical="center"/>
    </xf>
    <xf numFmtId="0" fontId="8" fillId="0" borderId="7" xfId="0" applyFont="1" applyBorder="1" applyAlignment="1">
      <alignment vertical="center"/>
    </xf>
    <xf numFmtId="165" fontId="12" fillId="0" borderId="2" xfId="0" applyNumberFormat="1" applyFont="1" applyBorder="1" applyAlignment="1">
      <alignment vertical="center"/>
    </xf>
    <xf numFmtId="164" fontId="8" fillId="0" borderId="8" xfId="0" applyNumberFormat="1" applyFont="1" applyBorder="1" applyAlignment="1">
      <alignment vertical="center"/>
    </xf>
    <xf numFmtId="164" fontId="9" fillId="0" borderId="2" xfId="0" applyNumberFormat="1" applyFont="1" applyBorder="1" applyAlignment="1">
      <alignment vertical="center"/>
    </xf>
    <xf numFmtId="0" fontId="8" fillId="6" borderId="0" xfId="0" applyFont="1" applyFill="1" applyAlignment="1">
      <alignment vertical="center"/>
    </xf>
    <xf numFmtId="165" fontId="11" fillId="0" borderId="8" xfId="0" applyNumberFormat="1" applyFont="1" applyBorder="1" applyAlignment="1">
      <alignment vertical="center"/>
    </xf>
    <xf numFmtId="164" fontId="10" fillId="5" borderId="2" xfId="0" applyNumberFormat="1" applyFont="1" applyFill="1" applyBorder="1" applyAlignment="1">
      <alignment vertical="center"/>
    </xf>
    <xf numFmtId="164" fontId="13" fillId="0" borderId="0" xfId="0" applyNumberFormat="1" applyFont="1" applyAlignment="1">
      <alignment vertical="center"/>
    </xf>
    <xf numFmtId="0" fontId="14" fillId="7" borderId="0" xfId="0" applyFont="1" applyFill="1" applyAlignment="1">
      <alignment horizontal="left" vertical="center"/>
    </xf>
    <xf numFmtId="0" fontId="15" fillId="8" borderId="0" xfId="0" applyFont="1" applyFill="1" applyAlignment="1">
      <alignment horizontal="left" vertical="center"/>
    </xf>
    <xf numFmtId="0" fontId="16" fillId="8" borderId="0" xfId="0" applyFont="1" applyFill="1" applyAlignment="1">
      <alignment horizontal="left" vertical="center"/>
    </xf>
    <xf numFmtId="0" fontId="17" fillId="8" borderId="0" xfId="0" applyFont="1" applyFill="1"/>
    <xf numFmtId="0" fontId="18" fillId="0" borderId="1" xfId="0" applyFont="1" applyBorder="1" applyAlignment="1">
      <alignment horizontal="left" vertical="center"/>
    </xf>
    <xf numFmtId="0" fontId="18" fillId="9" borderId="0" xfId="0" applyFont="1" applyFill="1" applyAlignment="1">
      <alignment horizontal="left" vertical="center"/>
    </xf>
    <xf numFmtId="0" fontId="17" fillId="9" borderId="0" xfId="0" applyFont="1" applyFill="1" applyAlignment="1">
      <alignment horizontal="left" vertical="center"/>
    </xf>
    <xf numFmtId="0" fontId="17" fillId="8" borderId="0" xfId="0" applyFont="1" applyFill="1" applyAlignment="1">
      <alignment horizontal="left" vertical="center"/>
    </xf>
    <xf numFmtId="0" fontId="19" fillId="0" borderId="0" xfId="0" applyFont="1"/>
    <xf numFmtId="0" fontId="19" fillId="0" borderId="0" xfId="0" applyFont="1" applyAlignment="1">
      <alignment vertical="top" wrapText="1"/>
    </xf>
    <xf numFmtId="0" fontId="20" fillId="3" borderId="0" xfId="0" applyFont="1" applyFill="1"/>
    <xf numFmtId="0" fontId="21" fillId="0" borderId="0" xfId="0" applyFont="1"/>
    <xf numFmtId="0" fontId="2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G3382"/>
  <sheetViews>
    <sheetView showGridLines="0" tabSelected="1" topLeftCell="H1" workbookViewId="0">
      <selection activeCell="O42" sqref="O42"/>
    </sheetView>
  </sheetViews>
  <sheetFormatPr baseColWidth="10" defaultColWidth="8.83203125" defaultRowHeight="15" x14ac:dyDescent="0.2"/>
  <cols>
    <col min="1" max="1" width="10" customWidth="1"/>
    <col min="2" max="3" width="14" customWidth="1"/>
    <col min="4" max="4" width="35" customWidth="1"/>
    <col min="5" max="5" width="12" customWidth="1"/>
    <col min="6" max="6" width="30" customWidth="1"/>
    <col min="7" max="7" width="12" customWidth="1"/>
    <col min="8" max="8" width="24" customWidth="1"/>
    <col min="9" max="9" width="8" customWidth="1"/>
    <col min="10" max="10" width="24" customWidth="1"/>
    <col min="11" max="11" width="10" customWidth="1"/>
    <col min="12" max="13" width="22" customWidth="1"/>
    <col min="14" max="14" width="10" customWidth="1"/>
    <col min="15" max="15" width="14" customWidth="1"/>
    <col min="16" max="17" width="12" customWidth="1"/>
    <col min="18" max="28" width="14" customWidth="1"/>
    <col min="29" max="29" width="30" customWidth="1"/>
    <col min="30" max="30" width="10" customWidth="1"/>
    <col min="31" max="31" width="16" customWidth="1"/>
    <col min="32" max="32" width="12" customWidth="1"/>
    <col min="33" max="33" width="30" customWidth="1"/>
  </cols>
  <sheetData>
    <row r="1" spans="1:33" ht="10" customHeight="1" x14ac:dyDescent="0.2">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spans="1:33" ht="10" customHeight="1" x14ac:dyDescent="0.2">
      <c r="A2" s="3" t="s">
        <v>1</v>
      </c>
    </row>
    <row r="3" spans="1:33" ht="10" customHeight="1" x14ac:dyDescent="0.2"/>
    <row r="4" spans="1:33" ht="10" customHeight="1" x14ac:dyDescent="0.2">
      <c r="A4" s="6" t="s">
        <v>2</v>
      </c>
      <c r="B4" s="7"/>
      <c r="C4" s="7"/>
      <c r="D4" s="7"/>
      <c r="E4" s="8" t="s">
        <v>3</v>
      </c>
      <c r="F4" s="7"/>
      <c r="G4" s="7"/>
      <c r="H4" s="7"/>
      <c r="I4" s="7"/>
      <c r="J4" s="7"/>
      <c r="K4" s="8" t="s">
        <v>4</v>
      </c>
      <c r="L4" s="7"/>
      <c r="M4" s="7"/>
      <c r="N4" s="7"/>
      <c r="O4" s="8" t="s">
        <v>5</v>
      </c>
      <c r="P4" s="7"/>
      <c r="Q4" s="7"/>
      <c r="R4" s="7"/>
      <c r="S4" s="7"/>
      <c r="T4" s="7"/>
      <c r="U4" s="7"/>
      <c r="V4" s="7"/>
      <c r="W4" s="7"/>
      <c r="X4" s="7"/>
      <c r="Y4" s="7"/>
      <c r="Z4" s="7"/>
      <c r="AA4" s="7"/>
      <c r="AB4" s="7"/>
      <c r="AC4" s="8" t="s">
        <v>6</v>
      </c>
      <c r="AD4" s="7"/>
      <c r="AE4" s="7"/>
      <c r="AF4" s="7"/>
      <c r="AG4" s="7"/>
    </row>
    <row r="5" spans="1:33" ht="10" customHeight="1" x14ac:dyDescent="0.2">
      <c r="A5" s="4" t="s">
        <v>7</v>
      </c>
      <c r="B5" s="4" t="s">
        <v>8</v>
      </c>
      <c r="C5" s="4" t="s">
        <v>9</v>
      </c>
      <c r="D5" s="4" t="s">
        <v>10</v>
      </c>
      <c r="E5" s="9" t="s">
        <v>11</v>
      </c>
      <c r="F5" s="4" t="s">
        <v>12</v>
      </c>
      <c r="G5" s="4" t="s">
        <v>13</v>
      </c>
      <c r="H5" s="4" t="s">
        <v>14</v>
      </c>
      <c r="I5" s="4" t="s">
        <v>15</v>
      </c>
      <c r="J5" s="4" t="s">
        <v>16</v>
      </c>
      <c r="K5" s="9" t="s">
        <v>17</v>
      </c>
      <c r="L5" s="4" t="s">
        <v>18</v>
      </c>
      <c r="M5" s="4" t="s">
        <v>19</v>
      </c>
      <c r="N5" s="4" t="s">
        <v>20</v>
      </c>
      <c r="O5" s="9" t="s">
        <v>21</v>
      </c>
      <c r="P5" s="4" t="s">
        <v>22</v>
      </c>
      <c r="Q5" s="4" t="s">
        <v>23</v>
      </c>
      <c r="R5" s="4" t="s">
        <v>24</v>
      </c>
      <c r="S5" s="4" t="s">
        <v>25</v>
      </c>
      <c r="T5" s="4" t="s">
        <v>26</v>
      </c>
      <c r="U5" s="4" t="s">
        <v>27</v>
      </c>
      <c r="V5" s="4" t="s">
        <v>28</v>
      </c>
      <c r="W5" s="4" t="s">
        <v>29</v>
      </c>
      <c r="X5" s="4" t="s">
        <v>30</v>
      </c>
      <c r="Y5" s="4" t="s">
        <v>31</v>
      </c>
      <c r="Z5" s="4" t="s">
        <v>32</v>
      </c>
      <c r="AA5" s="4" t="s">
        <v>33</v>
      </c>
      <c r="AB5" s="4" t="s">
        <v>34</v>
      </c>
      <c r="AC5" s="9" t="s">
        <v>35</v>
      </c>
      <c r="AD5" s="4" t="s">
        <v>36</v>
      </c>
      <c r="AE5" s="4" t="s">
        <v>37</v>
      </c>
      <c r="AF5" s="4" t="s">
        <v>38</v>
      </c>
      <c r="AG5" s="4" t="s">
        <v>39</v>
      </c>
    </row>
    <row r="6" spans="1:33" ht="10" customHeight="1" x14ac:dyDescent="0.2">
      <c r="A6" s="5" t="s">
        <v>40</v>
      </c>
      <c r="B6" s="5" t="s">
        <v>41</v>
      </c>
      <c r="C6" s="5" t="s">
        <v>42</v>
      </c>
      <c r="D6" s="5" t="s">
        <v>43</v>
      </c>
      <c r="E6" s="10" t="s">
        <v>44</v>
      </c>
      <c r="I6" s="11">
        <v>1</v>
      </c>
      <c r="J6" s="5" t="s">
        <v>45</v>
      </c>
      <c r="K6" s="10" t="s">
        <v>46</v>
      </c>
      <c r="L6" s="5" t="s">
        <v>47</v>
      </c>
      <c r="M6" s="5" t="s">
        <v>48</v>
      </c>
      <c r="N6" s="5" t="s">
        <v>49</v>
      </c>
      <c r="O6" s="12"/>
      <c r="P6" s="13">
        <v>0</v>
      </c>
      <c r="Q6" s="13">
        <v>3364835</v>
      </c>
      <c r="S6" s="13">
        <v>3928828</v>
      </c>
      <c r="T6" s="13">
        <v>0</v>
      </c>
      <c r="U6" s="13">
        <v>3928828</v>
      </c>
      <c r="X6" s="13">
        <v>3928828</v>
      </c>
      <c r="Y6" s="13">
        <v>3928828</v>
      </c>
      <c r="Z6" s="13">
        <v>10233832</v>
      </c>
      <c r="AB6" s="13">
        <v>10233832</v>
      </c>
      <c r="AC6" s="10" t="s">
        <v>50</v>
      </c>
      <c r="AD6" s="5" t="s">
        <v>51</v>
      </c>
      <c r="AE6" s="5" t="s">
        <v>42</v>
      </c>
    </row>
    <row r="7" spans="1:33" ht="10" customHeight="1" x14ac:dyDescent="0.2">
      <c r="A7" s="5" t="s">
        <v>40</v>
      </c>
      <c r="B7" s="5" t="s">
        <v>41</v>
      </c>
      <c r="D7" s="5" t="s">
        <v>52</v>
      </c>
      <c r="E7" s="10" t="s">
        <v>53</v>
      </c>
      <c r="F7" s="5" t="s">
        <v>54</v>
      </c>
      <c r="I7" s="11">
        <v>1</v>
      </c>
      <c r="J7" s="5" t="s">
        <v>45</v>
      </c>
      <c r="K7" s="10" t="s">
        <v>46</v>
      </c>
      <c r="L7" s="5" t="s">
        <v>47</v>
      </c>
      <c r="M7" s="5" t="s">
        <v>48</v>
      </c>
      <c r="N7" s="5" t="s">
        <v>49</v>
      </c>
      <c r="O7" s="12"/>
      <c r="Q7" s="13">
        <v>3364835</v>
      </c>
      <c r="AC7" s="10" t="s">
        <v>55</v>
      </c>
      <c r="AD7" s="5" t="s">
        <v>56</v>
      </c>
      <c r="AE7" s="5" t="s">
        <v>42</v>
      </c>
    </row>
    <row r="8" spans="1:33" ht="10" customHeight="1" x14ac:dyDescent="0.2">
      <c r="A8" s="5" t="s">
        <v>40</v>
      </c>
      <c r="B8" s="5" t="s">
        <v>41</v>
      </c>
      <c r="D8" s="5" t="s">
        <v>57</v>
      </c>
      <c r="E8" s="10" t="s">
        <v>53</v>
      </c>
      <c r="F8" s="5" t="s">
        <v>54</v>
      </c>
      <c r="I8" s="11">
        <v>1</v>
      </c>
      <c r="J8" s="5" t="s">
        <v>45</v>
      </c>
      <c r="K8" s="10" t="s">
        <v>46</v>
      </c>
      <c r="L8" s="5" t="s">
        <v>47</v>
      </c>
      <c r="M8" s="5" t="s">
        <v>48</v>
      </c>
      <c r="N8" s="5" t="s">
        <v>49</v>
      </c>
      <c r="O8" s="12"/>
      <c r="S8" s="13">
        <v>3928828</v>
      </c>
      <c r="U8" s="13">
        <v>3928828</v>
      </c>
      <c r="AC8" s="10" t="s">
        <v>58</v>
      </c>
      <c r="AD8" s="5" t="s">
        <v>56</v>
      </c>
      <c r="AE8" s="5" t="s">
        <v>42</v>
      </c>
    </row>
    <row r="9" spans="1:33" ht="10" customHeight="1" x14ac:dyDescent="0.2">
      <c r="A9" s="5" t="s">
        <v>40</v>
      </c>
      <c r="B9" s="5" t="s">
        <v>41</v>
      </c>
      <c r="C9" s="5" t="s">
        <v>42</v>
      </c>
      <c r="D9" s="5" t="s">
        <v>59</v>
      </c>
      <c r="E9" s="12"/>
      <c r="I9" s="11">
        <v>1</v>
      </c>
      <c r="J9" s="5" t="s">
        <v>60</v>
      </c>
      <c r="K9" s="10" t="s">
        <v>46</v>
      </c>
      <c r="L9" s="5" t="s">
        <v>47</v>
      </c>
      <c r="M9" s="5" t="s">
        <v>48</v>
      </c>
      <c r="N9" s="5" t="s">
        <v>49</v>
      </c>
      <c r="O9" s="12"/>
      <c r="Q9" s="13">
        <v>6215939</v>
      </c>
      <c r="S9" s="13">
        <v>5065766</v>
      </c>
      <c r="T9" s="13">
        <v>1925892</v>
      </c>
      <c r="U9" s="13">
        <v>6991658</v>
      </c>
      <c r="W9" s="13">
        <v>0</v>
      </c>
      <c r="X9" s="13">
        <v>5350766</v>
      </c>
      <c r="Y9" s="13">
        <v>5350766</v>
      </c>
      <c r="Z9" s="13">
        <v>4763342</v>
      </c>
      <c r="AA9" s="13">
        <v>205700</v>
      </c>
      <c r="AB9" s="13">
        <v>4969042</v>
      </c>
      <c r="AC9" s="10" t="s">
        <v>61</v>
      </c>
      <c r="AD9" s="5" t="s">
        <v>62</v>
      </c>
      <c r="AE9" s="5" t="s">
        <v>42</v>
      </c>
    </row>
    <row r="10" spans="1:33" ht="10" customHeight="1" x14ac:dyDescent="0.2">
      <c r="A10" s="5" t="s">
        <v>40</v>
      </c>
      <c r="B10" s="5" t="s">
        <v>41</v>
      </c>
      <c r="C10" s="5" t="s">
        <v>63</v>
      </c>
      <c r="D10" s="5" t="s">
        <v>64</v>
      </c>
      <c r="E10" s="10" t="s">
        <v>44</v>
      </c>
      <c r="I10" s="11">
        <v>1</v>
      </c>
      <c r="J10" s="5" t="s">
        <v>45</v>
      </c>
      <c r="K10" s="10" t="s">
        <v>46</v>
      </c>
      <c r="L10" s="5" t="s">
        <v>47</v>
      </c>
      <c r="M10" s="5" t="s">
        <v>65</v>
      </c>
      <c r="N10" s="5" t="s">
        <v>66</v>
      </c>
      <c r="O10" s="12"/>
      <c r="P10" s="13">
        <v>1729021</v>
      </c>
      <c r="Q10" s="13">
        <v>1359124</v>
      </c>
      <c r="S10" s="13">
        <v>1046700</v>
      </c>
      <c r="T10" s="13">
        <v>0</v>
      </c>
      <c r="U10" s="13">
        <v>1046700</v>
      </c>
      <c r="Z10" s="13">
        <v>641907</v>
      </c>
      <c r="AA10" s="13">
        <v>37000</v>
      </c>
      <c r="AB10" s="13">
        <v>678907</v>
      </c>
      <c r="AC10" s="10" t="s">
        <v>67</v>
      </c>
      <c r="AD10" s="5" t="s">
        <v>68</v>
      </c>
      <c r="AE10" s="5" t="s">
        <v>63</v>
      </c>
    </row>
    <row r="11" spans="1:33" ht="10" customHeight="1" x14ac:dyDescent="0.2">
      <c r="A11" s="5" t="s">
        <v>40</v>
      </c>
      <c r="B11" s="5" t="s">
        <v>41</v>
      </c>
      <c r="D11" s="5" t="s">
        <v>69</v>
      </c>
      <c r="E11" s="10" t="s">
        <v>53</v>
      </c>
      <c r="F11" s="5" t="s">
        <v>70</v>
      </c>
      <c r="I11" s="11">
        <v>1</v>
      </c>
      <c r="J11" s="5" t="s">
        <v>45</v>
      </c>
      <c r="K11" s="10" t="s">
        <v>46</v>
      </c>
      <c r="L11" s="5" t="s">
        <v>47</v>
      </c>
      <c r="M11" s="5" t="s">
        <v>65</v>
      </c>
      <c r="N11" s="5" t="s">
        <v>66</v>
      </c>
      <c r="O11" s="12"/>
      <c r="P11" s="13">
        <v>1104421</v>
      </c>
      <c r="Q11" s="13">
        <v>1123124</v>
      </c>
      <c r="S11" s="13">
        <v>1046700</v>
      </c>
      <c r="U11" s="13">
        <v>1046700</v>
      </c>
      <c r="AC11" s="10" t="s">
        <v>71</v>
      </c>
      <c r="AD11" s="5" t="s">
        <v>72</v>
      </c>
      <c r="AE11" s="5" t="s">
        <v>63</v>
      </c>
    </row>
    <row r="12" spans="1:33" ht="10" customHeight="1" x14ac:dyDescent="0.2">
      <c r="A12" s="5" t="s">
        <v>40</v>
      </c>
      <c r="B12" s="5" t="s">
        <v>41</v>
      </c>
      <c r="D12" s="5" t="s">
        <v>73</v>
      </c>
      <c r="E12" s="10" t="s">
        <v>53</v>
      </c>
      <c r="F12" s="5" t="s">
        <v>70</v>
      </c>
      <c r="I12" s="11">
        <v>1</v>
      </c>
      <c r="J12" s="5" t="s">
        <v>45</v>
      </c>
      <c r="K12" s="10" t="s">
        <v>46</v>
      </c>
      <c r="L12" s="5" t="s">
        <v>47</v>
      </c>
      <c r="M12" s="5" t="s">
        <v>65</v>
      </c>
      <c r="N12" s="5" t="s">
        <v>66</v>
      </c>
      <c r="O12" s="12"/>
      <c r="P12" s="13">
        <v>624600</v>
      </c>
      <c r="Q12" s="13">
        <v>236000</v>
      </c>
      <c r="AC12" s="10" t="s">
        <v>74</v>
      </c>
      <c r="AD12" s="5" t="s">
        <v>72</v>
      </c>
      <c r="AE12" s="5" t="s">
        <v>63</v>
      </c>
    </row>
    <row r="13" spans="1:33" ht="10" customHeight="1" x14ac:dyDescent="0.2">
      <c r="A13" s="5" t="s">
        <v>40</v>
      </c>
      <c r="B13" s="5" t="s">
        <v>41</v>
      </c>
      <c r="C13" s="5" t="s">
        <v>63</v>
      </c>
      <c r="D13" s="5" t="s">
        <v>75</v>
      </c>
      <c r="E13" s="12"/>
      <c r="I13" s="11">
        <v>1</v>
      </c>
      <c r="J13" s="5" t="s">
        <v>60</v>
      </c>
      <c r="K13" s="10" t="s">
        <v>46</v>
      </c>
      <c r="L13" s="5" t="s">
        <v>47</v>
      </c>
      <c r="M13" s="5" t="s">
        <v>65</v>
      </c>
      <c r="N13" s="5" t="s">
        <v>66</v>
      </c>
      <c r="O13" s="12"/>
      <c r="S13" s="13">
        <v>612038</v>
      </c>
      <c r="T13" s="13">
        <v>0</v>
      </c>
      <c r="U13" s="13">
        <v>612038</v>
      </c>
      <c r="X13" s="13">
        <v>612038</v>
      </c>
      <c r="Y13" s="13">
        <v>612038</v>
      </c>
      <c r="Z13" s="13">
        <v>1940566</v>
      </c>
      <c r="AB13" s="13">
        <v>1940566</v>
      </c>
      <c r="AC13" s="10" t="s">
        <v>76</v>
      </c>
      <c r="AD13" s="5" t="s">
        <v>77</v>
      </c>
      <c r="AE13" s="5" t="s">
        <v>63</v>
      </c>
    </row>
    <row r="14" spans="1:33" ht="10" customHeight="1" x14ac:dyDescent="0.2">
      <c r="A14" s="5" t="s">
        <v>40</v>
      </c>
      <c r="B14" s="5" t="s">
        <v>41</v>
      </c>
      <c r="C14" s="5" t="s">
        <v>78</v>
      </c>
      <c r="D14" s="5" t="s">
        <v>79</v>
      </c>
      <c r="E14" s="12"/>
      <c r="I14" s="11">
        <v>1</v>
      </c>
      <c r="J14" s="5" t="s">
        <v>45</v>
      </c>
      <c r="K14" s="10" t="s">
        <v>46</v>
      </c>
      <c r="L14" s="5" t="s">
        <v>47</v>
      </c>
      <c r="M14" s="5" t="s">
        <v>65</v>
      </c>
      <c r="N14" s="5" t="s">
        <v>66</v>
      </c>
      <c r="O14" s="12"/>
      <c r="P14" s="13">
        <v>800492</v>
      </c>
      <c r="Q14" s="13">
        <v>674930</v>
      </c>
      <c r="S14" s="13">
        <v>1622935</v>
      </c>
      <c r="T14" s="13">
        <v>0</v>
      </c>
      <c r="U14" s="13">
        <v>1622935</v>
      </c>
      <c r="Z14" s="13">
        <v>1447882</v>
      </c>
      <c r="AB14" s="13">
        <v>1447882</v>
      </c>
      <c r="AC14" s="10" t="s">
        <v>80</v>
      </c>
      <c r="AD14" s="5" t="s">
        <v>81</v>
      </c>
      <c r="AE14" s="5" t="s">
        <v>78</v>
      </c>
    </row>
    <row r="15" spans="1:33" ht="10" customHeight="1" x14ac:dyDescent="0.2">
      <c r="A15" s="5" t="s">
        <v>40</v>
      </c>
      <c r="B15" s="5" t="s">
        <v>41</v>
      </c>
      <c r="C15" s="5" t="s">
        <v>82</v>
      </c>
      <c r="D15" s="5" t="s">
        <v>83</v>
      </c>
      <c r="E15" s="10" t="s">
        <v>44</v>
      </c>
      <c r="I15" s="11">
        <v>1</v>
      </c>
      <c r="J15" s="5" t="s">
        <v>45</v>
      </c>
      <c r="K15" s="10" t="s">
        <v>46</v>
      </c>
      <c r="L15" s="5" t="s">
        <v>47</v>
      </c>
      <c r="M15" s="5" t="s">
        <v>48</v>
      </c>
      <c r="N15" s="5" t="s">
        <v>84</v>
      </c>
      <c r="O15" s="12"/>
      <c r="P15" s="13">
        <v>7298145</v>
      </c>
      <c r="Q15" s="13">
        <v>9599908</v>
      </c>
      <c r="S15" s="13">
        <v>816705</v>
      </c>
      <c r="T15" s="13">
        <v>6518600</v>
      </c>
      <c r="U15" s="13">
        <v>7335305</v>
      </c>
      <c r="W15" s="13">
        <v>4600000</v>
      </c>
      <c r="X15" s="13">
        <v>2740305</v>
      </c>
      <c r="Y15" s="13">
        <v>7340305</v>
      </c>
      <c r="Z15" s="13">
        <v>8402316</v>
      </c>
      <c r="AB15" s="13">
        <v>8402316</v>
      </c>
      <c r="AC15" s="10" t="s">
        <v>85</v>
      </c>
      <c r="AD15" s="5" t="s">
        <v>86</v>
      </c>
      <c r="AE15" s="5" t="s">
        <v>82</v>
      </c>
    </row>
    <row r="16" spans="1:33" ht="10" customHeight="1" x14ac:dyDescent="0.2">
      <c r="A16" s="5" t="s">
        <v>40</v>
      </c>
      <c r="B16" s="5" t="s">
        <v>41</v>
      </c>
      <c r="D16" s="5" t="s">
        <v>87</v>
      </c>
      <c r="E16" s="10" t="s">
        <v>53</v>
      </c>
      <c r="F16" s="5" t="s">
        <v>88</v>
      </c>
      <c r="I16" s="11">
        <v>1</v>
      </c>
      <c r="J16" s="5" t="s">
        <v>45</v>
      </c>
      <c r="K16" s="10" t="s">
        <v>46</v>
      </c>
      <c r="L16" s="5" t="s">
        <v>47</v>
      </c>
      <c r="M16" s="5" t="s">
        <v>48</v>
      </c>
      <c r="N16" s="5" t="s">
        <v>84</v>
      </c>
      <c r="O16" s="12"/>
      <c r="P16" s="13">
        <v>7129965</v>
      </c>
      <c r="Q16" s="13">
        <v>7356904</v>
      </c>
      <c r="S16" s="13">
        <v>816705</v>
      </c>
      <c r="T16" s="13">
        <v>6518600</v>
      </c>
      <c r="U16" s="13">
        <v>7335305</v>
      </c>
      <c r="AC16" s="10" t="s">
        <v>89</v>
      </c>
      <c r="AD16" s="5" t="s">
        <v>90</v>
      </c>
      <c r="AE16" s="5" t="s">
        <v>82</v>
      </c>
    </row>
    <row r="17" spans="1:31" ht="10" customHeight="1" x14ac:dyDescent="0.2">
      <c r="A17" s="5" t="s">
        <v>40</v>
      </c>
      <c r="B17" s="5" t="s">
        <v>41</v>
      </c>
      <c r="D17" s="5" t="s">
        <v>91</v>
      </c>
      <c r="E17" s="10" t="s">
        <v>53</v>
      </c>
      <c r="F17" s="5" t="s">
        <v>88</v>
      </c>
      <c r="I17" s="11">
        <v>1</v>
      </c>
      <c r="J17" s="5" t="s">
        <v>45</v>
      </c>
      <c r="K17" s="10" t="s">
        <v>46</v>
      </c>
      <c r="L17" s="5" t="s">
        <v>47</v>
      </c>
      <c r="M17" s="5" t="s">
        <v>48</v>
      </c>
      <c r="N17" s="5" t="s">
        <v>84</v>
      </c>
      <c r="O17" s="12"/>
      <c r="Q17" s="13">
        <v>1950000</v>
      </c>
      <c r="AC17" s="10" t="s">
        <v>92</v>
      </c>
      <c r="AD17" s="5" t="s">
        <v>90</v>
      </c>
      <c r="AE17" s="5" t="s">
        <v>82</v>
      </c>
    </row>
    <row r="18" spans="1:31" ht="10" customHeight="1" x14ac:dyDescent="0.2">
      <c r="A18" s="5" t="s">
        <v>40</v>
      </c>
      <c r="B18" s="5" t="s">
        <v>41</v>
      </c>
      <c r="D18" s="5" t="s">
        <v>93</v>
      </c>
      <c r="E18" s="10" t="s">
        <v>53</v>
      </c>
      <c r="F18" s="5" t="s">
        <v>88</v>
      </c>
      <c r="I18" s="11">
        <v>1</v>
      </c>
      <c r="J18" s="5" t="s">
        <v>45</v>
      </c>
      <c r="K18" s="10" t="s">
        <v>46</v>
      </c>
      <c r="L18" s="5" t="s">
        <v>47</v>
      </c>
      <c r="M18" s="5" t="s">
        <v>48</v>
      </c>
      <c r="N18" s="5" t="s">
        <v>84</v>
      </c>
      <c r="O18" s="12"/>
      <c r="P18" s="13">
        <v>168180</v>
      </c>
      <c r="Q18" s="13">
        <v>293004</v>
      </c>
      <c r="AC18" s="10" t="s">
        <v>94</v>
      </c>
      <c r="AD18" s="5" t="s">
        <v>90</v>
      </c>
      <c r="AE18" s="5" t="s">
        <v>82</v>
      </c>
    </row>
    <row r="19" spans="1:31" ht="10" customHeight="1" x14ac:dyDescent="0.2">
      <c r="A19" s="5" t="s">
        <v>40</v>
      </c>
      <c r="B19" s="5" t="s">
        <v>41</v>
      </c>
      <c r="C19" s="5" t="s">
        <v>82</v>
      </c>
      <c r="D19" s="5" t="s">
        <v>95</v>
      </c>
      <c r="E19" s="12"/>
      <c r="I19" s="11">
        <v>1</v>
      </c>
      <c r="J19" s="5" t="s">
        <v>60</v>
      </c>
      <c r="K19" s="10" t="s">
        <v>46</v>
      </c>
      <c r="L19" s="5" t="s">
        <v>47</v>
      </c>
      <c r="M19" s="5" t="s">
        <v>48</v>
      </c>
      <c r="N19" s="5" t="s">
        <v>84</v>
      </c>
      <c r="O19" s="12"/>
      <c r="P19" s="13">
        <v>3358782</v>
      </c>
      <c r="Q19" s="13">
        <v>3720303</v>
      </c>
      <c r="S19" s="13">
        <v>3126816</v>
      </c>
      <c r="T19" s="13">
        <v>615908</v>
      </c>
      <c r="U19" s="13">
        <v>3742724</v>
      </c>
      <c r="W19" s="13">
        <v>0</v>
      </c>
      <c r="X19" s="13">
        <v>3126816</v>
      </c>
      <c r="Y19" s="13">
        <v>3126816</v>
      </c>
      <c r="Z19" s="13">
        <v>4143618</v>
      </c>
      <c r="AA19" s="13">
        <v>1440000</v>
      </c>
      <c r="AB19" s="13">
        <v>5583618</v>
      </c>
      <c r="AC19" s="10" t="s">
        <v>96</v>
      </c>
      <c r="AD19" s="5" t="s">
        <v>97</v>
      </c>
      <c r="AE19" s="5" t="s">
        <v>82</v>
      </c>
    </row>
    <row r="20" spans="1:31" ht="10" customHeight="1" x14ac:dyDescent="0.2">
      <c r="A20" s="5" t="s">
        <v>40</v>
      </c>
      <c r="B20" s="5" t="s">
        <v>41</v>
      </c>
      <c r="C20" s="5" t="s">
        <v>98</v>
      </c>
      <c r="D20" s="5" t="s">
        <v>99</v>
      </c>
      <c r="E20" s="10" t="s">
        <v>44</v>
      </c>
      <c r="I20" s="11">
        <v>5</v>
      </c>
      <c r="J20" s="5" t="s">
        <v>100</v>
      </c>
      <c r="K20" s="10" t="s">
        <v>46</v>
      </c>
      <c r="L20" s="5" t="s">
        <v>47</v>
      </c>
      <c r="M20" s="5" t="s">
        <v>65</v>
      </c>
      <c r="N20" s="5" t="s">
        <v>66</v>
      </c>
      <c r="O20" s="12"/>
      <c r="P20" s="13">
        <v>42422</v>
      </c>
      <c r="Q20" s="13">
        <v>1480314</v>
      </c>
      <c r="S20" s="13">
        <v>1779011</v>
      </c>
      <c r="T20" s="13">
        <v>0</v>
      </c>
      <c r="U20" s="13">
        <v>1779011</v>
      </c>
      <c r="X20" s="13">
        <v>1579011</v>
      </c>
      <c r="Y20" s="13">
        <v>1579011</v>
      </c>
      <c r="Z20" s="13">
        <v>4418902</v>
      </c>
      <c r="AA20" s="13">
        <v>30000</v>
      </c>
      <c r="AB20" s="13">
        <v>4448902</v>
      </c>
      <c r="AC20" s="10" t="s">
        <v>101</v>
      </c>
      <c r="AD20" s="5" t="s">
        <v>102</v>
      </c>
      <c r="AE20" s="5" t="s">
        <v>98</v>
      </c>
    </row>
    <row r="21" spans="1:31" ht="10" customHeight="1" x14ac:dyDescent="0.2">
      <c r="A21" s="5" t="s">
        <v>40</v>
      </c>
      <c r="B21" s="5" t="s">
        <v>41</v>
      </c>
      <c r="D21" s="5" t="s">
        <v>103</v>
      </c>
      <c r="E21" s="10" t="s">
        <v>53</v>
      </c>
      <c r="F21" s="5" t="s">
        <v>104</v>
      </c>
      <c r="I21" s="11">
        <v>5</v>
      </c>
      <c r="J21" s="5" t="s">
        <v>100</v>
      </c>
      <c r="K21" s="10" t="s">
        <v>46</v>
      </c>
      <c r="L21" s="5" t="s">
        <v>47</v>
      </c>
      <c r="M21" s="5" t="s">
        <v>65</v>
      </c>
      <c r="N21" s="5" t="s">
        <v>66</v>
      </c>
      <c r="O21" s="12"/>
      <c r="Q21" s="13">
        <v>811143</v>
      </c>
      <c r="AC21" s="10" t="s">
        <v>105</v>
      </c>
      <c r="AD21" s="5" t="s">
        <v>90</v>
      </c>
      <c r="AE21" s="5" t="s">
        <v>98</v>
      </c>
    </row>
    <row r="22" spans="1:31" ht="10" customHeight="1" x14ac:dyDescent="0.2">
      <c r="A22" s="5" t="s">
        <v>40</v>
      </c>
      <c r="B22" s="5" t="s">
        <v>41</v>
      </c>
      <c r="D22" s="5" t="s">
        <v>106</v>
      </c>
      <c r="E22" s="10" t="s">
        <v>53</v>
      </c>
      <c r="F22" s="5" t="s">
        <v>104</v>
      </c>
      <c r="I22" s="11">
        <v>5</v>
      </c>
      <c r="J22" s="5" t="s">
        <v>100</v>
      </c>
      <c r="K22" s="10" t="s">
        <v>46</v>
      </c>
      <c r="L22" s="5" t="s">
        <v>47</v>
      </c>
      <c r="M22" s="5" t="s">
        <v>65</v>
      </c>
      <c r="N22" s="5" t="s">
        <v>66</v>
      </c>
      <c r="O22" s="12"/>
      <c r="S22" s="13">
        <v>1779011</v>
      </c>
      <c r="U22" s="13">
        <v>1779011</v>
      </c>
      <c r="AC22" s="10" t="s">
        <v>107</v>
      </c>
      <c r="AD22" s="5" t="s">
        <v>90</v>
      </c>
      <c r="AE22" s="5" t="s">
        <v>98</v>
      </c>
    </row>
    <row r="23" spans="1:31" ht="10" customHeight="1" x14ac:dyDescent="0.2">
      <c r="A23" s="5" t="s">
        <v>40</v>
      </c>
      <c r="B23" s="5" t="s">
        <v>41</v>
      </c>
      <c r="D23" s="5" t="s">
        <v>108</v>
      </c>
      <c r="E23" s="10" t="s">
        <v>53</v>
      </c>
      <c r="F23" s="5" t="s">
        <v>104</v>
      </c>
      <c r="I23" s="11">
        <v>5</v>
      </c>
      <c r="J23" s="5" t="s">
        <v>100</v>
      </c>
      <c r="K23" s="10" t="s">
        <v>46</v>
      </c>
      <c r="L23" s="5" t="s">
        <v>47</v>
      </c>
      <c r="M23" s="5" t="s">
        <v>65</v>
      </c>
      <c r="N23" s="5" t="s">
        <v>66</v>
      </c>
      <c r="O23" s="12"/>
      <c r="P23" s="13">
        <v>42422</v>
      </c>
      <c r="Q23" s="13">
        <v>669171</v>
      </c>
      <c r="AC23" s="10" t="s">
        <v>109</v>
      </c>
      <c r="AD23" s="5" t="s">
        <v>90</v>
      </c>
      <c r="AE23" s="5" t="s">
        <v>98</v>
      </c>
    </row>
    <row r="24" spans="1:31" ht="10" customHeight="1" x14ac:dyDescent="0.2">
      <c r="A24" s="5" t="s">
        <v>40</v>
      </c>
      <c r="B24" s="5" t="s">
        <v>41</v>
      </c>
      <c r="C24" s="5" t="s">
        <v>98</v>
      </c>
      <c r="D24" s="5" t="s">
        <v>110</v>
      </c>
      <c r="E24" s="12"/>
      <c r="I24" s="11">
        <v>5</v>
      </c>
      <c r="J24" s="5" t="s">
        <v>100</v>
      </c>
      <c r="K24" s="10" t="s">
        <v>46</v>
      </c>
      <c r="L24" s="5" t="s">
        <v>47</v>
      </c>
      <c r="M24" s="5" t="s">
        <v>65</v>
      </c>
      <c r="N24" s="5" t="s">
        <v>66</v>
      </c>
      <c r="O24" s="12"/>
      <c r="P24" s="13">
        <v>488446</v>
      </c>
      <c r="Q24" s="13">
        <v>0</v>
      </c>
      <c r="S24" s="13">
        <v>0</v>
      </c>
      <c r="T24" s="13">
        <v>0</v>
      </c>
      <c r="U24" s="13">
        <v>0</v>
      </c>
      <c r="Z24" s="13">
        <v>53070</v>
      </c>
      <c r="AB24" s="13">
        <v>53070</v>
      </c>
      <c r="AC24" s="10" t="s">
        <v>111</v>
      </c>
      <c r="AD24" s="5" t="s">
        <v>112</v>
      </c>
      <c r="AE24" s="5" t="s">
        <v>98</v>
      </c>
    </row>
    <row r="25" spans="1:31" ht="10" customHeight="1" x14ac:dyDescent="0.2">
      <c r="A25" s="5" t="s">
        <v>40</v>
      </c>
      <c r="B25" s="5" t="s">
        <v>41</v>
      </c>
      <c r="C25" s="5" t="s">
        <v>113</v>
      </c>
      <c r="D25" s="5" t="s">
        <v>114</v>
      </c>
      <c r="E25" s="12"/>
      <c r="I25" s="11">
        <v>1</v>
      </c>
      <c r="J25" s="5" t="s">
        <v>45</v>
      </c>
      <c r="K25" s="10" t="s">
        <v>46</v>
      </c>
      <c r="L25" s="5" t="s">
        <v>47</v>
      </c>
      <c r="M25" s="5" t="s">
        <v>115</v>
      </c>
      <c r="N25" s="5" t="s">
        <v>116</v>
      </c>
      <c r="O25" s="12"/>
      <c r="P25" s="13">
        <v>392892</v>
      </c>
      <c r="Q25" s="13">
        <v>61100</v>
      </c>
      <c r="S25" s="13">
        <v>52358</v>
      </c>
      <c r="T25" s="13">
        <v>0</v>
      </c>
      <c r="U25" s="13">
        <v>52358</v>
      </c>
      <c r="X25" s="13">
        <v>52358</v>
      </c>
      <c r="Y25" s="13">
        <v>52358</v>
      </c>
      <c r="Z25" s="13">
        <v>66516</v>
      </c>
      <c r="AB25" s="13">
        <v>66516</v>
      </c>
      <c r="AC25" s="10" t="s">
        <v>117</v>
      </c>
      <c r="AD25" s="5" t="s">
        <v>118</v>
      </c>
      <c r="AE25" s="5" t="s">
        <v>113</v>
      </c>
    </row>
    <row r="26" spans="1:31" ht="10" customHeight="1" x14ac:dyDescent="0.2">
      <c r="A26" s="5" t="s">
        <v>40</v>
      </c>
      <c r="B26" s="5" t="s">
        <v>41</v>
      </c>
      <c r="C26" s="5" t="s">
        <v>119</v>
      </c>
      <c r="D26" s="5" t="s">
        <v>120</v>
      </c>
      <c r="E26" s="10" t="s">
        <v>44</v>
      </c>
      <c r="I26" s="11">
        <v>1</v>
      </c>
      <c r="J26" s="5" t="s">
        <v>45</v>
      </c>
      <c r="K26" s="10" t="s">
        <v>46</v>
      </c>
      <c r="L26" s="5" t="s">
        <v>47</v>
      </c>
      <c r="M26" s="5" t="s">
        <v>115</v>
      </c>
      <c r="N26" s="5" t="s">
        <v>116</v>
      </c>
      <c r="O26" s="12"/>
      <c r="P26" s="13">
        <v>4725096</v>
      </c>
      <c r="Q26" s="13">
        <v>8185404</v>
      </c>
      <c r="S26" s="13">
        <v>10773</v>
      </c>
      <c r="T26" s="13">
        <v>5400000</v>
      </c>
      <c r="U26" s="13">
        <v>5410773</v>
      </c>
      <c r="W26" s="13">
        <v>5400000</v>
      </c>
      <c r="X26" s="13">
        <v>10773</v>
      </c>
      <c r="Y26" s="13">
        <v>5410773</v>
      </c>
      <c r="Z26" s="13">
        <v>2954238</v>
      </c>
      <c r="AA26" s="13">
        <v>314000</v>
      </c>
      <c r="AB26" s="13">
        <v>3268238</v>
      </c>
      <c r="AC26" s="10" t="s">
        <v>121</v>
      </c>
      <c r="AD26" s="5" t="s">
        <v>122</v>
      </c>
      <c r="AE26" s="5" t="s">
        <v>119</v>
      </c>
    </row>
    <row r="27" spans="1:31" ht="10" customHeight="1" x14ac:dyDescent="0.2">
      <c r="A27" s="5" t="s">
        <v>40</v>
      </c>
      <c r="B27" s="5" t="s">
        <v>41</v>
      </c>
      <c r="D27" s="5" t="s">
        <v>123</v>
      </c>
      <c r="E27" s="10" t="s">
        <v>53</v>
      </c>
      <c r="F27" s="5" t="s">
        <v>124</v>
      </c>
      <c r="I27" s="11">
        <v>1</v>
      </c>
      <c r="J27" s="5" t="s">
        <v>45</v>
      </c>
      <c r="K27" s="10" t="s">
        <v>46</v>
      </c>
      <c r="L27" s="5" t="s">
        <v>47</v>
      </c>
      <c r="M27" s="5" t="s">
        <v>115</v>
      </c>
      <c r="N27" s="5" t="s">
        <v>116</v>
      </c>
      <c r="O27" s="12"/>
      <c r="P27" s="13">
        <v>4499179</v>
      </c>
      <c r="Q27" s="13">
        <v>6268519</v>
      </c>
      <c r="S27" s="13">
        <v>10773</v>
      </c>
      <c r="T27" s="13">
        <v>5400000</v>
      </c>
      <c r="U27" s="13">
        <v>5410773</v>
      </c>
      <c r="AC27" s="10" t="s">
        <v>125</v>
      </c>
      <c r="AD27" s="5" t="s">
        <v>90</v>
      </c>
      <c r="AE27" s="5" t="s">
        <v>119</v>
      </c>
    </row>
    <row r="28" spans="1:31" ht="10" customHeight="1" x14ac:dyDescent="0.2">
      <c r="A28" s="5" t="s">
        <v>40</v>
      </c>
      <c r="B28" s="5" t="s">
        <v>41</v>
      </c>
      <c r="D28" s="5" t="s">
        <v>126</v>
      </c>
      <c r="E28" s="10" t="s">
        <v>53</v>
      </c>
      <c r="F28" s="5" t="s">
        <v>124</v>
      </c>
      <c r="I28" s="11">
        <v>1</v>
      </c>
      <c r="J28" s="5" t="s">
        <v>45</v>
      </c>
      <c r="K28" s="10" t="s">
        <v>46</v>
      </c>
      <c r="L28" s="5" t="s">
        <v>47</v>
      </c>
      <c r="M28" s="5" t="s">
        <v>115</v>
      </c>
      <c r="N28" s="5" t="s">
        <v>116</v>
      </c>
      <c r="O28" s="12"/>
      <c r="Q28" s="13">
        <v>1683371</v>
      </c>
      <c r="AC28" s="10" t="s">
        <v>127</v>
      </c>
      <c r="AD28" s="5" t="s">
        <v>72</v>
      </c>
      <c r="AE28" s="5" t="s">
        <v>119</v>
      </c>
    </row>
    <row r="29" spans="1:31" ht="10" customHeight="1" x14ac:dyDescent="0.2">
      <c r="A29" s="5" t="s">
        <v>40</v>
      </c>
      <c r="B29" s="5" t="s">
        <v>41</v>
      </c>
      <c r="D29" s="5" t="s">
        <v>128</v>
      </c>
      <c r="E29" s="10" t="s">
        <v>53</v>
      </c>
      <c r="F29" s="5" t="s">
        <v>124</v>
      </c>
      <c r="I29" s="11">
        <v>1</v>
      </c>
      <c r="J29" s="5" t="s">
        <v>45</v>
      </c>
      <c r="K29" s="10" t="s">
        <v>46</v>
      </c>
      <c r="L29" s="5" t="s">
        <v>47</v>
      </c>
      <c r="M29" s="5" t="s">
        <v>115</v>
      </c>
      <c r="N29" s="5" t="s">
        <v>116</v>
      </c>
      <c r="O29" s="12"/>
      <c r="P29" s="13">
        <v>225917</v>
      </c>
      <c r="Q29" s="13">
        <v>233514</v>
      </c>
      <c r="AC29" s="10" t="s">
        <v>129</v>
      </c>
      <c r="AD29" s="5" t="s">
        <v>90</v>
      </c>
      <c r="AE29" s="5" t="s">
        <v>119</v>
      </c>
    </row>
    <row r="30" spans="1:31" ht="10" customHeight="1" x14ac:dyDescent="0.2">
      <c r="A30" s="5" t="s">
        <v>40</v>
      </c>
      <c r="B30" s="5" t="s">
        <v>41</v>
      </c>
      <c r="C30" s="5" t="s">
        <v>119</v>
      </c>
      <c r="D30" s="5" t="s">
        <v>130</v>
      </c>
      <c r="E30" s="12"/>
      <c r="I30" s="11">
        <v>1</v>
      </c>
      <c r="J30" s="5" t="s">
        <v>60</v>
      </c>
      <c r="K30" s="10" t="s">
        <v>46</v>
      </c>
      <c r="L30" s="5" t="s">
        <v>47</v>
      </c>
      <c r="M30" s="5" t="s">
        <v>115</v>
      </c>
      <c r="N30" s="5" t="s">
        <v>116</v>
      </c>
      <c r="O30" s="12"/>
      <c r="P30" s="13">
        <v>1641335</v>
      </c>
      <c r="Q30" s="13">
        <v>83224</v>
      </c>
      <c r="S30" s="13">
        <v>0</v>
      </c>
      <c r="T30" s="13">
        <v>0</v>
      </c>
      <c r="U30" s="13">
        <v>0</v>
      </c>
      <c r="X30" s="13">
        <v>1750000</v>
      </c>
      <c r="Y30" s="13">
        <v>1750000</v>
      </c>
      <c r="AC30" s="10" t="s">
        <v>131</v>
      </c>
      <c r="AD30" s="5" t="s">
        <v>132</v>
      </c>
      <c r="AE30" s="5" t="s">
        <v>119</v>
      </c>
    </row>
    <row r="31" spans="1:31" ht="10" customHeight="1" x14ac:dyDescent="0.2">
      <c r="A31" s="5" t="s">
        <v>40</v>
      </c>
      <c r="B31" s="5" t="s">
        <v>41</v>
      </c>
      <c r="C31" s="5" t="s">
        <v>133</v>
      </c>
      <c r="D31" s="5" t="s">
        <v>134</v>
      </c>
      <c r="E31" s="12"/>
      <c r="I31" s="11">
        <v>1</v>
      </c>
      <c r="J31" s="5" t="s">
        <v>45</v>
      </c>
      <c r="K31" s="10" t="s">
        <v>46</v>
      </c>
      <c r="L31" s="5" t="s">
        <v>47</v>
      </c>
      <c r="M31" s="5" t="s">
        <v>115</v>
      </c>
      <c r="N31" s="5" t="s">
        <v>135</v>
      </c>
      <c r="O31" s="12"/>
      <c r="P31" s="13">
        <v>23000</v>
      </c>
      <c r="Q31" s="13">
        <v>48000</v>
      </c>
      <c r="S31" s="13">
        <v>0</v>
      </c>
      <c r="T31" s="13">
        <v>0</v>
      </c>
      <c r="U31" s="13">
        <v>0</v>
      </c>
      <c r="AC31" s="10" t="s">
        <v>136</v>
      </c>
      <c r="AD31" s="5" t="s">
        <v>137</v>
      </c>
      <c r="AE31" s="5" t="s">
        <v>133</v>
      </c>
    </row>
    <row r="32" spans="1:31" ht="10" customHeight="1" x14ac:dyDescent="0.2">
      <c r="A32" s="5" t="s">
        <v>40</v>
      </c>
      <c r="B32" s="5" t="s">
        <v>41</v>
      </c>
      <c r="C32" s="5" t="s">
        <v>138</v>
      </c>
      <c r="D32" s="5" t="s">
        <v>139</v>
      </c>
      <c r="E32" s="12"/>
      <c r="I32" s="11">
        <v>1</v>
      </c>
      <c r="J32" s="5" t="s">
        <v>45</v>
      </c>
      <c r="K32" s="10" t="s">
        <v>46</v>
      </c>
      <c r="L32" s="5" t="s">
        <v>47</v>
      </c>
      <c r="M32" s="5" t="s">
        <v>115</v>
      </c>
      <c r="N32" s="5" t="s">
        <v>140</v>
      </c>
      <c r="O32" s="12"/>
      <c r="P32" s="13">
        <v>2183861</v>
      </c>
      <c r="Q32" s="13">
        <v>633200</v>
      </c>
      <c r="S32" s="13">
        <v>0</v>
      </c>
      <c r="T32" s="13">
        <v>0</v>
      </c>
      <c r="U32" s="13">
        <v>0</v>
      </c>
      <c r="X32" s="13">
        <v>242000</v>
      </c>
      <c r="Y32" s="13">
        <v>242000</v>
      </c>
      <c r="AC32" s="10" t="s">
        <v>141</v>
      </c>
      <c r="AD32" s="5" t="s">
        <v>142</v>
      </c>
      <c r="AE32" s="5" t="s">
        <v>138</v>
      </c>
    </row>
    <row r="33" spans="1:33" ht="10" customHeight="1" x14ac:dyDescent="0.2">
      <c r="A33" s="5" t="s">
        <v>40</v>
      </c>
      <c r="B33" s="5" t="s">
        <v>41</v>
      </c>
      <c r="C33" s="5" t="s">
        <v>143</v>
      </c>
      <c r="D33" s="5" t="s">
        <v>144</v>
      </c>
      <c r="E33" s="10" t="s">
        <v>44</v>
      </c>
      <c r="I33" s="11">
        <v>1</v>
      </c>
      <c r="J33" s="5" t="s">
        <v>45</v>
      </c>
      <c r="K33" s="10" t="s">
        <v>46</v>
      </c>
      <c r="L33" s="5" t="s">
        <v>47</v>
      </c>
      <c r="M33" s="5" t="s">
        <v>145</v>
      </c>
      <c r="N33" s="5" t="s">
        <v>146</v>
      </c>
      <c r="O33" s="12"/>
      <c r="P33" s="13">
        <v>0</v>
      </c>
      <c r="Q33" s="13">
        <v>1581121</v>
      </c>
      <c r="S33" s="13">
        <v>0</v>
      </c>
      <c r="T33" s="13">
        <v>2325000</v>
      </c>
      <c r="U33" s="13">
        <v>2325000</v>
      </c>
      <c r="W33" s="13">
        <v>835037</v>
      </c>
      <c r="X33" s="13">
        <v>0</v>
      </c>
      <c r="Y33" s="13">
        <v>835037</v>
      </c>
      <c r="Z33" s="13">
        <v>2188700</v>
      </c>
      <c r="AA33" s="13">
        <v>4000</v>
      </c>
      <c r="AB33" s="13">
        <v>2192700</v>
      </c>
      <c r="AC33" s="10" t="s">
        <v>147</v>
      </c>
      <c r="AD33" s="5" t="s">
        <v>148</v>
      </c>
      <c r="AE33" s="5" t="s">
        <v>143</v>
      </c>
    </row>
    <row r="34" spans="1:33" ht="10" customHeight="1" x14ac:dyDescent="0.2">
      <c r="A34" s="5" t="s">
        <v>40</v>
      </c>
      <c r="B34" s="5" t="s">
        <v>41</v>
      </c>
      <c r="D34" s="5" t="s">
        <v>149</v>
      </c>
      <c r="E34" s="10" t="s">
        <v>53</v>
      </c>
      <c r="F34" s="5" t="s">
        <v>150</v>
      </c>
      <c r="I34" s="11">
        <v>1</v>
      </c>
      <c r="J34" s="5" t="s">
        <v>45</v>
      </c>
      <c r="K34" s="10" t="s">
        <v>46</v>
      </c>
      <c r="L34" s="5" t="s">
        <v>47</v>
      </c>
      <c r="M34" s="5" t="s">
        <v>145</v>
      </c>
      <c r="N34" s="5" t="s">
        <v>146</v>
      </c>
      <c r="O34" s="12"/>
      <c r="Q34" s="13">
        <v>1561963</v>
      </c>
      <c r="T34" s="13">
        <v>2129963</v>
      </c>
      <c r="U34" s="13">
        <v>2129963</v>
      </c>
      <c r="AC34" s="10" t="s">
        <v>151</v>
      </c>
      <c r="AD34" s="5" t="s">
        <v>152</v>
      </c>
      <c r="AE34" s="5" t="s">
        <v>143</v>
      </c>
    </row>
    <row r="35" spans="1:33" ht="10" customHeight="1" x14ac:dyDescent="0.2">
      <c r="A35" s="5" t="s">
        <v>40</v>
      </c>
      <c r="B35" s="5" t="s">
        <v>41</v>
      </c>
      <c r="D35" s="5" t="s">
        <v>153</v>
      </c>
      <c r="E35" s="10" t="s">
        <v>53</v>
      </c>
      <c r="F35" s="5" t="s">
        <v>150</v>
      </c>
      <c r="I35" s="11">
        <v>1</v>
      </c>
      <c r="J35" s="5" t="s">
        <v>45</v>
      </c>
      <c r="K35" s="10" t="s">
        <v>46</v>
      </c>
      <c r="L35" s="5" t="s">
        <v>47</v>
      </c>
      <c r="M35" s="5" t="s">
        <v>145</v>
      </c>
      <c r="N35" s="5" t="s">
        <v>146</v>
      </c>
      <c r="O35" s="12"/>
      <c r="S35" s="13">
        <v>0</v>
      </c>
      <c r="T35" s="13">
        <v>195037</v>
      </c>
      <c r="U35" s="13">
        <v>195037</v>
      </c>
      <c r="AC35" s="10" t="s">
        <v>154</v>
      </c>
      <c r="AD35" s="5" t="s">
        <v>152</v>
      </c>
      <c r="AE35" s="5" t="s">
        <v>143</v>
      </c>
    </row>
    <row r="36" spans="1:33" ht="10" customHeight="1" x14ac:dyDescent="0.2">
      <c r="A36" s="5" t="s">
        <v>40</v>
      </c>
      <c r="B36" s="5" t="s">
        <v>41</v>
      </c>
      <c r="D36" s="5" t="s">
        <v>155</v>
      </c>
      <c r="E36" s="10" t="s">
        <v>53</v>
      </c>
      <c r="F36" s="5" t="s">
        <v>150</v>
      </c>
      <c r="I36" s="11">
        <v>1</v>
      </c>
      <c r="J36" s="5" t="s">
        <v>45</v>
      </c>
      <c r="K36" s="10" t="s">
        <v>46</v>
      </c>
      <c r="L36" s="5" t="s">
        <v>47</v>
      </c>
      <c r="M36" s="5" t="s">
        <v>145</v>
      </c>
      <c r="N36" s="5" t="s">
        <v>146</v>
      </c>
      <c r="O36" s="12"/>
      <c r="Q36" s="13">
        <v>19158</v>
      </c>
      <c r="AC36" s="10" t="s">
        <v>156</v>
      </c>
      <c r="AD36" s="5" t="s">
        <v>152</v>
      </c>
      <c r="AE36" s="5" t="s">
        <v>143</v>
      </c>
    </row>
    <row r="37" spans="1:33" ht="10" customHeight="1" x14ac:dyDescent="0.2">
      <c r="A37" s="5" t="s">
        <v>40</v>
      </c>
      <c r="B37" s="5" t="s">
        <v>41</v>
      </c>
      <c r="C37" s="5" t="s">
        <v>143</v>
      </c>
      <c r="D37" s="5" t="s">
        <v>157</v>
      </c>
      <c r="E37" s="12"/>
      <c r="I37" s="11">
        <v>1</v>
      </c>
      <c r="J37" s="5" t="s">
        <v>60</v>
      </c>
      <c r="K37" s="10" t="s">
        <v>46</v>
      </c>
      <c r="L37" s="5" t="s">
        <v>47</v>
      </c>
      <c r="M37" s="5" t="s">
        <v>145</v>
      </c>
      <c r="N37" s="5" t="s">
        <v>146</v>
      </c>
      <c r="O37" s="12"/>
      <c r="P37" s="13">
        <v>500000</v>
      </c>
      <c r="Q37" s="13">
        <v>0</v>
      </c>
      <c r="S37" s="13">
        <v>0</v>
      </c>
      <c r="T37" s="13">
        <v>275000</v>
      </c>
      <c r="U37" s="13">
        <v>275000</v>
      </c>
      <c r="Z37" s="13">
        <v>355950</v>
      </c>
      <c r="AB37" s="13">
        <v>355950</v>
      </c>
      <c r="AC37" s="10" t="s">
        <v>158</v>
      </c>
      <c r="AD37" s="5" t="s">
        <v>159</v>
      </c>
      <c r="AE37" s="5" t="s">
        <v>143</v>
      </c>
    </row>
    <row r="38" spans="1:33" ht="10" customHeight="1" x14ac:dyDescent="0.2">
      <c r="A38" s="5" t="s">
        <v>40</v>
      </c>
      <c r="B38" s="5" t="s">
        <v>41</v>
      </c>
      <c r="D38" s="5" t="s">
        <v>160</v>
      </c>
      <c r="E38" s="12"/>
      <c r="I38" s="11">
        <v>1</v>
      </c>
      <c r="J38" s="5" t="s">
        <v>45</v>
      </c>
      <c r="K38" s="10" t="s">
        <v>46</v>
      </c>
      <c r="L38" s="5" t="s">
        <v>47</v>
      </c>
      <c r="M38" s="5" t="s">
        <v>145</v>
      </c>
      <c r="N38" s="5" t="s">
        <v>146</v>
      </c>
      <c r="O38" s="12"/>
      <c r="P38" s="13">
        <v>16520</v>
      </c>
      <c r="Q38" s="13">
        <v>0</v>
      </c>
      <c r="S38" s="13">
        <v>0</v>
      </c>
      <c r="T38" s="13">
        <v>0</v>
      </c>
      <c r="U38" s="13">
        <v>0</v>
      </c>
      <c r="AC38" s="10" t="s">
        <v>161</v>
      </c>
      <c r="AD38" s="5" t="s">
        <v>152</v>
      </c>
    </row>
    <row r="39" spans="1:33" ht="10" customHeight="1" x14ac:dyDescent="0.2">
      <c r="A39" s="5" t="s">
        <v>40</v>
      </c>
      <c r="B39" s="5" t="s">
        <v>41</v>
      </c>
      <c r="C39" s="5" t="s">
        <v>162</v>
      </c>
      <c r="D39" s="5" t="s">
        <v>163</v>
      </c>
      <c r="E39" s="10" t="s">
        <v>44</v>
      </c>
      <c r="I39" s="11">
        <v>1</v>
      </c>
      <c r="J39" s="5" t="s">
        <v>45</v>
      </c>
      <c r="K39" s="10" t="s">
        <v>46</v>
      </c>
      <c r="L39" s="5" t="s">
        <v>47</v>
      </c>
      <c r="M39" s="5" t="s">
        <v>145</v>
      </c>
      <c r="N39" s="5" t="s">
        <v>164</v>
      </c>
      <c r="O39" s="12"/>
      <c r="P39" s="13">
        <v>1830149</v>
      </c>
      <c r="Q39" s="13">
        <v>115397</v>
      </c>
      <c r="S39" s="13">
        <v>0</v>
      </c>
      <c r="T39" s="13">
        <v>3895000</v>
      </c>
      <c r="U39" s="13">
        <v>3895000</v>
      </c>
      <c r="W39" s="13">
        <v>634963</v>
      </c>
      <c r="X39" s="13">
        <v>0</v>
      </c>
      <c r="Y39" s="13">
        <v>634963</v>
      </c>
      <c r="Z39" s="13">
        <v>3850319</v>
      </c>
      <c r="AA39" s="13">
        <v>2000</v>
      </c>
      <c r="AB39" s="13">
        <v>3852319</v>
      </c>
      <c r="AC39" s="10" t="s">
        <v>165</v>
      </c>
      <c r="AD39" s="5" t="s">
        <v>166</v>
      </c>
      <c r="AE39" s="5" t="s">
        <v>162</v>
      </c>
    </row>
    <row r="40" spans="1:33" ht="10" customHeight="1" x14ac:dyDescent="0.2">
      <c r="A40" s="5" t="s">
        <v>40</v>
      </c>
      <c r="B40" s="5" t="s">
        <v>41</v>
      </c>
      <c r="D40" s="5" t="s">
        <v>167</v>
      </c>
      <c r="E40" s="10" t="s">
        <v>53</v>
      </c>
      <c r="F40" s="5" t="s">
        <v>168</v>
      </c>
      <c r="I40" s="11">
        <v>1</v>
      </c>
      <c r="J40" s="5" t="s">
        <v>45</v>
      </c>
      <c r="K40" s="10" t="s">
        <v>46</v>
      </c>
      <c r="L40" s="5" t="s">
        <v>47</v>
      </c>
      <c r="M40" s="5" t="s">
        <v>145</v>
      </c>
      <c r="N40" s="5" t="s">
        <v>164</v>
      </c>
      <c r="O40" s="12"/>
      <c r="P40" s="13">
        <v>1830149</v>
      </c>
      <c r="AC40" s="10" t="s">
        <v>169</v>
      </c>
      <c r="AD40" s="5" t="s">
        <v>152</v>
      </c>
      <c r="AE40" s="5" t="s">
        <v>162</v>
      </c>
    </row>
    <row r="41" spans="1:33" ht="10" customHeight="1" x14ac:dyDescent="0.2">
      <c r="A41" s="5" t="s">
        <v>40</v>
      </c>
      <c r="B41" s="5" t="s">
        <v>41</v>
      </c>
      <c r="D41" s="5" t="s">
        <v>170</v>
      </c>
      <c r="E41" s="10" t="s">
        <v>53</v>
      </c>
      <c r="F41" s="5" t="s">
        <v>168</v>
      </c>
      <c r="I41" s="11">
        <v>1</v>
      </c>
      <c r="J41" s="5" t="s">
        <v>45</v>
      </c>
      <c r="K41" s="10" t="s">
        <v>46</v>
      </c>
      <c r="L41" s="5" t="s">
        <v>47</v>
      </c>
      <c r="M41" s="5" t="s">
        <v>145</v>
      </c>
      <c r="N41" s="5" t="s">
        <v>164</v>
      </c>
      <c r="O41" s="12"/>
      <c r="Q41" s="13">
        <v>115397</v>
      </c>
      <c r="AC41" s="10" t="s">
        <v>171</v>
      </c>
      <c r="AD41" s="5" t="s">
        <v>152</v>
      </c>
      <c r="AE41" s="5" t="s">
        <v>162</v>
      </c>
    </row>
    <row r="42" spans="1:33" ht="10" customHeight="1" x14ac:dyDescent="0.2">
      <c r="A42" s="5" t="s">
        <v>40</v>
      </c>
      <c r="B42" s="5" t="s">
        <v>41</v>
      </c>
      <c r="C42" s="5" t="s">
        <v>162</v>
      </c>
      <c r="D42" s="5" t="s">
        <v>172</v>
      </c>
      <c r="E42" s="12"/>
      <c r="I42" s="11">
        <v>1</v>
      </c>
      <c r="J42" s="5" t="s">
        <v>60</v>
      </c>
      <c r="K42" s="10" t="s">
        <v>46</v>
      </c>
      <c r="L42" s="5" t="s">
        <v>47</v>
      </c>
      <c r="M42" s="5" t="s">
        <v>145</v>
      </c>
      <c r="N42" s="5" t="s">
        <v>164</v>
      </c>
      <c r="O42" s="12"/>
      <c r="Q42" s="13">
        <v>61118</v>
      </c>
      <c r="S42" s="13">
        <v>0</v>
      </c>
      <c r="T42" s="13">
        <v>0</v>
      </c>
      <c r="U42" s="13">
        <v>0</v>
      </c>
      <c r="AC42" s="10" t="s">
        <v>173</v>
      </c>
      <c r="AD42" s="5" t="s">
        <v>174</v>
      </c>
      <c r="AE42" s="5" t="s">
        <v>162</v>
      </c>
      <c r="AG42" s="5" t="s">
        <v>175</v>
      </c>
    </row>
    <row r="43" spans="1:33" ht="10" customHeight="1" x14ac:dyDescent="0.2">
      <c r="A43" s="5" t="s">
        <v>40</v>
      </c>
      <c r="B43" s="5" t="s">
        <v>41</v>
      </c>
      <c r="C43" s="5" t="s">
        <v>176</v>
      </c>
      <c r="D43" s="5" t="s">
        <v>177</v>
      </c>
      <c r="E43" s="12"/>
      <c r="I43" s="11">
        <v>1</v>
      </c>
      <c r="J43" s="5" t="s">
        <v>45</v>
      </c>
      <c r="K43" s="10" t="s">
        <v>46</v>
      </c>
      <c r="L43" s="5" t="s">
        <v>47</v>
      </c>
      <c r="M43" s="5" t="s">
        <v>178</v>
      </c>
      <c r="N43" s="5" t="s">
        <v>179</v>
      </c>
      <c r="O43" s="12"/>
      <c r="Q43" s="13">
        <v>29668</v>
      </c>
      <c r="S43" s="13">
        <v>0</v>
      </c>
      <c r="T43" s="13">
        <v>1963941</v>
      </c>
      <c r="U43" s="13">
        <v>1963941</v>
      </c>
      <c r="W43" s="13">
        <v>1963941</v>
      </c>
      <c r="X43" s="13">
        <v>800000</v>
      </c>
      <c r="Y43" s="13">
        <v>2763941</v>
      </c>
      <c r="AA43" s="13">
        <v>1887500</v>
      </c>
      <c r="AB43" s="13">
        <v>1887500</v>
      </c>
      <c r="AC43" s="10" t="s">
        <v>180</v>
      </c>
      <c r="AD43" s="5" t="s">
        <v>181</v>
      </c>
      <c r="AE43" s="5" t="s">
        <v>176</v>
      </c>
    </row>
    <row r="44" spans="1:33" ht="10" customHeight="1" x14ac:dyDescent="0.2">
      <c r="A44" s="5" t="s">
        <v>40</v>
      </c>
      <c r="B44" s="5" t="s">
        <v>41</v>
      </c>
      <c r="C44" s="5" t="s">
        <v>182</v>
      </c>
      <c r="D44" s="5" t="s">
        <v>183</v>
      </c>
      <c r="E44" s="10" t="s">
        <v>184</v>
      </c>
      <c r="F44" s="5" t="s">
        <v>185</v>
      </c>
      <c r="I44" s="11">
        <v>1</v>
      </c>
      <c r="J44" s="5" t="s">
        <v>45</v>
      </c>
      <c r="K44" s="10" t="s">
        <v>186</v>
      </c>
      <c r="L44" s="5" t="s">
        <v>47</v>
      </c>
      <c r="M44" s="5" t="s">
        <v>178</v>
      </c>
      <c r="N44" s="5" t="s">
        <v>187</v>
      </c>
      <c r="O44" s="12"/>
      <c r="P44" s="13">
        <v>0</v>
      </c>
      <c r="Q44" s="13">
        <v>0</v>
      </c>
      <c r="S44" s="13">
        <v>0</v>
      </c>
      <c r="T44" s="13">
        <v>0</v>
      </c>
      <c r="U44" s="13">
        <v>0</v>
      </c>
      <c r="AC44" s="10" t="s">
        <v>188</v>
      </c>
      <c r="AD44" s="5" t="s">
        <v>189</v>
      </c>
    </row>
    <row r="45" spans="1:33" ht="10" customHeight="1" x14ac:dyDescent="0.2">
      <c r="A45" s="5" t="s">
        <v>40</v>
      </c>
      <c r="B45" s="5" t="s">
        <v>41</v>
      </c>
      <c r="C45" s="5" t="s">
        <v>190</v>
      </c>
      <c r="D45" s="5" t="s">
        <v>191</v>
      </c>
      <c r="E45" s="10" t="s">
        <v>184</v>
      </c>
      <c r="F45" s="5" t="s">
        <v>192</v>
      </c>
      <c r="I45" s="11">
        <v>1</v>
      </c>
      <c r="J45" s="5" t="s">
        <v>45</v>
      </c>
      <c r="K45" s="10" t="s">
        <v>186</v>
      </c>
      <c r="L45" s="5" t="s">
        <v>47</v>
      </c>
      <c r="M45" s="5" t="s">
        <v>178</v>
      </c>
      <c r="N45" s="5" t="s">
        <v>193</v>
      </c>
      <c r="O45" s="12"/>
      <c r="P45" s="13">
        <v>0</v>
      </c>
      <c r="Q45" s="13">
        <v>0</v>
      </c>
      <c r="S45" s="13">
        <v>0</v>
      </c>
      <c r="T45" s="13">
        <v>0</v>
      </c>
      <c r="U45" s="13">
        <v>0</v>
      </c>
      <c r="AC45" s="10" t="s">
        <v>194</v>
      </c>
      <c r="AD45" s="5" t="s">
        <v>195</v>
      </c>
    </row>
    <row r="46" spans="1:33" ht="10" customHeight="1" x14ac:dyDescent="0.2">
      <c r="A46" s="5" t="s">
        <v>40</v>
      </c>
      <c r="B46" s="5" t="s">
        <v>41</v>
      </c>
      <c r="C46" s="5" t="s">
        <v>196</v>
      </c>
      <c r="D46" s="5" t="s">
        <v>197</v>
      </c>
      <c r="E46" s="10" t="s">
        <v>44</v>
      </c>
      <c r="I46" s="11">
        <v>1</v>
      </c>
      <c r="J46" s="5" t="s">
        <v>45</v>
      </c>
      <c r="K46" s="10" t="s">
        <v>186</v>
      </c>
      <c r="L46" s="5" t="s">
        <v>47</v>
      </c>
      <c r="M46" s="5" t="s">
        <v>198</v>
      </c>
      <c r="N46" s="5" t="s">
        <v>199</v>
      </c>
      <c r="O46" s="12"/>
      <c r="P46" s="13">
        <v>938315</v>
      </c>
      <c r="Q46" s="13">
        <v>227154</v>
      </c>
      <c r="S46" s="13">
        <v>8346</v>
      </c>
      <c r="T46" s="13">
        <v>1853359</v>
      </c>
      <c r="U46" s="13">
        <v>1861705</v>
      </c>
      <c r="W46" s="13">
        <v>1853359</v>
      </c>
      <c r="X46" s="13">
        <v>8346</v>
      </c>
      <c r="Y46" s="13">
        <v>1861705</v>
      </c>
      <c r="Z46" s="13">
        <v>1946063</v>
      </c>
      <c r="AA46" s="13">
        <v>282820</v>
      </c>
      <c r="AB46" s="13">
        <v>2228883</v>
      </c>
      <c r="AC46" s="10" t="s">
        <v>200</v>
      </c>
      <c r="AD46" s="5" t="s">
        <v>201</v>
      </c>
      <c r="AE46" s="5" t="s">
        <v>196</v>
      </c>
    </row>
    <row r="47" spans="1:33" ht="10" customHeight="1" x14ac:dyDescent="0.2">
      <c r="A47" s="5" t="s">
        <v>40</v>
      </c>
      <c r="B47" s="5" t="s">
        <v>41</v>
      </c>
      <c r="D47" s="5" t="s">
        <v>202</v>
      </c>
      <c r="E47" s="10" t="s">
        <v>53</v>
      </c>
      <c r="F47" s="5" t="s">
        <v>203</v>
      </c>
      <c r="I47" s="11">
        <v>1</v>
      </c>
      <c r="J47" s="5" t="s">
        <v>45</v>
      </c>
      <c r="K47" s="10" t="s">
        <v>186</v>
      </c>
      <c r="L47" s="5" t="s">
        <v>47</v>
      </c>
      <c r="M47" s="5" t="s">
        <v>198</v>
      </c>
      <c r="N47" s="5" t="s">
        <v>199</v>
      </c>
      <c r="O47" s="12"/>
      <c r="P47" s="13">
        <v>815420</v>
      </c>
      <c r="Q47" s="13">
        <v>0</v>
      </c>
      <c r="S47" s="13">
        <v>8346</v>
      </c>
      <c r="T47" s="13">
        <v>1853359</v>
      </c>
      <c r="U47" s="13">
        <v>1861705</v>
      </c>
      <c r="AC47" s="10" t="s">
        <v>204</v>
      </c>
      <c r="AD47" s="5" t="s">
        <v>205</v>
      </c>
      <c r="AE47" s="5" t="s">
        <v>196</v>
      </c>
    </row>
    <row r="48" spans="1:33" ht="10" customHeight="1" x14ac:dyDescent="0.2">
      <c r="A48" s="5" t="s">
        <v>40</v>
      </c>
      <c r="B48" s="5" t="s">
        <v>41</v>
      </c>
      <c r="D48" s="5" t="s">
        <v>206</v>
      </c>
      <c r="E48" s="10" t="s">
        <v>53</v>
      </c>
      <c r="F48" s="5" t="s">
        <v>203</v>
      </c>
      <c r="I48" s="11">
        <v>1</v>
      </c>
      <c r="J48" s="5" t="s">
        <v>45</v>
      </c>
      <c r="K48" s="10" t="s">
        <v>186</v>
      </c>
      <c r="L48" s="5" t="s">
        <v>47</v>
      </c>
      <c r="M48" s="5" t="s">
        <v>198</v>
      </c>
      <c r="N48" s="5" t="s">
        <v>199</v>
      </c>
      <c r="O48" s="12"/>
      <c r="P48" s="13">
        <v>122895</v>
      </c>
      <c r="Q48" s="13">
        <v>227154</v>
      </c>
      <c r="AC48" s="10" t="s">
        <v>207</v>
      </c>
      <c r="AD48" s="5" t="s">
        <v>205</v>
      </c>
      <c r="AE48" s="5" t="s">
        <v>196</v>
      </c>
    </row>
    <row r="49" spans="1:31" ht="10" customHeight="1" x14ac:dyDescent="0.2">
      <c r="A49" s="5" t="s">
        <v>40</v>
      </c>
      <c r="B49" s="5" t="s">
        <v>41</v>
      </c>
      <c r="C49" s="5" t="s">
        <v>208</v>
      </c>
      <c r="D49" s="5" t="s">
        <v>209</v>
      </c>
      <c r="E49" s="10" t="s">
        <v>44</v>
      </c>
      <c r="I49" s="11">
        <v>1</v>
      </c>
      <c r="J49" s="5" t="s">
        <v>45</v>
      </c>
      <c r="K49" s="10" t="s">
        <v>186</v>
      </c>
      <c r="L49" s="5" t="s">
        <v>47</v>
      </c>
      <c r="M49" s="5" t="s">
        <v>210</v>
      </c>
      <c r="N49" s="5" t="s">
        <v>211</v>
      </c>
      <c r="O49" s="12"/>
      <c r="P49" s="13">
        <v>513466</v>
      </c>
      <c r="Q49" s="13">
        <v>0</v>
      </c>
      <c r="S49" s="13">
        <v>612205</v>
      </c>
      <c r="T49" s="13">
        <v>0</v>
      </c>
      <c r="U49" s="13">
        <v>612205</v>
      </c>
      <c r="X49" s="13">
        <v>612205</v>
      </c>
      <c r="Y49" s="13">
        <v>612205</v>
      </c>
      <c r="Z49" s="13">
        <v>610664</v>
      </c>
      <c r="AA49" s="13">
        <v>100000</v>
      </c>
      <c r="AB49" s="13">
        <v>710664</v>
      </c>
      <c r="AC49" s="10" t="s">
        <v>212</v>
      </c>
      <c r="AD49" s="5" t="s">
        <v>213</v>
      </c>
      <c r="AE49" s="5" t="s">
        <v>208</v>
      </c>
    </row>
    <row r="50" spans="1:31" ht="10" customHeight="1" x14ac:dyDescent="0.2">
      <c r="A50" s="5" t="s">
        <v>40</v>
      </c>
      <c r="B50" s="5" t="s">
        <v>41</v>
      </c>
      <c r="D50" s="5" t="s">
        <v>214</v>
      </c>
      <c r="E50" s="10" t="s">
        <v>53</v>
      </c>
      <c r="F50" s="5" t="s">
        <v>215</v>
      </c>
      <c r="I50" s="11">
        <v>1</v>
      </c>
      <c r="J50" s="5" t="s">
        <v>45</v>
      </c>
      <c r="K50" s="10" t="s">
        <v>186</v>
      </c>
      <c r="L50" s="5" t="s">
        <v>47</v>
      </c>
      <c r="M50" s="5" t="s">
        <v>210</v>
      </c>
      <c r="N50" s="5" t="s">
        <v>211</v>
      </c>
      <c r="O50" s="12"/>
      <c r="P50" s="13">
        <v>513466</v>
      </c>
      <c r="AC50" s="10" t="s">
        <v>216</v>
      </c>
      <c r="AD50" s="5" t="s">
        <v>205</v>
      </c>
      <c r="AE50" s="5" t="s">
        <v>208</v>
      </c>
    </row>
    <row r="51" spans="1:31" ht="10" customHeight="1" x14ac:dyDescent="0.2">
      <c r="A51" s="5" t="s">
        <v>40</v>
      </c>
      <c r="B51" s="5" t="s">
        <v>41</v>
      </c>
      <c r="D51" s="5" t="s">
        <v>217</v>
      </c>
      <c r="E51" s="10" t="s">
        <v>53</v>
      </c>
      <c r="F51" s="5" t="s">
        <v>215</v>
      </c>
      <c r="I51" s="11">
        <v>1</v>
      </c>
      <c r="J51" s="5" t="s">
        <v>45</v>
      </c>
      <c r="K51" s="10" t="s">
        <v>186</v>
      </c>
      <c r="L51" s="5" t="s">
        <v>47</v>
      </c>
      <c r="M51" s="5" t="s">
        <v>210</v>
      </c>
      <c r="N51" s="5" t="s">
        <v>211</v>
      </c>
      <c r="O51" s="12"/>
      <c r="S51" s="13">
        <v>612205</v>
      </c>
      <c r="U51" s="13">
        <v>612205</v>
      </c>
      <c r="AC51" s="10" t="s">
        <v>218</v>
      </c>
      <c r="AD51" s="5" t="s">
        <v>219</v>
      </c>
      <c r="AE51" s="5" t="s">
        <v>208</v>
      </c>
    </row>
    <row r="52" spans="1:31" ht="10" customHeight="1" x14ac:dyDescent="0.2">
      <c r="A52" s="5" t="s">
        <v>40</v>
      </c>
      <c r="B52" s="5" t="s">
        <v>41</v>
      </c>
      <c r="C52" s="5" t="s">
        <v>220</v>
      </c>
      <c r="D52" s="5" t="s">
        <v>221</v>
      </c>
      <c r="E52" s="12"/>
      <c r="I52" s="11">
        <v>1</v>
      </c>
      <c r="J52" s="5" t="s">
        <v>45</v>
      </c>
      <c r="K52" s="10" t="s">
        <v>186</v>
      </c>
      <c r="L52" s="5" t="s">
        <v>47</v>
      </c>
      <c r="M52" s="5" t="s">
        <v>222</v>
      </c>
      <c r="N52" s="5" t="s">
        <v>223</v>
      </c>
      <c r="O52" s="12"/>
      <c r="P52" s="13">
        <v>22959</v>
      </c>
      <c r="Q52" s="13">
        <v>82587</v>
      </c>
      <c r="S52" s="13">
        <v>0</v>
      </c>
      <c r="T52" s="13">
        <v>0</v>
      </c>
      <c r="U52" s="13">
        <v>0</v>
      </c>
      <c r="X52" s="13">
        <v>141500</v>
      </c>
      <c r="Y52" s="13">
        <v>141500</v>
      </c>
      <c r="AC52" s="10" t="s">
        <v>224</v>
      </c>
      <c r="AD52" s="5" t="s">
        <v>225</v>
      </c>
      <c r="AE52" s="5" t="s">
        <v>220</v>
      </c>
    </row>
    <row r="53" spans="1:31" ht="10" customHeight="1" x14ac:dyDescent="0.2">
      <c r="A53" s="5" t="s">
        <v>40</v>
      </c>
      <c r="B53" s="5" t="s">
        <v>41</v>
      </c>
      <c r="C53" s="5" t="s">
        <v>226</v>
      </c>
      <c r="D53" s="5" t="s">
        <v>227</v>
      </c>
      <c r="E53" s="12"/>
      <c r="I53" s="11">
        <v>1</v>
      </c>
      <c r="J53" s="5" t="s">
        <v>45</v>
      </c>
      <c r="K53" s="10" t="s">
        <v>186</v>
      </c>
      <c r="L53" s="5" t="s">
        <v>228</v>
      </c>
      <c r="M53" s="5" t="s">
        <v>229</v>
      </c>
      <c r="N53" s="5" t="s">
        <v>230</v>
      </c>
      <c r="O53" s="12"/>
      <c r="P53" s="13">
        <v>0</v>
      </c>
      <c r="Q53" s="13">
        <v>18000</v>
      </c>
      <c r="S53" s="13">
        <v>0</v>
      </c>
      <c r="T53" s="13">
        <v>0</v>
      </c>
      <c r="U53" s="13">
        <v>0</v>
      </c>
      <c r="AC53" s="10" t="s">
        <v>231</v>
      </c>
      <c r="AD53" s="5" t="s">
        <v>232</v>
      </c>
      <c r="AE53" s="5" t="s">
        <v>226</v>
      </c>
    </row>
    <row r="54" spans="1:31" ht="10" customHeight="1" x14ac:dyDescent="0.2">
      <c r="A54" s="5" t="s">
        <v>40</v>
      </c>
      <c r="B54" s="5" t="s">
        <v>41</v>
      </c>
      <c r="C54" s="5" t="s">
        <v>233</v>
      </c>
      <c r="D54" s="5" t="s">
        <v>234</v>
      </c>
      <c r="E54" s="12"/>
      <c r="I54" s="11">
        <v>1</v>
      </c>
      <c r="J54" s="5" t="s">
        <v>45</v>
      </c>
      <c r="K54" s="10" t="s">
        <v>46</v>
      </c>
      <c r="L54" s="5" t="s">
        <v>235</v>
      </c>
      <c r="M54" s="5" t="s">
        <v>236</v>
      </c>
      <c r="N54" s="5" t="s">
        <v>237</v>
      </c>
      <c r="O54" s="12"/>
      <c r="P54" s="13">
        <v>62532</v>
      </c>
      <c r="Q54" s="13">
        <v>0</v>
      </c>
      <c r="S54" s="13">
        <v>0</v>
      </c>
      <c r="T54" s="13">
        <v>295000</v>
      </c>
      <c r="U54" s="13">
        <v>295000</v>
      </c>
      <c r="W54" s="13">
        <v>295000</v>
      </c>
      <c r="X54" s="13">
        <v>0</v>
      </c>
      <c r="Y54" s="13">
        <v>295000</v>
      </c>
      <c r="AC54" s="10" t="s">
        <v>238</v>
      </c>
      <c r="AD54" s="5" t="s">
        <v>239</v>
      </c>
      <c r="AE54" s="5" t="s">
        <v>233</v>
      </c>
    </row>
    <row r="55" spans="1:31" ht="10" customHeight="1" x14ac:dyDescent="0.2">
      <c r="A55" s="5" t="s">
        <v>40</v>
      </c>
      <c r="B55" s="5" t="s">
        <v>41</v>
      </c>
      <c r="D55" s="5" t="s">
        <v>240</v>
      </c>
      <c r="E55" s="12"/>
      <c r="I55" s="11">
        <v>1</v>
      </c>
      <c r="J55" s="5" t="s">
        <v>45</v>
      </c>
      <c r="K55" s="10" t="s">
        <v>186</v>
      </c>
      <c r="L55" s="5" t="s">
        <v>228</v>
      </c>
      <c r="M55" s="5" t="s">
        <v>241</v>
      </c>
      <c r="N55" s="5" t="s">
        <v>242</v>
      </c>
      <c r="O55" s="12"/>
      <c r="T55" s="13">
        <v>600000</v>
      </c>
      <c r="U55" s="13">
        <v>600000</v>
      </c>
      <c r="Z55" s="13">
        <v>450000</v>
      </c>
      <c r="AB55" s="13">
        <v>450000</v>
      </c>
      <c r="AC55" s="10" t="s">
        <v>243</v>
      </c>
      <c r="AD55" s="5" t="s">
        <v>205</v>
      </c>
    </row>
    <row r="56" spans="1:31" ht="10" customHeight="1" x14ac:dyDescent="0.2">
      <c r="A56" s="5" t="s">
        <v>40</v>
      </c>
      <c r="B56" s="5" t="s">
        <v>41</v>
      </c>
      <c r="C56" s="5" t="s">
        <v>244</v>
      </c>
      <c r="D56" s="5" t="s">
        <v>245</v>
      </c>
      <c r="E56" s="10" t="s">
        <v>44</v>
      </c>
      <c r="I56" s="11">
        <v>1</v>
      </c>
      <c r="J56" s="5" t="s">
        <v>246</v>
      </c>
      <c r="K56" s="12"/>
      <c r="O56" s="12"/>
      <c r="P56" s="13">
        <v>512019</v>
      </c>
      <c r="Q56" s="13">
        <v>585967</v>
      </c>
      <c r="S56" s="13">
        <v>863846</v>
      </c>
      <c r="T56" s="13">
        <v>23449</v>
      </c>
      <c r="U56" s="13">
        <v>887295</v>
      </c>
      <c r="W56" s="13">
        <v>0</v>
      </c>
      <c r="X56" s="13">
        <v>886846</v>
      </c>
      <c r="Y56" s="13">
        <v>886846</v>
      </c>
      <c r="Z56" s="13">
        <v>741270</v>
      </c>
      <c r="AB56" s="13">
        <v>741270</v>
      </c>
      <c r="AC56" s="10" t="s">
        <v>247</v>
      </c>
      <c r="AD56" s="5" t="s">
        <v>248</v>
      </c>
      <c r="AE56" s="5" t="s">
        <v>244</v>
      </c>
    </row>
    <row r="57" spans="1:31" ht="10" customHeight="1" x14ac:dyDescent="0.2">
      <c r="A57" s="5" t="s">
        <v>40</v>
      </c>
      <c r="B57" s="5" t="s">
        <v>41</v>
      </c>
      <c r="C57" s="5" t="s">
        <v>244</v>
      </c>
      <c r="D57" s="5" t="s">
        <v>249</v>
      </c>
      <c r="E57" s="10" t="s">
        <v>53</v>
      </c>
      <c r="F57" s="5" t="s">
        <v>250</v>
      </c>
      <c r="I57" s="11">
        <v>1</v>
      </c>
      <c r="J57" s="5" t="s">
        <v>246</v>
      </c>
      <c r="K57" s="10" t="s">
        <v>46</v>
      </c>
      <c r="L57" s="5" t="s">
        <v>47</v>
      </c>
      <c r="M57" s="5" t="s">
        <v>48</v>
      </c>
      <c r="N57" s="5" t="s">
        <v>49</v>
      </c>
      <c r="O57" s="12"/>
      <c r="S57" s="13">
        <v>46987</v>
      </c>
      <c r="AC57" s="10" t="s">
        <v>251</v>
      </c>
      <c r="AD57" s="5" t="s">
        <v>248</v>
      </c>
      <c r="AE57" s="5" t="s">
        <v>244</v>
      </c>
    </row>
    <row r="58" spans="1:31" ht="10" customHeight="1" x14ac:dyDescent="0.2">
      <c r="A58" s="5" t="s">
        <v>40</v>
      </c>
      <c r="B58" s="5" t="s">
        <v>41</v>
      </c>
      <c r="C58" s="5" t="s">
        <v>244</v>
      </c>
      <c r="D58" s="5" t="s">
        <v>252</v>
      </c>
      <c r="E58" s="10" t="s">
        <v>53</v>
      </c>
      <c r="F58" s="5" t="s">
        <v>250</v>
      </c>
      <c r="I58" s="11">
        <v>1</v>
      </c>
      <c r="J58" s="5" t="s">
        <v>246</v>
      </c>
      <c r="K58" s="10" t="s">
        <v>46</v>
      </c>
      <c r="L58" s="5" t="s">
        <v>47</v>
      </c>
      <c r="M58" s="5" t="s">
        <v>65</v>
      </c>
      <c r="N58" s="5" t="s">
        <v>66</v>
      </c>
      <c r="O58" s="12"/>
      <c r="S58" s="13">
        <v>78780</v>
      </c>
      <c r="AC58" s="10" t="s">
        <v>253</v>
      </c>
      <c r="AD58" s="5" t="s">
        <v>248</v>
      </c>
      <c r="AE58" s="5" t="s">
        <v>244</v>
      </c>
    </row>
    <row r="59" spans="1:31" ht="10" customHeight="1" x14ac:dyDescent="0.2">
      <c r="A59" s="5" t="s">
        <v>40</v>
      </c>
      <c r="B59" s="5" t="s">
        <v>41</v>
      </c>
      <c r="C59" s="5" t="s">
        <v>244</v>
      </c>
      <c r="D59" s="5" t="s">
        <v>254</v>
      </c>
      <c r="E59" s="10" t="s">
        <v>53</v>
      </c>
      <c r="F59" s="5" t="s">
        <v>250</v>
      </c>
      <c r="I59" s="11">
        <v>1</v>
      </c>
      <c r="J59" s="5" t="s">
        <v>246</v>
      </c>
      <c r="K59" s="10" t="s">
        <v>46</v>
      </c>
      <c r="L59" s="5" t="s">
        <v>47</v>
      </c>
      <c r="M59" s="5" t="s">
        <v>48</v>
      </c>
      <c r="N59" s="5" t="s">
        <v>84</v>
      </c>
      <c r="O59" s="12"/>
      <c r="S59" s="13">
        <v>218616</v>
      </c>
      <c r="AC59" s="10" t="s">
        <v>255</v>
      </c>
      <c r="AD59" s="5" t="s">
        <v>248</v>
      </c>
      <c r="AE59" s="5" t="s">
        <v>244</v>
      </c>
    </row>
    <row r="60" spans="1:31" ht="10" customHeight="1" x14ac:dyDescent="0.2">
      <c r="A60" s="5" t="s">
        <v>40</v>
      </c>
      <c r="B60" s="5" t="s">
        <v>41</v>
      </c>
      <c r="C60" s="5" t="s">
        <v>244</v>
      </c>
      <c r="D60" s="5" t="s">
        <v>256</v>
      </c>
      <c r="E60" s="10" t="s">
        <v>53</v>
      </c>
      <c r="F60" s="5" t="s">
        <v>250</v>
      </c>
      <c r="I60" s="11">
        <v>5</v>
      </c>
      <c r="J60" s="5" t="s">
        <v>100</v>
      </c>
      <c r="K60" s="10" t="s">
        <v>46</v>
      </c>
      <c r="L60" s="5" t="s">
        <v>47</v>
      </c>
      <c r="M60" s="5" t="s">
        <v>65</v>
      </c>
      <c r="N60" s="5" t="s">
        <v>66</v>
      </c>
      <c r="O60" s="12"/>
      <c r="S60" s="13">
        <v>12200</v>
      </c>
      <c r="AC60" s="10" t="s">
        <v>257</v>
      </c>
      <c r="AD60" s="5" t="s">
        <v>248</v>
      </c>
      <c r="AE60" s="5" t="s">
        <v>244</v>
      </c>
    </row>
    <row r="61" spans="1:31" ht="10" customHeight="1" x14ac:dyDescent="0.2">
      <c r="A61" s="5" t="s">
        <v>40</v>
      </c>
      <c r="B61" s="5" t="s">
        <v>41</v>
      </c>
      <c r="C61" s="5" t="s">
        <v>244</v>
      </c>
      <c r="D61" s="5" t="s">
        <v>258</v>
      </c>
      <c r="E61" s="10" t="s">
        <v>53</v>
      </c>
      <c r="F61" s="5" t="s">
        <v>250</v>
      </c>
      <c r="I61" s="11">
        <v>1</v>
      </c>
      <c r="J61" s="5" t="s">
        <v>246</v>
      </c>
      <c r="K61" s="10" t="s">
        <v>46</v>
      </c>
      <c r="L61" s="5" t="s">
        <v>47</v>
      </c>
      <c r="M61" s="5" t="s">
        <v>115</v>
      </c>
      <c r="N61" s="5" t="s">
        <v>116</v>
      </c>
      <c r="O61" s="12"/>
      <c r="S61" s="13">
        <v>9</v>
      </c>
      <c r="AC61" s="10" t="s">
        <v>259</v>
      </c>
      <c r="AD61" s="5" t="s">
        <v>248</v>
      </c>
      <c r="AE61" s="5" t="s">
        <v>244</v>
      </c>
    </row>
    <row r="62" spans="1:31" ht="10" customHeight="1" x14ac:dyDescent="0.2">
      <c r="A62" s="5" t="s">
        <v>40</v>
      </c>
      <c r="B62" s="5" t="s">
        <v>41</v>
      </c>
      <c r="C62" s="5" t="s">
        <v>244</v>
      </c>
      <c r="D62" s="5" t="s">
        <v>260</v>
      </c>
      <c r="E62" s="10" t="s">
        <v>53</v>
      </c>
      <c r="F62" s="5" t="s">
        <v>250</v>
      </c>
      <c r="I62" s="11">
        <v>1</v>
      </c>
      <c r="J62" s="5" t="s">
        <v>246</v>
      </c>
      <c r="K62" s="10" t="s">
        <v>46</v>
      </c>
      <c r="L62" s="5" t="s">
        <v>47</v>
      </c>
      <c r="M62" s="5" t="s">
        <v>115</v>
      </c>
      <c r="N62" s="5" t="s">
        <v>116</v>
      </c>
      <c r="O62" s="12"/>
      <c r="S62" s="13">
        <v>167272</v>
      </c>
      <c r="AC62" s="10" t="s">
        <v>261</v>
      </c>
      <c r="AD62" s="5" t="s">
        <v>248</v>
      </c>
      <c r="AE62" s="5" t="s">
        <v>244</v>
      </c>
    </row>
    <row r="63" spans="1:31" ht="10" customHeight="1" x14ac:dyDescent="0.2">
      <c r="A63" s="5" t="s">
        <v>40</v>
      </c>
      <c r="B63" s="5" t="s">
        <v>41</v>
      </c>
      <c r="C63" s="5" t="s">
        <v>244</v>
      </c>
      <c r="D63" s="5" t="s">
        <v>262</v>
      </c>
      <c r="E63" s="10" t="s">
        <v>53</v>
      </c>
      <c r="F63" s="5" t="s">
        <v>250</v>
      </c>
      <c r="I63" s="11">
        <v>1</v>
      </c>
      <c r="J63" s="5" t="s">
        <v>246</v>
      </c>
      <c r="K63" s="10" t="s">
        <v>46</v>
      </c>
      <c r="L63" s="5" t="s">
        <v>47</v>
      </c>
      <c r="M63" s="5" t="s">
        <v>115</v>
      </c>
      <c r="N63" s="5" t="s">
        <v>135</v>
      </c>
      <c r="O63" s="12"/>
      <c r="S63" s="13">
        <v>89186</v>
      </c>
      <c r="AC63" s="10" t="s">
        <v>263</v>
      </c>
      <c r="AD63" s="5" t="s">
        <v>248</v>
      </c>
      <c r="AE63" s="5" t="s">
        <v>244</v>
      </c>
    </row>
    <row r="64" spans="1:31" ht="10" customHeight="1" x14ac:dyDescent="0.2">
      <c r="A64" s="5" t="s">
        <v>40</v>
      </c>
      <c r="B64" s="5" t="s">
        <v>41</v>
      </c>
      <c r="C64" s="5" t="s">
        <v>244</v>
      </c>
      <c r="D64" s="5" t="s">
        <v>264</v>
      </c>
      <c r="E64" s="10" t="s">
        <v>53</v>
      </c>
      <c r="F64" s="5" t="s">
        <v>250</v>
      </c>
      <c r="I64" s="11">
        <v>1</v>
      </c>
      <c r="J64" s="5" t="s">
        <v>246</v>
      </c>
      <c r="K64" s="10" t="s">
        <v>46</v>
      </c>
      <c r="L64" s="5" t="s">
        <v>47</v>
      </c>
      <c r="M64" s="5" t="s">
        <v>145</v>
      </c>
      <c r="N64" s="5" t="s">
        <v>146</v>
      </c>
      <c r="O64" s="12"/>
      <c r="S64" s="13">
        <v>49090</v>
      </c>
      <c r="AC64" s="10" t="s">
        <v>265</v>
      </c>
      <c r="AD64" s="5" t="s">
        <v>248</v>
      </c>
      <c r="AE64" s="5" t="s">
        <v>244</v>
      </c>
    </row>
    <row r="65" spans="1:33" ht="10" customHeight="1" x14ac:dyDescent="0.2">
      <c r="A65" s="5" t="s">
        <v>40</v>
      </c>
      <c r="B65" s="5" t="s">
        <v>41</v>
      </c>
      <c r="C65" s="5" t="s">
        <v>244</v>
      </c>
      <c r="D65" s="5" t="s">
        <v>266</v>
      </c>
      <c r="E65" s="10" t="s">
        <v>53</v>
      </c>
      <c r="F65" s="5" t="s">
        <v>250</v>
      </c>
      <c r="I65" s="11">
        <v>1</v>
      </c>
      <c r="J65" s="5" t="s">
        <v>246</v>
      </c>
      <c r="K65" s="10" t="s">
        <v>46</v>
      </c>
      <c r="L65" s="5" t="s">
        <v>47</v>
      </c>
      <c r="M65" s="5" t="s">
        <v>145</v>
      </c>
      <c r="N65" s="5" t="s">
        <v>146</v>
      </c>
      <c r="O65" s="12"/>
      <c r="S65" s="13">
        <v>33000</v>
      </c>
      <c r="AC65" s="10" t="s">
        <v>267</v>
      </c>
      <c r="AD65" s="5" t="s">
        <v>248</v>
      </c>
      <c r="AE65" s="5" t="s">
        <v>244</v>
      </c>
    </row>
    <row r="66" spans="1:33" ht="10" customHeight="1" x14ac:dyDescent="0.2">
      <c r="A66" s="5" t="s">
        <v>40</v>
      </c>
      <c r="B66" s="5" t="s">
        <v>41</v>
      </c>
      <c r="C66" s="5" t="s">
        <v>244</v>
      </c>
      <c r="D66" s="5" t="s">
        <v>268</v>
      </c>
      <c r="E66" s="10" t="s">
        <v>53</v>
      </c>
      <c r="F66" s="5" t="s">
        <v>250</v>
      </c>
      <c r="I66" s="11">
        <v>1</v>
      </c>
      <c r="J66" s="5" t="s">
        <v>246</v>
      </c>
      <c r="K66" s="10" t="s">
        <v>186</v>
      </c>
      <c r="L66" s="5" t="s">
        <v>47</v>
      </c>
      <c r="M66" s="5" t="s">
        <v>178</v>
      </c>
      <c r="N66" s="5" t="s">
        <v>187</v>
      </c>
      <c r="O66" s="12"/>
      <c r="S66" s="13">
        <v>11858</v>
      </c>
      <c r="AC66" s="10" t="s">
        <v>269</v>
      </c>
      <c r="AD66" s="5" t="s">
        <v>248</v>
      </c>
      <c r="AE66" s="5" t="s">
        <v>244</v>
      </c>
    </row>
    <row r="67" spans="1:33" ht="10" customHeight="1" x14ac:dyDescent="0.2">
      <c r="A67" s="5" t="s">
        <v>40</v>
      </c>
      <c r="B67" s="5" t="s">
        <v>41</v>
      </c>
      <c r="C67" s="5" t="s">
        <v>244</v>
      </c>
      <c r="D67" s="5" t="s">
        <v>270</v>
      </c>
      <c r="E67" s="10" t="s">
        <v>53</v>
      </c>
      <c r="F67" s="5" t="s">
        <v>250</v>
      </c>
      <c r="I67" s="11">
        <v>1</v>
      </c>
      <c r="J67" s="5" t="s">
        <v>246</v>
      </c>
      <c r="K67" s="10" t="s">
        <v>46</v>
      </c>
      <c r="L67" s="5" t="s">
        <v>47</v>
      </c>
      <c r="M67" s="5" t="s">
        <v>145</v>
      </c>
      <c r="N67" s="5" t="s">
        <v>164</v>
      </c>
      <c r="O67" s="12"/>
      <c r="S67" s="13">
        <v>23119</v>
      </c>
      <c r="AC67" s="10" t="s">
        <v>271</v>
      </c>
      <c r="AD67" s="5" t="s">
        <v>248</v>
      </c>
      <c r="AE67" s="5" t="s">
        <v>244</v>
      </c>
    </row>
    <row r="68" spans="1:33" ht="10" customHeight="1" x14ac:dyDescent="0.2">
      <c r="A68" s="5" t="s">
        <v>40</v>
      </c>
      <c r="B68" s="5" t="s">
        <v>41</v>
      </c>
      <c r="C68" s="5" t="s">
        <v>244</v>
      </c>
      <c r="D68" s="5" t="s">
        <v>272</v>
      </c>
      <c r="E68" s="10" t="s">
        <v>53</v>
      </c>
      <c r="F68" s="5" t="s">
        <v>250</v>
      </c>
      <c r="I68" s="11">
        <v>1</v>
      </c>
      <c r="J68" s="5" t="s">
        <v>246</v>
      </c>
      <c r="K68" s="10" t="s">
        <v>186</v>
      </c>
      <c r="L68" s="5" t="s">
        <v>47</v>
      </c>
      <c r="M68" s="5" t="s">
        <v>178</v>
      </c>
      <c r="N68" s="5" t="s">
        <v>193</v>
      </c>
      <c r="O68" s="12"/>
      <c r="S68" s="13">
        <v>8554</v>
      </c>
      <c r="AC68" s="10" t="s">
        <v>273</v>
      </c>
      <c r="AD68" s="5" t="s">
        <v>248</v>
      </c>
      <c r="AE68" s="5" t="s">
        <v>244</v>
      </c>
    </row>
    <row r="69" spans="1:33" ht="10" customHeight="1" x14ac:dyDescent="0.2">
      <c r="A69" s="5" t="s">
        <v>40</v>
      </c>
      <c r="B69" s="5" t="s">
        <v>41</v>
      </c>
      <c r="C69" s="5" t="s">
        <v>244</v>
      </c>
      <c r="D69" s="5" t="s">
        <v>274</v>
      </c>
      <c r="E69" s="10" t="s">
        <v>53</v>
      </c>
      <c r="F69" s="5" t="s">
        <v>250</v>
      </c>
      <c r="I69" s="11">
        <v>1</v>
      </c>
      <c r="J69" s="5" t="s">
        <v>246</v>
      </c>
      <c r="K69" s="10" t="s">
        <v>186</v>
      </c>
      <c r="L69" s="5" t="s">
        <v>47</v>
      </c>
      <c r="M69" s="5" t="s">
        <v>198</v>
      </c>
      <c r="N69" s="5" t="s">
        <v>199</v>
      </c>
      <c r="O69" s="12"/>
      <c r="S69" s="13">
        <v>63848</v>
      </c>
      <c r="AC69" s="10" t="s">
        <v>275</v>
      </c>
      <c r="AD69" s="5" t="s">
        <v>248</v>
      </c>
      <c r="AE69" s="5" t="s">
        <v>244</v>
      </c>
    </row>
    <row r="70" spans="1:33" ht="10" customHeight="1" x14ac:dyDescent="0.2">
      <c r="A70" s="5" t="s">
        <v>40</v>
      </c>
      <c r="B70" s="5" t="s">
        <v>41</v>
      </c>
      <c r="C70" s="5" t="s">
        <v>244</v>
      </c>
      <c r="D70" s="5" t="s">
        <v>276</v>
      </c>
      <c r="E70" s="10" t="s">
        <v>53</v>
      </c>
      <c r="F70" s="5" t="s">
        <v>250</v>
      </c>
      <c r="I70" s="11">
        <v>1</v>
      </c>
      <c r="J70" s="5" t="s">
        <v>246</v>
      </c>
      <c r="K70" s="10" t="s">
        <v>186</v>
      </c>
      <c r="L70" s="5" t="s">
        <v>47</v>
      </c>
      <c r="M70" s="5" t="s">
        <v>222</v>
      </c>
      <c r="N70" s="5" t="s">
        <v>223</v>
      </c>
      <c r="O70" s="12"/>
      <c r="S70" s="13">
        <v>8837</v>
      </c>
      <c r="AC70" s="10" t="s">
        <v>277</v>
      </c>
      <c r="AD70" s="5" t="s">
        <v>248</v>
      </c>
      <c r="AE70" s="5" t="s">
        <v>244</v>
      </c>
    </row>
    <row r="71" spans="1:33" ht="10" customHeight="1" x14ac:dyDescent="0.2">
      <c r="A71" s="5" t="s">
        <v>40</v>
      </c>
      <c r="B71" s="5" t="s">
        <v>41</v>
      </c>
      <c r="C71" s="5" t="s">
        <v>244</v>
      </c>
      <c r="D71" s="5" t="s">
        <v>278</v>
      </c>
      <c r="E71" s="10" t="s">
        <v>53</v>
      </c>
      <c r="F71" s="5" t="s">
        <v>250</v>
      </c>
      <c r="I71" s="11">
        <v>1</v>
      </c>
      <c r="J71" s="5" t="s">
        <v>246</v>
      </c>
      <c r="K71" s="10" t="s">
        <v>186</v>
      </c>
      <c r="L71" s="5" t="s">
        <v>228</v>
      </c>
      <c r="M71" s="5" t="s">
        <v>229</v>
      </c>
      <c r="N71" s="5" t="s">
        <v>230</v>
      </c>
      <c r="O71" s="12"/>
      <c r="S71" s="13">
        <v>8150</v>
      </c>
      <c r="AC71" s="10" t="s">
        <v>279</v>
      </c>
      <c r="AD71" s="5" t="s">
        <v>248</v>
      </c>
      <c r="AE71" s="5" t="s">
        <v>244</v>
      </c>
    </row>
    <row r="72" spans="1:33" ht="10" customHeight="1" x14ac:dyDescent="0.2">
      <c r="A72" s="5" t="s">
        <v>40</v>
      </c>
      <c r="B72" s="5" t="s">
        <v>41</v>
      </c>
      <c r="C72" s="5" t="s">
        <v>244</v>
      </c>
      <c r="D72" s="5" t="s">
        <v>280</v>
      </c>
      <c r="E72" s="10" t="s">
        <v>53</v>
      </c>
      <c r="F72" s="5" t="s">
        <v>250</v>
      </c>
      <c r="I72" s="11">
        <v>1</v>
      </c>
      <c r="J72" s="5" t="s">
        <v>246</v>
      </c>
      <c r="K72" s="10" t="s">
        <v>46</v>
      </c>
      <c r="L72" s="5" t="s">
        <v>235</v>
      </c>
      <c r="M72" s="5" t="s">
        <v>236</v>
      </c>
      <c r="N72" s="5" t="s">
        <v>237</v>
      </c>
      <c r="O72" s="12"/>
      <c r="S72" s="13">
        <v>9654</v>
      </c>
      <c r="AC72" s="10" t="s">
        <v>281</v>
      </c>
      <c r="AD72" s="5" t="s">
        <v>248</v>
      </c>
      <c r="AE72" s="5" t="s">
        <v>244</v>
      </c>
    </row>
    <row r="73" spans="1:33" ht="10" customHeight="1" x14ac:dyDescent="0.2">
      <c r="A73" s="5" t="s">
        <v>40</v>
      </c>
      <c r="B73" s="5" t="s">
        <v>41</v>
      </c>
      <c r="C73" s="5" t="s">
        <v>244</v>
      </c>
      <c r="D73" s="5" t="s">
        <v>282</v>
      </c>
      <c r="E73" s="10" t="s">
        <v>53</v>
      </c>
      <c r="F73" s="5" t="s">
        <v>250</v>
      </c>
      <c r="I73" s="11">
        <v>1</v>
      </c>
      <c r="J73" s="5" t="s">
        <v>246</v>
      </c>
      <c r="K73" s="10" t="s">
        <v>46</v>
      </c>
      <c r="L73" s="5" t="s">
        <v>235</v>
      </c>
      <c r="M73" s="5" t="s">
        <v>236</v>
      </c>
      <c r="N73" s="5" t="s">
        <v>283</v>
      </c>
      <c r="O73" s="12"/>
      <c r="S73" s="13">
        <v>17536</v>
      </c>
      <c r="W73" s="13">
        <v>239095</v>
      </c>
      <c r="X73" s="13">
        <v>320000</v>
      </c>
      <c r="Y73" s="13">
        <v>559095</v>
      </c>
      <c r="AC73" s="10" t="s">
        <v>284</v>
      </c>
      <c r="AD73" s="5" t="s">
        <v>248</v>
      </c>
      <c r="AE73" s="5" t="s">
        <v>244</v>
      </c>
    </row>
    <row r="74" spans="1:33" ht="10" customHeight="1" x14ac:dyDescent="0.2">
      <c r="A74" s="5" t="s">
        <v>40</v>
      </c>
      <c r="B74" s="5" t="s">
        <v>41</v>
      </c>
      <c r="C74" s="5" t="s">
        <v>244</v>
      </c>
      <c r="D74" s="5" t="s">
        <v>285</v>
      </c>
      <c r="E74" s="10" t="s">
        <v>53</v>
      </c>
      <c r="F74" s="5" t="s">
        <v>250</v>
      </c>
      <c r="I74" s="11">
        <v>5</v>
      </c>
      <c r="J74" s="5" t="s">
        <v>286</v>
      </c>
      <c r="K74" s="10" t="s">
        <v>46</v>
      </c>
      <c r="L74" s="5" t="s">
        <v>235</v>
      </c>
      <c r="M74" s="5" t="s">
        <v>236</v>
      </c>
      <c r="N74" s="5" t="s">
        <v>283</v>
      </c>
      <c r="O74" s="12"/>
      <c r="S74" s="13">
        <v>493</v>
      </c>
      <c r="W74" s="13">
        <v>37390</v>
      </c>
      <c r="X74" s="13">
        <v>0</v>
      </c>
      <c r="Y74" s="13">
        <v>37390</v>
      </c>
      <c r="AC74" s="10" t="s">
        <v>287</v>
      </c>
      <c r="AD74" s="5" t="s">
        <v>248</v>
      </c>
      <c r="AE74" s="5" t="s">
        <v>244</v>
      </c>
    </row>
    <row r="75" spans="1:33" ht="10" customHeight="1" x14ac:dyDescent="0.2">
      <c r="A75" s="5" t="s">
        <v>40</v>
      </c>
      <c r="B75" s="5" t="s">
        <v>41</v>
      </c>
      <c r="C75" s="5" t="s">
        <v>244</v>
      </c>
      <c r="D75" s="5" t="s">
        <v>288</v>
      </c>
      <c r="E75" s="10" t="s">
        <v>53</v>
      </c>
      <c r="F75" s="5" t="s">
        <v>250</v>
      </c>
      <c r="I75" s="11">
        <v>1</v>
      </c>
      <c r="J75" s="5" t="s">
        <v>246</v>
      </c>
      <c r="K75" s="12"/>
      <c r="O75" s="12"/>
      <c r="S75" s="13">
        <v>16657</v>
      </c>
      <c r="AC75" s="10" t="s">
        <v>289</v>
      </c>
      <c r="AD75" s="5" t="s">
        <v>248</v>
      </c>
      <c r="AE75" s="5" t="s">
        <v>244</v>
      </c>
    </row>
    <row r="76" spans="1:33" ht="10" customHeight="1" x14ac:dyDescent="0.2">
      <c r="A76" s="5" t="s">
        <v>40</v>
      </c>
      <c r="B76" s="5" t="s">
        <v>41</v>
      </c>
      <c r="C76" s="5" t="s">
        <v>290</v>
      </c>
      <c r="D76" s="5" t="s">
        <v>291</v>
      </c>
      <c r="E76" s="12"/>
      <c r="I76" s="11">
        <v>1</v>
      </c>
      <c r="J76" s="5" t="s">
        <v>45</v>
      </c>
      <c r="K76" s="10" t="s">
        <v>46</v>
      </c>
      <c r="L76" s="5" t="s">
        <v>235</v>
      </c>
      <c r="M76" s="5" t="s">
        <v>236</v>
      </c>
      <c r="N76" s="5" t="s">
        <v>283</v>
      </c>
      <c r="O76" s="12"/>
      <c r="P76" s="13">
        <v>628600</v>
      </c>
      <c r="Q76" s="13">
        <v>528039</v>
      </c>
      <c r="S76" s="13">
        <v>0</v>
      </c>
      <c r="T76" s="13">
        <v>239095</v>
      </c>
      <c r="U76" s="13">
        <v>239095</v>
      </c>
      <c r="W76" s="13">
        <v>239095</v>
      </c>
      <c r="X76" s="13">
        <v>320000</v>
      </c>
      <c r="Y76" s="13">
        <v>559095</v>
      </c>
      <c r="Z76" s="13">
        <v>733895</v>
      </c>
      <c r="AB76" s="13">
        <v>733895</v>
      </c>
      <c r="AC76" s="10" t="s">
        <v>292</v>
      </c>
      <c r="AD76" s="5" t="s">
        <v>293</v>
      </c>
      <c r="AE76" s="5" t="s">
        <v>290</v>
      </c>
    </row>
    <row r="77" spans="1:33" ht="10" customHeight="1" x14ac:dyDescent="0.2">
      <c r="A77" s="5" t="s">
        <v>40</v>
      </c>
      <c r="B77" s="5" t="s">
        <v>41</v>
      </c>
      <c r="C77" s="5" t="s">
        <v>294</v>
      </c>
      <c r="D77" s="5" t="s">
        <v>295</v>
      </c>
      <c r="E77" s="12"/>
      <c r="I77" s="11">
        <v>1</v>
      </c>
      <c r="J77" s="5" t="s">
        <v>45</v>
      </c>
      <c r="K77" s="12"/>
      <c r="O77" s="12"/>
      <c r="P77" s="13">
        <v>93815</v>
      </c>
      <c r="Q77" s="13">
        <v>41426</v>
      </c>
      <c r="S77" s="13">
        <v>34602</v>
      </c>
      <c r="T77" s="13">
        <v>0</v>
      </c>
      <c r="U77" s="13">
        <v>34602</v>
      </c>
      <c r="X77" s="13">
        <v>174602</v>
      </c>
      <c r="Y77" s="13">
        <v>174602</v>
      </c>
      <c r="Z77" s="13">
        <v>177079</v>
      </c>
      <c r="AB77" s="13">
        <v>177079</v>
      </c>
      <c r="AC77" s="10" t="s">
        <v>296</v>
      </c>
      <c r="AD77" s="5" t="s">
        <v>297</v>
      </c>
      <c r="AE77" s="5" t="s">
        <v>294</v>
      </c>
    </row>
    <row r="78" spans="1:33" ht="10" customHeight="1" x14ac:dyDescent="0.2">
      <c r="A78" s="5" t="s">
        <v>40</v>
      </c>
      <c r="B78" s="5" t="s">
        <v>41</v>
      </c>
      <c r="C78" s="5" t="s">
        <v>298</v>
      </c>
      <c r="D78" s="5" t="s">
        <v>299</v>
      </c>
      <c r="E78" s="12"/>
      <c r="I78" s="11">
        <v>1</v>
      </c>
      <c r="J78" s="5" t="s">
        <v>45</v>
      </c>
      <c r="K78" s="10" t="s">
        <v>46</v>
      </c>
      <c r="L78" s="5" t="s">
        <v>300</v>
      </c>
      <c r="M78" s="5" t="s">
        <v>301</v>
      </c>
      <c r="N78" s="5" t="s">
        <v>302</v>
      </c>
      <c r="O78" s="12"/>
      <c r="P78" s="13">
        <v>72000</v>
      </c>
      <c r="Q78" s="13">
        <v>76168</v>
      </c>
      <c r="S78" s="13">
        <v>0</v>
      </c>
      <c r="T78" s="13">
        <v>0</v>
      </c>
      <c r="U78" s="13">
        <v>0</v>
      </c>
      <c r="X78" s="13">
        <v>79000</v>
      </c>
      <c r="Y78" s="13">
        <v>79000</v>
      </c>
      <c r="Z78" s="13">
        <v>83000</v>
      </c>
      <c r="AB78" s="13">
        <v>83000</v>
      </c>
      <c r="AC78" s="10" t="s">
        <v>303</v>
      </c>
      <c r="AD78" s="5" t="s">
        <v>304</v>
      </c>
      <c r="AE78" s="5" t="s">
        <v>298</v>
      </c>
    </row>
    <row r="79" spans="1:33" ht="10" customHeight="1" x14ac:dyDescent="0.2">
      <c r="A79" s="5" t="s">
        <v>40</v>
      </c>
      <c r="B79" s="5" t="s">
        <v>41</v>
      </c>
      <c r="C79" s="5" t="s">
        <v>305</v>
      </c>
      <c r="D79" s="5" t="s">
        <v>306</v>
      </c>
      <c r="E79" s="12"/>
      <c r="I79" s="11">
        <v>5</v>
      </c>
      <c r="J79" s="5" t="s">
        <v>286</v>
      </c>
      <c r="K79" s="10" t="s">
        <v>46</v>
      </c>
      <c r="L79" s="5" t="s">
        <v>235</v>
      </c>
      <c r="M79" s="5" t="s">
        <v>236</v>
      </c>
      <c r="N79" s="5" t="s">
        <v>283</v>
      </c>
      <c r="O79" s="12"/>
      <c r="P79" s="13">
        <v>15286</v>
      </c>
      <c r="Q79" s="13">
        <v>45087</v>
      </c>
      <c r="S79" s="13">
        <v>0</v>
      </c>
      <c r="T79" s="13">
        <v>37390</v>
      </c>
      <c r="U79" s="13">
        <v>37390</v>
      </c>
      <c r="W79" s="13">
        <v>37390</v>
      </c>
      <c r="X79" s="13">
        <v>0</v>
      </c>
      <c r="Y79" s="13">
        <v>37390</v>
      </c>
      <c r="Z79" s="13">
        <v>37998</v>
      </c>
      <c r="AB79" s="13">
        <v>37998</v>
      </c>
      <c r="AC79" s="10" t="s">
        <v>307</v>
      </c>
      <c r="AD79" s="5" t="s">
        <v>308</v>
      </c>
      <c r="AE79" s="5" t="s">
        <v>305</v>
      </c>
    </row>
    <row r="80" spans="1:33" ht="10" customHeight="1" x14ac:dyDescent="0.2">
      <c r="A80" s="5" t="s">
        <v>40</v>
      </c>
      <c r="B80" s="5" t="s">
        <v>41</v>
      </c>
      <c r="C80" s="5" t="s">
        <v>309</v>
      </c>
      <c r="D80" s="5" t="s">
        <v>310</v>
      </c>
      <c r="E80" s="12"/>
      <c r="I80" s="11">
        <v>1</v>
      </c>
      <c r="J80" s="5" t="s">
        <v>45</v>
      </c>
      <c r="K80" s="10" t="s">
        <v>186</v>
      </c>
      <c r="L80" s="5" t="s">
        <v>228</v>
      </c>
      <c r="M80" s="5" t="s">
        <v>241</v>
      </c>
      <c r="N80" s="5" t="s">
        <v>242</v>
      </c>
      <c r="O80" s="12"/>
      <c r="P80" s="13">
        <v>142008</v>
      </c>
      <c r="Q80" s="13">
        <v>204939</v>
      </c>
      <c r="S80" s="13">
        <v>45000</v>
      </c>
      <c r="T80" s="13">
        <v>100000</v>
      </c>
      <c r="U80" s="13">
        <v>145000</v>
      </c>
      <c r="W80" s="13">
        <v>0</v>
      </c>
      <c r="X80" s="13">
        <v>290000</v>
      </c>
      <c r="Y80" s="13">
        <v>290000</v>
      </c>
      <c r="AA80" s="13">
        <v>130000</v>
      </c>
      <c r="AB80" s="13">
        <v>130000</v>
      </c>
      <c r="AC80" s="10" t="s">
        <v>311</v>
      </c>
      <c r="AD80" s="5" t="s">
        <v>312</v>
      </c>
      <c r="AE80" s="5" t="s">
        <v>309</v>
      </c>
      <c r="AG80" s="5" t="s">
        <v>175</v>
      </c>
    </row>
    <row r="81" spans="1:33" ht="10" customHeight="1" x14ac:dyDescent="0.2">
      <c r="A81" s="5" t="s">
        <v>40</v>
      </c>
      <c r="B81" s="5" t="s">
        <v>41</v>
      </c>
      <c r="C81" s="5" t="s">
        <v>313</v>
      </c>
      <c r="D81" s="5" t="s">
        <v>314</v>
      </c>
      <c r="E81" s="12"/>
      <c r="I81" s="11">
        <v>1</v>
      </c>
      <c r="J81" s="5" t="s">
        <v>45</v>
      </c>
      <c r="K81" s="12"/>
      <c r="O81" s="12"/>
      <c r="Q81" s="13">
        <v>0</v>
      </c>
      <c r="S81" s="13">
        <v>1214295</v>
      </c>
      <c r="T81" s="13">
        <v>476551</v>
      </c>
      <c r="U81" s="13">
        <v>1690846</v>
      </c>
      <c r="W81" s="13">
        <v>0</v>
      </c>
      <c r="X81" s="13">
        <v>1676587</v>
      </c>
      <c r="Y81" s="13">
        <v>1676587</v>
      </c>
      <c r="Z81" s="13">
        <v>2611990</v>
      </c>
      <c r="AB81" s="13">
        <v>2611990</v>
      </c>
      <c r="AC81" s="10" t="s">
        <v>315</v>
      </c>
      <c r="AD81" s="5" t="s">
        <v>316</v>
      </c>
      <c r="AE81" s="5" t="s">
        <v>313</v>
      </c>
    </row>
    <row r="82" spans="1:33" ht="10" customHeight="1" x14ac:dyDescent="0.2">
      <c r="A82" s="5" t="s">
        <v>40</v>
      </c>
      <c r="B82" s="5" t="s">
        <v>41</v>
      </c>
      <c r="D82" s="5" t="s">
        <v>317</v>
      </c>
      <c r="E82" s="10" t="s">
        <v>53</v>
      </c>
      <c r="F82" s="5" t="s">
        <v>318</v>
      </c>
      <c r="I82" s="11">
        <v>1</v>
      </c>
      <c r="J82" s="5" t="s">
        <v>45</v>
      </c>
      <c r="K82" s="10" t="s">
        <v>186</v>
      </c>
      <c r="L82" s="5" t="s">
        <v>47</v>
      </c>
      <c r="M82" s="5" t="s">
        <v>198</v>
      </c>
      <c r="N82" s="5" t="s">
        <v>199</v>
      </c>
      <c r="O82" s="12"/>
      <c r="S82" s="13">
        <v>19238</v>
      </c>
      <c r="T82" s="13">
        <v>76802</v>
      </c>
      <c r="U82" s="13">
        <v>96040</v>
      </c>
      <c r="AC82" s="10" t="s">
        <v>319</v>
      </c>
      <c r="AD82" s="5" t="s">
        <v>205</v>
      </c>
      <c r="AE82" s="5" t="s">
        <v>313</v>
      </c>
    </row>
    <row r="83" spans="1:33" ht="10" customHeight="1" x14ac:dyDescent="0.2">
      <c r="A83" s="5" t="s">
        <v>40</v>
      </c>
      <c r="B83" s="5" t="s">
        <v>41</v>
      </c>
      <c r="D83" s="5" t="s">
        <v>320</v>
      </c>
      <c r="E83" s="10" t="s">
        <v>53</v>
      </c>
      <c r="F83" s="5" t="s">
        <v>318</v>
      </c>
      <c r="I83" s="11">
        <v>1</v>
      </c>
      <c r="J83" s="5" t="s">
        <v>45</v>
      </c>
      <c r="K83" s="10" t="s">
        <v>186</v>
      </c>
      <c r="L83" s="5" t="s">
        <v>47</v>
      </c>
      <c r="M83" s="5" t="s">
        <v>222</v>
      </c>
      <c r="N83" s="5" t="s">
        <v>223</v>
      </c>
      <c r="O83" s="12"/>
      <c r="S83" s="13">
        <v>4650</v>
      </c>
      <c r="T83" s="13">
        <v>14259</v>
      </c>
      <c r="U83" s="13">
        <v>18909</v>
      </c>
      <c r="AC83" s="10" t="s">
        <v>321</v>
      </c>
      <c r="AD83" s="5" t="s">
        <v>205</v>
      </c>
      <c r="AE83" s="5" t="s">
        <v>313</v>
      </c>
    </row>
    <row r="84" spans="1:33" ht="10" customHeight="1" x14ac:dyDescent="0.2">
      <c r="A84" s="5" t="s">
        <v>40</v>
      </c>
      <c r="B84" s="5" t="s">
        <v>41</v>
      </c>
      <c r="D84" s="5" t="s">
        <v>322</v>
      </c>
      <c r="E84" s="10" t="s">
        <v>53</v>
      </c>
      <c r="F84" s="5" t="s">
        <v>318</v>
      </c>
      <c r="I84" s="11">
        <v>1</v>
      </c>
      <c r="J84" s="5" t="s">
        <v>45</v>
      </c>
      <c r="K84" s="10" t="s">
        <v>46</v>
      </c>
      <c r="L84" s="5" t="s">
        <v>47</v>
      </c>
      <c r="M84" s="5" t="s">
        <v>145</v>
      </c>
      <c r="N84" s="5" t="s">
        <v>164</v>
      </c>
      <c r="O84" s="12"/>
      <c r="S84" s="13">
        <v>0</v>
      </c>
      <c r="T84" s="13">
        <v>93603</v>
      </c>
      <c r="U84" s="13">
        <v>93603</v>
      </c>
      <c r="AC84" s="10" t="s">
        <v>323</v>
      </c>
      <c r="AD84" s="5" t="s">
        <v>205</v>
      </c>
      <c r="AE84" s="5" t="s">
        <v>313</v>
      </c>
    </row>
    <row r="85" spans="1:33" ht="10" customHeight="1" x14ac:dyDescent="0.2">
      <c r="A85" s="5" t="s">
        <v>40</v>
      </c>
      <c r="B85" s="5" t="s">
        <v>41</v>
      </c>
      <c r="D85" s="5" t="s">
        <v>324</v>
      </c>
      <c r="E85" s="10" t="s">
        <v>53</v>
      </c>
      <c r="F85" s="5" t="s">
        <v>318</v>
      </c>
      <c r="I85" s="11">
        <v>1</v>
      </c>
      <c r="J85" s="5" t="s">
        <v>45</v>
      </c>
      <c r="K85" s="10" t="s">
        <v>46</v>
      </c>
      <c r="L85" s="5" t="s">
        <v>47</v>
      </c>
      <c r="M85" s="5" t="s">
        <v>65</v>
      </c>
      <c r="N85" s="5" t="s">
        <v>66</v>
      </c>
      <c r="O85" s="12"/>
      <c r="S85" s="13">
        <v>150000</v>
      </c>
      <c r="U85" s="13">
        <v>150000</v>
      </c>
      <c r="AC85" s="10" t="s">
        <v>325</v>
      </c>
      <c r="AD85" s="5" t="s">
        <v>205</v>
      </c>
      <c r="AE85" s="5" t="s">
        <v>313</v>
      </c>
    </row>
    <row r="86" spans="1:33" ht="10" customHeight="1" x14ac:dyDescent="0.2">
      <c r="A86" s="5" t="s">
        <v>40</v>
      </c>
      <c r="B86" s="5" t="s">
        <v>41</v>
      </c>
      <c r="D86" s="5" t="s">
        <v>326</v>
      </c>
      <c r="E86" s="10" t="s">
        <v>53</v>
      </c>
      <c r="F86" s="5" t="s">
        <v>318</v>
      </c>
      <c r="I86" s="11">
        <v>1</v>
      </c>
      <c r="J86" s="5" t="s">
        <v>45</v>
      </c>
      <c r="K86" s="10" t="s">
        <v>46</v>
      </c>
      <c r="L86" s="5" t="s">
        <v>47</v>
      </c>
      <c r="M86" s="5" t="s">
        <v>48</v>
      </c>
      <c r="N86" s="5" t="s">
        <v>84</v>
      </c>
      <c r="O86" s="12"/>
      <c r="S86" s="13">
        <v>510415</v>
      </c>
      <c r="U86" s="13">
        <v>510415</v>
      </c>
      <c r="AC86" s="10" t="s">
        <v>327</v>
      </c>
      <c r="AD86" s="5" t="s">
        <v>205</v>
      </c>
      <c r="AE86" s="5" t="s">
        <v>313</v>
      </c>
    </row>
    <row r="87" spans="1:33" ht="10" customHeight="1" x14ac:dyDescent="0.2">
      <c r="A87" s="5" t="s">
        <v>40</v>
      </c>
      <c r="B87" s="5" t="s">
        <v>41</v>
      </c>
      <c r="D87" s="5" t="s">
        <v>328</v>
      </c>
      <c r="E87" s="10" t="s">
        <v>53</v>
      </c>
      <c r="F87" s="5" t="s">
        <v>318</v>
      </c>
      <c r="I87" s="11">
        <v>1</v>
      </c>
      <c r="J87" s="5" t="s">
        <v>45</v>
      </c>
      <c r="K87" s="10" t="s">
        <v>186</v>
      </c>
      <c r="L87" s="5" t="s">
        <v>47</v>
      </c>
      <c r="M87" s="5" t="s">
        <v>210</v>
      </c>
      <c r="N87" s="5" t="s">
        <v>211</v>
      </c>
      <c r="O87" s="12"/>
      <c r="S87" s="13">
        <v>8400</v>
      </c>
      <c r="T87" s="13">
        <v>21600</v>
      </c>
      <c r="U87" s="13">
        <v>30000</v>
      </c>
      <c r="AC87" s="10" t="s">
        <v>329</v>
      </c>
      <c r="AD87" s="5" t="s">
        <v>205</v>
      </c>
      <c r="AE87" s="5" t="s">
        <v>313</v>
      </c>
    </row>
    <row r="88" spans="1:33" ht="10" customHeight="1" x14ac:dyDescent="0.2">
      <c r="A88" s="5" t="s">
        <v>40</v>
      </c>
      <c r="B88" s="5" t="s">
        <v>41</v>
      </c>
      <c r="D88" s="5" t="s">
        <v>330</v>
      </c>
      <c r="E88" s="10" t="s">
        <v>53</v>
      </c>
      <c r="F88" s="5" t="s">
        <v>318</v>
      </c>
      <c r="I88" s="11">
        <v>5</v>
      </c>
      <c r="J88" s="5" t="s">
        <v>100</v>
      </c>
      <c r="K88" s="10" t="s">
        <v>46</v>
      </c>
      <c r="L88" s="5" t="s">
        <v>47</v>
      </c>
      <c r="M88" s="5" t="s">
        <v>65</v>
      </c>
      <c r="N88" s="5" t="s">
        <v>66</v>
      </c>
      <c r="O88" s="12"/>
      <c r="S88" s="13">
        <v>483100</v>
      </c>
      <c r="U88" s="13">
        <v>483100</v>
      </c>
      <c r="AC88" s="10" t="s">
        <v>331</v>
      </c>
      <c r="AD88" s="5" t="s">
        <v>205</v>
      </c>
      <c r="AE88" s="5" t="s">
        <v>313</v>
      </c>
    </row>
    <row r="89" spans="1:33" ht="10" customHeight="1" x14ac:dyDescent="0.2">
      <c r="A89" s="5" t="s">
        <v>40</v>
      </c>
      <c r="B89" s="5" t="s">
        <v>41</v>
      </c>
      <c r="D89" s="5" t="s">
        <v>332</v>
      </c>
      <c r="E89" s="10" t="s">
        <v>53</v>
      </c>
      <c r="F89" s="5" t="s">
        <v>318</v>
      </c>
      <c r="I89" s="11">
        <v>1</v>
      </c>
      <c r="J89" s="5" t="s">
        <v>45</v>
      </c>
      <c r="K89" s="10" t="s">
        <v>46</v>
      </c>
      <c r="L89" s="5" t="s">
        <v>47</v>
      </c>
      <c r="M89" s="5" t="s">
        <v>115</v>
      </c>
      <c r="N89" s="5" t="s">
        <v>135</v>
      </c>
      <c r="O89" s="12"/>
      <c r="S89" s="13">
        <v>5766</v>
      </c>
      <c r="U89" s="13">
        <v>5766</v>
      </c>
      <c r="AC89" s="10" t="s">
        <v>333</v>
      </c>
      <c r="AD89" s="5" t="s">
        <v>205</v>
      </c>
      <c r="AE89" s="5" t="s">
        <v>313</v>
      </c>
    </row>
    <row r="90" spans="1:33" ht="10" customHeight="1" x14ac:dyDescent="0.2">
      <c r="A90" s="5" t="s">
        <v>40</v>
      </c>
      <c r="B90" s="5" t="s">
        <v>41</v>
      </c>
      <c r="D90" s="5" t="s">
        <v>334</v>
      </c>
      <c r="E90" s="10" t="s">
        <v>53</v>
      </c>
      <c r="F90" s="5" t="s">
        <v>318</v>
      </c>
      <c r="I90" s="11">
        <v>1</v>
      </c>
      <c r="J90" s="5" t="s">
        <v>45</v>
      </c>
      <c r="K90" s="10" t="s">
        <v>186</v>
      </c>
      <c r="L90" s="5" t="s">
        <v>47</v>
      </c>
      <c r="M90" s="5" t="s">
        <v>178</v>
      </c>
      <c r="N90" s="5" t="s">
        <v>193</v>
      </c>
      <c r="O90" s="12"/>
      <c r="S90" s="13">
        <v>11231</v>
      </c>
      <c r="U90" s="13">
        <v>11231</v>
      </c>
      <c r="AC90" s="10" t="s">
        <v>335</v>
      </c>
      <c r="AD90" s="5" t="s">
        <v>205</v>
      </c>
      <c r="AE90" s="5" t="s">
        <v>313</v>
      </c>
    </row>
    <row r="91" spans="1:33" ht="10" customHeight="1" x14ac:dyDescent="0.2">
      <c r="A91" s="5" t="s">
        <v>40</v>
      </c>
      <c r="B91" s="5" t="s">
        <v>41</v>
      </c>
      <c r="D91" s="5" t="s">
        <v>336</v>
      </c>
      <c r="E91" s="10" t="s">
        <v>53</v>
      </c>
      <c r="F91" s="5" t="s">
        <v>318</v>
      </c>
      <c r="I91" s="11">
        <v>1</v>
      </c>
      <c r="J91" s="5" t="s">
        <v>45</v>
      </c>
      <c r="K91" s="10" t="s">
        <v>46</v>
      </c>
      <c r="L91" s="5" t="s">
        <v>47</v>
      </c>
      <c r="M91" s="5" t="s">
        <v>115</v>
      </c>
      <c r="N91" s="5" t="s">
        <v>116</v>
      </c>
      <c r="O91" s="12"/>
      <c r="S91" s="13">
        <v>0</v>
      </c>
      <c r="T91" s="13">
        <v>176845</v>
      </c>
      <c r="U91" s="13">
        <v>176845</v>
      </c>
      <c r="AC91" s="10" t="s">
        <v>337</v>
      </c>
      <c r="AD91" s="5" t="s">
        <v>205</v>
      </c>
      <c r="AE91" s="5" t="s">
        <v>313</v>
      </c>
    </row>
    <row r="92" spans="1:33" ht="10" customHeight="1" x14ac:dyDescent="0.2">
      <c r="A92" s="5" t="s">
        <v>40</v>
      </c>
      <c r="B92" s="5" t="s">
        <v>41</v>
      </c>
      <c r="D92" s="5" t="s">
        <v>338</v>
      </c>
      <c r="E92" s="10" t="s">
        <v>53</v>
      </c>
      <c r="F92" s="5" t="s">
        <v>318</v>
      </c>
      <c r="I92" s="11">
        <v>1</v>
      </c>
      <c r="J92" s="5" t="s">
        <v>45</v>
      </c>
      <c r="K92" s="10" t="s">
        <v>46</v>
      </c>
      <c r="L92" s="5" t="s">
        <v>47</v>
      </c>
      <c r="M92" s="5" t="s">
        <v>145</v>
      </c>
      <c r="N92" s="5" t="s">
        <v>146</v>
      </c>
      <c r="O92" s="12"/>
      <c r="S92" s="13">
        <v>0</v>
      </c>
      <c r="T92" s="13">
        <v>93442</v>
      </c>
      <c r="U92" s="13">
        <v>93442</v>
      </c>
      <c r="AC92" s="10" t="s">
        <v>339</v>
      </c>
      <c r="AD92" s="5" t="s">
        <v>205</v>
      </c>
      <c r="AE92" s="5" t="s">
        <v>313</v>
      </c>
    </row>
    <row r="93" spans="1:33" ht="10" customHeight="1" x14ac:dyDescent="0.2">
      <c r="A93" s="5" t="s">
        <v>40</v>
      </c>
      <c r="B93" s="5" t="s">
        <v>41</v>
      </c>
      <c r="D93" s="5" t="s">
        <v>340</v>
      </c>
      <c r="E93" s="10" t="s">
        <v>53</v>
      </c>
      <c r="F93" s="5" t="s">
        <v>318</v>
      </c>
      <c r="I93" s="11">
        <v>1</v>
      </c>
      <c r="J93" s="5" t="s">
        <v>45</v>
      </c>
      <c r="K93" s="10" t="s">
        <v>186</v>
      </c>
      <c r="L93" s="5" t="s">
        <v>228</v>
      </c>
      <c r="M93" s="5" t="s">
        <v>229</v>
      </c>
      <c r="N93" s="5" t="s">
        <v>230</v>
      </c>
      <c r="O93" s="12"/>
      <c r="S93" s="13">
        <v>6015</v>
      </c>
      <c r="U93" s="13">
        <v>6015</v>
      </c>
      <c r="AC93" s="10" t="s">
        <v>341</v>
      </c>
      <c r="AD93" s="5" t="s">
        <v>205</v>
      </c>
      <c r="AE93" s="5" t="s">
        <v>313</v>
      </c>
    </row>
    <row r="94" spans="1:33" ht="10" customHeight="1" x14ac:dyDescent="0.2">
      <c r="A94" s="5" t="s">
        <v>40</v>
      </c>
      <c r="B94" s="5" t="s">
        <v>41</v>
      </c>
      <c r="D94" s="5" t="s">
        <v>342</v>
      </c>
      <c r="E94" s="10" t="s">
        <v>53</v>
      </c>
      <c r="F94" s="5" t="s">
        <v>318</v>
      </c>
      <c r="I94" s="11">
        <v>1</v>
      </c>
      <c r="J94" s="5" t="s">
        <v>45</v>
      </c>
      <c r="K94" s="10" t="s">
        <v>46</v>
      </c>
      <c r="L94" s="5" t="s">
        <v>235</v>
      </c>
      <c r="M94" s="5" t="s">
        <v>236</v>
      </c>
      <c r="N94" s="5" t="s">
        <v>283</v>
      </c>
      <c r="O94" s="12"/>
      <c r="S94" s="13">
        <v>15480</v>
      </c>
      <c r="U94" s="13">
        <v>15480</v>
      </c>
      <c r="AC94" s="10" t="s">
        <v>343</v>
      </c>
      <c r="AD94" s="5" t="s">
        <v>205</v>
      </c>
      <c r="AE94" s="5" t="s">
        <v>313</v>
      </c>
    </row>
    <row r="95" spans="1:33" ht="10" customHeight="1" x14ac:dyDescent="0.2">
      <c r="A95" s="5" t="s">
        <v>40</v>
      </c>
      <c r="B95" s="5" t="s">
        <v>41</v>
      </c>
      <c r="D95" s="5" t="s">
        <v>344</v>
      </c>
      <c r="E95" s="10" t="s">
        <v>345</v>
      </c>
      <c r="F95" s="5" t="s">
        <v>54</v>
      </c>
      <c r="G95" s="5" t="s">
        <v>346</v>
      </c>
      <c r="H95" s="5" t="s">
        <v>347</v>
      </c>
      <c r="I95" s="11">
        <v>1</v>
      </c>
      <c r="J95" s="5" t="s">
        <v>45</v>
      </c>
      <c r="K95" s="10" t="s">
        <v>46</v>
      </c>
      <c r="L95" s="5" t="s">
        <v>47</v>
      </c>
      <c r="M95" s="5" t="s">
        <v>48</v>
      </c>
      <c r="N95" s="5" t="s">
        <v>49</v>
      </c>
      <c r="O95" s="12"/>
      <c r="P95" s="13">
        <v>1443300</v>
      </c>
      <c r="S95" s="13">
        <v>969560</v>
      </c>
      <c r="U95" s="13">
        <v>969560</v>
      </c>
      <c r="AC95" s="10" t="s">
        <v>348</v>
      </c>
      <c r="AD95" s="5" t="s">
        <v>349</v>
      </c>
      <c r="AE95" s="5" t="s">
        <v>42</v>
      </c>
      <c r="AG95" s="5" t="s">
        <v>350</v>
      </c>
    </row>
    <row r="96" spans="1:33" ht="10" customHeight="1" x14ac:dyDescent="0.2">
      <c r="A96" s="5" t="s">
        <v>40</v>
      </c>
      <c r="B96" s="5" t="s">
        <v>41</v>
      </c>
      <c r="D96" s="5" t="s">
        <v>351</v>
      </c>
      <c r="E96" s="10" t="s">
        <v>345</v>
      </c>
      <c r="F96" s="5" t="s">
        <v>54</v>
      </c>
      <c r="G96" s="5" t="s">
        <v>346</v>
      </c>
      <c r="H96" s="5" t="s">
        <v>175</v>
      </c>
      <c r="I96" s="11">
        <v>1</v>
      </c>
      <c r="J96" s="5" t="s">
        <v>45</v>
      </c>
      <c r="K96" s="10" t="s">
        <v>46</v>
      </c>
      <c r="L96" s="5" t="s">
        <v>47</v>
      </c>
      <c r="M96" s="5" t="s">
        <v>48</v>
      </c>
      <c r="N96" s="5" t="s">
        <v>49</v>
      </c>
      <c r="O96" s="12"/>
      <c r="P96" s="13">
        <v>6355733</v>
      </c>
      <c r="S96" s="13">
        <v>7127344</v>
      </c>
      <c r="U96" s="13">
        <v>7127344</v>
      </c>
      <c r="AC96" s="10" t="s">
        <v>352</v>
      </c>
      <c r="AD96" s="5" t="s">
        <v>349</v>
      </c>
      <c r="AE96" s="5" t="s">
        <v>42</v>
      </c>
      <c r="AG96" s="5" t="s">
        <v>175</v>
      </c>
    </row>
    <row r="97" spans="1:33" ht="10" customHeight="1" x14ac:dyDescent="0.2">
      <c r="A97" s="5" t="s">
        <v>40</v>
      </c>
      <c r="B97" s="5" t="s">
        <v>41</v>
      </c>
      <c r="D97" s="5" t="s">
        <v>353</v>
      </c>
      <c r="E97" s="10" t="s">
        <v>345</v>
      </c>
      <c r="F97" s="5" t="s">
        <v>54</v>
      </c>
      <c r="G97" s="5" t="s">
        <v>346</v>
      </c>
      <c r="H97" s="5" t="s">
        <v>354</v>
      </c>
      <c r="I97" s="11">
        <v>1</v>
      </c>
      <c r="J97" s="5" t="s">
        <v>45</v>
      </c>
      <c r="K97" s="10" t="s">
        <v>46</v>
      </c>
      <c r="L97" s="5" t="s">
        <v>47</v>
      </c>
      <c r="M97" s="5" t="s">
        <v>48</v>
      </c>
      <c r="N97" s="5" t="s">
        <v>49</v>
      </c>
      <c r="O97" s="12"/>
      <c r="P97" s="13">
        <v>143242</v>
      </c>
      <c r="S97" s="13">
        <v>179217</v>
      </c>
      <c r="U97" s="13">
        <v>179217</v>
      </c>
      <c r="AC97" s="10" t="s">
        <v>355</v>
      </c>
      <c r="AD97" s="5" t="s">
        <v>349</v>
      </c>
      <c r="AE97" s="5" t="s">
        <v>42</v>
      </c>
      <c r="AG97" s="5" t="s">
        <v>354</v>
      </c>
    </row>
    <row r="98" spans="1:33" ht="10" customHeight="1" x14ac:dyDescent="0.2">
      <c r="A98" s="5" t="s">
        <v>40</v>
      </c>
      <c r="B98" s="5" t="s">
        <v>41</v>
      </c>
      <c r="D98" s="5" t="s">
        <v>356</v>
      </c>
      <c r="E98" s="10" t="s">
        <v>345</v>
      </c>
      <c r="F98" s="5" t="s">
        <v>54</v>
      </c>
      <c r="G98" s="5" t="s">
        <v>346</v>
      </c>
      <c r="H98" s="5" t="s">
        <v>357</v>
      </c>
      <c r="I98" s="11">
        <v>1</v>
      </c>
      <c r="J98" s="5" t="s">
        <v>45</v>
      </c>
      <c r="K98" s="10" t="s">
        <v>46</v>
      </c>
      <c r="L98" s="5" t="s">
        <v>47</v>
      </c>
      <c r="M98" s="5" t="s">
        <v>48</v>
      </c>
      <c r="N98" s="5" t="s">
        <v>49</v>
      </c>
      <c r="O98" s="12"/>
      <c r="P98" s="13">
        <v>349701</v>
      </c>
      <c r="S98" s="13">
        <v>361283</v>
      </c>
      <c r="U98" s="13">
        <v>361283</v>
      </c>
      <c r="AC98" s="10" t="s">
        <v>358</v>
      </c>
      <c r="AD98" s="5" t="s">
        <v>349</v>
      </c>
      <c r="AE98" s="5" t="s">
        <v>42</v>
      </c>
    </row>
    <row r="99" spans="1:33" ht="10" customHeight="1" x14ac:dyDescent="0.2">
      <c r="A99" s="5" t="s">
        <v>40</v>
      </c>
      <c r="B99" s="5" t="s">
        <v>41</v>
      </c>
      <c r="D99" s="5" t="s">
        <v>359</v>
      </c>
      <c r="E99" s="10" t="s">
        <v>345</v>
      </c>
      <c r="F99" s="5" t="s">
        <v>54</v>
      </c>
      <c r="G99" s="5" t="s">
        <v>346</v>
      </c>
      <c r="H99" s="5" t="s">
        <v>360</v>
      </c>
      <c r="I99" s="11">
        <v>1</v>
      </c>
      <c r="J99" s="5" t="s">
        <v>45</v>
      </c>
      <c r="K99" s="10" t="s">
        <v>46</v>
      </c>
      <c r="L99" s="5" t="s">
        <v>47</v>
      </c>
      <c r="M99" s="5" t="s">
        <v>48</v>
      </c>
      <c r="N99" s="5" t="s">
        <v>49</v>
      </c>
      <c r="O99" s="12"/>
      <c r="P99" s="13">
        <v>1613999</v>
      </c>
      <c r="S99" s="13">
        <v>1294878</v>
      </c>
      <c r="U99" s="13">
        <v>1294878</v>
      </c>
      <c r="AC99" s="10" t="s">
        <v>361</v>
      </c>
      <c r="AD99" s="5" t="s">
        <v>349</v>
      </c>
      <c r="AE99" s="5" t="s">
        <v>42</v>
      </c>
      <c r="AG99" s="5" t="s">
        <v>360</v>
      </c>
    </row>
    <row r="100" spans="1:33" ht="10" customHeight="1" x14ac:dyDescent="0.2">
      <c r="A100" s="5" t="s">
        <v>40</v>
      </c>
      <c r="B100" s="5" t="s">
        <v>41</v>
      </c>
      <c r="D100" s="5" t="s">
        <v>362</v>
      </c>
      <c r="E100" s="10" t="s">
        <v>345</v>
      </c>
      <c r="F100" s="5" t="s">
        <v>54</v>
      </c>
      <c r="G100" s="5" t="s">
        <v>346</v>
      </c>
      <c r="H100" s="5" t="s">
        <v>363</v>
      </c>
      <c r="I100" s="11">
        <v>1</v>
      </c>
      <c r="J100" s="5" t="s">
        <v>45</v>
      </c>
      <c r="K100" s="10" t="s">
        <v>46</v>
      </c>
      <c r="L100" s="5" t="s">
        <v>47</v>
      </c>
      <c r="M100" s="5" t="s">
        <v>48</v>
      </c>
      <c r="N100" s="5" t="s">
        <v>49</v>
      </c>
      <c r="O100" s="12"/>
      <c r="P100" s="13">
        <v>119108</v>
      </c>
      <c r="S100" s="13">
        <v>102496</v>
      </c>
      <c r="U100" s="13">
        <v>102496</v>
      </c>
      <c r="AC100" s="10" t="s">
        <v>364</v>
      </c>
      <c r="AD100" s="5" t="s">
        <v>349</v>
      </c>
      <c r="AE100" s="5" t="s">
        <v>42</v>
      </c>
    </row>
    <row r="101" spans="1:33" ht="10" customHeight="1" x14ac:dyDescent="0.2">
      <c r="A101" s="5" t="s">
        <v>40</v>
      </c>
      <c r="B101" s="5" t="s">
        <v>41</v>
      </c>
      <c r="D101" s="5" t="s">
        <v>365</v>
      </c>
      <c r="E101" s="10" t="s">
        <v>345</v>
      </c>
      <c r="F101" s="5" t="s">
        <v>54</v>
      </c>
      <c r="G101" s="5" t="s">
        <v>346</v>
      </c>
      <c r="H101" s="5" t="s">
        <v>366</v>
      </c>
      <c r="I101" s="11">
        <v>1</v>
      </c>
      <c r="J101" s="5" t="s">
        <v>45</v>
      </c>
      <c r="K101" s="10" t="s">
        <v>46</v>
      </c>
      <c r="L101" s="5" t="s">
        <v>47</v>
      </c>
      <c r="M101" s="5" t="s">
        <v>48</v>
      </c>
      <c r="N101" s="5" t="s">
        <v>49</v>
      </c>
      <c r="O101" s="12"/>
      <c r="P101" s="13">
        <v>596757</v>
      </c>
      <c r="S101" s="13">
        <v>465059</v>
      </c>
      <c r="U101" s="13">
        <v>465059</v>
      </c>
      <c r="AC101" s="10" t="s">
        <v>367</v>
      </c>
      <c r="AD101" s="5" t="s">
        <v>349</v>
      </c>
      <c r="AE101" s="5" t="s">
        <v>42</v>
      </c>
    </row>
    <row r="102" spans="1:33" ht="10" customHeight="1" x14ac:dyDescent="0.2">
      <c r="A102" s="5" t="s">
        <v>40</v>
      </c>
      <c r="B102" s="5" t="s">
        <v>41</v>
      </c>
      <c r="D102" s="5" t="s">
        <v>368</v>
      </c>
      <c r="E102" s="10" t="s">
        <v>345</v>
      </c>
      <c r="F102" s="5" t="s">
        <v>54</v>
      </c>
      <c r="G102" s="5" t="s">
        <v>346</v>
      </c>
      <c r="H102" s="5" t="s">
        <v>369</v>
      </c>
      <c r="I102" s="11">
        <v>1</v>
      </c>
      <c r="J102" s="5" t="s">
        <v>45</v>
      </c>
      <c r="K102" s="10" t="s">
        <v>46</v>
      </c>
      <c r="L102" s="5" t="s">
        <v>47</v>
      </c>
      <c r="M102" s="5" t="s">
        <v>48</v>
      </c>
      <c r="N102" s="5" t="s">
        <v>49</v>
      </c>
      <c r="O102" s="12"/>
      <c r="P102" s="13">
        <v>66618</v>
      </c>
      <c r="S102" s="13">
        <v>43887</v>
      </c>
      <c r="U102" s="13">
        <v>43887</v>
      </c>
      <c r="AC102" s="10" t="s">
        <v>370</v>
      </c>
      <c r="AD102" s="5" t="s">
        <v>349</v>
      </c>
      <c r="AE102" s="5" t="s">
        <v>42</v>
      </c>
      <c r="AG102" s="5" t="s">
        <v>371</v>
      </c>
    </row>
    <row r="103" spans="1:33" ht="10" customHeight="1" x14ac:dyDescent="0.2">
      <c r="A103" s="5" t="s">
        <v>40</v>
      </c>
      <c r="B103" s="5" t="s">
        <v>41</v>
      </c>
      <c r="D103" s="5" t="s">
        <v>372</v>
      </c>
      <c r="E103" s="10" t="s">
        <v>345</v>
      </c>
      <c r="F103" s="5" t="s">
        <v>54</v>
      </c>
      <c r="G103" s="5" t="s">
        <v>373</v>
      </c>
      <c r="H103" s="5" t="s">
        <v>357</v>
      </c>
      <c r="I103" s="11">
        <v>1</v>
      </c>
      <c r="J103" s="5" t="s">
        <v>45</v>
      </c>
      <c r="K103" s="10" t="s">
        <v>46</v>
      </c>
      <c r="L103" s="5" t="s">
        <v>47</v>
      </c>
      <c r="M103" s="5" t="s">
        <v>48</v>
      </c>
      <c r="N103" s="5" t="s">
        <v>49</v>
      </c>
      <c r="O103" s="12"/>
      <c r="P103" s="13">
        <v>96649</v>
      </c>
      <c r="S103" s="13">
        <v>103540</v>
      </c>
      <c r="U103" s="13">
        <v>103540</v>
      </c>
      <c r="AC103" s="10" t="s">
        <v>374</v>
      </c>
      <c r="AD103" s="5" t="s">
        <v>375</v>
      </c>
      <c r="AE103" s="5" t="s">
        <v>42</v>
      </c>
      <c r="AG103" s="5" t="s">
        <v>376</v>
      </c>
    </row>
    <row r="104" spans="1:33" ht="10" customHeight="1" x14ac:dyDescent="0.2">
      <c r="A104" s="5" t="s">
        <v>40</v>
      </c>
      <c r="B104" s="5" t="s">
        <v>41</v>
      </c>
      <c r="D104" s="5" t="s">
        <v>377</v>
      </c>
      <c r="E104" s="10" t="s">
        <v>345</v>
      </c>
      <c r="F104" s="5" t="s">
        <v>54</v>
      </c>
      <c r="G104" s="5" t="s">
        <v>373</v>
      </c>
      <c r="H104" s="5" t="s">
        <v>357</v>
      </c>
      <c r="I104" s="11">
        <v>1</v>
      </c>
      <c r="J104" s="5" t="s">
        <v>45</v>
      </c>
      <c r="K104" s="10" t="s">
        <v>46</v>
      </c>
      <c r="L104" s="5" t="s">
        <v>47</v>
      </c>
      <c r="M104" s="5" t="s">
        <v>48</v>
      </c>
      <c r="N104" s="5" t="s">
        <v>49</v>
      </c>
      <c r="O104" s="12"/>
      <c r="P104" s="13">
        <v>16346</v>
      </c>
      <c r="S104" s="13">
        <v>19305</v>
      </c>
      <c r="U104" s="13">
        <v>19305</v>
      </c>
      <c r="AC104" s="10" t="s">
        <v>378</v>
      </c>
      <c r="AD104" s="5" t="s">
        <v>375</v>
      </c>
      <c r="AE104" s="5" t="s">
        <v>42</v>
      </c>
      <c r="AG104" s="5" t="s">
        <v>379</v>
      </c>
    </row>
    <row r="105" spans="1:33" ht="10" customHeight="1" x14ac:dyDescent="0.2">
      <c r="A105" s="5" t="s">
        <v>40</v>
      </c>
      <c r="B105" s="5" t="s">
        <v>41</v>
      </c>
      <c r="D105" s="5" t="s">
        <v>380</v>
      </c>
      <c r="E105" s="10" t="s">
        <v>345</v>
      </c>
      <c r="F105" s="5" t="s">
        <v>54</v>
      </c>
      <c r="G105" s="5" t="s">
        <v>373</v>
      </c>
      <c r="H105" s="5" t="s">
        <v>357</v>
      </c>
      <c r="I105" s="11">
        <v>1</v>
      </c>
      <c r="J105" s="5" t="s">
        <v>45</v>
      </c>
      <c r="K105" s="10" t="s">
        <v>46</v>
      </c>
      <c r="L105" s="5" t="s">
        <v>47</v>
      </c>
      <c r="M105" s="5" t="s">
        <v>48</v>
      </c>
      <c r="N105" s="5" t="s">
        <v>49</v>
      </c>
      <c r="O105" s="12"/>
      <c r="P105" s="13">
        <v>15642</v>
      </c>
      <c r="S105" s="13">
        <v>16270</v>
      </c>
      <c r="U105" s="13">
        <v>16270</v>
      </c>
      <c r="AC105" s="10" t="s">
        <v>381</v>
      </c>
      <c r="AD105" s="5" t="s">
        <v>375</v>
      </c>
      <c r="AE105" s="5" t="s">
        <v>42</v>
      </c>
      <c r="AG105" s="5" t="s">
        <v>382</v>
      </c>
    </row>
    <row r="106" spans="1:33" ht="10" customHeight="1" x14ac:dyDescent="0.2">
      <c r="A106" s="5" t="s">
        <v>40</v>
      </c>
      <c r="B106" s="5" t="s">
        <v>41</v>
      </c>
      <c r="D106" s="5" t="s">
        <v>383</v>
      </c>
      <c r="E106" s="10" t="s">
        <v>345</v>
      </c>
      <c r="F106" s="5" t="s">
        <v>54</v>
      </c>
      <c r="G106" s="5" t="s">
        <v>373</v>
      </c>
      <c r="H106" s="5" t="s">
        <v>357</v>
      </c>
      <c r="I106" s="11">
        <v>1</v>
      </c>
      <c r="J106" s="5" t="s">
        <v>45</v>
      </c>
      <c r="K106" s="10" t="s">
        <v>46</v>
      </c>
      <c r="L106" s="5" t="s">
        <v>47</v>
      </c>
      <c r="M106" s="5" t="s">
        <v>48</v>
      </c>
      <c r="N106" s="5" t="s">
        <v>49</v>
      </c>
      <c r="O106" s="12"/>
      <c r="P106" s="13">
        <v>21677</v>
      </c>
      <c r="S106" s="13">
        <v>22550</v>
      </c>
      <c r="U106" s="13">
        <v>22550</v>
      </c>
      <c r="AC106" s="10" t="s">
        <v>384</v>
      </c>
      <c r="AD106" s="5" t="s">
        <v>375</v>
      </c>
      <c r="AE106" s="5" t="s">
        <v>42</v>
      </c>
      <c r="AG106" s="5" t="s">
        <v>385</v>
      </c>
    </row>
    <row r="107" spans="1:33" ht="10" customHeight="1" x14ac:dyDescent="0.2">
      <c r="A107" s="5" t="s">
        <v>40</v>
      </c>
      <c r="B107" s="5" t="s">
        <v>41</v>
      </c>
      <c r="D107" s="5" t="s">
        <v>386</v>
      </c>
      <c r="E107" s="10" t="s">
        <v>345</v>
      </c>
      <c r="F107" s="5" t="s">
        <v>54</v>
      </c>
      <c r="G107" s="5" t="s">
        <v>373</v>
      </c>
      <c r="H107" s="5" t="s">
        <v>357</v>
      </c>
      <c r="I107" s="11">
        <v>1</v>
      </c>
      <c r="J107" s="5" t="s">
        <v>45</v>
      </c>
      <c r="K107" s="10" t="s">
        <v>46</v>
      </c>
      <c r="L107" s="5" t="s">
        <v>47</v>
      </c>
      <c r="M107" s="5" t="s">
        <v>48</v>
      </c>
      <c r="N107" s="5" t="s">
        <v>49</v>
      </c>
      <c r="O107" s="12"/>
      <c r="P107" s="13">
        <v>24149</v>
      </c>
      <c r="S107" s="13">
        <v>25125</v>
      </c>
      <c r="U107" s="13">
        <v>25125</v>
      </c>
      <c r="AC107" s="10" t="s">
        <v>387</v>
      </c>
      <c r="AD107" s="5" t="s">
        <v>375</v>
      </c>
      <c r="AE107" s="5" t="s">
        <v>42</v>
      </c>
      <c r="AG107" s="5" t="s">
        <v>388</v>
      </c>
    </row>
    <row r="108" spans="1:33" ht="10" customHeight="1" x14ac:dyDescent="0.2">
      <c r="A108" s="5" t="s">
        <v>40</v>
      </c>
      <c r="B108" s="5" t="s">
        <v>41</v>
      </c>
      <c r="D108" s="5" t="s">
        <v>389</v>
      </c>
      <c r="E108" s="10" t="s">
        <v>345</v>
      </c>
      <c r="F108" s="5" t="s">
        <v>54</v>
      </c>
      <c r="G108" s="5" t="s">
        <v>373</v>
      </c>
      <c r="H108" s="5" t="s">
        <v>357</v>
      </c>
      <c r="I108" s="11">
        <v>1</v>
      </c>
      <c r="J108" s="5" t="s">
        <v>45</v>
      </c>
      <c r="K108" s="10" t="s">
        <v>46</v>
      </c>
      <c r="L108" s="5" t="s">
        <v>47</v>
      </c>
      <c r="M108" s="5" t="s">
        <v>48</v>
      </c>
      <c r="N108" s="5" t="s">
        <v>49</v>
      </c>
      <c r="O108" s="12"/>
      <c r="P108" s="13">
        <v>7814</v>
      </c>
      <c r="S108" s="13">
        <v>8130</v>
      </c>
      <c r="U108" s="13">
        <v>8130</v>
      </c>
      <c r="AC108" s="10" t="s">
        <v>390</v>
      </c>
      <c r="AD108" s="5" t="s">
        <v>375</v>
      </c>
      <c r="AE108" s="5" t="s">
        <v>42</v>
      </c>
      <c r="AG108" s="5" t="s">
        <v>391</v>
      </c>
    </row>
    <row r="109" spans="1:33" ht="10" customHeight="1" x14ac:dyDescent="0.2">
      <c r="A109" s="5" t="s">
        <v>40</v>
      </c>
      <c r="B109" s="5" t="s">
        <v>41</v>
      </c>
      <c r="D109" s="5" t="s">
        <v>392</v>
      </c>
      <c r="E109" s="10" t="s">
        <v>345</v>
      </c>
      <c r="F109" s="5" t="s">
        <v>54</v>
      </c>
      <c r="G109" s="5" t="s">
        <v>373</v>
      </c>
      <c r="H109" s="5" t="s">
        <v>357</v>
      </c>
      <c r="I109" s="11">
        <v>1</v>
      </c>
      <c r="J109" s="5" t="s">
        <v>45</v>
      </c>
      <c r="K109" s="10" t="s">
        <v>46</v>
      </c>
      <c r="L109" s="5" t="s">
        <v>47</v>
      </c>
      <c r="M109" s="5" t="s">
        <v>48</v>
      </c>
      <c r="N109" s="5" t="s">
        <v>49</v>
      </c>
      <c r="O109" s="12"/>
      <c r="P109" s="13">
        <v>41702</v>
      </c>
      <c r="S109" s="13">
        <v>43390</v>
      </c>
      <c r="U109" s="13">
        <v>43390</v>
      </c>
      <c r="AC109" s="10" t="s">
        <v>393</v>
      </c>
      <c r="AD109" s="5" t="s">
        <v>375</v>
      </c>
      <c r="AE109" s="5" t="s">
        <v>42</v>
      </c>
      <c r="AG109" s="5" t="s">
        <v>394</v>
      </c>
    </row>
    <row r="110" spans="1:33" ht="10" customHeight="1" x14ac:dyDescent="0.2">
      <c r="A110" s="5" t="s">
        <v>40</v>
      </c>
      <c r="B110" s="5" t="s">
        <v>41</v>
      </c>
      <c r="D110" s="5" t="s">
        <v>395</v>
      </c>
      <c r="E110" s="10" t="s">
        <v>345</v>
      </c>
      <c r="F110" s="5" t="s">
        <v>54</v>
      </c>
      <c r="G110" s="5" t="s">
        <v>373</v>
      </c>
      <c r="H110" s="5" t="s">
        <v>357</v>
      </c>
      <c r="I110" s="11">
        <v>1</v>
      </c>
      <c r="J110" s="5" t="s">
        <v>45</v>
      </c>
      <c r="K110" s="10" t="s">
        <v>46</v>
      </c>
      <c r="L110" s="5" t="s">
        <v>47</v>
      </c>
      <c r="M110" s="5" t="s">
        <v>48</v>
      </c>
      <c r="N110" s="5" t="s">
        <v>49</v>
      </c>
      <c r="O110" s="12"/>
      <c r="P110" s="13">
        <v>43803</v>
      </c>
      <c r="S110" s="13">
        <v>37493</v>
      </c>
      <c r="U110" s="13">
        <v>37493</v>
      </c>
      <c r="AC110" s="10" t="s">
        <v>396</v>
      </c>
      <c r="AD110" s="5" t="s">
        <v>375</v>
      </c>
      <c r="AE110" s="5" t="s">
        <v>42</v>
      </c>
      <c r="AG110" s="5" t="s">
        <v>397</v>
      </c>
    </row>
    <row r="111" spans="1:33" ht="10" customHeight="1" x14ac:dyDescent="0.2">
      <c r="A111" s="5" t="s">
        <v>40</v>
      </c>
      <c r="B111" s="5" t="s">
        <v>41</v>
      </c>
      <c r="D111" s="5" t="s">
        <v>398</v>
      </c>
      <c r="E111" s="10" t="s">
        <v>345</v>
      </c>
      <c r="F111" s="5" t="s">
        <v>54</v>
      </c>
      <c r="G111" s="5" t="s">
        <v>373</v>
      </c>
      <c r="H111" s="5" t="s">
        <v>357</v>
      </c>
      <c r="I111" s="11">
        <v>1</v>
      </c>
      <c r="J111" s="5" t="s">
        <v>45</v>
      </c>
      <c r="K111" s="10" t="s">
        <v>46</v>
      </c>
      <c r="L111" s="5" t="s">
        <v>47</v>
      </c>
      <c r="M111" s="5" t="s">
        <v>48</v>
      </c>
      <c r="N111" s="5" t="s">
        <v>49</v>
      </c>
      <c r="O111" s="12"/>
      <c r="P111" s="13">
        <v>1858</v>
      </c>
      <c r="S111" s="13">
        <v>1930</v>
      </c>
      <c r="U111" s="13">
        <v>1930</v>
      </c>
      <c r="AC111" s="10" t="s">
        <v>399</v>
      </c>
      <c r="AD111" s="5" t="s">
        <v>375</v>
      </c>
      <c r="AE111" s="5" t="s">
        <v>42</v>
      </c>
      <c r="AG111" s="5" t="s">
        <v>400</v>
      </c>
    </row>
    <row r="112" spans="1:33" ht="10" customHeight="1" x14ac:dyDescent="0.2">
      <c r="A112" s="5" t="s">
        <v>40</v>
      </c>
      <c r="B112" s="5" t="s">
        <v>41</v>
      </c>
      <c r="D112" s="5" t="s">
        <v>401</v>
      </c>
      <c r="E112" s="10" t="s">
        <v>345</v>
      </c>
      <c r="F112" s="5" t="s">
        <v>54</v>
      </c>
      <c r="G112" s="5" t="s">
        <v>373</v>
      </c>
      <c r="H112" s="5" t="s">
        <v>357</v>
      </c>
      <c r="I112" s="11">
        <v>1</v>
      </c>
      <c r="J112" s="5" t="s">
        <v>45</v>
      </c>
      <c r="K112" s="10" t="s">
        <v>46</v>
      </c>
      <c r="L112" s="5" t="s">
        <v>47</v>
      </c>
      <c r="M112" s="5" t="s">
        <v>48</v>
      </c>
      <c r="N112" s="5" t="s">
        <v>49</v>
      </c>
      <c r="O112" s="12"/>
      <c r="P112" s="13">
        <v>2081</v>
      </c>
      <c r="S112" s="13">
        <v>2600</v>
      </c>
      <c r="U112" s="13">
        <v>2600</v>
      </c>
      <c r="AC112" s="10" t="s">
        <v>402</v>
      </c>
      <c r="AD112" s="5" t="s">
        <v>375</v>
      </c>
      <c r="AE112" s="5" t="s">
        <v>42</v>
      </c>
      <c r="AG112" s="5" t="s">
        <v>403</v>
      </c>
    </row>
    <row r="113" spans="1:33" ht="10" customHeight="1" x14ac:dyDescent="0.2">
      <c r="A113" s="5" t="s">
        <v>40</v>
      </c>
      <c r="B113" s="5" t="s">
        <v>41</v>
      </c>
      <c r="D113" s="5" t="s">
        <v>404</v>
      </c>
      <c r="E113" s="10" t="s">
        <v>345</v>
      </c>
      <c r="F113" s="5" t="s">
        <v>54</v>
      </c>
      <c r="G113" s="5" t="s">
        <v>373</v>
      </c>
      <c r="H113" s="5" t="s">
        <v>357</v>
      </c>
      <c r="I113" s="11">
        <v>1</v>
      </c>
      <c r="J113" s="5" t="s">
        <v>45</v>
      </c>
      <c r="K113" s="10" t="s">
        <v>46</v>
      </c>
      <c r="L113" s="5" t="s">
        <v>47</v>
      </c>
      <c r="M113" s="5" t="s">
        <v>48</v>
      </c>
      <c r="N113" s="5" t="s">
        <v>49</v>
      </c>
      <c r="O113" s="12"/>
      <c r="P113" s="13">
        <v>23851</v>
      </c>
      <c r="S113" s="13">
        <v>27810</v>
      </c>
      <c r="U113" s="13">
        <v>27810</v>
      </c>
      <c r="AC113" s="10" t="s">
        <v>405</v>
      </c>
      <c r="AD113" s="5" t="s">
        <v>375</v>
      </c>
      <c r="AE113" s="5" t="s">
        <v>42</v>
      </c>
      <c r="AG113" s="5" t="s">
        <v>406</v>
      </c>
    </row>
    <row r="114" spans="1:33" ht="10" customHeight="1" x14ac:dyDescent="0.2">
      <c r="A114" s="5" t="s">
        <v>40</v>
      </c>
      <c r="B114" s="5" t="s">
        <v>41</v>
      </c>
      <c r="D114" s="5" t="s">
        <v>407</v>
      </c>
      <c r="E114" s="10" t="s">
        <v>345</v>
      </c>
      <c r="F114" s="5" t="s">
        <v>54</v>
      </c>
      <c r="G114" s="5" t="s">
        <v>373</v>
      </c>
      <c r="H114" s="5" t="s">
        <v>357</v>
      </c>
      <c r="I114" s="11">
        <v>1</v>
      </c>
      <c r="J114" s="5" t="s">
        <v>45</v>
      </c>
      <c r="K114" s="10" t="s">
        <v>46</v>
      </c>
      <c r="L114" s="5" t="s">
        <v>47</v>
      </c>
      <c r="M114" s="5" t="s">
        <v>48</v>
      </c>
      <c r="N114" s="5" t="s">
        <v>49</v>
      </c>
      <c r="O114" s="12"/>
      <c r="P114" s="13">
        <v>31400</v>
      </c>
      <c r="S114" s="13">
        <v>28900</v>
      </c>
      <c r="U114" s="13">
        <v>28900</v>
      </c>
      <c r="AC114" s="10" t="s">
        <v>408</v>
      </c>
      <c r="AD114" s="5" t="s">
        <v>375</v>
      </c>
      <c r="AE114" s="5" t="s">
        <v>42</v>
      </c>
      <c r="AG114" s="5" t="s">
        <v>409</v>
      </c>
    </row>
    <row r="115" spans="1:33" ht="10" customHeight="1" x14ac:dyDescent="0.2">
      <c r="A115" s="5" t="s">
        <v>40</v>
      </c>
      <c r="B115" s="5" t="s">
        <v>41</v>
      </c>
      <c r="D115" s="5" t="s">
        <v>410</v>
      </c>
      <c r="E115" s="10" t="s">
        <v>345</v>
      </c>
      <c r="F115" s="5" t="s">
        <v>54</v>
      </c>
      <c r="G115" s="5" t="s">
        <v>373</v>
      </c>
      <c r="H115" s="5" t="s">
        <v>357</v>
      </c>
      <c r="I115" s="11">
        <v>1</v>
      </c>
      <c r="J115" s="5" t="s">
        <v>45</v>
      </c>
      <c r="K115" s="10" t="s">
        <v>46</v>
      </c>
      <c r="L115" s="5" t="s">
        <v>47</v>
      </c>
      <c r="M115" s="5" t="s">
        <v>48</v>
      </c>
      <c r="N115" s="5" t="s">
        <v>49</v>
      </c>
      <c r="O115" s="12"/>
      <c r="P115" s="13">
        <v>14922</v>
      </c>
      <c r="S115" s="13">
        <v>18500</v>
      </c>
      <c r="U115" s="13">
        <v>18500</v>
      </c>
      <c r="AC115" s="10" t="s">
        <v>411</v>
      </c>
      <c r="AD115" s="5" t="s">
        <v>375</v>
      </c>
      <c r="AE115" s="5" t="s">
        <v>42</v>
      </c>
      <c r="AG115" s="5" t="s">
        <v>412</v>
      </c>
    </row>
    <row r="116" spans="1:33" ht="10" customHeight="1" x14ac:dyDescent="0.2">
      <c r="A116" s="5" t="s">
        <v>40</v>
      </c>
      <c r="B116" s="5" t="s">
        <v>41</v>
      </c>
      <c r="D116" s="5" t="s">
        <v>413</v>
      </c>
      <c r="E116" s="10" t="s">
        <v>345</v>
      </c>
      <c r="F116" s="5" t="s">
        <v>54</v>
      </c>
      <c r="G116" s="5" t="s">
        <v>373</v>
      </c>
      <c r="H116" s="5" t="s">
        <v>357</v>
      </c>
      <c r="I116" s="11">
        <v>1</v>
      </c>
      <c r="J116" s="5" t="s">
        <v>45</v>
      </c>
      <c r="K116" s="10" t="s">
        <v>46</v>
      </c>
      <c r="L116" s="5" t="s">
        <v>47</v>
      </c>
      <c r="M116" s="5" t="s">
        <v>48</v>
      </c>
      <c r="N116" s="5" t="s">
        <v>49</v>
      </c>
      <c r="O116" s="12"/>
      <c r="P116" s="13">
        <v>4123</v>
      </c>
      <c r="S116" s="13">
        <v>5290</v>
      </c>
      <c r="U116" s="13">
        <v>5290</v>
      </c>
      <c r="AC116" s="10" t="s">
        <v>414</v>
      </c>
      <c r="AD116" s="5" t="s">
        <v>375</v>
      </c>
      <c r="AE116" s="5" t="s">
        <v>42</v>
      </c>
      <c r="AG116" s="5" t="s">
        <v>415</v>
      </c>
    </row>
    <row r="117" spans="1:33" ht="10" customHeight="1" x14ac:dyDescent="0.2">
      <c r="A117" s="5" t="s">
        <v>40</v>
      </c>
      <c r="B117" s="5" t="s">
        <v>41</v>
      </c>
      <c r="D117" s="5" t="s">
        <v>416</v>
      </c>
      <c r="E117" s="10" t="s">
        <v>345</v>
      </c>
      <c r="F117" s="5" t="s">
        <v>54</v>
      </c>
      <c r="G117" s="5" t="s">
        <v>373</v>
      </c>
      <c r="H117" s="5" t="s">
        <v>357</v>
      </c>
      <c r="I117" s="11">
        <v>1</v>
      </c>
      <c r="J117" s="5" t="s">
        <v>45</v>
      </c>
      <c r="K117" s="10" t="s">
        <v>46</v>
      </c>
      <c r="L117" s="5" t="s">
        <v>47</v>
      </c>
      <c r="M117" s="5" t="s">
        <v>48</v>
      </c>
      <c r="N117" s="5" t="s">
        <v>49</v>
      </c>
      <c r="O117" s="12"/>
      <c r="P117" s="13">
        <v>3684</v>
      </c>
      <c r="S117" s="13">
        <v>450</v>
      </c>
      <c r="U117" s="13">
        <v>450</v>
      </c>
      <c r="AC117" s="10" t="s">
        <v>417</v>
      </c>
      <c r="AD117" s="5" t="s">
        <v>375</v>
      </c>
      <c r="AE117" s="5" t="s">
        <v>42</v>
      </c>
      <c r="AG117" s="5" t="s">
        <v>418</v>
      </c>
    </row>
    <row r="118" spans="1:33" ht="10" customHeight="1" x14ac:dyDescent="0.2">
      <c r="A118" s="5" t="s">
        <v>40</v>
      </c>
      <c r="B118" s="5" t="s">
        <v>41</v>
      </c>
      <c r="D118" s="5" t="s">
        <v>419</v>
      </c>
      <c r="E118" s="10" t="s">
        <v>345</v>
      </c>
      <c r="F118" s="5" t="s">
        <v>54</v>
      </c>
      <c r="G118" s="5" t="s">
        <v>373</v>
      </c>
      <c r="H118" s="5" t="s">
        <v>363</v>
      </c>
      <c r="I118" s="11">
        <v>1</v>
      </c>
      <c r="J118" s="5" t="s">
        <v>45</v>
      </c>
      <c r="K118" s="10" t="s">
        <v>46</v>
      </c>
      <c r="L118" s="5" t="s">
        <v>47</v>
      </c>
      <c r="M118" s="5" t="s">
        <v>48</v>
      </c>
      <c r="N118" s="5" t="s">
        <v>49</v>
      </c>
      <c r="O118" s="12"/>
      <c r="P118" s="13">
        <v>88243</v>
      </c>
      <c r="S118" s="13">
        <v>79416</v>
      </c>
      <c r="U118" s="13">
        <v>79416</v>
      </c>
      <c r="AC118" s="10" t="s">
        <v>420</v>
      </c>
      <c r="AD118" s="5" t="s">
        <v>421</v>
      </c>
      <c r="AE118" s="5" t="s">
        <v>42</v>
      </c>
      <c r="AG118" s="5" t="s">
        <v>422</v>
      </c>
    </row>
    <row r="119" spans="1:33" ht="10" customHeight="1" x14ac:dyDescent="0.2">
      <c r="A119" s="5" t="s">
        <v>40</v>
      </c>
      <c r="B119" s="5" t="s">
        <v>41</v>
      </c>
      <c r="D119" s="5" t="s">
        <v>423</v>
      </c>
      <c r="E119" s="10" t="s">
        <v>345</v>
      </c>
      <c r="F119" s="5" t="s">
        <v>54</v>
      </c>
      <c r="G119" s="5" t="s">
        <v>373</v>
      </c>
      <c r="H119" s="5" t="s">
        <v>363</v>
      </c>
      <c r="I119" s="11">
        <v>1</v>
      </c>
      <c r="J119" s="5" t="s">
        <v>45</v>
      </c>
      <c r="K119" s="10" t="s">
        <v>46</v>
      </c>
      <c r="L119" s="5" t="s">
        <v>47</v>
      </c>
      <c r="M119" s="5" t="s">
        <v>48</v>
      </c>
      <c r="N119" s="5" t="s">
        <v>49</v>
      </c>
      <c r="O119" s="12"/>
      <c r="P119" s="13">
        <v>9877</v>
      </c>
      <c r="S119" s="13">
        <v>8748</v>
      </c>
      <c r="U119" s="13">
        <v>8748</v>
      </c>
      <c r="AC119" s="10" t="s">
        <v>424</v>
      </c>
      <c r="AD119" s="5" t="s">
        <v>421</v>
      </c>
      <c r="AE119" s="5" t="s">
        <v>42</v>
      </c>
      <c r="AG119" s="5" t="s">
        <v>425</v>
      </c>
    </row>
    <row r="120" spans="1:33" ht="10" customHeight="1" x14ac:dyDescent="0.2">
      <c r="A120" s="5" t="s">
        <v>40</v>
      </c>
      <c r="B120" s="5" t="s">
        <v>41</v>
      </c>
      <c r="D120" s="5" t="s">
        <v>426</v>
      </c>
      <c r="E120" s="10" t="s">
        <v>345</v>
      </c>
      <c r="F120" s="5" t="s">
        <v>54</v>
      </c>
      <c r="G120" s="5" t="s">
        <v>373</v>
      </c>
      <c r="H120" s="5" t="s">
        <v>363</v>
      </c>
      <c r="I120" s="11">
        <v>1</v>
      </c>
      <c r="J120" s="5" t="s">
        <v>45</v>
      </c>
      <c r="K120" s="10" t="s">
        <v>46</v>
      </c>
      <c r="L120" s="5" t="s">
        <v>47</v>
      </c>
      <c r="M120" s="5" t="s">
        <v>48</v>
      </c>
      <c r="N120" s="5" t="s">
        <v>49</v>
      </c>
      <c r="O120" s="12"/>
      <c r="P120" s="13">
        <v>12682</v>
      </c>
      <c r="S120" s="13">
        <v>13235</v>
      </c>
      <c r="U120" s="13">
        <v>13235</v>
      </c>
      <c r="AC120" s="10" t="s">
        <v>427</v>
      </c>
      <c r="AD120" s="5" t="s">
        <v>421</v>
      </c>
      <c r="AE120" s="5" t="s">
        <v>42</v>
      </c>
      <c r="AG120" s="5" t="s">
        <v>428</v>
      </c>
    </row>
    <row r="121" spans="1:33" ht="10" customHeight="1" x14ac:dyDescent="0.2">
      <c r="A121" s="5" t="s">
        <v>40</v>
      </c>
      <c r="B121" s="5" t="s">
        <v>41</v>
      </c>
      <c r="D121" s="5" t="s">
        <v>429</v>
      </c>
      <c r="E121" s="10" t="s">
        <v>345</v>
      </c>
      <c r="F121" s="5" t="s">
        <v>54</v>
      </c>
      <c r="G121" s="5" t="s">
        <v>373</v>
      </c>
      <c r="H121" s="5" t="s">
        <v>363</v>
      </c>
      <c r="I121" s="11">
        <v>1</v>
      </c>
      <c r="J121" s="5" t="s">
        <v>45</v>
      </c>
      <c r="K121" s="10" t="s">
        <v>46</v>
      </c>
      <c r="L121" s="5" t="s">
        <v>47</v>
      </c>
      <c r="M121" s="5" t="s">
        <v>48</v>
      </c>
      <c r="N121" s="5" t="s">
        <v>49</v>
      </c>
      <c r="O121" s="12"/>
      <c r="P121" s="13">
        <v>8033</v>
      </c>
      <c r="S121" s="13">
        <v>8374</v>
      </c>
      <c r="U121" s="13">
        <v>8374</v>
      </c>
      <c r="AC121" s="10" t="s">
        <v>430</v>
      </c>
      <c r="AD121" s="5" t="s">
        <v>421</v>
      </c>
      <c r="AE121" s="5" t="s">
        <v>42</v>
      </c>
      <c r="AG121" s="5" t="s">
        <v>431</v>
      </c>
    </row>
    <row r="122" spans="1:33" ht="10" customHeight="1" x14ac:dyDescent="0.2">
      <c r="A122" s="5" t="s">
        <v>40</v>
      </c>
      <c r="B122" s="5" t="s">
        <v>41</v>
      </c>
      <c r="D122" s="5" t="s">
        <v>432</v>
      </c>
      <c r="E122" s="10" t="s">
        <v>345</v>
      </c>
      <c r="F122" s="5" t="s">
        <v>54</v>
      </c>
      <c r="G122" s="5" t="s">
        <v>373</v>
      </c>
      <c r="H122" s="5" t="s">
        <v>363</v>
      </c>
      <c r="I122" s="11">
        <v>1</v>
      </c>
      <c r="J122" s="5" t="s">
        <v>45</v>
      </c>
      <c r="K122" s="10" t="s">
        <v>46</v>
      </c>
      <c r="L122" s="5" t="s">
        <v>47</v>
      </c>
      <c r="M122" s="5" t="s">
        <v>48</v>
      </c>
      <c r="N122" s="5" t="s">
        <v>49</v>
      </c>
      <c r="O122" s="12"/>
      <c r="P122" s="13">
        <v>1402</v>
      </c>
      <c r="S122" s="13">
        <v>1471</v>
      </c>
      <c r="U122" s="13">
        <v>1471</v>
      </c>
      <c r="AC122" s="10" t="s">
        <v>433</v>
      </c>
      <c r="AD122" s="5" t="s">
        <v>421</v>
      </c>
      <c r="AE122" s="5" t="s">
        <v>42</v>
      </c>
      <c r="AG122" s="5" t="s">
        <v>434</v>
      </c>
    </row>
    <row r="123" spans="1:33" ht="10" customHeight="1" x14ac:dyDescent="0.2">
      <c r="A123" s="5" t="s">
        <v>40</v>
      </c>
      <c r="B123" s="5" t="s">
        <v>41</v>
      </c>
      <c r="D123" s="5" t="s">
        <v>435</v>
      </c>
      <c r="E123" s="10" t="s">
        <v>345</v>
      </c>
      <c r="F123" s="5" t="s">
        <v>54</v>
      </c>
      <c r="G123" s="5" t="s">
        <v>373</v>
      </c>
      <c r="H123" s="5" t="s">
        <v>363</v>
      </c>
      <c r="I123" s="11">
        <v>1</v>
      </c>
      <c r="J123" s="5" t="s">
        <v>45</v>
      </c>
      <c r="K123" s="10" t="s">
        <v>46</v>
      </c>
      <c r="L123" s="5" t="s">
        <v>47</v>
      </c>
      <c r="M123" s="5" t="s">
        <v>48</v>
      </c>
      <c r="N123" s="5" t="s">
        <v>49</v>
      </c>
      <c r="O123" s="12"/>
      <c r="S123" s="13">
        <v>29749</v>
      </c>
      <c r="U123" s="13">
        <v>29749</v>
      </c>
      <c r="AC123" s="10" t="s">
        <v>436</v>
      </c>
      <c r="AD123" s="5" t="s">
        <v>421</v>
      </c>
      <c r="AE123" s="5" t="s">
        <v>42</v>
      </c>
      <c r="AG123" s="5" t="s">
        <v>437</v>
      </c>
    </row>
    <row r="124" spans="1:33" ht="10" customHeight="1" x14ac:dyDescent="0.2">
      <c r="A124" s="5" t="s">
        <v>40</v>
      </c>
      <c r="B124" s="5" t="s">
        <v>41</v>
      </c>
      <c r="D124" s="5" t="s">
        <v>438</v>
      </c>
      <c r="E124" s="10" t="s">
        <v>345</v>
      </c>
      <c r="F124" s="5" t="s">
        <v>54</v>
      </c>
      <c r="G124" s="5" t="s">
        <v>373</v>
      </c>
      <c r="H124" s="5" t="s">
        <v>366</v>
      </c>
      <c r="I124" s="11">
        <v>1</v>
      </c>
      <c r="J124" s="5" t="s">
        <v>45</v>
      </c>
      <c r="K124" s="10" t="s">
        <v>46</v>
      </c>
      <c r="L124" s="5" t="s">
        <v>47</v>
      </c>
      <c r="M124" s="5" t="s">
        <v>48</v>
      </c>
      <c r="N124" s="5" t="s">
        <v>49</v>
      </c>
      <c r="O124" s="12"/>
      <c r="P124" s="13">
        <v>289404</v>
      </c>
      <c r="S124" s="13">
        <v>222711</v>
      </c>
      <c r="U124" s="13">
        <v>222711</v>
      </c>
      <c r="AC124" s="10" t="s">
        <v>439</v>
      </c>
      <c r="AD124" s="5" t="s">
        <v>440</v>
      </c>
      <c r="AE124" s="5" t="s">
        <v>42</v>
      </c>
      <c r="AG124" s="5" t="s">
        <v>441</v>
      </c>
    </row>
    <row r="125" spans="1:33" ht="10" customHeight="1" x14ac:dyDescent="0.2">
      <c r="A125" s="5" t="s">
        <v>40</v>
      </c>
      <c r="B125" s="5" t="s">
        <v>41</v>
      </c>
      <c r="D125" s="5" t="s">
        <v>442</v>
      </c>
      <c r="E125" s="10" t="s">
        <v>345</v>
      </c>
      <c r="F125" s="5" t="s">
        <v>54</v>
      </c>
      <c r="G125" s="5" t="s">
        <v>373</v>
      </c>
      <c r="H125" s="5" t="s">
        <v>366</v>
      </c>
      <c r="I125" s="11">
        <v>1</v>
      </c>
      <c r="J125" s="5" t="s">
        <v>45</v>
      </c>
      <c r="K125" s="10" t="s">
        <v>46</v>
      </c>
      <c r="L125" s="5" t="s">
        <v>47</v>
      </c>
      <c r="M125" s="5" t="s">
        <v>48</v>
      </c>
      <c r="N125" s="5" t="s">
        <v>49</v>
      </c>
      <c r="O125" s="12"/>
      <c r="P125" s="13">
        <v>129156</v>
      </c>
      <c r="S125" s="13">
        <v>105112</v>
      </c>
      <c r="U125" s="13">
        <v>105112</v>
      </c>
      <c r="AC125" s="10" t="s">
        <v>443</v>
      </c>
      <c r="AD125" s="5" t="s">
        <v>440</v>
      </c>
      <c r="AE125" s="5" t="s">
        <v>42</v>
      </c>
      <c r="AG125" s="5" t="s">
        <v>444</v>
      </c>
    </row>
    <row r="126" spans="1:33" ht="10" customHeight="1" x14ac:dyDescent="0.2">
      <c r="A126" s="5" t="s">
        <v>40</v>
      </c>
      <c r="B126" s="5" t="s">
        <v>41</v>
      </c>
      <c r="D126" s="5" t="s">
        <v>445</v>
      </c>
      <c r="E126" s="10" t="s">
        <v>345</v>
      </c>
      <c r="F126" s="5" t="s">
        <v>54</v>
      </c>
      <c r="G126" s="5" t="s">
        <v>373</v>
      </c>
      <c r="H126" s="5" t="s">
        <v>366</v>
      </c>
      <c r="I126" s="11">
        <v>1</v>
      </c>
      <c r="J126" s="5" t="s">
        <v>45</v>
      </c>
      <c r="K126" s="10" t="s">
        <v>46</v>
      </c>
      <c r="L126" s="5" t="s">
        <v>47</v>
      </c>
      <c r="M126" s="5" t="s">
        <v>48</v>
      </c>
      <c r="N126" s="5" t="s">
        <v>49</v>
      </c>
      <c r="O126" s="12"/>
      <c r="P126" s="13">
        <v>49961</v>
      </c>
      <c r="S126" s="13">
        <v>37443</v>
      </c>
      <c r="U126" s="13">
        <v>37443</v>
      </c>
      <c r="AC126" s="10" t="s">
        <v>446</v>
      </c>
      <c r="AD126" s="5" t="s">
        <v>440</v>
      </c>
      <c r="AE126" s="5" t="s">
        <v>42</v>
      </c>
      <c r="AG126" s="5" t="s">
        <v>447</v>
      </c>
    </row>
    <row r="127" spans="1:33" ht="10" customHeight="1" x14ac:dyDescent="0.2">
      <c r="A127" s="5" t="s">
        <v>40</v>
      </c>
      <c r="B127" s="5" t="s">
        <v>41</v>
      </c>
      <c r="D127" s="5" t="s">
        <v>448</v>
      </c>
      <c r="E127" s="10" t="s">
        <v>345</v>
      </c>
      <c r="F127" s="5" t="s">
        <v>54</v>
      </c>
      <c r="G127" s="5" t="s">
        <v>373</v>
      </c>
      <c r="H127" s="5" t="s">
        <v>366</v>
      </c>
      <c r="I127" s="11">
        <v>1</v>
      </c>
      <c r="J127" s="5" t="s">
        <v>45</v>
      </c>
      <c r="K127" s="10" t="s">
        <v>46</v>
      </c>
      <c r="L127" s="5" t="s">
        <v>47</v>
      </c>
      <c r="M127" s="5" t="s">
        <v>48</v>
      </c>
      <c r="N127" s="5" t="s">
        <v>49</v>
      </c>
      <c r="O127" s="12"/>
      <c r="P127" s="13">
        <v>78881</v>
      </c>
      <c r="S127" s="13">
        <v>64948</v>
      </c>
      <c r="U127" s="13">
        <v>64948</v>
      </c>
      <c r="AC127" s="10" t="s">
        <v>449</v>
      </c>
      <c r="AD127" s="5" t="s">
        <v>440</v>
      </c>
      <c r="AE127" s="5" t="s">
        <v>42</v>
      </c>
      <c r="AG127" s="5" t="s">
        <v>450</v>
      </c>
    </row>
    <row r="128" spans="1:33" ht="10" customHeight="1" x14ac:dyDescent="0.2">
      <c r="A128" s="5" t="s">
        <v>40</v>
      </c>
      <c r="B128" s="5" t="s">
        <v>41</v>
      </c>
      <c r="D128" s="5" t="s">
        <v>451</v>
      </c>
      <c r="E128" s="10" t="s">
        <v>345</v>
      </c>
      <c r="F128" s="5" t="s">
        <v>54</v>
      </c>
      <c r="G128" s="5" t="s">
        <v>373</v>
      </c>
      <c r="H128" s="5" t="s">
        <v>366</v>
      </c>
      <c r="I128" s="11">
        <v>1</v>
      </c>
      <c r="J128" s="5" t="s">
        <v>45</v>
      </c>
      <c r="K128" s="10" t="s">
        <v>46</v>
      </c>
      <c r="L128" s="5" t="s">
        <v>47</v>
      </c>
      <c r="M128" s="5" t="s">
        <v>48</v>
      </c>
      <c r="N128" s="5" t="s">
        <v>49</v>
      </c>
      <c r="O128" s="12"/>
      <c r="S128" s="13">
        <v>7373</v>
      </c>
      <c r="U128" s="13">
        <v>7373</v>
      </c>
      <c r="AC128" s="10" t="s">
        <v>452</v>
      </c>
      <c r="AD128" s="5" t="s">
        <v>440</v>
      </c>
      <c r="AE128" s="5" t="s">
        <v>42</v>
      </c>
      <c r="AG128" s="5" t="s">
        <v>453</v>
      </c>
    </row>
    <row r="129" spans="1:33" ht="10" customHeight="1" x14ac:dyDescent="0.2">
      <c r="A129" s="5" t="s">
        <v>40</v>
      </c>
      <c r="B129" s="5" t="s">
        <v>41</v>
      </c>
      <c r="D129" s="5" t="s">
        <v>454</v>
      </c>
      <c r="E129" s="10" t="s">
        <v>345</v>
      </c>
      <c r="F129" s="5" t="s">
        <v>54</v>
      </c>
      <c r="G129" s="5" t="s">
        <v>373</v>
      </c>
      <c r="H129" s="5" t="s">
        <v>366</v>
      </c>
      <c r="I129" s="11">
        <v>1</v>
      </c>
      <c r="J129" s="5" t="s">
        <v>45</v>
      </c>
      <c r="K129" s="10" t="s">
        <v>46</v>
      </c>
      <c r="L129" s="5" t="s">
        <v>47</v>
      </c>
      <c r="M129" s="5" t="s">
        <v>48</v>
      </c>
      <c r="N129" s="5" t="s">
        <v>49</v>
      </c>
      <c r="O129" s="12"/>
      <c r="P129" s="13">
        <v>2091</v>
      </c>
      <c r="S129" s="13">
        <v>1331</v>
      </c>
      <c r="U129" s="13">
        <v>1331</v>
      </c>
      <c r="AC129" s="10" t="s">
        <v>455</v>
      </c>
      <c r="AD129" s="5" t="s">
        <v>440</v>
      </c>
      <c r="AE129" s="5" t="s">
        <v>42</v>
      </c>
      <c r="AG129" s="5" t="s">
        <v>456</v>
      </c>
    </row>
    <row r="130" spans="1:33" ht="10" customHeight="1" x14ac:dyDescent="0.2">
      <c r="A130" s="5" t="s">
        <v>40</v>
      </c>
      <c r="B130" s="5" t="s">
        <v>41</v>
      </c>
      <c r="D130" s="5" t="s">
        <v>457</v>
      </c>
      <c r="E130" s="10" t="s">
        <v>345</v>
      </c>
      <c r="F130" s="5" t="s">
        <v>54</v>
      </c>
      <c r="G130" s="5" t="s">
        <v>373</v>
      </c>
      <c r="H130" s="5" t="s">
        <v>366</v>
      </c>
      <c r="I130" s="11">
        <v>1</v>
      </c>
      <c r="J130" s="5" t="s">
        <v>45</v>
      </c>
      <c r="K130" s="10" t="s">
        <v>46</v>
      </c>
      <c r="L130" s="5" t="s">
        <v>47</v>
      </c>
      <c r="M130" s="5" t="s">
        <v>48</v>
      </c>
      <c r="N130" s="5" t="s">
        <v>49</v>
      </c>
      <c r="O130" s="12"/>
      <c r="P130" s="13">
        <v>45422</v>
      </c>
      <c r="S130" s="13">
        <v>31573</v>
      </c>
      <c r="U130" s="13">
        <v>31573</v>
      </c>
      <c r="AC130" s="10" t="s">
        <v>458</v>
      </c>
      <c r="AD130" s="5" t="s">
        <v>440</v>
      </c>
      <c r="AE130" s="5" t="s">
        <v>42</v>
      </c>
      <c r="AG130" s="5" t="s">
        <v>459</v>
      </c>
    </row>
    <row r="131" spans="1:33" ht="10" customHeight="1" x14ac:dyDescent="0.2">
      <c r="A131" s="5" t="s">
        <v>40</v>
      </c>
      <c r="B131" s="5" t="s">
        <v>41</v>
      </c>
      <c r="D131" s="5" t="s">
        <v>460</v>
      </c>
      <c r="E131" s="10" t="s">
        <v>345</v>
      </c>
      <c r="F131" s="5" t="s">
        <v>54</v>
      </c>
      <c r="G131" s="5" t="s">
        <v>373</v>
      </c>
      <c r="H131" s="5" t="s">
        <v>366</v>
      </c>
      <c r="I131" s="11">
        <v>1</v>
      </c>
      <c r="J131" s="5" t="s">
        <v>45</v>
      </c>
      <c r="K131" s="10" t="s">
        <v>46</v>
      </c>
      <c r="L131" s="5" t="s">
        <v>47</v>
      </c>
      <c r="M131" s="5" t="s">
        <v>48</v>
      </c>
      <c r="N131" s="5" t="s">
        <v>49</v>
      </c>
      <c r="O131" s="12"/>
      <c r="P131" s="13">
        <v>1842</v>
      </c>
      <c r="S131" s="13">
        <v>1941</v>
      </c>
      <c r="U131" s="13">
        <v>1941</v>
      </c>
      <c r="AC131" s="10" t="s">
        <v>461</v>
      </c>
      <c r="AD131" s="5" t="s">
        <v>440</v>
      </c>
      <c r="AE131" s="5" t="s">
        <v>42</v>
      </c>
      <c r="AG131" s="5" t="s">
        <v>462</v>
      </c>
    </row>
    <row r="132" spans="1:33" ht="10" customHeight="1" x14ac:dyDescent="0.2">
      <c r="A132" s="5" t="s">
        <v>40</v>
      </c>
      <c r="B132" s="5" t="s">
        <v>41</v>
      </c>
      <c r="D132" s="5" t="s">
        <v>463</v>
      </c>
      <c r="E132" s="10" t="s">
        <v>345</v>
      </c>
      <c r="F132" s="5" t="s">
        <v>54</v>
      </c>
      <c r="G132" s="5" t="s">
        <v>464</v>
      </c>
      <c r="I132" s="11">
        <v>1</v>
      </c>
      <c r="J132" s="5" t="s">
        <v>45</v>
      </c>
      <c r="K132" s="10" t="s">
        <v>46</v>
      </c>
      <c r="L132" s="5" t="s">
        <v>47</v>
      </c>
      <c r="M132" s="5" t="s">
        <v>48</v>
      </c>
      <c r="N132" s="5" t="s">
        <v>49</v>
      </c>
      <c r="O132" s="12"/>
      <c r="P132" s="13">
        <v>61855</v>
      </c>
      <c r="S132" s="13">
        <v>66266</v>
      </c>
      <c r="U132" s="13">
        <v>66266</v>
      </c>
      <c r="AC132" s="10" t="s">
        <v>465</v>
      </c>
      <c r="AD132" s="5" t="s">
        <v>466</v>
      </c>
      <c r="AE132" s="5" t="s">
        <v>42</v>
      </c>
      <c r="AG132" s="5" t="s">
        <v>467</v>
      </c>
    </row>
    <row r="133" spans="1:33" ht="10" customHeight="1" x14ac:dyDescent="0.2">
      <c r="A133" s="5" t="s">
        <v>40</v>
      </c>
      <c r="B133" s="5" t="s">
        <v>41</v>
      </c>
      <c r="D133" s="5" t="s">
        <v>468</v>
      </c>
      <c r="E133" s="10" t="s">
        <v>345</v>
      </c>
      <c r="F133" s="5" t="s">
        <v>54</v>
      </c>
      <c r="G133" s="5" t="s">
        <v>464</v>
      </c>
      <c r="I133" s="11">
        <v>1</v>
      </c>
      <c r="J133" s="5" t="s">
        <v>45</v>
      </c>
      <c r="K133" s="10" t="s">
        <v>46</v>
      </c>
      <c r="L133" s="5" t="s">
        <v>47</v>
      </c>
      <c r="M133" s="5" t="s">
        <v>48</v>
      </c>
      <c r="N133" s="5" t="s">
        <v>49</v>
      </c>
      <c r="O133" s="12"/>
      <c r="P133" s="13">
        <v>17880</v>
      </c>
      <c r="S133" s="13">
        <v>19154</v>
      </c>
      <c r="U133" s="13">
        <v>19154</v>
      </c>
      <c r="AC133" s="10" t="s">
        <v>469</v>
      </c>
      <c r="AD133" s="5" t="s">
        <v>466</v>
      </c>
      <c r="AE133" s="5" t="s">
        <v>42</v>
      </c>
      <c r="AG133" s="5" t="s">
        <v>376</v>
      </c>
    </row>
    <row r="134" spans="1:33" ht="10" customHeight="1" x14ac:dyDescent="0.2">
      <c r="A134" s="5" t="s">
        <v>40</v>
      </c>
      <c r="B134" s="5" t="s">
        <v>41</v>
      </c>
      <c r="D134" s="5" t="s">
        <v>470</v>
      </c>
      <c r="E134" s="10" t="s">
        <v>345</v>
      </c>
      <c r="F134" s="5" t="s">
        <v>54</v>
      </c>
      <c r="G134" s="5" t="s">
        <v>464</v>
      </c>
      <c r="I134" s="11">
        <v>1</v>
      </c>
      <c r="J134" s="5" t="s">
        <v>45</v>
      </c>
      <c r="K134" s="10" t="s">
        <v>46</v>
      </c>
      <c r="L134" s="5" t="s">
        <v>47</v>
      </c>
      <c r="M134" s="5" t="s">
        <v>48</v>
      </c>
      <c r="N134" s="5" t="s">
        <v>49</v>
      </c>
      <c r="O134" s="12"/>
      <c r="P134" s="13">
        <v>16914</v>
      </c>
      <c r="S134" s="13">
        <v>18120</v>
      </c>
      <c r="U134" s="13">
        <v>18120</v>
      </c>
      <c r="AC134" s="10" t="s">
        <v>471</v>
      </c>
      <c r="AD134" s="5" t="s">
        <v>466</v>
      </c>
      <c r="AE134" s="5" t="s">
        <v>42</v>
      </c>
      <c r="AG134" s="5" t="s">
        <v>376</v>
      </c>
    </row>
    <row r="135" spans="1:33" ht="10" customHeight="1" x14ac:dyDescent="0.2">
      <c r="A135" s="5" t="s">
        <v>40</v>
      </c>
      <c r="B135" s="5" t="s">
        <v>41</v>
      </c>
      <c r="D135" s="5" t="s">
        <v>472</v>
      </c>
      <c r="E135" s="10" t="s">
        <v>345</v>
      </c>
      <c r="F135" s="5" t="s">
        <v>54</v>
      </c>
      <c r="G135" s="5" t="s">
        <v>464</v>
      </c>
      <c r="I135" s="11">
        <v>1</v>
      </c>
      <c r="J135" s="5" t="s">
        <v>45</v>
      </c>
      <c r="K135" s="10" t="s">
        <v>46</v>
      </c>
      <c r="L135" s="5" t="s">
        <v>47</v>
      </c>
      <c r="M135" s="5" t="s">
        <v>48</v>
      </c>
      <c r="N135" s="5" t="s">
        <v>49</v>
      </c>
      <c r="O135" s="12"/>
      <c r="P135" s="13">
        <v>5149</v>
      </c>
      <c r="S135" s="13">
        <v>6081</v>
      </c>
      <c r="U135" s="13">
        <v>6081</v>
      </c>
      <c r="AC135" s="10" t="s">
        <v>473</v>
      </c>
      <c r="AD135" s="5" t="s">
        <v>474</v>
      </c>
      <c r="AE135" s="5" t="s">
        <v>42</v>
      </c>
      <c r="AG135" s="5" t="s">
        <v>475</v>
      </c>
    </row>
    <row r="136" spans="1:33" ht="10" customHeight="1" x14ac:dyDescent="0.2">
      <c r="A136" s="5" t="s">
        <v>40</v>
      </c>
      <c r="B136" s="5" t="s">
        <v>41</v>
      </c>
      <c r="D136" s="5" t="s">
        <v>476</v>
      </c>
      <c r="E136" s="10" t="s">
        <v>345</v>
      </c>
      <c r="F136" s="5" t="s">
        <v>54</v>
      </c>
      <c r="G136" s="5" t="s">
        <v>464</v>
      </c>
      <c r="I136" s="11">
        <v>1</v>
      </c>
      <c r="J136" s="5" t="s">
        <v>45</v>
      </c>
      <c r="K136" s="10" t="s">
        <v>46</v>
      </c>
      <c r="L136" s="5" t="s">
        <v>47</v>
      </c>
      <c r="M136" s="5" t="s">
        <v>48</v>
      </c>
      <c r="N136" s="5" t="s">
        <v>49</v>
      </c>
      <c r="O136" s="12"/>
      <c r="P136" s="13">
        <v>3678</v>
      </c>
      <c r="S136" s="13">
        <v>4344</v>
      </c>
      <c r="U136" s="13">
        <v>4344</v>
      </c>
      <c r="AC136" s="10" t="s">
        <v>477</v>
      </c>
      <c r="AD136" s="5" t="s">
        <v>474</v>
      </c>
      <c r="AE136" s="5" t="s">
        <v>42</v>
      </c>
      <c r="AG136" s="5" t="s">
        <v>379</v>
      </c>
    </row>
    <row r="137" spans="1:33" ht="10" customHeight="1" x14ac:dyDescent="0.2">
      <c r="A137" s="5" t="s">
        <v>40</v>
      </c>
      <c r="B137" s="5" t="s">
        <v>41</v>
      </c>
      <c r="D137" s="5" t="s">
        <v>478</v>
      </c>
      <c r="E137" s="10" t="s">
        <v>345</v>
      </c>
      <c r="F137" s="5" t="s">
        <v>54</v>
      </c>
      <c r="G137" s="5" t="s">
        <v>464</v>
      </c>
      <c r="I137" s="11">
        <v>1</v>
      </c>
      <c r="J137" s="5" t="s">
        <v>45</v>
      </c>
      <c r="K137" s="10" t="s">
        <v>46</v>
      </c>
      <c r="L137" s="5" t="s">
        <v>47</v>
      </c>
      <c r="M137" s="5" t="s">
        <v>48</v>
      </c>
      <c r="N137" s="5" t="s">
        <v>49</v>
      </c>
      <c r="O137" s="12"/>
      <c r="P137" s="13">
        <v>7519</v>
      </c>
      <c r="S137" s="13">
        <v>8880</v>
      </c>
      <c r="U137" s="13">
        <v>8880</v>
      </c>
      <c r="AC137" s="10" t="s">
        <v>479</v>
      </c>
      <c r="AD137" s="5" t="s">
        <v>474</v>
      </c>
      <c r="AE137" s="5" t="s">
        <v>42</v>
      </c>
      <c r="AG137" s="5" t="s">
        <v>379</v>
      </c>
    </row>
    <row r="138" spans="1:33" ht="10" customHeight="1" x14ac:dyDescent="0.2">
      <c r="A138" s="5" t="s">
        <v>40</v>
      </c>
      <c r="B138" s="5" t="s">
        <v>41</v>
      </c>
      <c r="D138" s="5" t="s">
        <v>480</v>
      </c>
      <c r="E138" s="10" t="s">
        <v>345</v>
      </c>
      <c r="F138" s="5" t="s">
        <v>54</v>
      </c>
      <c r="G138" s="5" t="s">
        <v>464</v>
      </c>
      <c r="I138" s="11">
        <v>1</v>
      </c>
      <c r="J138" s="5" t="s">
        <v>45</v>
      </c>
      <c r="K138" s="10" t="s">
        <v>46</v>
      </c>
      <c r="L138" s="5" t="s">
        <v>47</v>
      </c>
      <c r="M138" s="5" t="s">
        <v>48</v>
      </c>
      <c r="N138" s="5" t="s">
        <v>49</v>
      </c>
      <c r="O138" s="12"/>
      <c r="P138" s="13">
        <v>4302</v>
      </c>
      <c r="S138" s="13">
        <v>4962</v>
      </c>
      <c r="U138" s="13">
        <v>4962</v>
      </c>
      <c r="AC138" s="10" t="s">
        <v>481</v>
      </c>
      <c r="AD138" s="5" t="s">
        <v>482</v>
      </c>
      <c r="AE138" s="5" t="s">
        <v>42</v>
      </c>
      <c r="AG138" s="5" t="s">
        <v>483</v>
      </c>
    </row>
    <row r="139" spans="1:33" ht="10" customHeight="1" x14ac:dyDescent="0.2">
      <c r="A139" s="5" t="s">
        <v>40</v>
      </c>
      <c r="B139" s="5" t="s">
        <v>41</v>
      </c>
      <c r="D139" s="5" t="s">
        <v>484</v>
      </c>
      <c r="E139" s="10" t="s">
        <v>345</v>
      </c>
      <c r="F139" s="5" t="s">
        <v>54</v>
      </c>
      <c r="G139" s="5" t="s">
        <v>464</v>
      </c>
      <c r="I139" s="11">
        <v>1</v>
      </c>
      <c r="J139" s="5" t="s">
        <v>45</v>
      </c>
      <c r="K139" s="10" t="s">
        <v>46</v>
      </c>
      <c r="L139" s="5" t="s">
        <v>47</v>
      </c>
      <c r="M139" s="5" t="s">
        <v>48</v>
      </c>
      <c r="N139" s="5" t="s">
        <v>49</v>
      </c>
      <c r="O139" s="12"/>
      <c r="P139" s="13">
        <v>4614</v>
      </c>
      <c r="S139" s="13">
        <v>4393</v>
      </c>
      <c r="U139" s="13">
        <v>4393</v>
      </c>
      <c r="AC139" s="10" t="s">
        <v>485</v>
      </c>
      <c r="AD139" s="5" t="s">
        <v>482</v>
      </c>
      <c r="AE139" s="5" t="s">
        <v>42</v>
      </c>
      <c r="AG139" s="5" t="s">
        <v>382</v>
      </c>
    </row>
    <row r="140" spans="1:33" ht="10" customHeight="1" x14ac:dyDescent="0.2">
      <c r="A140" s="5" t="s">
        <v>40</v>
      </c>
      <c r="B140" s="5" t="s">
        <v>41</v>
      </c>
      <c r="D140" s="5" t="s">
        <v>486</v>
      </c>
      <c r="E140" s="10" t="s">
        <v>345</v>
      </c>
      <c r="F140" s="5" t="s">
        <v>54</v>
      </c>
      <c r="G140" s="5" t="s">
        <v>464</v>
      </c>
      <c r="I140" s="11">
        <v>1</v>
      </c>
      <c r="J140" s="5" t="s">
        <v>45</v>
      </c>
      <c r="K140" s="10" t="s">
        <v>46</v>
      </c>
      <c r="L140" s="5" t="s">
        <v>47</v>
      </c>
      <c r="M140" s="5" t="s">
        <v>48</v>
      </c>
      <c r="N140" s="5" t="s">
        <v>49</v>
      </c>
      <c r="O140" s="12"/>
      <c r="P140" s="13">
        <v>6726</v>
      </c>
      <c r="S140" s="13">
        <v>6915</v>
      </c>
      <c r="U140" s="13">
        <v>6915</v>
      </c>
      <c r="AC140" s="10" t="s">
        <v>487</v>
      </c>
      <c r="AD140" s="5" t="s">
        <v>482</v>
      </c>
      <c r="AE140" s="5" t="s">
        <v>42</v>
      </c>
      <c r="AG140" s="5" t="s">
        <v>382</v>
      </c>
    </row>
    <row r="141" spans="1:33" ht="10" customHeight="1" x14ac:dyDescent="0.2">
      <c r="A141" s="5" t="s">
        <v>40</v>
      </c>
      <c r="B141" s="5" t="s">
        <v>41</v>
      </c>
      <c r="D141" s="5" t="s">
        <v>488</v>
      </c>
      <c r="E141" s="10" t="s">
        <v>345</v>
      </c>
      <c r="F141" s="5" t="s">
        <v>54</v>
      </c>
      <c r="G141" s="5" t="s">
        <v>464</v>
      </c>
      <c r="I141" s="11">
        <v>1</v>
      </c>
      <c r="J141" s="5" t="s">
        <v>45</v>
      </c>
      <c r="K141" s="10" t="s">
        <v>46</v>
      </c>
      <c r="L141" s="5" t="s">
        <v>47</v>
      </c>
      <c r="M141" s="5" t="s">
        <v>48</v>
      </c>
      <c r="N141" s="5" t="s">
        <v>49</v>
      </c>
      <c r="O141" s="12"/>
      <c r="P141" s="13">
        <v>11922</v>
      </c>
      <c r="S141" s="13">
        <v>12403</v>
      </c>
      <c r="U141" s="13">
        <v>12403</v>
      </c>
      <c r="AC141" s="10" t="s">
        <v>489</v>
      </c>
      <c r="AD141" s="5" t="s">
        <v>490</v>
      </c>
      <c r="AE141" s="5" t="s">
        <v>42</v>
      </c>
      <c r="AG141" s="5" t="s">
        <v>491</v>
      </c>
    </row>
    <row r="142" spans="1:33" ht="10" customHeight="1" x14ac:dyDescent="0.2">
      <c r="A142" s="5" t="s">
        <v>40</v>
      </c>
      <c r="B142" s="5" t="s">
        <v>41</v>
      </c>
      <c r="D142" s="5" t="s">
        <v>492</v>
      </c>
      <c r="E142" s="10" t="s">
        <v>345</v>
      </c>
      <c r="F142" s="5" t="s">
        <v>54</v>
      </c>
      <c r="G142" s="5" t="s">
        <v>464</v>
      </c>
      <c r="I142" s="11">
        <v>1</v>
      </c>
      <c r="J142" s="5" t="s">
        <v>45</v>
      </c>
      <c r="K142" s="10" t="s">
        <v>46</v>
      </c>
      <c r="L142" s="5" t="s">
        <v>47</v>
      </c>
      <c r="M142" s="5" t="s">
        <v>48</v>
      </c>
      <c r="N142" s="5" t="s">
        <v>49</v>
      </c>
      <c r="O142" s="12"/>
      <c r="P142" s="13">
        <v>5311</v>
      </c>
      <c r="S142" s="13">
        <v>5524</v>
      </c>
      <c r="U142" s="13">
        <v>5524</v>
      </c>
      <c r="AC142" s="10" t="s">
        <v>493</v>
      </c>
      <c r="AD142" s="5" t="s">
        <v>490</v>
      </c>
      <c r="AE142" s="5" t="s">
        <v>42</v>
      </c>
      <c r="AG142" s="5" t="s">
        <v>385</v>
      </c>
    </row>
    <row r="143" spans="1:33" ht="10" customHeight="1" x14ac:dyDescent="0.2">
      <c r="A143" s="5" t="s">
        <v>40</v>
      </c>
      <c r="B143" s="5" t="s">
        <v>41</v>
      </c>
      <c r="D143" s="5" t="s">
        <v>494</v>
      </c>
      <c r="E143" s="10" t="s">
        <v>345</v>
      </c>
      <c r="F143" s="5" t="s">
        <v>54</v>
      </c>
      <c r="G143" s="5" t="s">
        <v>464</v>
      </c>
      <c r="I143" s="11">
        <v>1</v>
      </c>
      <c r="J143" s="5" t="s">
        <v>45</v>
      </c>
      <c r="K143" s="10" t="s">
        <v>46</v>
      </c>
      <c r="L143" s="5" t="s">
        <v>47</v>
      </c>
      <c r="M143" s="5" t="s">
        <v>48</v>
      </c>
      <c r="N143" s="5" t="s">
        <v>49</v>
      </c>
      <c r="O143" s="12"/>
      <c r="P143" s="13">
        <v>4444</v>
      </c>
      <c r="S143" s="13">
        <v>4623</v>
      </c>
      <c r="U143" s="13">
        <v>4623</v>
      </c>
      <c r="AC143" s="10" t="s">
        <v>495</v>
      </c>
      <c r="AD143" s="5" t="s">
        <v>490</v>
      </c>
      <c r="AE143" s="5" t="s">
        <v>42</v>
      </c>
      <c r="AG143" s="5" t="s">
        <v>385</v>
      </c>
    </row>
    <row r="144" spans="1:33" ht="10" customHeight="1" x14ac:dyDescent="0.2">
      <c r="A144" s="5" t="s">
        <v>40</v>
      </c>
      <c r="B144" s="5" t="s">
        <v>41</v>
      </c>
      <c r="D144" s="5" t="s">
        <v>496</v>
      </c>
      <c r="E144" s="10" t="s">
        <v>345</v>
      </c>
      <c r="F144" s="5" t="s">
        <v>54</v>
      </c>
      <c r="G144" s="5" t="s">
        <v>464</v>
      </c>
      <c r="I144" s="11">
        <v>1</v>
      </c>
      <c r="J144" s="5" t="s">
        <v>45</v>
      </c>
      <c r="K144" s="10" t="s">
        <v>46</v>
      </c>
      <c r="L144" s="5" t="s">
        <v>47</v>
      </c>
      <c r="M144" s="5" t="s">
        <v>48</v>
      </c>
      <c r="N144" s="5" t="s">
        <v>49</v>
      </c>
      <c r="O144" s="12"/>
      <c r="P144" s="13">
        <v>16421</v>
      </c>
      <c r="S144" s="13">
        <v>17085</v>
      </c>
      <c r="U144" s="13">
        <v>17085</v>
      </c>
      <c r="AC144" s="10" t="s">
        <v>497</v>
      </c>
      <c r="AD144" s="5" t="s">
        <v>498</v>
      </c>
      <c r="AE144" s="5" t="s">
        <v>42</v>
      </c>
      <c r="AG144" s="5" t="s">
        <v>499</v>
      </c>
    </row>
    <row r="145" spans="1:33" ht="10" customHeight="1" x14ac:dyDescent="0.2">
      <c r="A145" s="5" t="s">
        <v>40</v>
      </c>
      <c r="B145" s="5" t="s">
        <v>41</v>
      </c>
      <c r="D145" s="5" t="s">
        <v>500</v>
      </c>
      <c r="E145" s="10" t="s">
        <v>345</v>
      </c>
      <c r="F145" s="5" t="s">
        <v>54</v>
      </c>
      <c r="G145" s="5" t="s">
        <v>464</v>
      </c>
      <c r="I145" s="11">
        <v>1</v>
      </c>
      <c r="J145" s="5" t="s">
        <v>45</v>
      </c>
      <c r="K145" s="10" t="s">
        <v>46</v>
      </c>
      <c r="L145" s="5" t="s">
        <v>47</v>
      </c>
      <c r="M145" s="5" t="s">
        <v>48</v>
      </c>
      <c r="N145" s="5" t="s">
        <v>49</v>
      </c>
      <c r="O145" s="12"/>
      <c r="P145" s="13">
        <v>3623</v>
      </c>
      <c r="S145" s="13">
        <v>3769</v>
      </c>
      <c r="U145" s="13">
        <v>3769</v>
      </c>
      <c r="AC145" s="10" t="s">
        <v>501</v>
      </c>
      <c r="AD145" s="5" t="s">
        <v>498</v>
      </c>
      <c r="AE145" s="5" t="s">
        <v>42</v>
      </c>
      <c r="AG145" s="5" t="s">
        <v>388</v>
      </c>
    </row>
    <row r="146" spans="1:33" ht="10" customHeight="1" x14ac:dyDescent="0.2">
      <c r="A146" s="5" t="s">
        <v>40</v>
      </c>
      <c r="B146" s="5" t="s">
        <v>41</v>
      </c>
      <c r="D146" s="5" t="s">
        <v>502</v>
      </c>
      <c r="E146" s="10" t="s">
        <v>345</v>
      </c>
      <c r="F146" s="5" t="s">
        <v>54</v>
      </c>
      <c r="G146" s="5" t="s">
        <v>464</v>
      </c>
      <c r="I146" s="11">
        <v>1</v>
      </c>
      <c r="J146" s="5" t="s">
        <v>45</v>
      </c>
      <c r="K146" s="10" t="s">
        <v>46</v>
      </c>
      <c r="L146" s="5" t="s">
        <v>47</v>
      </c>
      <c r="M146" s="5" t="s">
        <v>48</v>
      </c>
      <c r="N146" s="5" t="s">
        <v>49</v>
      </c>
      <c r="O146" s="12"/>
      <c r="P146" s="13">
        <v>4105</v>
      </c>
      <c r="S146" s="13">
        <v>4271</v>
      </c>
      <c r="U146" s="13">
        <v>4271</v>
      </c>
      <c r="AC146" s="10" t="s">
        <v>503</v>
      </c>
      <c r="AD146" s="5" t="s">
        <v>498</v>
      </c>
      <c r="AE146" s="5" t="s">
        <v>42</v>
      </c>
      <c r="AG146" s="5" t="s">
        <v>388</v>
      </c>
    </row>
    <row r="147" spans="1:33" ht="10" customHeight="1" x14ac:dyDescent="0.2">
      <c r="A147" s="5" t="s">
        <v>40</v>
      </c>
      <c r="B147" s="5" t="s">
        <v>41</v>
      </c>
      <c r="D147" s="5" t="s">
        <v>504</v>
      </c>
      <c r="E147" s="10" t="s">
        <v>345</v>
      </c>
      <c r="F147" s="5" t="s">
        <v>54</v>
      </c>
      <c r="G147" s="5" t="s">
        <v>464</v>
      </c>
      <c r="I147" s="11">
        <v>1</v>
      </c>
      <c r="J147" s="5" t="s">
        <v>45</v>
      </c>
      <c r="K147" s="10" t="s">
        <v>46</v>
      </c>
      <c r="L147" s="5" t="s">
        <v>47</v>
      </c>
      <c r="M147" s="5" t="s">
        <v>48</v>
      </c>
      <c r="N147" s="5" t="s">
        <v>49</v>
      </c>
      <c r="O147" s="12"/>
      <c r="P147" s="13">
        <v>5587</v>
      </c>
      <c r="S147" s="13">
        <v>5813</v>
      </c>
      <c r="U147" s="13">
        <v>5813</v>
      </c>
      <c r="AC147" s="10" t="s">
        <v>505</v>
      </c>
      <c r="AD147" s="5" t="s">
        <v>506</v>
      </c>
      <c r="AE147" s="5" t="s">
        <v>42</v>
      </c>
      <c r="AG147" s="5" t="s">
        <v>507</v>
      </c>
    </row>
    <row r="148" spans="1:33" ht="10" customHeight="1" x14ac:dyDescent="0.2">
      <c r="A148" s="5" t="s">
        <v>40</v>
      </c>
      <c r="B148" s="5" t="s">
        <v>41</v>
      </c>
      <c r="D148" s="5" t="s">
        <v>508</v>
      </c>
      <c r="E148" s="10" t="s">
        <v>345</v>
      </c>
      <c r="F148" s="5" t="s">
        <v>54</v>
      </c>
      <c r="G148" s="5" t="s">
        <v>464</v>
      </c>
      <c r="I148" s="11">
        <v>1</v>
      </c>
      <c r="J148" s="5" t="s">
        <v>45</v>
      </c>
      <c r="K148" s="10" t="s">
        <v>46</v>
      </c>
      <c r="L148" s="5" t="s">
        <v>47</v>
      </c>
      <c r="M148" s="5" t="s">
        <v>48</v>
      </c>
      <c r="N148" s="5" t="s">
        <v>49</v>
      </c>
      <c r="O148" s="12"/>
      <c r="P148" s="13">
        <v>1641</v>
      </c>
      <c r="S148" s="13">
        <v>1707</v>
      </c>
      <c r="U148" s="13">
        <v>1707</v>
      </c>
      <c r="AC148" s="10" t="s">
        <v>509</v>
      </c>
      <c r="AD148" s="5" t="s">
        <v>506</v>
      </c>
      <c r="AE148" s="5" t="s">
        <v>42</v>
      </c>
      <c r="AG148" s="5" t="s">
        <v>391</v>
      </c>
    </row>
    <row r="149" spans="1:33" ht="10" customHeight="1" x14ac:dyDescent="0.2">
      <c r="A149" s="5" t="s">
        <v>40</v>
      </c>
      <c r="B149" s="5" t="s">
        <v>41</v>
      </c>
      <c r="D149" s="5" t="s">
        <v>510</v>
      </c>
      <c r="E149" s="10" t="s">
        <v>345</v>
      </c>
      <c r="F149" s="5" t="s">
        <v>54</v>
      </c>
      <c r="G149" s="5" t="s">
        <v>464</v>
      </c>
      <c r="I149" s="11">
        <v>1</v>
      </c>
      <c r="J149" s="5" t="s">
        <v>45</v>
      </c>
      <c r="K149" s="10" t="s">
        <v>46</v>
      </c>
      <c r="L149" s="5" t="s">
        <v>47</v>
      </c>
      <c r="M149" s="5" t="s">
        <v>48</v>
      </c>
      <c r="N149" s="5" t="s">
        <v>49</v>
      </c>
      <c r="O149" s="12"/>
      <c r="P149" s="13">
        <v>586</v>
      </c>
      <c r="S149" s="13">
        <v>610</v>
      </c>
      <c r="U149" s="13">
        <v>610</v>
      </c>
      <c r="AC149" s="10" t="s">
        <v>511</v>
      </c>
      <c r="AD149" s="5" t="s">
        <v>506</v>
      </c>
      <c r="AE149" s="5" t="s">
        <v>42</v>
      </c>
      <c r="AG149" s="5" t="s">
        <v>391</v>
      </c>
    </row>
    <row r="150" spans="1:33" ht="10" customHeight="1" x14ac:dyDescent="0.2">
      <c r="A150" s="5" t="s">
        <v>40</v>
      </c>
      <c r="B150" s="5" t="s">
        <v>41</v>
      </c>
      <c r="D150" s="5" t="s">
        <v>512</v>
      </c>
      <c r="E150" s="10" t="s">
        <v>345</v>
      </c>
      <c r="F150" s="5" t="s">
        <v>54</v>
      </c>
      <c r="G150" s="5" t="s">
        <v>464</v>
      </c>
      <c r="I150" s="11">
        <v>1</v>
      </c>
      <c r="J150" s="5" t="s">
        <v>45</v>
      </c>
      <c r="K150" s="10" t="s">
        <v>46</v>
      </c>
      <c r="L150" s="5" t="s">
        <v>47</v>
      </c>
      <c r="M150" s="5" t="s">
        <v>48</v>
      </c>
      <c r="N150" s="5" t="s">
        <v>49</v>
      </c>
      <c r="O150" s="12"/>
      <c r="P150" s="13">
        <v>26064</v>
      </c>
      <c r="S150" s="13">
        <v>27119</v>
      </c>
      <c r="U150" s="13">
        <v>27119</v>
      </c>
      <c r="AC150" s="10" t="s">
        <v>513</v>
      </c>
      <c r="AD150" s="5" t="s">
        <v>514</v>
      </c>
      <c r="AE150" s="5" t="s">
        <v>42</v>
      </c>
      <c r="AG150" s="5" t="s">
        <v>515</v>
      </c>
    </row>
    <row r="151" spans="1:33" ht="10" customHeight="1" x14ac:dyDescent="0.2">
      <c r="A151" s="5" t="s">
        <v>40</v>
      </c>
      <c r="B151" s="5" t="s">
        <v>41</v>
      </c>
      <c r="D151" s="5" t="s">
        <v>516</v>
      </c>
      <c r="E151" s="10" t="s">
        <v>345</v>
      </c>
      <c r="F151" s="5" t="s">
        <v>54</v>
      </c>
      <c r="G151" s="5" t="s">
        <v>464</v>
      </c>
      <c r="I151" s="11">
        <v>1</v>
      </c>
      <c r="J151" s="5" t="s">
        <v>45</v>
      </c>
      <c r="K151" s="10" t="s">
        <v>46</v>
      </c>
      <c r="L151" s="5" t="s">
        <v>47</v>
      </c>
      <c r="M151" s="5" t="s">
        <v>48</v>
      </c>
      <c r="N151" s="5" t="s">
        <v>49</v>
      </c>
      <c r="O151" s="12"/>
      <c r="P151" s="13">
        <v>8132</v>
      </c>
      <c r="S151" s="13">
        <v>8461</v>
      </c>
      <c r="U151" s="13">
        <v>8461</v>
      </c>
      <c r="AC151" s="10" t="s">
        <v>517</v>
      </c>
      <c r="AD151" s="5" t="s">
        <v>514</v>
      </c>
      <c r="AE151" s="5" t="s">
        <v>42</v>
      </c>
      <c r="AG151" s="5" t="s">
        <v>394</v>
      </c>
    </row>
    <row r="152" spans="1:33" ht="10" customHeight="1" x14ac:dyDescent="0.2">
      <c r="A152" s="5" t="s">
        <v>40</v>
      </c>
      <c r="B152" s="5" t="s">
        <v>41</v>
      </c>
      <c r="D152" s="5" t="s">
        <v>518</v>
      </c>
      <c r="E152" s="10" t="s">
        <v>345</v>
      </c>
      <c r="F152" s="5" t="s">
        <v>54</v>
      </c>
      <c r="G152" s="5" t="s">
        <v>464</v>
      </c>
      <c r="I152" s="11">
        <v>1</v>
      </c>
      <c r="J152" s="5" t="s">
        <v>45</v>
      </c>
      <c r="K152" s="10" t="s">
        <v>46</v>
      </c>
      <c r="L152" s="5" t="s">
        <v>47</v>
      </c>
      <c r="M152" s="5" t="s">
        <v>48</v>
      </c>
      <c r="N152" s="5" t="s">
        <v>49</v>
      </c>
      <c r="O152" s="12"/>
      <c r="P152" s="13">
        <v>7506</v>
      </c>
      <c r="S152" s="13">
        <v>7810</v>
      </c>
      <c r="U152" s="13">
        <v>7810</v>
      </c>
      <c r="AC152" s="10" t="s">
        <v>519</v>
      </c>
      <c r="AD152" s="5" t="s">
        <v>514</v>
      </c>
      <c r="AE152" s="5" t="s">
        <v>42</v>
      </c>
      <c r="AG152" s="5" t="s">
        <v>520</v>
      </c>
    </row>
    <row r="153" spans="1:33" ht="10" customHeight="1" x14ac:dyDescent="0.2">
      <c r="A153" s="5" t="s">
        <v>40</v>
      </c>
      <c r="B153" s="5" t="s">
        <v>41</v>
      </c>
      <c r="D153" s="5" t="s">
        <v>521</v>
      </c>
      <c r="E153" s="10" t="s">
        <v>345</v>
      </c>
      <c r="F153" s="5" t="s">
        <v>54</v>
      </c>
      <c r="G153" s="5" t="s">
        <v>464</v>
      </c>
      <c r="I153" s="11">
        <v>1</v>
      </c>
      <c r="J153" s="5" t="s">
        <v>45</v>
      </c>
      <c r="K153" s="10" t="s">
        <v>46</v>
      </c>
      <c r="L153" s="5" t="s">
        <v>47</v>
      </c>
      <c r="M153" s="5" t="s">
        <v>48</v>
      </c>
      <c r="N153" s="5" t="s">
        <v>49</v>
      </c>
      <c r="O153" s="12"/>
      <c r="P153" s="13">
        <v>78187</v>
      </c>
      <c r="S153" s="13">
        <v>71372</v>
      </c>
      <c r="U153" s="13">
        <v>71372</v>
      </c>
      <c r="AC153" s="10" t="s">
        <v>522</v>
      </c>
      <c r="AD153" s="5" t="s">
        <v>523</v>
      </c>
      <c r="AE153" s="5" t="s">
        <v>42</v>
      </c>
      <c r="AG153" s="5" t="s">
        <v>524</v>
      </c>
    </row>
    <row r="154" spans="1:33" ht="10" customHeight="1" x14ac:dyDescent="0.2">
      <c r="A154" s="5" t="s">
        <v>40</v>
      </c>
      <c r="B154" s="5" t="s">
        <v>41</v>
      </c>
      <c r="D154" s="5" t="s">
        <v>525</v>
      </c>
      <c r="E154" s="10" t="s">
        <v>345</v>
      </c>
      <c r="F154" s="5" t="s">
        <v>54</v>
      </c>
      <c r="G154" s="5" t="s">
        <v>464</v>
      </c>
      <c r="I154" s="11">
        <v>1</v>
      </c>
      <c r="J154" s="5" t="s">
        <v>45</v>
      </c>
      <c r="K154" s="10" t="s">
        <v>46</v>
      </c>
      <c r="L154" s="5" t="s">
        <v>47</v>
      </c>
      <c r="M154" s="5" t="s">
        <v>48</v>
      </c>
      <c r="N154" s="5" t="s">
        <v>49</v>
      </c>
      <c r="O154" s="12"/>
      <c r="P154" s="13">
        <v>10056</v>
      </c>
      <c r="S154" s="13">
        <v>8044</v>
      </c>
      <c r="U154" s="13">
        <v>8044</v>
      </c>
      <c r="AC154" s="10" t="s">
        <v>526</v>
      </c>
      <c r="AD154" s="5" t="s">
        <v>523</v>
      </c>
      <c r="AE154" s="5" t="s">
        <v>42</v>
      </c>
      <c r="AG154" s="5" t="s">
        <v>422</v>
      </c>
    </row>
    <row r="155" spans="1:33" ht="10" customHeight="1" x14ac:dyDescent="0.2">
      <c r="A155" s="5" t="s">
        <v>40</v>
      </c>
      <c r="B155" s="5" t="s">
        <v>41</v>
      </c>
      <c r="D155" s="5" t="s">
        <v>527</v>
      </c>
      <c r="E155" s="10" t="s">
        <v>345</v>
      </c>
      <c r="F155" s="5" t="s">
        <v>54</v>
      </c>
      <c r="G155" s="5" t="s">
        <v>464</v>
      </c>
      <c r="I155" s="11">
        <v>1</v>
      </c>
      <c r="J155" s="5" t="s">
        <v>45</v>
      </c>
      <c r="K155" s="10" t="s">
        <v>46</v>
      </c>
      <c r="L155" s="5" t="s">
        <v>47</v>
      </c>
      <c r="M155" s="5" t="s">
        <v>48</v>
      </c>
      <c r="N155" s="5" t="s">
        <v>49</v>
      </c>
      <c r="O155" s="12"/>
      <c r="P155" s="13">
        <v>7868</v>
      </c>
      <c r="S155" s="13">
        <v>7483</v>
      </c>
      <c r="U155" s="13">
        <v>7483</v>
      </c>
      <c r="AC155" s="10" t="s">
        <v>528</v>
      </c>
      <c r="AD155" s="5" t="s">
        <v>529</v>
      </c>
      <c r="AE155" s="5" t="s">
        <v>42</v>
      </c>
    </row>
    <row r="156" spans="1:33" ht="10" customHeight="1" x14ac:dyDescent="0.2">
      <c r="A156" s="5" t="s">
        <v>40</v>
      </c>
      <c r="B156" s="5" t="s">
        <v>41</v>
      </c>
      <c r="D156" s="5" t="s">
        <v>530</v>
      </c>
      <c r="E156" s="10" t="s">
        <v>345</v>
      </c>
      <c r="F156" s="5" t="s">
        <v>54</v>
      </c>
      <c r="G156" s="5" t="s">
        <v>464</v>
      </c>
      <c r="I156" s="11">
        <v>1</v>
      </c>
      <c r="J156" s="5" t="s">
        <v>45</v>
      </c>
      <c r="K156" s="10" t="s">
        <v>46</v>
      </c>
      <c r="L156" s="5" t="s">
        <v>47</v>
      </c>
      <c r="M156" s="5" t="s">
        <v>48</v>
      </c>
      <c r="N156" s="5" t="s">
        <v>49</v>
      </c>
      <c r="O156" s="12"/>
      <c r="P156" s="13">
        <v>1623</v>
      </c>
      <c r="S156" s="13">
        <v>309</v>
      </c>
      <c r="U156" s="13">
        <v>309</v>
      </c>
      <c r="AC156" s="10" t="s">
        <v>531</v>
      </c>
      <c r="AD156" s="5" t="s">
        <v>529</v>
      </c>
      <c r="AE156" s="5" t="s">
        <v>42</v>
      </c>
    </row>
    <row r="157" spans="1:33" ht="10" customHeight="1" x14ac:dyDescent="0.2">
      <c r="A157" s="5" t="s">
        <v>40</v>
      </c>
      <c r="B157" s="5" t="s">
        <v>41</v>
      </c>
      <c r="D157" s="5" t="s">
        <v>532</v>
      </c>
      <c r="E157" s="10" t="s">
        <v>345</v>
      </c>
      <c r="F157" s="5" t="s">
        <v>54</v>
      </c>
      <c r="G157" s="5" t="s">
        <v>464</v>
      </c>
      <c r="I157" s="11">
        <v>1</v>
      </c>
      <c r="J157" s="5" t="s">
        <v>45</v>
      </c>
      <c r="K157" s="10" t="s">
        <v>46</v>
      </c>
      <c r="L157" s="5" t="s">
        <v>47</v>
      </c>
      <c r="M157" s="5" t="s">
        <v>48</v>
      </c>
      <c r="N157" s="5" t="s">
        <v>49</v>
      </c>
      <c r="O157" s="12"/>
      <c r="P157" s="13">
        <v>386</v>
      </c>
      <c r="S157" s="13">
        <v>956</v>
      </c>
      <c r="U157" s="13">
        <v>956</v>
      </c>
      <c r="AC157" s="10" t="s">
        <v>533</v>
      </c>
      <c r="AD157" s="5" t="s">
        <v>529</v>
      </c>
      <c r="AE157" s="5" t="s">
        <v>42</v>
      </c>
    </row>
    <row r="158" spans="1:33" ht="10" customHeight="1" x14ac:dyDescent="0.2">
      <c r="A158" s="5" t="s">
        <v>40</v>
      </c>
      <c r="B158" s="5" t="s">
        <v>41</v>
      </c>
      <c r="D158" s="5" t="s">
        <v>534</v>
      </c>
      <c r="E158" s="10" t="s">
        <v>345</v>
      </c>
      <c r="F158" s="5" t="s">
        <v>54</v>
      </c>
      <c r="G158" s="5" t="s">
        <v>464</v>
      </c>
      <c r="I158" s="11">
        <v>1</v>
      </c>
      <c r="J158" s="5" t="s">
        <v>45</v>
      </c>
      <c r="K158" s="10" t="s">
        <v>46</v>
      </c>
      <c r="L158" s="5" t="s">
        <v>47</v>
      </c>
      <c r="M158" s="5" t="s">
        <v>48</v>
      </c>
      <c r="N158" s="5" t="s">
        <v>49</v>
      </c>
      <c r="O158" s="12"/>
      <c r="P158" s="13">
        <v>223582</v>
      </c>
      <c r="S158" s="13">
        <v>193789</v>
      </c>
      <c r="U158" s="13">
        <v>193789</v>
      </c>
      <c r="AC158" s="10" t="s">
        <v>535</v>
      </c>
      <c r="AD158" s="5" t="s">
        <v>536</v>
      </c>
      <c r="AE158" s="5" t="s">
        <v>42</v>
      </c>
      <c r="AG158" s="5" t="s">
        <v>537</v>
      </c>
    </row>
    <row r="159" spans="1:33" ht="10" customHeight="1" x14ac:dyDescent="0.2">
      <c r="A159" s="5" t="s">
        <v>40</v>
      </c>
      <c r="B159" s="5" t="s">
        <v>41</v>
      </c>
      <c r="D159" s="5" t="s">
        <v>538</v>
      </c>
      <c r="E159" s="10" t="s">
        <v>345</v>
      </c>
      <c r="F159" s="5" t="s">
        <v>54</v>
      </c>
      <c r="G159" s="5" t="s">
        <v>464</v>
      </c>
      <c r="I159" s="11">
        <v>1</v>
      </c>
      <c r="J159" s="5" t="s">
        <v>45</v>
      </c>
      <c r="K159" s="10" t="s">
        <v>46</v>
      </c>
      <c r="L159" s="5" t="s">
        <v>47</v>
      </c>
      <c r="M159" s="5" t="s">
        <v>48</v>
      </c>
      <c r="N159" s="5" t="s">
        <v>49</v>
      </c>
      <c r="O159" s="12"/>
      <c r="P159" s="13">
        <v>65822</v>
      </c>
      <c r="S159" s="13">
        <v>28922</v>
      </c>
      <c r="U159" s="13">
        <v>28922</v>
      </c>
      <c r="AC159" s="10" t="s">
        <v>539</v>
      </c>
      <c r="AD159" s="5" t="s">
        <v>536</v>
      </c>
      <c r="AE159" s="5" t="s">
        <v>42</v>
      </c>
      <c r="AG159" s="5" t="s">
        <v>441</v>
      </c>
    </row>
    <row r="160" spans="1:33" ht="10" customHeight="1" x14ac:dyDescent="0.2">
      <c r="A160" s="5" t="s">
        <v>40</v>
      </c>
      <c r="B160" s="5" t="s">
        <v>41</v>
      </c>
      <c r="D160" s="5" t="s">
        <v>540</v>
      </c>
      <c r="E160" s="10" t="s">
        <v>345</v>
      </c>
      <c r="F160" s="5" t="s">
        <v>54</v>
      </c>
      <c r="G160" s="5" t="s">
        <v>464</v>
      </c>
      <c r="I160" s="11">
        <v>1</v>
      </c>
      <c r="J160" s="5" t="s">
        <v>45</v>
      </c>
      <c r="K160" s="10" t="s">
        <v>46</v>
      </c>
      <c r="L160" s="5" t="s">
        <v>47</v>
      </c>
      <c r="M160" s="5" t="s">
        <v>48</v>
      </c>
      <c r="N160" s="5" t="s">
        <v>49</v>
      </c>
      <c r="O160" s="12"/>
      <c r="P160" s="13">
        <v>71295</v>
      </c>
      <c r="S160" s="13">
        <v>70108</v>
      </c>
      <c r="U160" s="13">
        <v>70108</v>
      </c>
      <c r="AC160" s="10" t="s">
        <v>541</v>
      </c>
      <c r="AD160" s="5" t="s">
        <v>542</v>
      </c>
      <c r="AE160" s="5" t="s">
        <v>42</v>
      </c>
      <c r="AG160" s="5" t="s">
        <v>543</v>
      </c>
    </row>
    <row r="161" spans="1:33" ht="10" customHeight="1" x14ac:dyDescent="0.2">
      <c r="A161" s="5" t="s">
        <v>40</v>
      </c>
      <c r="B161" s="5" t="s">
        <v>41</v>
      </c>
      <c r="D161" s="5" t="s">
        <v>544</v>
      </c>
      <c r="E161" s="10" t="s">
        <v>345</v>
      </c>
      <c r="F161" s="5" t="s">
        <v>54</v>
      </c>
      <c r="G161" s="5" t="s">
        <v>464</v>
      </c>
      <c r="I161" s="11">
        <v>1</v>
      </c>
      <c r="J161" s="5" t="s">
        <v>45</v>
      </c>
      <c r="K161" s="10" t="s">
        <v>46</v>
      </c>
      <c r="L161" s="5" t="s">
        <v>47</v>
      </c>
      <c r="M161" s="5" t="s">
        <v>48</v>
      </c>
      <c r="N161" s="5" t="s">
        <v>49</v>
      </c>
      <c r="O161" s="12"/>
      <c r="P161" s="13">
        <v>57861</v>
      </c>
      <c r="S161" s="13">
        <v>35004</v>
      </c>
      <c r="U161" s="13">
        <v>35004</v>
      </c>
      <c r="AC161" s="10" t="s">
        <v>545</v>
      </c>
      <c r="AD161" s="5" t="s">
        <v>542</v>
      </c>
      <c r="AE161" s="5" t="s">
        <v>42</v>
      </c>
      <c r="AG161" s="5" t="s">
        <v>444</v>
      </c>
    </row>
    <row r="162" spans="1:33" ht="10" customHeight="1" x14ac:dyDescent="0.2">
      <c r="A162" s="5" t="s">
        <v>40</v>
      </c>
      <c r="B162" s="5" t="s">
        <v>41</v>
      </c>
      <c r="D162" s="5" t="s">
        <v>546</v>
      </c>
      <c r="E162" s="10" t="s">
        <v>345</v>
      </c>
      <c r="F162" s="5" t="s">
        <v>54</v>
      </c>
      <c r="G162" s="5" t="s">
        <v>464</v>
      </c>
      <c r="I162" s="11">
        <v>1</v>
      </c>
      <c r="J162" s="5" t="s">
        <v>45</v>
      </c>
      <c r="K162" s="10" t="s">
        <v>46</v>
      </c>
      <c r="L162" s="5" t="s">
        <v>47</v>
      </c>
      <c r="M162" s="5" t="s">
        <v>48</v>
      </c>
      <c r="N162" s="5" t="s">
        <v>49</v>
      </c>
      <c r="O162" s="12"/>
      <c r="P162" s="13">
        <v>31266</v>
      </c>
      <c r="S162" s="13">
        <v>27220</v>
      </c>
      <c r="U162" s="13">
        <v>27220</v>
      </c>
      <c r="AC162" s="10" t="s">
        <v>547</v>
      </c>
      <c r="AD162" s="5" t="s">
        <v>548</v>
      </c>
      <c r="AE162" s="5" t="s">
        <v>42</v>
      </c>
      <c r="AG162" s="5" t="s">
        <v>549</v>
      </c>
    </row>
    <row r="163" spans="1:33" ht="10" customHeight="1" x14ac:dyDescent="0.2">
      <c r="A163" s="5" t="s">
        <v>40</v>
      </c>
      <c r="B163" s="5" t="s">
        <v>41</v>
      </c>
      <c r="D163" s="5" t="s">
        <v>550</v>
      </c>
      <c r="E163" s="10" t="s">
        <v>345</v>
      </c>
      <c r="F163" s="5" t="s">
        <v>54</v>
      </c>
      <c r="G163" s="5" t="s">
        <v>464</v>
      </c>
      <c r="I163" s="11">
        <v>1</v>
      </c>
      <c r="J163" s="5" t="s">
        <v>45</v>
      </c>
      <c r="K163" s="10" t="s">
        <v>46</v>
      </c>
      <c r="L163" s="5" t="s">
        <v>47</v>
      </c>
      <c r="M163" s="5" t="s">
        <v>48</v>
      </c>
      <c r="N163" s="5" t="s">
        <v>49</v>
      </c>
      <c r="O163" s="12"/>
      <c r="P163" s="13">
        <v>18695</v>
      </c>
      <c r="S163" s="13">
        <v>10223</v>
      </c>
      <c r="U163" s="13">
        <v>10223</v>
      </c>
      <c r="AC163" s="10" t="s">
        <v>551</v>
      </c>
      <c r="AD163" s="5" t="s">
        <v>548</v>
      </c>
      <c r="AE163" s="5" t="s">
        <v>42</v>
      </c>
      <c r="AG163" s="5" t="s">
        <v>447</v>
      </c>
    </row>
    <row r="164" spans="1:33" ht="10" customHeight="1" x14ac:dyDescent="0.2">
      <c r="A164" s="5" t="s">
        <v>40</v>
      </c>
      <c r="B164" s="5" t="s">
        <v>41</v>
      </c>
      <c r="D164" s="5" t="s">
        <v>552</v>
      </c>
      <c r="E164" s="10" t="s">
        <v>53</v>
      </c>
      <c r="F164" s="5" t="s">
        <v>553</v>
      </c>
      <c r="I164" s="11">
        <v>1</v>
      </c>
      <c r="J164" s="5" t="s">
        <v>60</v>
      </c>
      <c r="K164" s="10" t="s">
        <v>46</v>
      </c>
      <c r="L164" s="5" t="s">
        <v>47</v>
      </c>
      <c r="M164" s="5" t="s">
        <v>48</v>
      </c>
      <c r="N164" s="5" t="s">
        <v>49</v>
      </c>
      <c r="O164" s="12"/>
      <c r="P164" s="13">
        <v>2355000</v>
      </c>
      <c r="Q164" s="13">
        <v>1954000</v>
      </c>
      <c r="S164" s="13">
        <v>1352000</v>
      </c>
      <c r="U164" s="13">
        <v>1352000</v>
      </c>
      <c r="AC164" s="10" t="s">
        <v>554</v>
      </c>
      <c r="AD164" s="5" t="s">
        <v>62</v>
      </c>
      <c r="AE164" s="5" t="s">
        <v>42</v>
      </c>
      <c r="AG164" s="5" t="s">
        <v>555</v>
      </c>
    </row>
    <row r="165" spans="1:33" ht="10" customHeight="1" x14ac:dyDescent="0.2">
      <c r="A165" s="5" t="s">
        <v>40</v>
      </c>
      <c r="B165" s="5" t="s">
        <v>41</v>
      </c>
      <c r="D165" s="5" t="s">
        <v>556</v>
      </c>
      <c r="E165" s="10" t="s">
        <v>53</v>
      </c>
      <c r="F165" s="5" t="s">
        <v>553</v>
      </c>
      <c r="I165" s="11">
        <v>1</v>
      </c>
      <c r="J165" s="5" t="s">
        <v>60</v>
      </c>
      <c r="K165" s="10" t="s">
        <v>46</v>
      </c>
      <c r="L165" s="5" t="s">
        <v>47</v>
      </c>
      <c r="M165" s="5" t="s">
        <v>48</v>
      </c>
      <c r="N165" s="5" t="s">
        <v>49</v>
      </c>
      <c r="O165" s="12"/>
      <c r="Q165" s="13">
        <v>70000</v>
      </c>
      <c r="S165" s="13">
        <v>0</v>
      </c>
      <c r="U165" s="13">
        <v>0</v>
      </c>
      <c r="AC165" s="10" t="s">
        <v>557</v>
      </c>
      <c r="AD165" s="5" t="s">
        <v>62</v>
      </c>
      <c r="AE165" s="5" t="s">
        <v>42</v>
      </c>
      <c r="AG165" s="5" t="s">
        <v>558</v>
      </c>
    </row>
    <row r="166" spans="1:33" ht="10" customHeight="1" x14ac:dyDescent="0.2">
      <c r="A166" s="5" t="s">
        <v>40</v>
      </c>
      <c r="B166" s="5" t="s">
        <v>41</v>
      </c>
      <c r="D166" s="5" t="s">
        <v>559</v>
      </c>
      <c r="E166" s="10" t="s">
        <v>53</v>
      </c>
      <c r="F166" s="5" t="s">
        <v>553</v>
      </c>
      <c r="I166" s="11">
        <v>1</v>
      </c>
      <c r="J166" s="5" t="s">
        <v>60</v>
      </c>
      <c r="K166" s="10" t="s">
        <v>46</v>
      </c>
      <c r="L166" s="5" t="s">
        <v>47</v>
      </c>
      <c r="M166" s="5" t="s">
        <v>48</v>
      </c>
      <c r="N166" s="5" t="s">
        <v>49</v>
      </c>
      <c r="O166" s="12"/>
      <c r="Q166" s="13">
        <v>53189</v>
      </c>
      <c r="S166" s="13">
        <v>51989</v>
      </c>
      <c r="U166" s="13">
        <v>51989</v>
      </c>
      <c r="AC166" s="10" t="s">
        <v>560</v>
      </c>
      <c r="AD166" s="5" t="s">
        <v>62</v>
      </c>
      <c r="AE166" s="5" t="s">
        <v>42</v>
      </c>
      <c r="AG166" s="5" t="s">
        <v>561</v>
      </c>
    </row>
    <row r="167" spans="1:33" ht="10" customHeight="1" x14ac:dyDescent="0.2">
      <c r="A167" s="5" t="s">
        <v>40</v>
      </c>
      <c r="B167" s="5" t="s">
        <v>41</v>
      </c>
      <c r="D167" s="5" t="s">
        <v>562</v>
      </c>
      <c r="E167" s="10" t="s">
        <v>53</v>
      </c>
      <c r="F167" s="5" t="s">
        <v>553</v>
      </c>
      <c r="I167" s="11">
        <v>1</v>
      </c>
      <c r="J167" s="5" t="s">
        <v>60</v>
      </c>
      <c r="K167" s="10" t="s">
        <v>46</v>
      </c>
      <c r="L167" s="5" t="s">
        <v>47</v>
      </c>
      <c r="M167" s="5" t="s">
        <v>48</v>
      </c>
      <c r="N167" s="5" t="s">
        <v>49</v>
      </c>
      <c r="O167" s="12"/>
      <c r="S167" s="13">
        <v>3260</v>
      </c>
      <c r="U167" s="13">
        <v>3260</v>
      </c>
      <c r="AC167" s="10" t="s">
        <v>563</v>
      </c>
      <c r="AD167" s="5" t="s">
        <v>62</v>
      </c>
      <c r="AE167" s="5" t="s">
        <v>42</v>
      </c>
      <c r="AG167" s="5" t="s">
        <v>564</v>
      </c>
    </row>
    <row r="168" spans="1:33" ht="10" customHeight="1" x14ac:dyDescent="0.2">
      <c r="A168" s="5" t="s">
        <v>40</v>
      </c>
      <c r="B168" s="5" t="s">
        <v>41</v>
      </c>
      <c r="D168" s="5" t="s">
        <v>565</v>
      </c>
      <c r="E168" s="10" t="s">
        <v>53</v>
      </c>
      <c r="F168" s="5" t="s">
        <v>553</v>
      </c>
      <c r="I168" s="11">
        <v>1</v>
      </c>
      <c r="J168" s="5" t="s">
        <v>60</v>
      </c>
      <c r="K168" s="10" t="s">
        <v>46</v>
      </c>
      <c r="L168" s="5" t="s">
        <v>47</v>
      </c>
      <c r="M168" s="5" t="s">
        <v>48</v>
      </c>
      <c r="N168" s="5" t="s">
        <v>49</v>
      </c>
      <c r="O168" s="12"/>
      <c r="S168" s="13">
        <v>0</v>
      </c>
      <c r="U168" s="13">
        <v>0</v>
      </c>
      <c r="AC168" s="10" t="s">
        <v>566</v>
      </c>
      <c r="AD168" s="5" t="s">
        <v>62</v>
      </c>
      <c r="AE168" s="5" t="s">
        <v>42</v>
      </c>
      <c r="AG168" s="5" t="s">
        <v>567</v>
      </c>
    </row>
    <row r="169" spans="1:33" ht="10" customHeight="1" x14ac:dyDescent="0.2">
      <c r="A169" s="5" t="s">
        <v>40</v>
      </c>
      <c r="B169" s="5" t="s">
        <v>41</v>
      </c>
      <c r="D169" s="5" t="s">
        <v>568</v>
      </c>
      <c r="E169" s="10" t="s">
        <v>53</v>
      </c>
      <c r="F169" s="5" t="s">
        <v>553</v>
      </c>
      <c r="I169" s="11">
        <v>1</v>
      </c>
      <c r="J169" s="5" t="s">
        <v>60</v>
      </c>
      <c r="K169" s="10" t="s">
        <v>46</v>
      </c>
      <c r="L169" s="5" t="s">
        <v>47</v>
      </c>
      <c r="M169" s="5" t="s">
        <v>48</v>
      </c>
      <c r="N169" s="5" t="s">
        <v>49</v>
      </c>
      <c r="O169" s="12"/>
      <c r="S169" s="13">
        <v>0</v>
      </c>
      <c r="U169" s="13">
        <v>0</v>
      </c>
      <c r="AC169" s="10" t="s">
        <v>569</v>
      </c>
      <c r="AD169" s="5" t="s">
        <v>62</v>
      </c>
      <c r="AE169" s="5" t="s">
        <v>42</v>
      </c>
      <c r="AG169" s="5" t="s">
        <v>570</v>
      </c>
    </row>
    <row r="170" spans="1:33" ht="10" customHeight="1" x14ac:dyDescent="0.2">
      <c r="A170" s="5" t="s">
        <v>40</v>
      </c>
      <c r="B170" s="5" t="s">
        <v>41</v>
      </c>
      <c r="D170" s="5" t="s">
        <v>571</v>
      </c>
      <c r="E170" s="10" t="s">
        <v>53</v>
      </c>
      <c r="F170" s="5" t="s">
        <v>553</v>
      </c>
      <c r="I170" s="11">
        <v>1</v>
      </c>
      <c r="J170" s="5" t="s">
        <v>60</v>
      </c>
      <c r="K170" s="10" t="s">
        <v>46</v>
      </c>
      <c r="L170" s="5" t="s">
        <v>47</v>
      </c>
      <c r="M170" s="5" t="s">
        <v>48</v>
      </c>
      <c r="N170" s="5" t="s">
        <v>49</v>
      </c>
      <c r="O170" s="12"/>
      <c r="S170" s="13">
        <v>0</v>
      </c>
      <c r="U170" s="13">
        <v>0</v>
      </c>
      <c r="AC170" s="10" t="s">
        <v>572</v>
      </c>
      <c r="AD170" s="5" t="s">
        <v>62</v>
      </c>
      <c r="AE170" s="5" t="s">
        <v>42</v>
      </c>
      <c r="AG170" s="5" t="s">
        <v>573</v>
      </c>
    </row>
    <row r="171" spans="1:33" ht="10" customHeight="1" x14ac:dyDescent="0.2">
      <c r="A171" s="5" t="s">
        <v>40</v>
      </c>
      <c r="B171" s="5" t="s">
        <v>41</v>
      </c>
      <c r="D171" s="5" t="s">
        <v>574</v>
      </c>
      <c r="E171" s="10" t="s">
        <v>53</v>
      </c>
      <c r="F171" s="5" t="s">
        <v>553</v>
      </c>
      <c r="I171" s="11">
        <v>1</v>
      </c>
      <c r="J171" s="5" t="s">
        <v>60</v>
      </c>
      <c r="K171" s="10" t="s">
        <v>46</v>
      </c>
      <c r="L171" s="5" t="s">
        <v>47</v>
      </c>
      <c r="M171" s="5" t="s">
        <v>48</v>
      </c>
      <c r="N171" s="5" t="s">
        <v>49</v>
      </c>
      <c r="O171" s="12"/>
      <c r="S171" s="13">
        <v>0</v>
      </c>
      <c r="U171" s="13">
        <v>0</v>
      </c>
      <c r="AC171" s="10" t="s">
        <v>575</v>
      </c>
      <c r="AD171" s="5" t="s">
        <v>62</v>
      </c>
      <c r="AE171" s="5" t="s">
        <v>42</v>
      </c>
      <c r="AG171" s="5" t="s">
        <v>576</v>
      </c>
    </row>
    <row r="172" spans="1:33" ht="10" customHeight="1" x14ac:dyDescent="0.2">
      <c r="A172" s="5" t="s">
        <v>40</v>
      </c>
      <c r="B172" s="5" t="s">
        <v>41</v>
      </c>
      <c r="D172" s="5" t="s">
        <v>577</v>
      </c>
      <c r="E172" s="10" t="s">
        <v>53</v>
      </c>
      <c r="F172" s="5" t="s">
        <v>553</v>
      </c>
      <c r="I172" s="11">
        <v>1</v>
      </c>
      <c r="J172" s="5" t="s">
        <v>60</v>
      </c>
      <c r="K172" s="10" t="s">
        <v>46</v>
      </c>
      <c r="L172" s="5" t="s">
        <v>47</v>
      </c>
      <c r="M172" s="5" t="s">
        <v>48</v>
      </c>
      <c r="N172" s="5" t="s">
        <v>49</v>
      </c>
      <c r="O172" s="12"/>
      <c r="S172" s="13">
        <v>0</v>
      </c>
      <c r="U172" s="13">
        <v>0</v>
      </c>
      <c r="AC172" s="10" t="s">
        <v>578</v>
      </c>
      <c r="AD172" s="5" t="s">
        <v>62</v>
      </c>
      <c r="AE172" s="5" t="s">
        <v>42</v>
      </c>
      <c r="AG172" s="5" t="s">
        <v>579</v>
      </c>
    </row>
    <row r="173" spans="1:33" ht="10" customHeight="1" x14ac:dyDescent="0.2">
      <c r="A173" s="5" t="s">
        <v>40</v>
      </c>
      <c r="B173" s="5" t="s">
        <v>41</v>
      </c>
      <c r="D173" s="5" t="s">
        <v>580</v>
      </c>
      <c r="E173" s="10" t="s">
        <v>53</v>
      </c>
      <c r="F173" s="5" t="s">
        <v>553</v>
      </c>
      <c r="I173" s="11">
        <v>1</v>
      </c>
      <c r="J173" s="5" t="s">
        <v>60</v>
      </c>
      <c r="K173" s="10" t="s">
        <v>46</v>
      </c>
      <c r="L173" s="5" t="s">
        <v>47</v>
      </c>
      <c r="M173" s="5" t="s">
        <v>48</v>
      </c>
      <c r="N173" s="5" t="s">
        <v>49</v>
      </c>
      <c r="O173" s="12"/>
      <c r="P173" s="13">
        <v>192009</v>
      </c>
      <c r="Q173" s="13">
        <v>495224</v>
      </c>
      <c r="S173" s="13">
        <v>0</v>
      </c>
      <c r="U173" s="13">
        <v>0</v>
      </c>
      <c r="AC173" s="10" t="s">
        <v>581</v>
      </c>
      <c r="AD173" s="5" t="s">
        <v>62</v>
      </c>
      <c r="AE173" s="5" t="s">
        <v>42</v>
      </c>
      <c r="AG173" s="5" t="s">
        <v>558</v>
      </c>
    </row>
    <row r="174" spans="1:33" ht="10" customHeight="1" x14ac:dyDescent="0.2">
      <c r="A174" s="5" t="s">
        <v>40</v>
      </c>
      <c r="B174" s="5" t="s">
        <v>41</v>
      </c>
      <c r="D174" s="5" t="s">
        <v>582</v>
      </c>
      <c r="E174" s="10" t="s">
        <v>53</v>
      </c>
      <c r="F174" s="5" t="s">
        <v>553</v>
      </c>
      <c r="I174" s="11">
        <v>1</v>
      </c>
      <c r="J174" s="5" t="s">
        <v>60</v>
      </c>
      <c r="K174" s="10" t="s">
        <v>46</v>
      </c>
      <c r="L174" s="5" t="s">
        <v>47</v>
      </c>
      <c r="M174" s="5" t="s">
        <v>48</v>
      </c>
      <c r="N174" s="5" t="s">
        <v>49</v>
      </c>
      <c r="O174" s="12"/>
      <c r="P174" s="13">
        <v>172948</v>
      </c>
      <c r="Q174" s="13">
        <v>121403</v>
      </c>
      <c r="S174" s="13">
        <v>203000</v>
      </c>
      <c r="U174" s="13">
        <v>203000</v>
      </c>
      <c r="AC174" s="10" t="s">
        <v>583</v>
      </c>
      <c r="AD174" s="5" t="s">
        <v>62</v>
      </c>
      <c r="AE174" s="5" t="s">
        <v>42</v>
      </c>
      <c r="AG174" s="5" t="s">
        <v>561</v>
      </c>
    </row>
    <row r="175" spans="1:33" ht="10" customHeight="1" x14ac:dyDescent="0.2">
      <c r="A175" s="5" t="s">
        <v>40</v>
      </c>
      <c r="B175" s="5" t="s">
        <v>41</v>
      </c>
      <c r="D175" s="5" t="s">
        <v>584</v>
      </c>
      <c r="E175" s="10" t="s">
        <v>53</v>
      </c>
      <c r="F175" s="5" t="s">
        <v>553</v>
      </c>
      <c r="I175" s="11">
        <v>1</v>
      </c>
      <c r="J175" s="5" t="s">
        <v>60</v>
      </c>
      <c r="K175" s="10" t="s">
        <v>46</v>
      </c>
      <c r="L175" s="5" t="s">
        <v>47</v>
      </c>
      <c r="M175" s="5" t="s">
        <v>48</v>
      </c>
      <c r="N175" s="5" t="s">
        <v>49</v>
      </c>
      <c r="O175" s="12"/>
      <c r="Q175" s="13">
        <v>193773</v>
      </c>
      <c r="S175" s="13">
        <v>150730</v>
      </c>
      <c r="U175" s="13">
        <v>150730</v>
      </c>
      <c r="AC175" s="10" t="s">
        <v>585</v>
      </c>
      <c r="AD175" s="5" t="s">
        <v>62</v>
      </c>
      <c r="AE175" s="5" t="s">
        <v>42</v>
      </c>
      <c r="AG175" s="5" t="s">
        <v>564</v>
      </c>
    </row>
    <row r="176" spans="1:33" ht="10" customHeight="1" x14ac:dyDescent="0.2">
      <c r="A176" s="5" t="s">
        <v>40</v>
      </c>
      <c r="B176" s="5" t="s">
        <v>41</v>
      </c>
      <c r="D176" s="5" t="s">
        <v>586</v>
      </c>
      <c r="E176" s="10" t="s">
        <v>53</v>
      </c>
      <c r="F176" s="5" t="s">
        <v>553</v>
      </c>
      <c r="I176" s="11">
        <v>1</v>
      </c>
      <c r="J176" s="5" t="s">
        <v>60</v>
      </c>
      <c r="K176" s="10" t="s">
        <v>46</v>
      </c>
      <c r="L176" s="5" t="s">
        <v>47</v>
      </c>
      <c r="M176" s="5" t="s">
        <v>48</v>
      </c>
      <c r="N176" s="5" t="s">
        <v>49</v>
      </c>
      <c r="O176" s="12"/>
      <c r="S176" s="13">
        <v>161523</v>
      </c>
      <c r="U176" s="13">
        <v>161523</v>
      </c>
      <c r="AC176" s="10" t="s">
        <v>587</v>
      </c>
      <c r="AD176" s="5" t="s">
        <v>62</v>
      </c>
      <c r="AE176" s="5" t="s">
        <v>42</v>
      </c>
      <c r="AG176" s="5" t="s">
        <v>567</v>
      </c>
    </row>
    <row r="177" spans="1:33" ht="10" customHeight="1" x14ac:dyDescent="0.2">
      <c r="A177" s="5" t="s">
        <v>40</v>
      </c>
      <c r="B177" s="5" t="s">
        <v>41</v>
      </c>
      <c r="D177" s="5" t="s">
        <v>588</v>
      </c>
      <c r="E177" s="10" t="s">
        <v>53</v>
      </c>
      <c r="F177" s="5" t="s">
        <v>553</v>
      </c>
      <c r="I177" s="11">
        <v>1</v>
      </c>
      <c r="J177" s="5" t="s">
        <v>60</v>
      </c>
      <c r="K177" s="10" t="s">
        <v>46</v>
      </c>
      <c r="L177" s="5" t="s">
        <v>47</v>
      </c>
      <c r="M177" s="5" t="s">
        <v>48</v>
      </c>
      <c r="N177" s="5" t="s">
        <v>49</v>
      </c>
      <c r="O177" s="12"/>
      <c r="S177" s="13">
        <v>0</v>
      </c>
      <c r="U177" s="13">
        <v>0</v>
      </c>
      <c r="AC177" s="10" t="s">
        <v>589</v>
      </c>
      <c r="AD177" s="5" t="s">
        <v>62</v>
      </c>
      <c r="AE177" s="5" t="s">
        <v>42</v>
      </c>
    </row>
    <row r="178" spans="1:33" ht="10" customHeight="1" x14ac:dyDescent="0.2">
      <c r="A178" s="5" t="s">
        <v>40</v>
      </c>
      <c r="B178" s="5" t="s">
        <v>41</v>
      </c>
      <c r="D178" s="5" t="s">
        <v>590</v>
      </c>
      <c r="E178" s="10" t="s">
        <v>53</v>
      </c>
      <c r="F178" s="5" t="s">
        <v>553</v>
      </c>
      <c r="I178" s="11">
        <v>1</v>
      </c>
      <c r="J178" s="5" t="s">
        <v>60</v>
      </c>
      <c r="K178" s="10" t="s">
        <v>46</v>
      </c>
      <c r="L178" s="5" t="s">
        <v>47</v>
      </c>
      <c r="M178" s="5" t="s">
        <v>48</v>
      </c>
      <c r="N178" s="5" t="s">
        <v>49</v>
      </c>
      <c r="O178" s="12"/>
      <c r="S178" s="13">
        <v>0</v>
      </c>
      <c r="U178" s="13">
        <v>0</v>
      </c>
      <c r="AC178" s="10" t="s">
        <v>591</v>
      </c>
      <c r="AD178" s="5" t="s">
        <v>62</v>
      </c>
      <c r="AE178" s="5" t="s">
        <v>42</v>
      </c>
    </row>
    <row r="179" spans="1:33" ht="10" customHeight="1" x14ac:dyDescent="0.2">
      <c r="A179" s="5" t="s">
        <v>40</v>
      </c>
      <c r="B179" s="5" t="s">
        <v>41</v>
      </c>
      <c r="D179" s="5" t="s">
        <v>592</v>
      </c>
      <c r="E179" s="10" t="s">
        <v>53</v>
      </c>
      <c r="F179" s="5" t="s">
        <v>553</v>
      </c>
      <c r="I179" s="11">
        <v>1</v>
      </c>
      <c r="J179" s="5" t="s">
        <v>60</v>
      </c>
      <c r="K179" s="10" t="s">
        <v>46</v>
      </c>
      <c r="L179" s="5" t="s">
        <v>47</v>
      </c>
      <c r="M179" s="5" t="s">
        <v>48</v>
      </c>
      <c r="N179" s="5" t="s">
        <v>49</v>
      </c>
      <c r="O179" s="12"/>
      <c r="S179" s="13">
        <v>0</v>
      </c>
      <c r="U179" s="13">
        <v>0</v>
      </c>
      <c r="AC179" s="10" t="s">
        <v>593</v>
      </c>
      <c r="AD179" s="5" t="s">
        <v>62</v>
      </c>
      <c r="AE179" s="5" t="s">
        <v>42</v>
      </c>
    </row>
    <row r="180" spans="1:33" ht="10" customHeight="1" x14ac:dyDescent="0.2">
      <c r="A180" s="5" t="s">
        <v>40</v>
      </c>
      <c r="B180" s="5" t="s">
        <v>41</v>
      </c>
      <c r="D180" s="5" t="s">
        <v>594</v>
      </c>
      <c r="E180" s="10" t="s">
        <v>53</v>
      </c>
      <c r="F180" s="5" t="s">
        <v>553</v>
      </c>
      <c r="I180" s="11">
        <v>1</v>
      </c>
      <c r="J180" s="5" t="s">
        <v>60</v>
      </c>
      <c r="K180" s="10" t="s">
        <v>46</v>
      </c>
      <c r="L180" s="5" t="s">
        <v>47</v>
      </c>
      <c r="M180" s="5" t="s">
        <v>48</v>
      </c>
      <c r="N180" s="5" t="s">
        <v>49</v>
      </c>
      <c r="O180" s="12"/>
      <c r="S180" s="13">
        <v>0</v>
      </c>
      <c r="U180" s="13">
        <v>0</v>
      </c>
      <c r="AC180" s="10" t="s">
        <v>595</v>
      </c>
      <c r="AD180" s="5" t="s">
        <v>62</v>
      </c>
      <c r="AE180" s="5" t="s">
        <v>42</v>
      </c>
      <c r="AG180" s="5" t="s">
        <v>596</v>
      </c>
    </row>
    <row r="181" spans="1:33" ht="10" customHeight="1" x14ac:dyDescent="0.2">
      <c r="A181" s="5" t="s">
        <v>40</v>
      </c>
      <c r="B181" s="5" t="s">
        <v>41</v>
      </c>
      <c r="D181" s="5" t="s">
        <v>597</v>
      </c>
      <c r="E181" s="10" t="s">
        <v>53</v>
      </c>
      <c r="F181" s="5" t="s">
        <v>553</v>
      </c>
      <c r="I181" s="11">
        <v>1</v>
      </c>
      <c r="J181" s="5" t="s">
        <v>60</v>
      </c>
      <c r="K181" s="10" t="s">
        <v>46</v>
      </c>
      <c r="L181" s="5" t="s">
        <v>47</v>
      </c>
      <c r="M181" s="5" t="s">
        <v>48</v>
      </c>
      <c r="N181" s="5" t="s">
        <v>49</v>
      </c>
      <c r="O181" s="12"/>
      <c r="S181" s="13">
        <v>0</v>
      </c>
      <c r="U181" s="13">
        <v>0</v>
      </c>
      <c r="AC181" s="10" t="s">
        <v>598</v>
      </c>
      <c r="AD181" s="5" t="s">
        <v>62</v>
      </c>
      <c r="AE181" s="5" t="s">
        <v>42</v>
      </c>
    </row>
    <row r="182" spans="1:33" ht="10" customHeight="1" x14ac:dyDescent="0.2">
      <c r="A182" s="5" t="s">
        <v>40</v>
      </c>
      <c r="B182" s="5" t="s">
        <v>41</v>
      </c>
      <c r="D182" s="5" t="s">
        <v>599</v>
      </c>
      <c r="E182" s="10" t="s">
        <v>53</v>
      </c>
      <c r="F182" s="5" t="s">
        <v>553</v>
      </c>
      <c r="I182" s="11">
        <v>1</v>
      </c>
      <c r="J182" s="5" t="s">
        <v>60</v>
      </c>
      <c r="K182" s="10" t="s">
        <v>46</v>
      </c>
      <c r="L182" s="5" t="s">
        <v>47</v>
      </c>
      <c r="M182" s="5" t="s">
        <v>48</v>
      </c>
      <c r="N182" s="5" t="s">
        <v>49</v>
      </c>
      <c r="O182" s="12"/>
      <c r="P182" s="13">
        <v>33104</v>
      </c>
      <c r="S182" s="13">
        <v>0</v>
      </c>
      <c r="U182" s="13">
        <v>0</v>
      </c>
      <c r="AC182" s="10" t="s">
        <v>600</v>
      </c>
      <c r="AD182" s="5" t="s">
        <v>62</v>
      </c>
      <c r="AE182" s="5" t="s">
        <v>42</v>
      </c>
      <c r="AG182" s="5" t="s">
        <v>558</v>
      </c>
    </row>
    <row r="183" spans="1:33" ht="10" customHeight="1" x14ac:dyDescent="0.2">
      <c r="A183" s="5" t="s">
        <v>40</v>
      </c>
      <c r="B183" s="5" t="s">
        <v>41</v>
      </c>
      <c r="D183" s="5" t="s">
        <v>601</v>
      </c>
      <c r="E183" s="10" t="s">
        <v>53</v>
      </c>
      <c r="F183" s="5" t="s">
        <v>553</v>
      </c>
      <c r="I183" s="11">
        <v>1</v>
      </c>
      <c r="J183" s="5" t="s">
        <v>60</v>
      </c>
      <c r="K183" s="10" t="s">
        <v>46</v>
      </c>
      <c r="L183" s="5" t="s">
        <v>47</v>
      </c>
      <c r="M183" s="5" t="s">
        <v>48</v>
      </c>
      <c r="N183" s="5" t="s">
        <v>49</v>
      </c>
      <c r="O183" s="12"/>
      <c r="P183" s="13">
        <v>58909</v>
      </c>
      <c r="S183" s="13">
        <v>0</v>
      </c>
      <c r="U183" s="13">
        <v>0</v>
      </c>
      <c r="AC183" s="10" t="s">
        <v>602</v>
      </c>
      <c r="AD183" s="5" t="s">
        <v>62</v>
      </c>
      <c r="AE183" s="5" t="s">
        <v>42</v>
      </c>
      <c r="AG183" s="5" t="s">
        <v>561</v>
      </c>
    </row>
    <row r="184" spans="1:33" ht="10" customHeight="1" x14ac:dyDescent="0.2">
      <c r="A184" s="5" t="s">
        <v>40</v>
      </c>
      <c r="B184" s="5" t="s">
        <v>41</v>
      </c>
      <c r="D184" s="5" t="s">
        <v>603</v>
      </c>
      <c r="E184" s="10" t="s">
        <v>53</v>
      </c>
      <c r="F184" s="5" t="s">
        <v>553</v>
      </c>
      <c r="I184" s="11">
        <v>1</v>
      </c>
      <c r="J184" s="5" t="s">
        <v>60</v>
      </c>
      <c r="K184" s="10" t="s">
        <v>46</v>
      </c>
      <c r="L184" s="5" t="s">
        <v>47</v>
      </c>
      <c r="M184" s="5" t="s">
        <v>48</v>
      </c>
      <c r="N184" s="5" t="s">
        <v>49</v>
      </c>
      <c r="O184" s="12"/>
      <c r="P184" s="13">
        <v>63393</v>
      </c>
      <c r="Q184" s="13">
        <v>133496</v>
      </c>
      <c r="S184" s="13">
        <v>36374</v>
      </c>
      <c r="U184" s="13">
        <v>36374</v>
      </c>
      <c r="AC184" s="10" t="s">
        <v>604</v>
      </c>
      <c r="AD184" s="5" t="s">
        <v>62</v>
      </c>
      <c r="AE184" s="5" t="s">
        <v>42</v>
      </c>
      <c r="AG184" s="5" t="s">
        <v>564</v>
      </c>
    </row>
    <row r="185" spans="1:33" ht="10" customHeight="1" x14ac:dyDescent="0.2">
      <c r="A185" s="5" t="s">
        <v>40</v>
      </c>
      <c r="B185" s="5" t="s">
        <v>41</v>
      </c>
      <c r="D185" s="5" t="s">
        <v>605</v>
      </c>
      <c r="E185" s="10" t="s">
        <v>53</v>
      </c>
      <c r="F185" s="5" t="s">
        <v>553</v>
      </c>
      <c r="I185" s="11">
        <v>1</v>
      </c>
      <c r="J185" s="5" t="s">
        <v>60</v>
      </c>
      <c r="K185" s="10" t="s">
        <v>46</v>
      </c>
      <c r="L185" s="5" t="s">
        <v>47</v>
      </c>
      <c r="M185" s="5" t="s">
        <v>48</v>
      </c>
      <c r="N185" s="5" t="s">
        <v>49</v>
      </c>
      <c r="O185" s="12"/>
      <c r="P185" s="13">
        <v>18730</v>
      </c>
      <c r="Q185" s="13">
        <v>63059</v>
      </c>
      <c r="S185" s="13">
        <v>139961</v>
      </c>
      <c r="U185" s="13">
        <v>139961</v>
      </c>
      <c r="AC185" s="10" t="s">
        <v>606</v>
      </c>
      <c r="AD185" s="5" t="s">
        <v>62</v>
      </c>
      <c r="AE185" s="5" t="s">
        <v>42</v>
      </c>
      <c r="AG185" s="5" t="s">
        <v>567</v>
      </c>
    </row>
    <row r="186" spans="1:33" ht="10" customHeight="1" x14ac:dyDescent="0.2">
      <c r="A186" s="5" t="s">
        <v>40</v>
      </c>
      <c r="B186" s="5" t="s">
        <v>41</v>
      </c>
      <c r="D186" s="5" t="s">
        <v>607</v>
      </c>
      <c r="E186" s="10" t="s">
        <v>53</v>
      </c>
      <c r="F186" s="5" t="s">
        <v>553</v>
      </c>
      <c r="I186" s="11">
        <v>1</v>
      </c>
      <c r="J186" s="5" t="s">
        <v>60</v>
      </c>
      <c r="K186" s="10" t="s">
        <v>46</v>
      </c>
      <c r="L186" s="5" t="s">
        <v>47</v>
      </c>
      <c r="M186" s="5" t="s">
        <v>48</v>
      </c>
      <c r="N186" s="5" t="s">
        <v>49</v>
      </c>
      <c r="O186" s="12"/>
      <c r="Q186" s="13">
        <v>19706</v>
      </c>
      <c r="S186" s="13">
        <v>64025</v>
      </c>
      <c r="U186" s="13">
        <v>64025</v>
      </c>
      <c r="AC186" s="10" t="s">
        <v>608</v>
      </c>
      <c r="AD186" s="5" t="s">
        <v>62</v>
      </c>
      <c r="AE186" s="5" t="s">
        <v>42</v>
      </c>
      <c r="AG186" s="5" t="s">
        <v>570</v>
      </c>
    </row>
    <row r="187" spans="1:33" ht="10" customHeight="1" x14ac:dyDescent="0.2">
      <c r="A187" s="5" t="s">
        <v>40</v>
      </c>
      <c r="B187" s="5" t="s">
        <v>41</v>
      </c>
      <c r="D187" s="5" t="s">
        <v>609</v>
      </c>
      <c r="E187" s="10" t="s">
        <v>53</v>
      </c>
      <c r="F187" s="5" t="s">
        <v>553</v>
      </c>
      <c r="I187" s="11">
        <v>1</v>
      </c>
      <c r="J187" s="5" t="s">
        <v>60</v>
      </c>
      <c r="K187" s="10" t="s">
        <v>46</v>
      </c>
      <c r="L187" s="5" t="s">
        <v>47</v>
      </c>
      <c r="M187" s="5" t="s">
        <v>48</v>
      </c>
      <c r="N187" s="5" t="s">
        <v>49</v>
      </c>
      <c r="O187" s="12"/>
      <c r="S187" s="13">
        <v>20931</v>
      </c>
      <c r="U187" s="13">
        <v>20931</v>
      </c>
      <c r="AC187" s="10" t="s">
        <v>610</v>
      </c>
      <c r="AD187" s="5" t="s">
        <v>62</v>
      </c>
      <c r="AE187" s="5" t="s">
        <v>42</v>
      </c>
      <c r="AG187" s="5" t="s">
        <v>573</v>
      </c>
    </row>
    <row r="188" spans="1:33" ht="10" customHeight="1" x14ac:dyDescent="0.2">
      <c r="A188" s="5" t="s">
        <v>40</v>
      </c>
      <c r="B188" s="5" t="s">
        <v>41</v>
      </c>
      <c r="D188" s="5" t="s">
        <v>611</v>
      </c>
      <c r="E188" s="10" t="s">
        <v>53</v>
      </c>
      <c r="F188" s="5" t="s">
        <v>553</v>
      </c>
      <c r="I188" s="11">
        <v>1</v>
      </c>
      <c r="J188" s="5" t="s">
        <v>60</v>
      </c>
      <c r="K188" s="10" t="s">
        <v>46</v>
      </c>
      <c r="L188" s="5" t="s">
        <v>47</v>
      </c>
      <c r="M188" s="5" t="s">
        <v>48</v>
      </c>
      <c r="N188" s="5" t="s">
        <v>49</v>
      </c>
      <c r="O188" s="12"/>
      <c r="S188" s="13">
        <v>0</v>
      </c>
      <c r="U188" s="13">
        <v>0</v>
      </c>
      <c r="AC188" s="10" t="s">
        <v>612</v>
      </c>
      <c r="AD188" s="5" t="s">
        <v>613</v>
      </c>
      <c r="AE188" s="5" t="s">
        <v>42</v>
      </c>
    </row>
    <row r="189" spans="1:33" ht="10" customHeight="1" x14ac:dyDescent="0.2">
      <c r="A189" s="5" t="s">
        <v>40</v>
      </c>
      <c r="B189" s="5" t="s">
        <v>41</v>
      </c>
      <c r="D189" s="5" t="s">
        <v>614</v>
      </c>
      <c r="E189" s="10" t="s">
        <v>53</v>
      </c>
      <c r="F189" s="5" t="s">
        <v>553</v>
      </c>
      <c r="I189" s="11">
        <v>1</v>
      </c>
      <c r="J189" s="5" t="s">
        <v>60</v>
      </c>
      <c r="K189" s="10" t="s">
        <v>46</v>
      </c>
      <c r="L189" s="5" t="s">
        <v>47</v>
      </c>
      <c r="M189" s="5" t="s">
        <v>48</v>
      </c>
      <c r="N189" s="5" t="s">
        <v>49</v>
      </c>
      <c r="O189" s="12"/>
      <c r="S189" s="13">
        <v>0</v>
      </c>
      <c r="U189" s="13">
        <v>0</v>
      </c>
      <c r="AC189" s="10" t="s">
        <v>615</v>
      </c>
      <c r="AD189" s="5" t="s">
        <v>613</v>
      </c>
      <c r="AE189" s="5" t="s">
        <v>42</v>
      </c>
    </row>
    <row r="190" spans="1:33" ht="10" customHeight="1" x14ac:dyDescent="0.2">
      <c r="A190" s="5" t="s">
        <v>40</v>
      </c>
      <c r="B190" s="5" t="s">
        <v>41</v>
      </c>
      <c r="D190" s="5" t="s">
        <v>616</v>
      </c>
      <c r="E190" s="10" t="s">
        <v>53</v>
      </c>
      <c r="F190" s="5" t="s">
        <v>553</v>
      </c>
      <c r="I190" s="11">
        <v>1</v>
      </c>
      <c r="J190" s="5" t="s">
        <v>60</v>
      </c>
      <c r="K190" s="10" t="s">
        <v>46</v>
      </c>
      <c r="L190" s="5" t="s">
        <v>47</v>
      </c>
      <c r="M190" s="5" t="s">
        <v>48</v>
      </c>
      <c r="N190" s="5" t="s">
        <v>49</v>
      </c>
      <c r="O190" s="12"/>
      <c r="S190" s="13">
        <v>0</v>
      </c>
      <c r="U190" s="13">
        <v>0</v>
      </c>
      <c r="AC190" s="10" t="s">
        <v>617</v>
      </c>
      <c r="AD190" s="5" t="s">
        <v>613</v>
      </c>
      <c r="AE190" s="5" t="s">
        <v>42</v>
      </c>
      <c r="AG190" s="5" t="s">
        <v>618</v>
      </c>
    </row>
    <row r="191" spans="1:33" ht="10" customHeight="1" x14ac:dyDescent="0.2">
      <c r="A191" s="5" t="s">
        <v>40</v>
      </c>
      <c r="B191" s="5" t="s">
        <v>41</v>
      </c>
      <c r="D191" s="5" t="s">
        <v>619</v>
      </c>
      <c r="E191" s="10" t="s">
        <v>53</v>
      </c>
      <c r="F191" s="5" t="s">
        <v>553</v>
      </c>
      <c r="I191" s="11">
        <v>1</v>
      </c>
      <c r="J191" s="5" t="s">
        <v>60</v>
      </c>
      <c r="K191" s="10" t="s">
        <v>46</v>
      </c>
      <c r="L191" s="5" t="s">
        <v>47</v>
      </c>
      <c r="M191" s="5" t="s">
        <v>48</v>
      </c>
      <c r="N191" s="5" t="s">
        <v>49</v>
      </c>
      <c r="O191" s="12"/>
      <c r="S191" s="13">
        <v>0</v>
      </c>
      <c r="U191" s="13">
        <v>0</v>
      </c>
      <c r="AC191" s="10" t="s">
        <v>620</v>
      </c>
      <c r="AD191" s="5" t="s">
        <v>613</v>
      </c>
      <c r="AE191" s="5" t="s">
        <v>42</v>
      </c>
    </row>
    <row r="192" spans="1:33" ht="10" customHeight="1" x14ac:dyDescent="0.2">
      <c r="A192" s="5" t="s">
        <v>40</v>
      </c>
      <c r="B192" s="5" t="s">
        <v>41</v>
      </c>
      <c r="D192" s="5" t="s">
        <v>621</v>
      </c>
      <c r="E192" s="10" t="s">
        <v>53</v>
      </c>
      <c r="F192" s="5" t="s">
        <v>553</v>
      </c>
      <c r="I192" s="11">
        <v>1</v>
      </c>
      <c r="J192" s="5" t="s">
        <v>60</v>
      </c>
      <c r="K192" s="10" t="s">
        <v>46</v>
      </c>
      <c r="L192" s="5" t="s">
        <v>47</v>
      </c>
      <c r="M192" s="5" t="s">
        <v>48</v>
      </c>
      <c r="N192" s="5" t="s">
        <v>49</v>
      </c>
      <c r="O192" s="12"/>
      <c r="S192" s="13">
        <v>0</v>
      </c>
      <c r="U192" s="13">
        <v>0</v>
      </c>
      <c r="AC192" s="10" t="s">
        <v>622</v>
      </c>
      <c r="AD192" s="5" t="s">
        <v>613</v>
      </c>
      <c r="AE192" s="5" t="s">
        <v>42</v>
      </c>
    </row>
    <row r="193" spans="1:33" ht="10" customHeight="1" x14ac:dyDescent="0.2">
      <c r="A193" s="5" t="s">
        <v>40</v>
      </c>
      <c r="B193" s="5" t="s">
        <v>41</v>
      </c>
      <c r="D193" s="5" t="s">
        <v>623</v>
      </c>
      <c r="E193" s="10" t="s">
        <v>53</v>
      </c>
      <c r="F193" s="5" t="s">
        <v>553</v>
      </c>
      <c r="I193" s="11">
        <v>1</v>
      </c>
      <c r="J193" s="5" t="s">
        <v>60</v>
      </c>
      <c r="K193" s="10" t="s">
        <v>46</v>
      </c>
      <c r="L193" s="5" t="s">
        <v>47</v>
      </c>
      <c r="M193" s="5" t="s">
        <v>48</v>
      </c>
      <c r="N193" s="5" t="s">
        <v>49</v>
      </c>
      <c r="O193" s="12"/>
      <c r="P193" s="13">
        <v>91882</v>
      </c>
      <c r="Q193" s="13">
        <v>501264</v>
      </c>
      <c r="S193" s="13">
        <v>0</v>
      </c>
      <c r="U193" s="13">
        <v>0</v>
      </c>
      <c r="AC193" s="10" t="s">
        <v>624</v>
      </c>
      <c r="AD193" s="5" t="s">
        <v>613</v>
      </c>
      <c r="AE193" s="5" t="s">
        <v>42</v>
      </c>
      <c r="AG193" s="5" t="s">
        <v>558</v>
      </c>
    </row>
    <row r="194" spans="1:33" ht="10" customHeight="1" x14ac:dyDescent="0.2">
      <c r="A194" s="5" t="s">
        <v>40</v>
      </c>
      <c r="B194" s="5" t="s">
        <v>41</v>
      </c>
      <c r="D194" s="5" t="s">
        <v>625</v>
      </c>
      <c r="E194" s="10" t="s">
        <v>53</v>
      </c>
      <c r="F194" s="5" t="s">
        <v>553</v>
      </c>
      <c r="I194" s="11">
        <v>1</v>
      </c>
      <c r="J194" s="5" t="s">
        <v>60</v>
      </c>
      <c r="K194" s="10" t="s">
        <v>46</v>
      </c>
      <c r="L194" s="5" t="s">
        <v>47</v>
      </c>
      <c r="M194" s="5" t="s">
        <v>48</v>
      </c>
      <c r="N194" s="5" t="s">
        <v>49</v>
      </c>
      <c r="O194" s="12"/>
      <c r="P194" s="13">
        <v>32796</v>
      </c>
      <c r="Q194" s="13">
        <v>73909</v>
      </c>
      <c r="S194" s="13">
        <v>449046</v>
      </c>
      <c r="U194" s="13">
        <v>449046</v>
      </c>
      <c r="AC194" s="10" t="s">
        <v>626</v>
      </c>
      <c r="AD194" s="5" t="s">
        <v>613</v>
      </c>
      <c r="AE194" s="5" t="s">
        <v>42</v>
      </c>
      <c r="AG194" s="5" t="s">
        <v>561</v>
      </c>
    </row>
    <row r="195" spans="1:33" ht="10" customHeight="1" x14ac:dyDescent="0.2">
      <c r="A195" s="5" t="s">
        <v>40</v>
      </c>
      <c r="B195" s="5" t="s">
        <v>41</v>
      </c>
      <c r="D195" s="5" t="s">
        <v>627</v>
      </c>
      <c r="E195" s="10" t="s">
        <v>53</v>
      </c>
      <c r="F195" s="5" t="s">
        <v>553</v>
      </c>
      <c r="I195" s="11">
        <v>1</v>
      </c>
      <c r="J195" s="5" t="s">
        <v>60</v>
      </c>
      <c r="K195" s="10" t="s">
        <v>46</v>
      </c>
      <c r="L195" s="5" t="s">
        <v>47</v>
      </c>
      <c r="M195" s="5" t="s">
        <v>48</v>
      </c>
      <c r="N195" s="5" t="s">
        <v>49</v>
      </c>
      <c r="O195" s="12"/>
      <c r="Q195" s="13">
        <v>33554</v>
      </c>
      <c r="S195" s="13">
        <v>100394</v>
      </c>
      <c r="U195" s="13">
        <v>100394</v>
      </c>
      <c r="AC195" s="10" t="s">
        <v>628</v>
      </c>
      <c r="AD195" s="5" t="s">
        <v>613</v>
      </c>
      <c r="AE195" s="5" t="s">
        <v>42</v>
      </c>
      <c r="AG195" s="5" t="s">
        <v>564</v>
      </c>
    </row>
    <row r="196" spans="1:33" ht="10" customHeight="1" x14ac:dyDescent="0.2">
      <c r="A196" s="5" t="s">
        <v>40</v>
      </c>
      <c r="B196" s="5" t="s">
        <v>41</v>
      </c>
      <c r="D196" s="5" t="s">
        <v>629</v>
      </c>
      <c r="E196" s="10" t="s">
        <v>53</v>
      </c>
      <c r="F196" s="5" t="s">
        <v>553</v>
      </c>
      <c r="I196" s="11">
        <v>1</v>
      </c>
      <c r="J196" s="5" t="s">
        <v>60</v>
      </c>
      <c r="K196" s="10" t="s">
        <v>46</v>
      </c>
      <c r="L196" s="5" t="s">
        <v>47</v>
      </c>
      <c r="M196" s="5" t="s">
        <v>48</v>
      </c>
      <c r="N196" s="5" t="s">
        <v>49</v>
      </c>
      <c r="O196" s="12"/>
      <c r="S196" s="13">
        <v>34342</v>
      </c>
      <c r="U196" s="13">
        <v>34342</v>
      </c>
      <c r="AC196" s="10" t="s">
        <v>630</v>
      </c>
      <c r="AD196" s="5" t="s">
        <v>613</v>
      </c>
      <c r="AE196" s="5" t="s">
        <v>42</v>
      </c>
      <c r="AG196" s="5" t="s">
        <v>567</v>
      </c>
    </row>
    <row r="197" spans="1:33" ht="10" customHeight="1" x14ac:dyDescent="0.2">
      <c r="A197" s="5" t="s">
        <v>40</v>
      </c>
      <c r="B197" s="5" t="s">
        <v>41</v>
      </c>
      <c r="D197" s="5" t="s">
        <v>631</v>
      </c>
      <c r="E197" s="10" t="s">
        <v>53</v>
      </c>
      <c r="F197" s="5" t="s">
        <v>553</v>
      </c>
      <c r="I197" s="11">
        <v>1</v>
      </c>
      <c r="J197" s="5" t="s">
        <v>60</v>
      </c>
      <c r="K197" s="10" t="s">
        <v>46</v>
      </c>
      <c r="L197" s="5" t="s">
        <v>47</v>
      </c>
      <c r="M197" s="5" t="s">
        <v>48</v>
      </c>
      <c r="N197" s="5" t="s">
        <v>49</v>
      </c>
      <c r="O197" s="12"/>
      <c r="S197" s="13">
        <v>0</v>
      </c>
      <c r="U197" s="13">
        <v>0</v>
      </c>
      <c r="AC197" s="10" t="s">
        <v>632</v>
      </c>
      <c r="AD197" s="5" t="s">
        <v>613</v>
      </c>
      <c r="AE197" s="5" t="s">
        <v>42</v>
      </c>
    </row>
    <row r="198" spans="1:33" ht="10" customHeight="1" x14ac:dyDescent="0.2">
      <c r="A198" s="5" t="s">
        <v>40</v>
      </c>
      <c r="B198" s="5" t="s">
        <v>41</v>
      </c>
      <c r="D198" s="5" t="s">
        <v>633</v>
      </c>
      <c r="E198" s="10" t="s">
        <v>53</v>
      </c>
      <c r="F198" s="5" t="s">
        <v>553</v>
      </c>
      <c r="I198" s="11">
        <v>1</v>
      </c>
      <c r="J198" s="5" t="s">
        <v>60</v>
      </c>
      <c r="K198" s="10" t="s">
        <v>46</v>
      </c>
      <c r="L198" s="5" t="s">
        <v>47</v>
      </c>
      <c r="M198" s="5" t="s">
        <v>48</v>
      </c>
      <c r="N198" s="5" t="s">
        <v>49</v>
      </c>
      <c r="O198" s="12"/>
      <c r="S198" s="13">
        <v>0</v>
      </c>
      <c r="U198" s="13">
        <v>0</v>
      </c>
      <c r="AC198" s="10" t="s">
        <v>634</v>
      </c>
      <c r="AD198" s="5" t="s">
        <v>613</v>
      </c>
      <c r="AE198" s="5" t="s">
        <v>42</v>
      </c>
    </row>
    <row r="199" spans="1:33" ht="10" customHeight="1" x14ac:dyDescent="0.2">
      <c r="A199" s="5" t="s">
        <v>40</v>
      </c>
      <c r="B199" s="5" t="s">
        <v>41</v>
      </c>
      <c r="D199" s="5" t="s">
        <v>635</v>
      </c>
      <c r="E199" s="10" t="s">
        <v>53</v>
      </c>
      <c r="F199" s="5" t="s">
        <v>553</v>
      </c>
      <c r="I199" s="11">
        <v>1</v>
      </c>
      <c r="J199" s="5" t="s">
        <v>60</v>
      </c>
      <c r="K199" s="10" t="s">
        <v>46</v>
      </c>
      <c r="L199" s="5" t="s">
        <v>47</v>
      </c>
      <c r="M199" s="5" t="s">
        <v>48</v>
      </c>
      <c r="N199" s="5" t="s">
        <v>49</v>
      </c>
      <c r="O199" s="12"/>
      <c r="S199" s="13">
        <v>0</v>
      </c>
      <c r="U199" s="13">
        <v>0</v>
      </c>
      <c r="AC199" s="10" t="s">
        <v>636</v>
      </c>
      <c r="AD199" s="5" t="s">
        <v>613</v>
      </c>
      <c r="AE199" s="5" t="s">
        <v>42</v>
      </c>
    </row>
    <row r="200" spans="1:33" ht="10" customHeight="1" x14ac:dyDescent="0.2">
      <c r="A200" s="5" t="s">
        <v>40</v>
      </c>
      <c r="B200" s="5" t="s">
        <v>41</v>
      </c>
      <c r="D200" s="5" t="s">
        <v>637</v>
      </c>
      <c r="E200" s="10" t="s">
        <v>53</v>
      </c>
      <c r="F200" s="5" t="s">
        <v>553</v>
      </c>
      <c r="I200" s="11">
        <v>1</v>
      </c>
      <c r="J200" s="5" t="s">
        <v>60</v>
      </c>
      <c r="K200" s="10" t="s">
        <v>46</v>
      </c>
      <c r="L200" s="5" t="s">
        <v>47</v>
      </c>
      <c r="M200" s="5" t="s">
        <v>48</v>
      </c>
      <c r="N200" s="5" t="s">
        <v>49</v>
      </c>
      <c r="O200" s="12"/>
      <c r="S200" s="13">
        <v>0</v>
      </c>
      <c r="U200" s="13">
        <v>0</v>
      </c>
      <c r="AC200" s="10" t="s">
        <v>638</v>
      </c>
      <c r="AD200" s="5" t="s">
        <v>613</v>
      </c>
      <c r="AE200" s="5" t="s">
        <v>42</v>
      </c>
    </row>
    <row r="201" spans="1:33" ht="10" customHeight="1" x14ac:dyDescent="0.2">
      <c r="A201" s="5" t="s">
        <v>40</v>
      </c>
      <c r="B201" s="5" t="s">
        <v>41</v>
      </c>
      <c r="D201" s="5" t="s">
        <v>639</v>
      </c>
      <c r="E201" s="10" t="s">
        <v>53</v>
      </c>
      <c r="F201" s="5" t="s">
        <v>553</v>
      </c>
      <c r="I201" s="11">
        <v>1</v>
      </c>
      <c r="J201" s="5" t="s">
        <v>60</v>
      </c>
      <c r="K201" s="10" t="s">
        <v>46</v>
      </c>
      <c r="L201" s="5" t="s">
        <v>47</v>
      </c>
      <c r="M201" s="5" t="s">
        <v>48</v>
      </c>
      <c r="N201" s="5" t="s">
        <v>49</v>
      </c>
      <c r="O201" s="12"/>
      <c r="P201" s="13">
        <v>201588</v>
      </c>
      <c r="S201" s="13">
        <v>0</v>
      </c>
      <c r="U201" s="13">
        <v>0</v>
      </c>
      <c r="AC201" s="10" t="s">
        <v>640</v>
      </c>
      <c r="AD201" s="5" t="s">
        <v>613</v>
      </c>
      <c r="AE201" s="5" t="s">
        <v>42</v>
      </c>
      <c r="AG201" s="5" t="s">
        <v>561</v>
      </c>
    </row>
    <row r="202" spans="1:33" ht="10" customHeight="1" x14ac:dyDescent="0.2">
      <c r="A202" s="5" t="s">
        <v>40</v>
      </c>
      <c r="B202" s="5" t="s">
        <v>41</v>
      </c>
      <c r="D202" s="5" t="s">
        <v>641</v>
      </c>
      <c r="E202" s="10" t="s">
        <v>53</v>
      </c>
      <c r="F202" s="5" t="s">
        <v>553</v>
      </c>
      <c r="I202" s="11">
        <v>1</v>
      </c>
      <c r="J202" s="5" t="s">
        <v>60</v>
      </c>
      <c r="K202" s="10" t="s">
        <v>46</v>
      </c>
      <c r="L202" s="5" t="s">
        <v>47</v>
      </c>
      <c r="M202" s="5" t="s">
        <v>48</v>
      </c>
      <c r="N202" s="5" t="s">
        <v>49</v>
      </c>
      <c r="O202" s="12"/>
      <c r="P202" s="13">
        <v>201598</v>
      </c>
      <c r="Q202" s="13">
        <v>103412</v>
      </c>
      <c r="S202" s="13">
        <v>0</v>
      </c>
      <c r="U202" s="13">
        <v>0</v>
      </c>
      <c r="AC202" s="10" t="s">
        <v>642</v>
      </c>
      <c r="AD202" s="5" t="s">
        <v>613</v>
      </c>
      <c r="AE202" s="5" t="s">
        <v>42</v>
      </c>
      <c r="AG202" s="5" t="s">
        <v>564</v>
      </c>
    </row>
    <row r="203" spans="1:33" ht="10" customHeight="1" x14ac:dyDescent="0.2">
      <c r="A203" s="5" t="s">
        <v>40</v>
      </c>
      <c r="B203" s="5" t="s">
        <v>41</v>
      </c>
      <c r="D203" s="5" t="s">
        <v>643</v>
      </c>
      <c r="E203" s="10" t="s">
        <v>53</v>
      </c>
      <c r="F203" s="5" t="s">
        <v>553</v>
      </c>
      <c r="I203" s="11">
        <v>1</v>
      </c>
      <c r="J203" s="5" t="s">
        <v>60</v>
      </c>
      <c r="K203" s="10" t="s">
        <v>46</v>
      </c>
      <c r="L203" s="5" t="s">
        <v>47</v>
      </c>
      <c r="M203" s="5" t="s">
        <v>48</v>
      </c>
      <c r="N203" s="5" t="s">
        <v>49</v>
      </c>
      <c r="O203" s="12"/>
      <c r="P203" s="13">
        <v>100851</v>
      </c>
      <c r="Q203" s="13">
        <v>111918</v>
      </c>
      <c r="S203" s="13">
        <v>104926</v>
      </c>
      <c r="U203" s="13">
        <v>104926</v>
      </c>
      <c r="AC203" s="10" t="s">
        <v>644</v>
      </c>
      <c r="AD203" s="5" t="s">
        <v>613</v>
      </c>
      <c r="AE203" s="5" t="s">
        <v>42</v>
      </c>
      <c r="AG203" s="5" t="s">
        <v>567</v>
      </c>
    </row>
    <row r="204" spans="1:33" ht="10" customHeight="1" x14ac:dyDescent="0.2">
      <c r="A204" s="5" t="s">
        <v>40</v>
      </c>
      <c r="B204" s="5" t="s">
        <v>41</v>
      </c>
      <c r="D204" s="5" t="s">
        <v>645</v>
      </c>
      <c r="E204" s="10" t="s">
        <v>53</v>
      </c>
      <c r="F204" s="5" t="s">
        <v>553</v>
      </c>
      <c r="I204" s="11">
        <v>1</v>
      </c>
      <c r="J204" s="5" t="s">
        <v>60</v>
      </c>
      <c r="K204" s="10" t="s">
        <v>46</v>
      </c>
      <c r="L204" s="5" t="s">
        <v>47</v>
      </c>
      <c r="M204" s="5" t="s">
        <v>48</v>
      </c>
      <c r="N204" s="5" t="s">
        <v>49</v>
      </c>
      <c r="O204" s="12"/>
      <c r="P204" s="13">
        <v>101023</v>
      </c>
      <c r="Q204" s="13">
        <v>102935</v>
      </c>
      <c r="S204" s="13">
        <v>104927</v>
      </c>
      <c r="U204" s="13">
        <v>104927</v>
      </c>
      <c r="AC204" s="10" t="s">
        <v>646</v>
      </c>
      <c r="AD204" s="5" t="s">
        <v>613</v>
      </c>
      <c r="AE204" s="5" t="s">
        <v>42</v>
      </c>
      <c r="AG204" s="5" t="s">
        <v>570</v>
      </c>
    </row>
    <row r="205" spans="1:33" ht="10" customHeight="1" x14ac:dyDescent="0.2">
      <c r="A205" s="5" t="s">
        <v>40</v>
      </c>
      <c r="B205" s="5" t="s">
        <v>41</v>
      </c>
      <c r="D205" s="5" t="s">
        <v>647</v>
      </c>
      <c r="E205" s="10" t="s">
        <v>53</v>
      </c>
      <c r="F205" s="5" t="s">
        <v>553</v>
      </c>
      <c r="I205" s="11">
        <v>1</v>
      </c>
      <c r="J205" s="5" t="s">
        <v>60</v>
      </c>
      <c r="K205" s="10" t="s">
        <v>46</v>
      </c>
      <c r="L205" s="5" t="s">
        <v>47</v>
      </c>
      <c r="M205" s="5" t="s">
        <v>48</v>
      </c>
      <c r="N205" s="5" t="s">
        <v>49</v>
      </c>
      <c r="O205" s="12"/>
      <c r="S205" s="13">
        <v>0</v>
      </c>
      <c r="U205" s="13">
        <v>0</v>
      </c>
      <c r="AC205" s="10" t="s">
        <v>648</v>
      </c>
      <c r="AD205" s="5" t="s">
        <v>613</v>
      </c>
      <c r="AE205" s="5" t="s">
        <v>42</v>
      </c>
    </row>
    <row r="206" spans="1:33" ht="10" customHeight="1" x14ac:dyDescent="0.2">
      <c r="A206" s="5" t="s">
        <v>40</v>
      </c>
      <c r="B206" s="5" t="s">
        <v>41</v>
      </c>
      <c r="D206" s="5" t="s">
        <v>649</v>
      </c>
      <c r="E206" s="10" t="s">
        <v>53</v>
      </c>
      <c r="F206" s="5" t="s">
        <v>553</v>
      </c>
      <c r="I206" s="11">
        <v>1</v>
      </c>
      <c r="J206" s="5" t="s">
        <v>60</v>
      </c>
      <c r="K206" s="10" t="s">
        <v>46</v>
      </c>
      <c r="L206" s="5" t="s">
        <v>47</v>
      </c>
      <c r="M206" s="5" t="s">
        <v>48</v>
      </c>
      <c r="N206" s="5" t="s">
        <v>49</v>
      </c>
      <c r="O206" s="12"/>
      <c r="S206" s="13">
        <v>0</v>
      </c>
      <c r="U206" s="13">
        <v>0</v>
      </c>
      <c r="AC206" s="10" t="s">
        <v>650</v>
      </c>
      <c r="AD206" s="5" t="s">
        <v>613</v>
      </c>
      <c r="AE206" s="5" t="s">
        <v>42</v>
      </c>
    </row>
    <row r="207" spans="1:33" ht="10" customHeight="1" x14ac:dyDescent="0.2">
      <c r="A207" s="5" t="s">
        <v>40</v>
      </c>
      <c r="B207" s="5" t="s">
        <v>41</v>
      </c>
      <c r="D207" s="5" t="s">
        <v>651</v>
      </c>
      <c r="E207" s="10" t="s">
        <v>53</v>
      </c>
      <c r="F207" s="5" t="s">
        <v>553</v>
      </c>
      <c r="I207" s="11">
        <v>1</v>
      </c>
      <c r="J207" s="5" t="s">
        <v>60</v>
      </c>
      <c r="K207" s="10" t="s">
        <v>46</v>
      </c>
      <c r="L207" s="5" t="s">
        <v>47</v>
      </c>
      <c r="M207" s="5" t="s">
        <v>48</v>
      </c>
      <c r="N207" s="5" t="s">
        <v>49</v>
      </c>
      <c r="O207" s="12"/>
      <c r="S207" s="13">
        <v>0</v>
      </c>
      <c r="U207" s="13">
        <v>0</v>
      </c>
      <c r="AC207" s="10" t="s">
        <v>652</v>
      </c>
      <c r="AD207" s="5" t="s">
        <v>613</v>
      </c>
      <c r="AE207" s="5" t="s">
        <v>42</v>
      </c>
    </row>
    <row r="208" spans="1:33" ht="10" customHeight="1" x14ac:dyDescent="0.2">
      <c r="A208" s="5" t="s">
        <v>40</v>
      </c>
      <c r="B208" s="5" t="s">
        <v>41</v>
      </c>
      <c r="D208" s="5" t="s">
        <v>653</v>
      </c>
      <c r="E208" s="10" t="s">
        <v>53</v>
      </c>
      <c r="F208" s="5" t="s">
        <v>553</v>
      </c>
      <c r="I208" s="11">
        <v>1</v>
      </c>
      <c r="J208" s="5" t="s">
        <v>60</v>
      </c>
      <c r="K208" s="10" t="s">
        <v>46</v>
      </c>
      <c r="L208" s="5" t="s">
        <v>47</v>
      </c>
      <c r="M208" s="5" t="s">
        <v>48</v>
      </c>
      <c r="N208" s="5" t="s">
        <v>49</v>
      </c>
      <c r="O208" s="12"/>
      <c r="S208" s="13">
        <v>0</v>
      </c>
      <c r="U208" s="13">
        <v>0</v>
      </c>
      <c r="AC208" s="10" t="s">
        <v>654</v>
      </c>
      <c r="AD208" s="5" t="s">
        <v>613</v>
      </c>
      <c r="AE208" s="5" t="s">
        <v>42</v>
      </c>
    </row>
    <row r="209" spans="1:33" ht="10" customHeight="1" x14ac:dyDescent="0.2">
      <c r="A209" s="5" t="s">
        <v>40</v>
      </c>
      <c r="B209" s="5" t="s">
        <v>41</v>
      </c>
      <c r="D209" s="5" t="s">
        <v>655</v>
      </c>
      <c r="E209" s="10" t="s">
        <v>53</v>
      </c>
      <c r="F209" s="5" t="s">
        <v>553</v>
      </c>
      <c r="I209" s="11">
        <v>1</v>
      </c>
      <c r="J209" s="5" t="s">
        <v>60</v>
      </c>
      <c r="K209" s="10" t="s">
        <v>46</v>
      </c>
      <c r="L209" s="5" t="s">
        <v>47</v>
      </c>
      <c r="M209" s="5" t="s">
        <v>48</v>
      </c>
      <c r="N209" s="5" t="s">
        <v>49</v>
      </c>
      <c r="O209" s="12"/>
      <c r="P209" s="13">
        <v>164568</v>
      </c>
      <c r="Q209" s="13">
        <v>171001</v>
      </c>
      <c r="S209" s="13">
        <v>166792</v>
      </c>
      <c r="U209" s="13">
        <v>166792</v>
      </c>
      <c r="AC209" s="10" t="s">
        <v>656</v>
      </c>
      <c r="AD209" s="5" t="s">
        <v>613</v>
      </c>
      <c r="AE209" s="5" t="s">
        <v>42</v>
      </c>
      <c r="AG209" s="5" t="s">
        <v>657</v>
      </c>
    </row>
    <row r="210" spans="1:33" ht="10" customHeight="1" x14ac:dyDescent="0.2">
      <c r="A210" s="5" t="s">
        <v>40</v>
      </c>
      <c r="B210" s="5" t="s">
        <v>41</v>
      </c>
      <c r="D210" s="5" t="s">
        <v>658</v>
      </c>
      <c r="E210" s="10" t="s">
        <v>53</v>
      </c>
      <c r="F210" s="5" t="s">
        <v>553</v>
      </c>
      <c r="I210" s="11">
        <v>1</v>
      </c>
      <c r="J210" s="5" t="s">
        <v>60</v>
      </c>
      <c r="K210" s="10" t="s">
        <v>46</v>
      </c>
      <c r="L210" s="5" t="s">
        <v>47</v>
      </c>
      <c r="M210" s="5" t="s">
        <v>48</v>
      </c>
      <c r="N210" s="5" t="s">
        <v>49</v>
      </c>
      <c r="O210" s="12"/>
      <c r="S210" s="13">
        <v>0</v>
      </c>
      <c r="U210" s="13">
        <v>0</v>
      </c>
      <c r="AC210" s="10" t="s">
        <v>659</v>
      </c>
      <c r="AD210" s="5" t="s">
        <v>660</v>
      </c>
      <c r="AE210" s="5" t="s">
        <v>42</v>
      </c>
    </row>
    <row r="211" spans="1:33" ht="10" customHeight="1" x14ac:dyDescent="0.2">
      <c r="A211" s="5" t="s">
        <v>40</v>
      </c>
      <c r="B211" s="5" t="s">
        <v>41</v>
      </c>
      <c r="D211" s="5" t="s">
        <v>661</v>
      </c>
      <c r="E211" s="10" t="s">
        <v>53</v>
      </c>
      <c r="F211" s="5" t="s">
        <v>553</v>
      </c>
      <c r="I211" s="11">
        <v>1</v>
      </c>
      <c r="J211" s="5" t="s">
        <v>60</v>
      </c>
      <c r="K211" s="10" t="s">
        <v>46</v>
      </c>
      <c r="L211" s="5" t="s">
        <v>47</v>
      </c>
      <c r="M211" s="5" t="s">
        <v>48</v>
      </c>
      <c r="N211" s="5" t="s">
        <v>49</v>
      </c>
      <c r="O211" s="12"/>
      <c r="P211" s="13">
        <v>16268</v>
      </c>
      <c r="Q211" s="13">
        <v>15299</v>
      </c>
      <c r="S211" s="13">
        <v>0</v>
      </c>
      <c r="U211" s="13">
        <v>0</v>
      </c>
      <c r="AC211" s="10" t="s">
        <v>662</v>
      </c>
      <c r="AD211" s="5" t="s">
        <v>660</v>
      </c>
      <c r="AE211" s="5" t="s">
        <v>42</v>
      </c>
      <c r="AG211" s="5" t="s">
        <v>558</v>
      </c>
    </row>
    <row r="212" spans="1:33" ht="10" customHeight="1" x14ac:dyDescent="0.2">
      <c r="A212" s="5" t="s">
        <v>40</v>
      </c>
      <c r="B212" s="5" t="s">
        <v>41</v>
      </c>
      <c r="D212" s="5" t="s">
        <v>663</v>
      </c>
      <c r="E212" s="10" t="s">
        <v>53</v>
      </c>
      <c r="F212" s="5" t="s">
        <v>553</v>
      </c>
      <c r="I212" s="11">
        <v>1</v>
      </c>
      <c r="J212" s="5" t="s">
        <v>60</v>
      </c>
      <c r="K212" s="10" t="s">
        <v>46</v>
      </c>
      <c r="L212" s="5" t="s">
        <v>47</v>
      </c>
      <c r="M212" s="5" t="s">
        <v>48</v>
      </c>
      <c r="N212" s="5" t="s">
        <v>49</v>
      </c>
      <c r="O212" s="12"/>
      <c r="P212" s="13">
        <v>5789</v>
      </c>
      <c r="Q212" s="13">
        <v>11660</v>
      </c>
      <c r="S212" s="13">
        <v>14476</v>
      </c>
      <c r="U212" s="13">
        <v>14476</v>
      </c>
      <c r="AC212" s="10" t="s">
        <v>664</v>
      </c>
      <c r="AD212" s="5" t="s">
        <v>660</v>
      </c>
      <c r="AE212" s="5" t="s">
        <v>42</v>
      </c>
      <c r="AG212" s="5" t="s">
        <v>561</v>
      </c>
    </row>
    <row r="213" spans="1:33" ht="10" customHeight="1" x14ac:dyDescent="0.2">
      <c r="A213" s="5" t="s">
        <v>40</v>
      </c>
      <c r="B213" s="5" t="s">
        <v>41</v>
      </c>
      <c r="D213" s="5" t="s">
        <v>665</v>
      </c>
      <c r="E213" s="10" t="s">
        <v>53</v>
      </c>
      <c r="F213" s="5" t="s">
        <v>553</v>
      </c>
      <c r="I213" s="11">
        <v>1</v>
      </c>
      <c r="J213" s="5" t="s">
        <v>60</v>
      </c>
      <c r="K213" s="10" t="s">
        <v>46</v>
      </c>
      <c r="L213" s="5" t="s">
        <v>47</v>
      </c>
      <c r="M213" s="5" t="s">
        <v>48</v>
      </c>
      <c r="N213" s="5" t="s">
        <v>49</v>
      </c>
      <c r="O213" s="12"/>
      <c r="P213" s="13">
        <v>4000</v>
      </c>
      <c r="Q213" s="13">
        <v>7531</v>
      </c>
      <c r="S213" s="13">
        <v>11057</v>
      </c>
      <c r="U213" s="13">
        <v>11057</v>
      </c>
      <c r="AC213" s="10" t="s">
        <v>666</v>
      </c>
      <c r="AD213" s="5" t="s">
        <v>660</v>
      </c>
      <c r="AE213" s="5" t="s">
        <v>42</v>
      </c>
      <c r="AG213" s="5" t="s">
        <v>564</v>
      </c>
    </row>
    <row r="214" spans="1:33" ht="10" customHeight="1" x14ac:dyDescent="0.2">
      <c r="A214" s="5" t="s">
        <v>40</v>
      </c>
      <c r="B214" s="5" t="s">
        <v>41</v>
      </c>
      <c r="D214" s="5" t="s">
        <v>667</v>
      </c>
      <c r="E214" s="10" t="s">
        <v>53</v>
      </c>
      <c r="F214" s="5" t="s">
        <v>553</v>
      </c>
      <c r="I214" s="11">
        <v>1</v>
      </c>
      <c r="J214" s="5" t="s">
        <v>60</v>
      </c>
      <c r="K214" s="10" t="s">
        <v>46</v>
      </c>
      <c r="L214" s="5" t="s">
        <v>47</v>
      </c>
      <c r="M214" s="5" t="s">
        <v>48</v>
      </c>
      <c r="N214" s="5" t="s">
        <v>49</v>
      </c>
      <c r="O214" s="12"/>
      <c r="P214" s="13">
        <v>4610</v>
      </c>
      <c r="Q214" s="13">
        <v>4683</v>
      </c>
      <c r="S214" s="13">
        <v>7968</v>
      </c>
      <c r="U214" s="13">
        <v>7968</v>
      </c>
      <c r="AC214" s="10" t="s">
        <v>668</v>
      </c>
      <c r="AD214" s="5" t="s">
        <v>660</v>
      </c>
      <c r="AE214" s="5" t="s">
        <v>42</v>
      </c>
      <c r="AG214" s="5" t="s">
        <v>567</v>
      </c>
    </row>
    <row r="215" spans="1:33" ht="10" customHeight="1" x14ac:dyDescent="0.2">
      <c r="A215" s="5" t="s">
        <v>40</v>
      </c>
      <c r="B215" s="5" t="s">
        <v>41</v>
      </c>
      <c r="D215" s="5" t="s">
        <v>669</v>
      </c>
      <c r="E215" s="10" t="s">
        <v>53</v>
      </c>
      <c r="F215" s="5" t="s">
        <v>553</v>
      </c>
      <c r="I215" s="11">
        <v>1</v>
      </c>
      <c r="J215" s="5" t="s">
        <v>60</v>
      </c>
      <c r="K215" s="10" t="s">
        <v>46</v>
      </c>
      <c r="L215" s="5" t="s">
        <v>47</v>
      </c>
      <c r="M215" s="5" t="s">
        <v>48</v>
      </c>
      <c r="N215" s="5" t="s">
        <v>49</v>
      </c>
      <c r="O215" s="12"/>
      <c r="Q215" s="13">
        <v>5420</v>
      </c>
      <c r="S215" s="13">
        <v>5737</v>
      </c>
      <c r="U215" s="13">
        <v>5737</v>
      </c>
      <c r="AC215" s="10" t="s">
        <v>670</v>
      </c>
      <c r="AD215" s="5" t="s">
        <v>660</v>
      </c>
      <c r="AE215" s="5" t="s">
        <v>42</v>
      </c>
      <c r="AG215" s="5" t="s">
        <v>570</v>
      </c>
    </row>
    <row r="216" spans="1:33" ht="10" customHeight="1" x14ac:dyDescent="0.2">
      <c r="A216" s="5" t="s">
        <v>40</v>
      </c>
      <c r="B216" s="5" t="s">
        <v>41</v>
      </c>
      <c r="D216" s="5" t="s">
        <v>671</v>
      </c>
      <c r="E216" s="10" t="s">
        <v>53</v>
      </c>
      <c r="F216" s="5" t="s">
        <v>553</v>
      </c>
      <c r="I216" s="11">
        <v>1</v>
      </c>
      <c r="J216" s="5" t="s">
        <v>60</v>
      </c>
      <c r="K216" s="10" t="s">
        <v>46</v>
      </c>
      <c r="L216" s="5" t="s">
        <v>47</v>
      </c>
      <c r="M216" s="5" t="s">
        <v>48</v>
      </c>
      <c r="N216" s="5" t="s">
        <v>49</v>
      </c>
      <c r="O216" s="12"/>
      <c r="P216" s="13">
        <v>940</v>
      </c>
      <c r="Q216" s="13">
        <v>1111</v>
      </c>
      <c r="S216" s="13">
        <v>5752</v>
      </c>
      <c r="U216" s="13">
        <v>5752</v>
      </c>
      <c r="AC216" s="10" t="s">
        <v>672</v>
      </c>
      <c r="AD216" s="5" t="s">
        <v>660</v>
      </c>
      <c r="AE216" s="5" t="s">
        <v>42</v>
      </c>
      <c r="AG216" s="5" t="s">
        <v>573</v>
      </c>
    </row>
    <row r="217" spans="1:33" ht="10" customHeight="1" x14ac:dyDescent="0.2">
      <c r="A217" s="5" t="s">
        <v>40</v>
      </c>
      <c r="B217" s="5" t="s">
        <v>41</v>
      </c>
      <c r="D217" s="5" t="s">
        <v>611</v>
      </c>
      <c r="E217" s="10" t="s">
        <v>53</v>
      </c>
      <c r="F217" s="5" t="s">
        <v>553</v>
      </c>
      <c r="I217" s="11">
        <v>1</v>
      </c>
      <c r="J217" s="5" t="s">
        <v>60</v>
      </c>
      <c r="K217" s="10" t="s">
        <v>46</v>
      </c>
      <c r="L217" s="5" t="s">
        <v>47</v>
      </c>
      <c r="M217" s="5" t="s">
        <v>48</v>
      </c>
      <c r="N217" s="5" t="s">
        <v>49</v>
      </c>
      <c r="O217" s="12"/>
      <c r="Q217" s="13">
        <v>1616</v>
      </c>
      <c r="S217" s="13">
        <v>0</v>
      </c>
      <c r="U217" s="13">
        <v>0</v>
      </c>
      <c r="AC217" s="10" t="s">
        <v>612</v>
      </c>
      <c r="AD217" s="5" t="s">
        <v>660</v>
      </c>
      <c r="AE217" s="5" t="s">
        <v>42</v>
      </c>
      <c r="AG217" s="5" t="s">
        <v>576</v>
      </c>
    </row>
    <row r="218" spans="1:33" ht="10" customHeight="1" x14ac:dyDescent="0.2">
      <c r="A218" s="5" t="s">
        <v>40</v>
      </c>
      <c r="B218" s="5" t="s">
        <v>41</v>
      </c>
      <c r="D218" s="5" t="s">
        <v>614</v>
      </c>
      <c r="E218" s="10" t="s">
        <v>53</v>
      </c>
      <c r="F218" s="5" t="s">
        <v>553</v>
      </c>
      <c r="I218" s="11">
        <v>1</v>
      </c>
      <c r="J218" s="5" t="s">
        <v>60</v>
      </c>
      <c r="K218" s="10" t="s">
        <v>46</v>
      </c>
      <c r="L218" s="5" t="s">
        <v>47</v>
      </c>
      <c r="M218" s="5" t="s">
        <v>48</v>
      </c>
      <c r="N218" s="5" t="s">
        <v>49</v>
      </c>
      <c r="O218" s="12"/>
      <c r="S218" s="13">
        <v>1165</v>
      </c>
      <c r="U218" s="13">
        <v>1165</v>
      </c>
      <c r="AC218" s="10" t="s">
        <v>615</v>
      </c>
      <c r="AD218" s="5" t="s">
        <v>660</v>
      </c>
      <c r="AE218" s="5" t="s">
        <v>42</v>
      </c>
      <c r="AG218" s="5" t="s">
        <v>596</v>
      </c>
    </row>
    <row r="219" spans="1:33" ht="10" customHeight="1" x14ac:dyDescent="0.2">
      <c r="A219" s="5" t="s">
        <v>40</v>
      </c>
      <c r="B219" s="5" t="s">
        <v>41</v>
      </c>
      <c r="D219" s="5" t="s">
        <v>673</v>
      </c>
      <c r="E219" s="10" t="s">
        <v>53</v>
      </c>
      <c r="F219" s="5" t="s">
        <v>553</v>
      </c>
      <c r="I219" s="11">
        <v>1</v>
      </c>
      <c r="J219" s="5" t="s">
        <v>60</v>
      </c>
      <c r="K219" s="10" t="s">
        <v>46</v>
      </c>
      <c r="L219" s="5" t="s">
        <v>47</v>
      </c>
      <c r="M219" s="5" t="s">
        <v>48</v>
      </c>
      <c r="N219" s="5" t="s">
        <v>49</v>
      </c>
      <c r="O219" s="12"/>
      <c r="P219" s="13">
        <v>522192</v>
      </c>
      <c r="S219" s="13">
        <v>0</v>
      </c>
      <c r="U219" s="13">
        <v>0</v>
      </c>
      <c r="AC219" s="10" t="s">
        <v>674</v>
      </c>
      <c r="AD219" s="5" t="s">
        <v>660</v>
      </c>
      <c r="AE219" s="5" t="s">
        <v>42</v>
      </c>
      <c r="AG219" s="5" t="s">
        <v>675</v>
      </c>
    </row>
    <row r="220" spans="1:33" ht="10" customHeight="1" x14ac:dyDescent="0.2">
      <c r="A220" s="5" t="s">
        <v>40</v>
      </c>
      <c r="B220" s="5" t="s">
        <v>41</v>
      </c>
      <c r="D220" s="5" t="s">
        <v>676</v>
      </c>
      <c r="E220" s="10" t="s">
        <v>53</v>
      </c>
      <c r="F220" s="5" t="s">
        <v>553</v>
      </c>
      <c r="I220" s="11">
        <v>1</v>
      </c>
      <c r="J220" s="5" t="s">
        <v>60</v>
      </c>
      <c r="K220" s="10" t="s">
        <v>46</v>
      </c>
      <c r="L220" s="5" t="s">
        <v>47</v>
      </c>
      <c r="M220" s="5" t="s">
        <v>48</v>
      </c>
      <c r="N220" s="5" t="s">
        <v>49</v>
      </c>
      <c r="O220" s="12"/>
      <c r="P220" s="13">
        <v>750213</v>
      </c>
      <c r="Q220" s="13">
        <v>791760</v>
      </c>
      <c r="S220" s="13">
        <v>0</v>
      </c>
      <c r="U220" s="13">
        <v>0</v>
      </c>
      <c r="AC220" s="10" t="s">
        <v>677</v>
      </c>
      <c r="AD220" s="5" t="s">
        <v>660</v>
      </c>
      <c r="AE220" s="5" t="s">
        <v>42</v>
      </c>
      <c r="AG220" s="5" t="s">
        <v>678</v>
      </c>
    </row>
    <row r="221" spans="1:33" ht="10" customHeight="1" x14ac:dyDescent="0.2">
      <c r="A221" s="5" t="s">
        <v>40</v>
      </c>
      <c r="B221" s="5" t="s">
        <v>41</v>
      </c>
      <c r="D221" s="5" t="s">
        <v>679</v>
      </c>
      <c r="E221" s="10" t="s">
        <v>53</v>
      </c>
      <c r="F221" s="5" t="s">
        <v>553</v>
      </c>
      <c r="I221" s="11">
        <v>1</v>
      </c>
      <c r="J221" s="5" t="s">
        <v>60</v>
      </c>
      <c r="K221" s="10" t="s">
        <v>46</v>
      </c>
      <c r="L221" s="5" t="s">
        <v>47</v>
      </c>
      <c r="M221" s="5" t="s">
        <v>48</v>
      </c>
      <c r="N221" s="5" t="s">
        <v>49</v>
      </c>
      <c r="O221" s="12"/>
      <c r="Q221" s="13">
        <v>734937</v>
      </c>
      <c r="S221" s="13">
        <v>711053</v>
      </c>
      <c r="U221" s="13">
        <v>711053</v>
      </c>
      <c r="AC221" s="10" t="s">
        <v>680</v>
      </c>
      <c r="AD221" s="5" t="s">
        <v>660</v>
      </c>
      <c r="AE221" s="5" t="s">
        <v>42</v>
      </c>
      <c r="AG221" s="5" t="s">
        <v>681</v>
      </c>
    </row>
    <row r="222" spans="1:33" ht="10" customHeight="1" x14ac:dyDescent="0.2">
      <c r="A222" s="5" t="s">
        <v>40</v>
      </c>
      <c r="B222" s="5" t="s">
        <v>41</v>
      </c>
      <c r="D222" s="5" t="s">
        <v>682</v>
      </c>
      <c r="E222" s="10" t="s">
        <v>53</v>
      </c>
      <c r="F222" s="5" t="s">
        <v>553</v>
      </c>
      <c r="I222" s="11">
        <v>1</v>
      </c>
      <c r="J222" s="5" t="s">
        <v>60</v>
      </c>
      <c r="K222" s="10" t="s">
        <v>46</v>
      </c>
      <c r="L222" s="5" t="s">
        <v>47</v>
      </c>
      <c r="M222" s="5" t="s">
        <v>48</v>
      </c>
      <c r="N222" s="5" t="s">
        <v>49</v>
      </c>
      <c r="O222" s="12"/>
      <c r="S222" s="13">
        <v>729475</v>
      </c>
      <c r="U222" s="13">
        <v>729475</v>
      </c>
      <c r="AC222" s="10" t="s">
        <v>683</v>
      </c>
      <c r="AD222" s="5" t="s">
        <v>660</v>
      </c>
      <c r="AE222" s="5" t="s">
        <v>42</v>
      </c>
      <c r="AG222" s="5" t="s">
        <v>684</v>
      </c>
    </row>
    <row r="223" spans="1:33" ht="10" customHeight="1" x14ac:dyDescent="0.2">
      <c r="A223" s="5" t="s">
        <v>40</v>
      </c>
      <c r="B223" s="5" t="s">
        <v>41</v>
      </c>
      <c r="D223" s="5" t="s">
        <v>685</v>
      </c>
      <c r="E223" s="10" t="s">
        <v>53</v>
      </c>
      <c r="F223" s="5" t="s">
        <v>553</v>
      </c>
      <c r="I223" s="11">
        <v>1</v>
      </c>
      <c r="J223" s="5" t="s">
        <v>60</v>
      </c>
      <c r="K223" s="10" t="s">
        <v>46</v>
      </c>
      <c r="L223" s="5" t="s">
        <v>47</v>
      </c>
      <c r="M223" s="5" t="s">
        <v>48</v>
      </c>
      <c r="N223" s="5" t="s">
        <v>49</v>
      </c>
      <c r="O223" s="12"/>
      <c r="S223" s="13">
        <v>0</v>
      </c>
      <c r="U223" s="13">
        <v>0</v>
      </c>
      <c r="AC223" s="10" t="s">
        <v>686</v>
      </c>
      <c r="AD223" s="5" t="s">
        <v>660</v>
      </c>
      <c r="AE223" s="5" t="s">
        <v>42</v>
      </c>
      <c r="AG223" s="5" t="s">
        <v>687</v>
      </c>
    </row>
    <row r="224" spans="1:33" ht="10" customHeight="1" x14ac:dyDescent="0.2">
      <c r="A224" s="5" t="s">
        <v>40</v>
      </c>
      <c r="B224" s="5" t="s">
        <v>41</v>
      </c>
      <c r="D224" s="5" t="s">
        <v>688</v>
      </c>
      <c r="E224" s="10" t="s">
        <v>53</v>
      </c>
      <c r="F224" s="5" t="s">
        <v>553</v>
      </c>
      <c r="I224" s="11">
        <v>1</v>
      </c>
      <c r="J224" s="5" t="s">
        <v>60</v>
      </c>
      <c r="K224" s="10" t="s">
        <v>46</v>
      </c>
      <c r="L224" s="5" t="s">
        <v>47</v>
      </c>
      <c r="M224" s="5" t="s">
        <v>48</v>
      </c>
      <c r="N224" s="5" t="s">
        <v>49</v>
      </c>
      <c r="O224" s="12"/>
      <c r="S224" s="13">
        <v>0</v>
      </c>
      <c r="U224" s="13">
        <v>0</v>
      </c>
      <c r="AC224" s="10" t="s">
        <v>689</v>
      </c>
      <c r="AD224" s="5" t="s">
        <v>660</v>
      </c>
      <c r="AE224" s="5" t="s">
        <v>42</v>
      </c>
      <c r="AG224" s="5" t="s">
        <v>690</v>
      </c>
    </row>
    <row r="225" spans="1:33" ht="10" customHeight="1" x14ac:dyDescent="0.2">
      <c r="A225" s="5" t="s">
        <v>40</v>
      </c>
      <c r="B225" s="5" t="s">
        <v>41</v>
      </c>
      <c r="D225" s="5" t="s">
        <v>691</v>
      </c>
      <c r="E225" s="10" t="s">
        <v>53</v>
      </c>
      <c r="F225" s="5" t="s">
        <v>553</v>
      </c>
      <c r="I225" s="11">
        <v>1</v>
      </c>
      <c r="J225" s="5" t="s">
        <v>60</v>
      </c>
      <c r="K225" s="10" t="s">
        <v>46</v>
      </c>
      <c r="L225" s="5" t="s">
        <v>47</v>
      </c>
      <c r="M225" s="5" t="s">
        <v>48</v>
      </c>
      <c r="N225" s="5" t="s">
        <v>49</v>
      </c>
      <c r="O225" s="12"/>
      <c r="S225" s="13">
        <v>0</v>
      </c>
      <c r="U225" s="13">
        <v>0</v>
      </c>
      <c r="AC225" s="10" t="s">
        <v>692</v>
      </c>
      <c r="AD225" s="5" t="s">
        <v>660</v>
      </c>
      <c r="AE225" s="5" t="s">
        <v>42</v>
      </c>
      <c r="AG225" s="5" t="s">
        <v>693</v>
      </c>
    </row>
    <row r="226" spans="1:33" ht="10" customHeight="1" x14ac:dyDescent="0.2">
      <c r="A226" s="5" t="s">
        <v>40</v>
      </c>
      <c r="B226" s="5" t="s">
        <v>41</v>
      </c>
      <c r="D226" s="5" t="s">
        <v>694</v>
      </c>
      <c r="E226" s="10" t="s">
        <v>53</v>
      </c>
      <c r="F226" s="5" t="s">
        <v>553</v>
      </c>
      <c r="I226" s="11">
        <v>1</v>
      </c>
      <c r="J226" s="5" t="s">
        <v>60</v>
      </c>
      <c r="K226" s="10" t="s">
        <v>46</v>
      </c>
      <c r="L226" s="5" t="s">
        <v>47</v>
      </c>
      <c r="M226" s="5" t="s">
        <v>48</v>
      </c>
      <c r="N226" s="5" t="s">
        <v>49</v>
      </c>
      <c r="O226" s="12"/>
      <c r="S226" s="13">
        <v>0</v>
      </c>
      <c r="U226" s="13">
        <v>0</v>
      </c>
      <c r="AC226" s="10" t="s">
        <v>695</v>
      </c>
      <c r="AD226" s="5" t="s">
        <v>660</v>
      </c>
      <c r="AE226" s="5" t="s">
        <v>42</v>
      </c>
    </row>
    <row r="227" spans="1:33" ht="10" customHeight="1" x14ac:dyDescent="0.2">
      <c r="A227" s="5" t="s">
        <v>40</v>
      </c>
      <c r="B227" s="5" t="s">
        <v>41</v>
      </c>
      <c r="D227" s="5" t="s">
        <v>696</v>
      </c>
      <c r="E227" s="10" t="s">
        <v>53</v>
      </c>
      <c r="F227" s="5" t="s">
        <v>553</v>
      </c>
      <c r="I227" s="11">
        <v>1</v>
      </c>
      <c r="J227" s="5" t="s">
        <v>60</v>
      </c>
      <c r="K227" s="10" t="s">
        <v>46</v>
      </c>
      <c r="L227" s="5" t="s">
        <v>47</v>
      </c>
      <c r="M227" s="5" t="s">
        <v>48</v>
      </c>
      <c r="N227" s="5" t="s">
        <v>49</v>
      </c>
      <c r="O227" s="12"/>
      <c r="S227" s="13">
        <v>0</v>
      </c>
      <c r="U227" s="13">
        <v>0</v>
      </c>
      <c r="AC227" s="10" t="s">
        <v>697</v>
      </c>
      <c r="AD227" s="5" t="s">
        <v>660</v>
      </c>
      <c r="AE227" s="5" t="s">
        <v>42</v>
      </c>
      <c r="AG227" s="5" t="s">
        <v>698</v>
      </c>
    </row>
    <row r="228" spans="1:33" ht="10" customHeight="1" x14ac:dyDescent="0.2">
      <c r="A228" s="5" t="s">
        <v>40</v>
      </c>
      <c r="B228" s="5" t="s">
        <v>41</v>
      </c>
      <c r="D228" s="5" t="s">
        <v>699</v>
      </c>
      <c r="E228" s="10" t="s">
        <v>53</v>
      </c>
      <c r="F228" s="5" t="s">
        <v>553</v>
      </c>
      <c r="I228" s="11">
        <v>1</v>
      </c>
      <c r="J228" s="5" t="s">
        <v>60</v>
      </c>
      <c r="K228" s="10" t="s">
        <v>46</v>
      </c>
      <c r="L228" s="5" t="s">
        <v>47</v>
      </c>
      <c r="M228" s="5" t="s">
        <v>48</v>
      </c>
      <c r="N228" s="5" t="s">
        <v>49</v>
      </c>
      <c r="O228" s="12"/>
      <c r="P228" s="13">
        <v>30739</v>
      </c>
      <c r="Q228" s="13">
        <v>5860</v>
      </c>
      <c r="S228" s="13">
        <v>0</v>
      </c>
      <c r="U228" s="13">
        <v>0</v>
      </c>
      <c r="AC228" s="10" t="s">
        <v>700</v>
      </c>
      <c r="AD228" s="5" t="s">
        <v>660</v>
      </c>
      <c r="AE228" s="5" t="s">
        <v>42</v>
      </c>
      <c r="AG228" s="5" t="s">
        <v>701</v>
      </c>
    </row>
    <row r="229" spans="1:33" ht="10" customHeight="1" x14ac:dyDescent="0.2">
      <c r="A229" s="5" t="s">
        <v>40</v>
      </c>
      <c r="B229" s="5" t="s">
        <v>41</v>
      </c>
      <c r="D229" s="5" t="s">
        <v>702</v>
      </c>
      <c r="E229" s="10" t="s">
        <v>53</v>
      </c>
      <c r="F229" s="5" t="s">
        <v>553</v>
      </c>
      <c r="I229" s="11">
        <v>1</v>
      </c>
      <c r="J229" s="5" t="s">
        <v>60</v>
      </c>
      <c r="K229" s="10" t="s">
        <v>46</v>
      </c>
      <c r="L229" s="5" t="s">
        <v>47</v>
      </c>
      <c r="M229" s="5" t="s">
        <v>48</v>
      </c>
      <c r="N229" s="5" t="s">
        <v>49</v>
      </c>
      <c r="O229" s="12"/>
      <c r="P229" s="13">
        <v>36085</v>
      </c>
      <c r="Q229" s="13">
        <v>31468</v>
      </c>
      <c r="S229" s="13">
        <v>8415</v>
      </c>
      <c r="U229" s="13">
        <v>8415</v>
      </c>
      <c r="AC229" s="10" t="s">
        <v>703</v>
      </c>
      <c r="AD229" s="5" t="s">
        <v>660</v>
      </c>
      <c r="AE229" s="5" t="s">
        <v>42</v>
      </c>
      <c r="AG229" s="5" t="s">
        <v>678</v>
      </c>
    </row>
    <row r="230" spans="1:33" ht="10" customHeight="1" x14ac:dyDescent="0.2">
      <c r="A230" s="5" t="s">
        <v>40</v>
      </c>
      <c r="B230" s="5" t="s">
        <v>41</v>
      </c>
      <c r="D230" s="5" t="s">
        <v>704</v>
      </c>
      <c r="E230" s="10" t="s">
        <v>53</v>
      </c>
      <c r="F230" s="5" t="s">
        <v>553</v>
      </c>
      <c r="I230" s="11">
        <v>1</v>
      </c>
      <c r="J230" s="5" t="s">
        <v>60</v>
      </c>
      <c r="K230" s="10" t="s">
        <v>46</v>
      </c>
      <c r="L230" s="5" t="s">
        <v>47</v>
      </c>
      <c r="M230" s="5" t="s">
        <v>48</v>
      </c>
      <c r="N230" s="5" t="s">
        <v>49</v>
      </c>
      <c r="O230" s="12"/>
      <c r="Q230" s="13">
        <v>38147</v>
      </c>
      <c r="S230" s="13">
        <v>28330</v>
      </c>
      <c r="U230" s="13">
        <v>28330</v>
      </c>
      <c r="AC230" s="10" t="s">
        <v>705</v>
      </c>
      <c r="AD230" s="5" t="s">
        <v>660</v>
      </c>
      <c r="AE230" s="5" t="s">
        <v>42</v>
      </c>
      <c r="AG230" s="5" t="s">
        <v>706</v>
      </c>
    </row>
    <row r="231" spans="1:33" ht="10" customHeight="1" x14ac:dyDescent="0.2">
      <c r="A231" s="5" t="s">
        <v>40</v>
      </c>
      <c r="B231" s="5" t="s">
        <v>41</v>
      </c>
      <c r="D231" s="5" t="s">
        <v>707</v>
      </c>
      <c r="E231" s="10" t="s">
        <v>53</v>
      </c>
      <c r="F231" s="5" t="s">
        <v>553</v>
      </c>
      <c r="I231" s="11">
        <v>1</v>
      </c>
      <c r="J231" s="5" t="s">
        <v>60</v>
      </c>
      <c r="K231" s="10" t="s">
        <v>46</v>
      </c>
      <c r="L231" s="5" t="s">
        <v>47</v>
      </c>
      <c r="M231" s="5" t="s">
        <v>48</v>
      </c>
      <c r="N231" s="5" t="s">
        <v>49</v>
      </c>
      <c r="O231" s="12"/>
      <c r="S231" s="13">
        <v>43408</v>
      </c>
      <c r="U231" s="13">
        <v>43408</v>
      </c>
      <c r="AC231" s="10" t="s">
        <v>708</v>
      </c>
      <c r="AD231" s="5" t="s">
        <v>660</v>
      </c>
      <c r="AE231" s="5" t="s">
        <v>42</v>
      </c>
      <c r="AG231" s="5" t="s">
        <v>684</v>
      </c>
    </row>
    <row r="232" spans="1:33" ht="10" customHeight="1" x14ac:dyDescent="0.2">
      <c r="A232" s="5" t="s">
        <v>40</v>
      </c>
      <c r="B232" s="5" t="s">
        <v>41</v>
      </c>
      <c r="D232" s="5" t="s">
        <v>709</v>
      </c>
      <c r="E232" s="10" t="s">
        <v>53</v>
      </c>
      <c r="F232" s="5" t="s">
        <v>553</v>
      </c>
      <c r="I232" s="11">
        <v>1</v>
      </c>
      <c r="J232" s="5" t="s">
        <v>60</v>
      </c>
      <c r="K232" s="10" t="s">
        <v>46</v>
      </c>
      <c r="L232" s="5" t="s">
        <v>47</v>
      </c>
      <c r="M232" s="5" t="s">
        <v>48</v>
      </c>
      <c r="N232" s="5" t="s">
        <v>49</v>
      </c>
      <c r="O232" s="12"/>
      <c r="S232" s="13">
        <v>6049</v>
      </c>
      <c r="U232" s="13">
        <v>6049</v>
      </c>
      <c r="AC232" s="10" t="s">
        <v>710</v>
      </c>
      <c r="AD232" s="5" t="s">
        <v>711</v>
      </c>
      <c r="AE232" s="5" t="s">
        <v>42</v>
      </c>
      <c r="AG232" s="5" t="s">
        <v>687</v>
      </c>
    </row>
    <row r="233" spans="1:33" ht="10" customHeight="1" x14ac:dyDescent="0.2">
      <c r="A233" s="5" t="s">
        <v>40</v>
      </c>
      <c r="B233" s="5" t="s">
        <v>41</v>
      </c>
      <c r="D233" s="5" t="s">
        <v>712</v>
      </c>
      <c r="E233" s="10" t="s">
        <v>53</v>
      </c>
      <c r="F233" s="5" t="s">
        <v>553</v>
      </c>
      <c r="I233" s="11">
        <v>1</v>
      </c>
      <c r="J233" s="5" t="s">
        <v>60</v>
      </c>
      <c r="K233" s="10" t="s">
        <v>46</v>
      </c>
      <c r="L233" s="5" t="s">
        <v>47</v>
      </c>
      <c r="M233" s="5" t="s">
        <v>48</v>
      </c>
      <c r="N233" s="5" t="s">
        <v>49</v>
      </c>
      <c r="O233" s="12"/>
      <c r="S233" s="13">
        <v>0</v>
      </c>
      <c r="U233" s="13">
        <v>0</v>
      </c>
      <c r="AC233" s="10" t="s">
        <v>713</v>
      </c>
      <c r="AD233" s="5" t="s">
        <v>711</v>
      </c>
      <c r="AE233" s="5" t="s">
        <v>42</v>
      </c>
    </row>
    <row r="234" spans="1:33" ht="10" customHeight="1" x14ac:dyDescent="0.2">
      <c r="A234" s="5" t="s">
        <v>40</v>
      </c>
      <c r="B234" s="5" t="s">
        <v>41</v>
      </c>
      <c r="D234" s="5" t="s">
        <v>714</v>
      </c>
      <c r="E234" s="10" t="s">
        <v>53</v>
      </c>
      <c r="F234" s="5" t="s">
        <v>553</v>
      </c>
      <c r="I234" s="11">
        <v>1</v>
      </c>
      <c r="J234" s="5" t="s">
        <v>60</v>
      </c>
      <c r="K234" s="10" t="s">
        <v>46</v>
      </c>
      <c r="L234" s="5" t="s">
        <v>47</v>
      </c>
      <c r="M234" s="5" t="s">
        <v>48</v>
      </c>
      <c r="N234" s="5" t="s">
        <v>49</v>
      </c>
      <c r="O234" s="12"/>
      <c r="S234" s="13">
        <v>0</v>
      </c>
      <c r="U234" s="13">
        <v>0</v>
      </c>
      <c r="AC234" s="10" t="s">
        <v>715</v>
      </c>
      <c r="AD234" s="5" t="s">
        <v>711</v>
      </c>
      <c r="AE234" s="5" t="s">
        <v>42</v>
      </c>
    </row>
    <row r="235" spans="1:33" ht="10" customHeight="1" x14ac:dyDescent="0.2">
      <c r="A235" s="5" t="s">
        <v>40</v>
      </c>
      <c r="B235" s="5" t="s">
        <v>41</v>
      </c>
      <c r="D235" s="5" t="s">
        <v>716</v>
      </c>
      <c r="E235" s="10" t="s">
        <v>53</v>
      </c>
      <c r="F235" s="5" t="s">
        <v>553</v>
      </c>
      <c r="I235" s="11">
        <v>1</v>
      </c>
      <c r="J235" s="5" t="s">
        <v>60</v>
      </c>
      <c r="K235" s="10" t="s">
        <v>46</v>
      </c>
      <c r="L235" s="5" t="s">
        <v>47</v>
      </c>
      <c r="M235" s="5" t="s">
        <v>48</v>
      </c>
      <c r="N235" s="5" t="s">
        <v>49</v>
      </c>
      <c r="O235" s="12"/>
      <c r="S235" s="13">
        <v>0</v>
      </c>
      <c r="U235" s="13">
        <v>0</v>
      </c>
      <c r="AC235" s="10" t="s">
        <v>717</v>
      </c>
      <c r="AD235" s="5" t="s">
        <v>711</v>
      </c>
      <c r="AE235" s="5" t="s">
        <v>42</v>
      </c>
      <c r="AG235" s="5" t="s">
        <v>718</v>
      </c>
    </row>
    <row r="236" spans="1:33" ht="10" customHeight="1" x14ac:dyDescent="0.2">
      <c r="A236" s="5" t="s">
        <v>40</v>
      </c>
      <c r="B236" s="5" t="s">
        <v>41</v>
      </c>
      <c r="D236" s="5" t="s">
        <v>719</v>
      </c>
      <c r="E236" s="10" t="s">
        <v>53</v>
      </c>
      <c r="F236" s="5" t="s">
        <v>553</v>
      </c>
      <c r="I236" s="11">
        <v>1</v>
      </c>
      <c r="J236" s="5" t="s">
        <v>60</v>
      </c>
      <c r="K236" s="10" t="s">
        <v>46</v>
      </c>
      <c r="L236" s="5" t="s">
        <v>47</v>
      </c>
      <c r="M236" s="5" t="s">
        <v>48</v>
      </c>
      <c r="N236" s="5" t="s">
        <v>49</v>
      </c>
      <c r="O236" s="12"/>
      <c r="S236" s="13">
        <v>0</v>
      </c>
      <c r="U236" s="13">
        <v>0</v>
      </c>
      <c r="AC236" s="10" t="s">
        <v>720</v>
      </c>
      <c r="AD236" s="5" t="s">
        <v>711</v>
      </c>
      <c r="AE236" s="5" t="s">
        <v>42</v>
      </c>
      <c r="AG236" s="5" t="s">
        <v>721</v>
      </c>
    </row>
    <row r="237" spans="1:33" ht="10" customHeight="1" x14ac:dyDescent="0.2">
      <c r="A237" s="5" t="s">
        <v>40</v>
      </c>
      <c r="B237" s="5" t="s">
        <v>41</v>
      </c>
      <c r="D237" s="5" t="s">
        <v>722</v>
      </c>
      <c r="E237" s="10" t="s">
        <v>53</v>
      </c>
      <c r="F237" s="5" t="s">
        <v>553</v>
      </c>
      <c r="I237" s="11">
        <v>1</v>
      </c>
      <c r="J237" s="5" t="s">
        <v>60</v>
      </c>
      <c r="K237" s="10" t="s">
        <v>46</v>
      </c>
      <c r="L237" s="5" t="s">
        <v>47</v>
      </c>
      <c r="M237" s="5" t="s">
        <v>48</v>
      </c>
      <c r="N237" s="5" t="s">
        <v>49</v>
      </c>
      <c r="O237" s="12"/>
      <c r="S237" s="13">
        <v>0</v>
      </c>
      <c r="U237" s="13">
        <v>0</v>
      </c>
      <c r="AC237" s="10" t="s">
        <v>723</v>
      </c>
      <c r="AD237" s="5" t="s">
        <v>711</v>
      </c>
      <c r="AE237" s="5" t="s">
        <v>42</v>
      </c>
      <c r="AG237" s="5" t="s">
        <v>724</v>
      </c>
    </row>
    <row r="238" spans="1:33" ht="10" customHeight="1" x14ac:dyDescent="0.2">
      <c r="A238" s="5" t="s">
        <v>40</v>
      </c>
      <c r="B238" s="5" t="s">
        <v>41</v>
      </c>
      <c r="D238" s="5" t="s">
        <v>725</v>
      </c>
      <c r="E238" s="10" t="s">
        <v>53</v>
      </c>
      <c r="F238" s="5" t="s">
        <v>553</v>
      </c>
      <c r="I238" s="11">
        <v>1</v>
      </c>
      <c r="J238" s="5" t="s">
        <v>60</v>
      </c>
      <c r="K238" s="10" t="s">
        <v>46</v>
      </c>
      <c r="L238" s="5" t="s">
        <v>47</v>
      </c>
      <c r="M238" s="5" t="s">
        <v>48</v>
      </c>
      <c r="N238" s="5" t="s">
        <v>49</v>
      </c>
      <c r="O238" s="12"/>
      <c r="S238" s="13">
        <v>0</v>
      </c>
      <c r="U238" s="13">
        <v>0</v>
      </c>
      <c r="AC238" s="10" t="s">
        <v>726</v>
      </c>
      <c r="AD238" s="5" t="s">
        <v>711</v>
      </c>
      <c r="AE238" s="5" t="s">
        <v>42</v>
      </c>
    </row>
    <row r="239" spans="1:33" ht="10" customHeight="1" x14ac:dyDescent="0.2">
      <c r="A239" s="5" t="s">
        <v>40</v>
      </c>
      <c r="B239" s="5" t="s">
        <v>41</v>
      </c>
      <c r="D239" s="5" t="s">
        <v>727</v>
      </c>
      <c r="E239" s="10" t="s">
        <v>53</v>
      </c>
      <c r="F239" s="5" t="s">
        <v>553</v>
      </c>
      <c r="I239" s="11">
        <v>1</v>
      </c>
      <c r="J239" s="5" t="s">
        <v>60</v>
      </c>
      <c r="K239" s="10" t="s">
        <v>46</v>
      </c>
      <c r="L239" s="5" t="s">
        <v>47</v>
      </c>
      <c r="M239" s="5" t="s">
        <v>48</v>
      </c>
      <c r="N239" s="5" t="s">
        <v>49</v>
      </c>
      <c r="O239" s="12"/>
      <c r="P239" s="13">
        <v>54102</v>
      </c>
      <c r="Q239" s="13">
        <v>24641</v>
      </c>
      <c r="S239" s="13">
        <v>0</v>
      </c>
      <c r="U239" s="13">
        <v>0</v>
      </c>
      <c r="AC239" s="10" t="s">
        <v>728</v>
      </c>
      <c r="AD239" s="5" t="s">
        <v>711</v>
      </c>
      <c r="AE239" s="5" t="s">
        <v>42</v>
      </c>
      <c r="AG239" s="5" t="s">
        <v>675</v>
      </c>
    </row>
    <row r="240" spans="1:33" ht="10" customHeight="1" x14ac:dyDescent="0.2">
      <c r="A240" s="5" t="s">
        <v>40</v>
      </c>
      <c r="B240" s="5" t="s">
        <v>41</v>
      </c>
      <c r="D240" s="5" t="s">
        <v>729</v>
      </c>
      <c r="E240" s="10" t="s">
        <v>53</v>
      </c>
      <c r="F240" s="5" t="s">
        <v>553</v>
      </c>
      <c r="I240" s="11">
        <v>1</v>
      </c>
      <c r="J240" s="5" t="s">
        <v>60</v>
      </c>
      <c r="K240" s="10" t="s">
        <v>46</v>
      </c>
      <c r="L240" s="5" t="s">
        <v>47</v>
      </c>
      <c r="M240" s="5" t="s">
        <v>48</v>
      </c>
      <c r="N240" s="5" t="s">
        <v>49</v>
      </c>
      <c r="O240" s="12"/>
      <c r="P240" s="13">
        <v>12390</v>
      </c>
      <c r="Q240" s="13">
        <v>60219</v>
      </c>
      <c r="S240" s="13">
        <v>29510</v>
      </c>
      <c r="U240" s="13">
        <v>29510</v>
      </c>
      <c r="AC240" s="10" t="s">
        <v>730</v>
      </c>
      <c r="AD240" s="5" t="s">
        <v>711</v>
      </c>
      <c r="AE240" s="5" t="s">
        <v>42</v>
      </c>
      <c r="AG240" s="5" t="s">
        <v>678</v>
      </c>
    </row>
    <row r="241" spans="1:33" ht="10" customHeight="1" x14ac:dyDescent="0.2">
      <c r="A241" s="5" t="s">
        <v>40</v>
      </c>
      <c r="B241" s="5" t="s">
        <v>41</v>
      </c>
      <c r="D241" s="5" t="s">
        <v>731</v>
      </c>
      <c r="E241" s="10" t="s">
        <v>53</v>
      </c>
      <c r="F241" s="5" t="s">
        <v>553</v>
      </c>
      <c r="I241" s="11">
        <v>1</v>
      </c>
      <c r="J241" s="5" t="s">
        <v>60</v>
      </c>
      <c r="K241" s="10" t="s">
        <v>46</v>
      </c>
      <c r="L241" s="5" t="s">
        <v>47</v>
      </c>
      <c r="M241" s="5" t="s">
        <v>48</v>
      </c>
      <c r="N241" s="5" t="s">
        <v>49</v>
      </c>
      <c r="O241" s="12"/>
      <c r="P241" s="13">
        <v>5375</v>
      </c>
      <c r="Q241" s="13">
        <v>44826</v>
      </c>
      <c r="S241" s="13">
        <v>46009</v>
      </c>
      <c r="U241" s="13">
        <v>46009</v>
      </c>
      <c r="AC241" s="10" t="s">
        <v>732</v>
      </c>
      <c r="AD241" s="5" t="s">
        <v>711</v>
      </c>
      <c r="AE241" s="5" t="s">
        <v>42</v>
      </c>
      <c r="AG241" s="5" t="s">
        <v>706</v>
      </c>
    </row>
    <row r="242" spans="1:33" ht="10" customHeight="1" x14ac:dyDescent="0.2">
      <c r="A242" s="5" t="s">
        <v>40</v>
      </c>
      <c r="B242" s="5" t="s">
        <v>41</v>
      </c>
      <c r="D242" s="5" t="s">
        <v>733</v>
      </c>
      <c r="E242" s="10" t="s">
        <v>53</v>
      </c>
      <c r="F242" s="5" t="s">
        <v>553</v>
      </c>
      <c r="I242" s="11">
        <v>1</v>
      </c>
      <c r="J242" s="5" t="s">
        <v>60</v>
      </c>
      <c r="K242" s="10" t="s">
        <v>46</v>
      </c>
      <c r="L242" s="5" t="s">
        <v>47</v>
      </c>
      <c r="M242" s="5" t="s">
        <v>48</v>
      </c>
      <c r="N242" s="5" t="s">
        <v>49</v>
      </c>
      <c r="O242" s="12"/>
      <c r="Q242" s="13">
        <v>5429</v>
      </c>
      <c r="S242" s="13">
        <v>35875</v>
      </c>
      <c r="U242" s="13">
        <v>35875</v>
      </c>
      <c r="AC242" s="10" t="s">
        <v>734</v>
      </c>
      <c r="AD242" s="5" t="s">
        <v>711</v>
      </c>
      <c r="AE242" s="5" t="s">
        <v>42</v>
      </c>
      <c r="AG242" s="5" t="s">
        <v>684</v>
      </c>
    </row>
    <row r="243" spans="1:33" ht="10" customHeight="1" x14ac:dyDescent="0.2">
      <c r="A243" s="5" t="s">
        <v>40</v>
      </c>
      <c r="B243" s="5" t="s">
        <v>41</v>
      </c>
      <c r="D243" s="5" t="s">
        <v>735</v>
      </c>
      <c r="E243" s="10" t="s">
        <v>53</v>
      </c>
      <c r="F243" s="5" t="s">
        <v>553</v>
      </c>
      <c r="I243" s="11">
        <v>1</v>
      </c>
      <c r="J243" s="5" t="s">
        <v>60</v>
      </c>
      <c r="K243" s="10" t="s">
        <v>46</v>
      </c>
      <c r="L243" s="5" t="s">
        <v>47</v>
      </c>
      <c r="M243" s="5" t="s">
        <v>48</v>
      </c>
      <c r="N243" s="5" t="s">
        <v>49</v>
      </c>
      <c r="O243" s="12"/>
      <c r="S243" s="13">
        <v>12952</v>
      </c>
      <c r="U243" s="13">
        <v>12952</v>
      </c>
      <c r="AC243" s="10" t="s">
        <v>736</v>
      </c>
      <c r="AD243" s="5" t="s">
        <v>711</v>
      </c>
      <c r="AE243" s="5" t="s">
        <v>42</v>
      </c>
      <c r="AG243" s="5" t="s">
        <v>687</v>
      </c>
    </row>
    <row r="244" spans="1:33" ht="10" customHeight="1" x14ac:dyDescent="0.2">
      <c r="A244" s="5" t="s">
        <v>40</v>
      </c>
      <c r="B244" s="5" t="s">
        <v>41</v>
      </c>
      <c r="D244" s="5" t="s">
        <v>737</v>
      </c>
      <c r="E244" s="10" t="s">
        <v>53</v>
      </c>
      <c r="F244" s="5" t="s">
        <v>553</v>
      </c>
      <c r="I244" s="11">
        <v>1</v>
      </c>
      <c r="J244" s="5" t="s">
        <v>60</v>
      </c>
      <c r="K244" s="10" t="s">
        <v>46</v>
      </c>
      <c r="L244" s="5" t="s">
        <v>47</v>
      </c>
      <c r="M244" s="5" t="s">
        <v>48</v>
      </c>
      <c r="N244" s="5" t="s">
        <v>49</v>
      </c>
      <c r="O244" s="12"/>
      <c r="S244" s="13">
        <v>0</v>
      </c>
      <c r="U244" s="13">
        <v>0</v>
      </c>
      <c r="AC244" s="10" t="s">
        <v>738</v>
      </c>
      <c r="AD244" s="5" t="s">
        <v>711</v>
      </c>
      <c r="AE244" s="5" t="s">
        <v>42</v>
      </c>
    </row>
    <row r="245" spans="1:33" ht="10" customHeight="1" x14ac:dyDescent="0.2">
      <c r="A245" s="5" t="s">
        <v>40</v>
      </c>
      <c r="B245" s="5" t="s">
        <v>41</v>
      </c>
      <c r="D245" s="5" t="s">
        <v>739</v>
      </c>
      <c r="E245" s="10" t="s">
        <v>53</v>
      </c>
      <c r="F245" s="5" t="s">
        <v>553</v>
      </c>
      <c r="I245" s="11">
        <v>1</v>
      </c>
      <c r="J245" s="5" t="s">
        <v>60</v>
      </c>
      <c r="K245" s="10" t="s">
        <v>46</v>
      </c>
      <c r="L245" s="5" t="s">
        <v>47</v>
      </c>
      <c r="M245" s="5" t="s">
        <v>48</v>
      </c>
      <c r="N245" s="5" t="s">
        <v>49</v>
      </c>
      <c r="O245" s="12"/>
      <c r="S245" s="13">
        <v>0</v>
      </c>
      <c r="U245" s="13">
        <v>0</v>
      </c>
      <c r="AC245" s="10" t="s">
        <v>740</v>
      </c>
      <c r="AD245" s="5" t="s">
        <v>711</v>
      </c>
      <c r="AE245" s="5" t="s">
        <v>42</v>
      </c>
    </row>
    <row r="246" spans="1:33" ht="10" customHeight="1" x14ac:dyDescent="0.2">
      <c r="A246" s="5" t="s">
        <v>40</v>
      </c>
      <c r="B246" s="5" t="s">
        <v>41</v>
      </c>
      <c r="D246" s="5" t="s">
        <v>741</v>
      </c>
      <c r="E246" s="10" t="s">
        <v>53</v>
      </c>
      <c r="F246" s="5" t="s">
        <v>553</v>
      </c>
      <c r="I246" s="11">
        <v>1</v>
      </c>
      <c r="J246" s="5" t="s">
        <v>60</v>
      </c>
      <c r="K246" s="10" t="s">
        <v>46</v>
      </c>
      <c r="L246" s="5" t="s">
        <v>47</v>
      </c>
      <c r="M246" s="5" t="s">
        <v>48</v>
      </c>
      <c r="N246" s="5" t="s">
        <v>49</v>
      </c>
      <c r="O246" s="12"/>
      <c r="S246" s="13">
        <v>0</v>
      </c>
      <c r="U246" s="13">
        <v>0</v>
      </c>
      <c r="AC246" s="10" t="s">
        <v>742</v>
      </c>
      <c r="AD246" s="5" t="s">
        <v>711</v>
      </c>
      <c r="AE246" s="5" t="s">
        <v>42</v>
      </c>
    </row>
    <row r="247" spans="1:33" ht="10" customHeight="1" x14ac:dyDescent="0.2">
      <c r="A247" s="5" t="s">
        <v>40</v>
      </c>
      <c r="B247" s="5" t="s">
        <v>41</v>
      </c>
      <c r="D247" s="5" t="s">
        <v>743</v>
      </c>
      <c r="E247" s="10" t="s">
        <v>53</v>
      </c>
      <c r="F247" s="5" t="s">
        <v>553</v>
      </c>
      <c r="I247" s="11">
        <v>1</v>
      </c>
      <c r="J247" s="5" t="s">
        <v>60</v>
      </c>
      <c r="K247" s="10" t="s">
        <v>46</v>
      </c>
      <c r="L247" s="5" t="s">
        <v>47</v>
      </c>
      <c r="M247" s="5" t="s">
        <v>48</v>
      </c>
      <c r="N247" s="5" t="s">
        <v>49</v>
      </c>
      <c r="O247" s="12"/>
      <c r="S247" s="13">
        <v>0</v>
      </c>
      <c r="U247" s="13">
        <v>0</v>
      </c>
      <c r="AC247" s="10" t="s">
        <v>744</v>
      </c>
      <c r="AD247" s="5" t="s">
        <v>711</v>
      </c>
      <c r="AE247" s="5" t="s">
        <v>42</v>
      </c>
    </row>
    <row r="248" spans="1:33" ht="10" customHeight="1" x14ac:dyDescent="0.2">
      <c r="A248" s="5" t="s">
        <v>40</v>
      </c>
      <c r="B248" s="5" t="s">
        <v>41</v>
      </c>
      <c r="D248" s="5" t="s">
        <v>745</v>
      </c>
      <c r="E248" s="10" t="s">
        <v>53</v>
      </c>
      <c r="F248" s="5" t="s">
        <v>553</v>
      </c>
      <c r="I248" s="11">
        <v>1</v>
      </c>
      <c r="J248" s="5" t="s">
        <v>60</v>
      </c>
      <c r="K248" s="10" t="s">
        <v>46</v>
      </c>
      <c r="L248" s="5" t="s">
        <v>47</v>
      </c>
      <c r="M248" s="5" t="s">
        <v>48</v>
      </c>
      <c r="N248" s="5" t="s">
        <v>49</v>
      </c>
      <c r="O248" s="12"/>
      <c r="S248" s="13">
        <v>0</v>
      </c>
      <c r="U248" s="13">
        <v>0</v>
      </c>
      <c r="AC248" s="10" t="s">
        <v>746</v>
      </c>
      <c r="AD248" s="5" t="s">
        <v>711</v>
      </c>
      <c r="AE248" s="5" t="s">
        <v>42</v>
      </c>
    </row>
    <row r="249" spans="1:33" ht="10" customHeight="1" x14ac:dyDescent="0.2">
      <c r="A249" s="5" t="s">
        <v>40</v>
      </c>
      <c r="B249" s="5" t="s">
        <v>41</v>
      </c>
      <c r="D249" s="5" t="s">
        <v>747</v>
      </c>
      <c r="E249" s="10" t="s">
        <v>53</v>
      </c>
      <c r="F249" s="5" t="s">
        <v>553</v>
      </c>
      <c r="I249" s="11">
        <v>1</v>
      </c>
      <c r="J249" s="5" t="s">
        <v>60</v>
      </c>
      <c r="K249" s="10" t="s">
        <v>46</v>
      </c>
      <c r="L249" s="5" t="s">
        <v>47</v>
      </c>
      <c r="M249" s="5" t="s">
        <v>48</v>
      </c>
      <c r="N249" s="5" t="s">
        <v>49</v>
      </c>
      <c r="O249" s="12"/>
      <c r="S249" s="13">
        <v>0</v>
      </c>
      <c r="U249" s="13">
        <v>0</v>
      </c>
      <c r="AC249" s="10" t="s">
        <v>748</v>
      </c>
      <c r="AD249" s="5" t="s">
        <v>711</v>
      </c>
      <c r="AE249" s="5" t="s">
        <v>42</v>
      </c>
    </row>
    <row r="250" spans="1:33" ht="10" customHeight="1" x14ac:dyDescent="0.2">
      <c r="A250" s="5" t="s">
        <v>40</v>
      </c>
      <c r="B250" s="5" t="s">
        <v>41</v>
      </c>
      <c r="D250" s="5" t="s">
        <v>749</v>
      </c>
      <c r="E250" s="10" t="s">
        <v>53</v>
      </c>
      <c r="F250" s="5" t="s">
        <v>553</v>
      </c>
      <c r="I250" s="11">
        <v>1</v>
      </c>
      <c r="J250" s="5" t="s">
        <v>60</v>
      </c>
      <c r="K250" s="10" t="s">
        <v>46</v>
      </c>
      <c r="L250" s="5" t="s">
        <v>47</v>
      </c>
      <c r="M250" s="5" t="s">
        <v>48</v>
      </c>
      <c r="N250" s="5" t="s">
        <v>49</v>
      </c>
      <c r="O250" s="12"/>
      <c r="P250" s="13">
        <v>929</v>
      </c>
      <c r="Q250" s="13">
        <v>255</v>
      </c>
      <c r="S250" s="13">
        <v>0</v>
      </c>
      <c r="U250" s="13">
        <v>0</v>
      </c>
      <c r="AC250" s="10" t="s">
        <v>750</v>
      </c>
      <c r="AD250" s="5" t="s">
        <v>711</v>
      </c>
      <c r="AE250" s="5" t="s">
        <v>42</v>
      </c>
      <c r="AG250" s="5" t="s">
        <v>558</v>
      </c>
    </row>
    <row r="251" spans="1:33" ht="10" customHeight="1" x14ac:dyDescent="0.2">
      <c r="A251" s="5" t="s">
        <v>40</v>
      </c>
      <c r="B251" s="5" t="s">
        <v>41</v>
      </c>
      <c r="D251" s="5" t="s">
        <v>751</v>
      </c>
      <c r="E251" s="10" t="s">
        <v>53</v>
      </c>
      <c r="F251" s="5" t="s">
        <v>553</v>
      </c>
      <c r="I251" s="11">
        <v>1</v>
      </c>
      <c r="J251" s="5" t="s">
        <v>60</v>
      </c>
      <c r="K251" s="10" t="s">
        <v>46</v>
      </c>
      <c r="L251" s="5" t="s">
        <v>47</v>
      </c>
      <c r="M251" s="5" t="s">
        <v>48</v>
      </c>
      <c r="N251" s="5" t="s">
        <v>49</v>
      </c>
      <c r="O251" s="12"/>
      <c r="P251" s="13">
        <v>929</v>
      </c>
      <c r="Q251" s="13">
        <v>255</v>
      </c>
      <c r="S251" s="13">
        <v>250</v>
      </c>
      <c r="U251" s="13">
        <v>250</v>
      </c>
      <c r="AC251" s="10" t="s">
        <v>752</v>
      </c>
      <c r="AD251" s="5" t="s">
        <v>711</v>
      </c>
      <c r="AE251" s="5" t="s">
        <v>42</v>
      </c>
      <c r="AG251" s="5" t="s">
        <v>561</v>
      </c>
    </row>
    <row r="252" spans="1:33" ht="10" customHeight="1" x14ac:dyDescent="0.2">
      <c r="A252" s="5" t="s">
        <v>40</v>
      </c>
      <c r="B252" s="5" t="s">
        <v>41</v>
      </c>
      <c r="D252" s="5" t="s">
        <v>753</v>
      </c>
      <c r="E252" s="10" t="s">
        <v>53</v>
      </c>
      <c r="F252" s="5" t="s">
        <v>553</v>
      </c>
      <c r="I252" s="11">
        <v>1</v>
      </c>
      <c r="J252" s="5" t="s">
        <v>60</v>
      </c>
      <c r="K252" s="10" t="s">
        <v>46</v>
      </c>
      <c r="L252" s="5" t="s">
        <v>47</v>
      </c>
      <c r="M252" s="5" t="s">
        <v>48</v>
      </c>
      <c r="N252" s="5" t="s">
        <v>49</v>
      </c>
      <c r="O252" s="12"/>
      <c r="P252" s="13">
        <v>929</v>
      </c>
      <c r="Q252" s="13">
        <v>255</v>
      </c>
      <c r="S252" s="13">
        <v>250</v>
      </c>
      <c r="U252" s="13">
        <v>250</v>
      </c>
      <c r="AC252" s="10" t="s">
        <v>754</v>
      </c>
      <c r="AD252" s="5" t="s">
        <v>711</v>
      </c>
      <c r="AE252" s="5" t="s">
        <v>42</v>
      </c>
      <c r="AG252" s="5" t="s">
        <v>564</v>
      </c>
    </row>
    <row r="253" spans="1:33" ht="10" customHeight="1" x14ac:dyDescent="0.2">
      <c r="A253" s="5" t="s">
        <v>40</v>
      </c>
      <c r="B253" s="5" t="s">
        <v>41</v>
      </c>
      <c r="D253" s="5" t="s">
        <v>755</v>
      </c>
      <c r="E253" s="10" t="s">
        <v>53</v>
      </c>
      <c r="F253" s="5" t="s">
        <v>553</v>
      </c>
      <c r="I253" s="11">
        <v>1</v>
      </c>
      <c r="J253" s="5" t="s">
        <v>60</v>
      </c>
      <c r="K253" s="10" t="s">
        <v>46</v>
      </c>
      <c r="L253" s="5" t="s">
        <v>47</v>
      </c>
      <c r="M253" s="5" t="s">
        <v>48</v>
      </c>
      <c r="N253" s="5" t="s">
        <v>49</v>
      </c>
      <c r="O253" s="12"/>
      <c r="P253" s="13">
        <v>929</v>
      </c>
      <c r="Q253" s="13">
        <v>255</v>
      </c>
      <c r="S253" s="13">
        <v>250</v>
      </c>
      <c r="U253" s="13">
        <v>250</v>
      </c>
      <c r="AC253" s="10" t="s">
        <v>756</v>
      </c>
      <c r="AD253" s="5" t="s">
        <v>711</v>
      </c>
      <c r="AE253" s="5" t="s">
        <v>42</v>
      </c>
      <c r="AG253" s="5" t="s">
        <v>567</v>
      </c>
    </row>
    <row r="254" spans="1:33" ht="10" customHeight="1" x14ac:dyDescent="0.2">
      <c r="A254" s="5" t="s">
        <v>40</v>
      </c>
      <c r="B254" s="5" t="s">
        <v>41</v>
      </c>
      <c r="D254" s="5" t="s">
        <v>757</v>
      </c>
      <c r="E254" s="10" t="s">
        <v>53</v>
      </c>
      <c r="F254" s="5" t="s">
        <v>553</v>
      </c>
      <c r="I254" s="11">
        <v>1</v>
      </c>
      <c r="J254" s="5" t="s">
        <v>60</v>
      </c>
      <c r="K254" s="10" t="s">
        <v>46</v>
      </c>
      <c r="L254" s="5" t="s">
        <v>47</v>
      </c>
      <c r="M254" s="5" t="s">
        <v>48</v>
      </c>
      <c r="N254" s="5" t="s">
        <v>49</v>
      </c>
      <c r="O254" s="12"/>
      <c r="P254" s="13">
        <v>929</v>
      </c>
      <c r="Q254" s="13">
        <v>669</v>
      </c>
      <c r="S254" s="13">
        <v>250</v>
      </c>
      <c r="U254" s="13">
        <v>250</v>
      </c>
      <c r="AC254" s="10" t="s">
        <v>758</v>
      </c>
      <c r="AD254" s="5" t="s">
        <v>711</v>
      </c>
      <c r="AE254" s="5" t="s">
        <v>42</v>
      </c>
      <c r="AG254" s="5" t="s">
        <v>570</v>
      </c>
    </row>
    <row r="255" spans="1:33" ht="10" customHeight="1" x14ac:dyDescent="0.2">
      <c r="A255" s="5" t="s">
        <v>40</v>
      </c>
      <c r="B255" s="5" t="s">
        <v>41</v>
      </c>
      <c r="D255" s="5" t="s">
        <v>759</v>
      </c>
      <c r="E255" s="10" t="s">
        <v>53</v>
      </c>
      <c r="F255" s="5" t="s">
        <v>553</v>
      </c>
      <c r="I255" s="11">
        <v>1</v>
      </c>
      <c r="J255" s="5" t="s">
        <v>60</v>
      </c>
      <c r="K255" s="10" t="s">
        <v>46</v>
      </c>
      <c r="L255" s="5" t="s">
        <v>47</v>
      </c>
      <c r="M255" s="5" t="s">
        <v>48</v>
      </c>
      <c r="N255" s="5" t="s">
        <v>49</v>
      </c>
      <c r="O255" s="12"/>
      <c r="P255" s="13">
        <v>929</v>
      </c>
      <c r="Q255" s="13">
        <v>669</v>
      </c>
      <c r="S255" s="13">
        <v>899</v>
      </c>
      <c r="U255" s="13">
        <v>899</v>
      </c>
      <c r="AC255" s="10" t="s">
        <v>760</v>
      </c>
      <c r="AD255" s="5" t="s">
        <v>711</v>
      </c>
      <c r="AE255" s="5" t="s">
        <v>42</v>
      </c>
      <c r="AG255" s="5" t="s">
        <v>573</v>
      </c>
    </row>
    <row r="256" spans="1:33" ht="10" customHeight="1" x14ac:dyDescent="0.2">
      <c r="A256" s="5" t="s">
        <v>40</v>
      </c>
      <c r="B256" s="5" t="s">
        <v>41</v>
      </c>
      <c r="D256" s="5" t="s">
        <v>761</v>
      </c>
      <c r="E256" s="10" t="s">
        <v>53</v>
      </c>
      <c r="F256" s="5" t="s">
        <v>553</v>
      </c>
      <c r="I256" s="11">
        <v>1</v>
      </c>
      <c r="J256" s="5" t="s">
        <v>60</v>
      </c>
      <c r="K256" s="10" t="s">
        <v>46</v>
      </c>
      <c r="L256" s="5" t="s">
        <v>47</v>
      </c>
      <c r="M256" s="5" t="s">
        <v>48</v>
      </c>
      <c r="N256" s="5" t="s">
        <v>49</v>
      </c>
      <c r="O256" s="12"/>
      <c r="P256" s="13">
        <v>929</v>
      </c>
      <c r="Q256" s="13">
        <v>669</v>
      </c>
      <c r="S256" s="13">
        <v>899</v>
      </c>
      <c r="U256" s="13">
        <v>899</v>
      </c>
      <c r="AC256" s="10" t="s">
        <v>762</v>
      </c>
      <c r="AD256" s="5" t="s">
        <v>711</v>
      </c>
      <c r="AE256" s="5" t="s">
        <v>42</v>
      </c>
      <c r="AG256" s="5" t="s">
        <v>576</v>
      </c>
    </row>
    <row r="257" spans="1:33" ht="10" customHeight="1" x14ac:dyDescent="0.2">
      <c r="A257" s="5" t="s">
        <v>40</v>
      </c>
      <c r="B257" s="5" t="s">
        <v>41</v>
      </c>
      <c r="D257" s="5" t="s">
        <v>614</v>
      </c>
      <c r="E257" s="10" t="s">
        <v>53</v>
      </c>
      <c r="F257" s="5" t="s">
        <v>553</v>
      </c>
      <c r="I257" s="11">
        <v>1</v>
      </c>
      <c r="J257" s="5" t="s">
        <v>60</v>
      </c>
      <c r="K257" s="10" t="s">
        <v>46</v>
      </c>
      <c r="L257" s="5" t="s">
        <v>47</v>
      </c>
      <c r="M257" s="5" t="s">
        <v>48</v>
      </c>
      <c r="N257" s="5" t="s">
        <v>49</v>
      </c>
      <c r="O257" s="12"/>
      <c r="P257" s="13">
        <v>929</v>
      </c>
      <c r="Q257" s="13">
        <v>672</v>
      </c>
      <c r="S257" s="13">
        <v>899</v>
      </c>
      <c r="U257" s="13">
        <v>899</v>
      </c>
      <c r="AC257" s="10" t="s">
        <v>615</v>
      </c>
      <c r="AD257" s="5" t="s">
        <v>763</v>
      </c>
      <c r="AE257" s="5" t="s">
        <v>42</v>
      </c>
      <c r="AG257" s="5" t="s">
        <v>596</v>
      </c>
    </row>
    <row r="258" spans="1:33" ht="10" customHeight="1" x14ac:dyDescent="0.2">
      <c r="A258" s="5" t="s">
        <v>40</v>
      </c>
      <c r="B258" s="5" t="s">
        <v>41</v>
      </c>
      <c r="D258" s="5" t="s">
        <v>616</v>
      </c>
      <c r="E258" s="10" t="s">
        <v>53</v>
      </c>
      <c r="F258" s="5" t="s">
        <v>553</v>
      </c>
      <c r="I258" s="11">
        <v>1</v>
      </c>
      <c r="J258" s="5" t="s">
        <v>60</v>
      </c>
      <c r="K258" s="10" t="s">
        <v>46</v>
      </c>
      <c r="L258" s="5" t="s">
        <v>47</v>
      </c>
      <c r="M258" s="5" t="s">
        <v>48</v>
      </c>
      <c r="N258" s="5" t="s">
        <v>49</v>
      </c>
      <c r="O258" s="12"/>
      <c r="P258" s="13">
        <v>936</v>
      </c>
      <c r="Q258" s="13">
        <v>667</v>
      </c>
      <c r="S258" s="13">
        <v>913</v>
      </c>
      <c r="U258" s="13">
        <v>913</v>
      </c>
      <c r="AC258" s="10" t="s">
        <v>617</v>
      </c>
      <c r="AD258" s="5" t="s">
        <v>763</v>
      </c>
      <c r="AE258" s="5" t="s">
        <v>42</v>
      </c>
      <c r="AG258" s="5" t="s">
        <v>618</v>
      </c>
    </row>
    <row r="259" spans="1:33" ht="10" customHeight="1" x14ac:dyDescent="0.2">
      <c r="A259" s="5" t="s">
        <v>40</v>
      </c>
      <c r="B259" s="5" t="s">
        <v>41</v>
      </c>
      <c r="D259" s="5" t="s">
        <v>619</v>
      </c>
      <c r="E259" s="10" t="s">
        <v>53</v>
      </c>
      <c r="F259" s="5" t="s">
        <v>553</v>
      </c>
      <c r="I259" s="11">
        <v>1</v>
      </c>
      <c r="J259" s="5" t="s">
        <v>60</v>
      </c>
      <c r="K259" s="10" t="s">
        <v>46</v>
      </c>
      <c r="L259" s="5" t="s">
        <v>47</v>
      </c>
      <c r="M259" s="5" t="s">
        <v>48</v>
      </c>
      <c r="N259" s="5" t="s">
        <v>49</v>
      </c>
      <c r="O259" s="12"/>
      <c r="P259" s="13">
        <v>929</v>
      </c>
      <c r="Q259" s="13">
        <v>669</v>
      </c>
      <c r="S259" s="13">
        <v>899</v>
      </c>
      <c r="U259" s="13">
        <v>899</v>
      </c>
      <c r="AC259" s="10" t="s">
        <v>620</v>
      </c>
      <c r="AD259" s="5" t="s">
        <v>763</v>
      </c>
      <c r="AE259" s="5" t="s">
        <v>42</v>
      </c>
      <c r="AG259" s="5" t="s">
        <v>555</v>
      </c>
    </row>
    <row r="260" spans="1:33" ht="10" customHeight="1" x14ac:dyDescent="0.2">
      <c r="A260" s="5" t="s">
        <v>40</v>
      </c>
      <c r="B260" s="5" t="s">
        <v>41</v>
      </c>
      <c r="D260" s="5" t="s">
        <v>764</v>
      </c>
      <c r="E260" s="10" t="s">
        <v>53</v>
      </c>
      <c r="F260" s="5" t="s">
        <v>553</v>
      </c>
      <c r="I260" s="11">
        <v>1</v>
      </c>
      <c r="J260" s="5" t="s">
        <v>60</v>
      </c>
      <c r="K260" s="10" t="s">
        <v>46</v>
      </c>
      <c r="L260" s="5" t="s">
        <v>47</v>
      </c>
      <c r="M260" s="5" t="s">
        <v>48</v>
      </c>
      <c r="N260" s="5" t="s">
        <v>49</v>
      </c>
      <c r="O260" s="12"/>
      <c r="S260" s="13">
        <v>0</v>
      </c>
      <c r="U260" s="13">
        <v>0</v>
      </c>
      <c r="AC260" s="10" t="s">
        <v>765</v>
      </c>
      <c r="AD260" s="5" t="s">
        <v>763</v>
      </c>
      <c r="AE260" s="5" t="s">
        <v>42</v>
      </c>
    </row>
    <row r="261" spans="1:33" ht="10" customHeight="1" x14ac:dyDescent="0.2">
      <c r="A261" s="5" t="s">
        <v>40</v>
      </c>
      <c r="B261" s="5" t="s">
        <v>41</v>
      </c>
      <c r="D261" s="5" t="s">
        <v>766</v>
      </c>
      <c r="E261" s="10" t="s">
        <v>53</v>
      </c>
      <c r="F261" s="5" t="s">
        <v>553</v>
      </c>
      <c r="I261" s="11">
        <v>1</v>
      </c>
      <c r="J261" s="5" t="s">
        <v>60</v>
      </c>
      <c r="K261" s="10" t="s">
        <v>46</v>
      </c>
      <c r="L261" s="5" t="s">
        <v>47</v>
      </c>
      <c r="M261" s="5" t="s">
        <v>48</v>
      </c>
      <c r="N261" s="5" t="s">
        <v>49</v>
      </c>
      <c r="O261" s="12"/>
      <c r="P261" s="13">
        <v>27632</v>
      </c>
      <c r="Q261" s="13">
        <v>1870</v>
      </c>
      <c r="S261" s="13">
        <v>7376</v>
      </c>
      <c r="U261" s="13">
        <v>7376</v>
      </c>
      <c r="AC261" s="10" t="s">
        <v>767</v>
      </c>
      <c r="AD261" s="5" t="s">
        <v>763</v>
      </c>
      <c r="AE261" s="5" t="s">
        <v>42</v>
      </c>
      <c r="AG261" s="5" t="s">
        <v>561</v>
      </c>
    </row>
    <row r="262" spans="1:33" ht="10" customHeight="1" x14ac:dyDescent="0.2">
      <c r="A262" s="5" t="s">
        <v>40</v>
      </c>
      <c r="B262" s="5" t="s">
        <v>41</v>
      </c>
      <c r="D262" s="5" t="s">
        <v>768</v>
      </c>
      <c r="E262" s="10" t="s">
        <v>53</v>
      </c>
      <c r="F262" s="5" t="s">
        <v>553</v>
      </c>
      <c r="I262" s="11">
        <v>1</v>
      </c>
      <c r="J262" s="5" t="s">
        <v>60</v>
      </c>
      <c r="K262" s="10" t="s">
        <v>46</v>
      </c>
      <c r="L262" s="5" t="s">
        <v>47</v>
      </c>
      <c r="M262" s="5" t="s">
        <v>48</v>
      </c>
      <c r="N262" s="5" t="s">
        <v>49</v>
      </c>
      <c r="O262" s="12"/>
      <c r="P262" s="13">
        <v>31643</v>
      </c>
      <c r="Q262" s="13">
        <v>28871</v>
      </c>
      <c r="S262" s="13">
        <v>6000</v>
      </c>
      <c r="U262" s="13">
        <v>6000</v>
      </c>
      <c r="AC262" s="10" t="s">
        <v>769</v>
      </c>
      <c r="AD262" s="5" t="s">
        <v>763</v>
      </c>
      <c r="AE262" s="5" t="s">
        <v>42</v>
      </c>
      <c r="AG262" s="5" t="s">
        <v>564</v>
      </c>
    </row>
    <row r="263" spans="1:33" ht="10" customHeight="1" x14ac:dyDescent="0.2">
      <c r="A263" s="5" t="s">
        <v>40</v>
      </c>
      <c r="B263" s="5" t="s">
        <v>41</v>
      </c>
      <c r="D263" s="5" t="s">
        <v>770</v>
      </c>
      <c r="E263" s="10" t="s">
        <v>53</v>
      </c>
      <c r="F263" s="5" t="s">
        <v>553</v>
      </c>
      <c r="I263" s="11">
        <v>1</v>
      </c>
      <c r="J263" s="5" t="s">
        <v>60</v>
      </c>
      <c r="K263" s="10" t="s">
        <v>46</v>
      </c>
      <c r="L263" s="5" t="s">
        <v>47</v>
      </c>
      <c r="M263" s="5" t="s">
        <v>48</v>
      </c>
      <c r="N263" s="5" t="s">
        <v>49</v>
      </c>
      <c r="O263" s="12"/>
      <c r="P263" s="13">
        <v>8889</v>
      </c>
      <c r="Q263" s="13">
        <v>31735</v>
      </c>
      <c r="S263" s="13">
        <v>39441</v>
      </c>
      <c r="U263" s="13">
        <v>39441</v>
      </c>
      <c r="AC263" s="10" t="s">
        <v>771</v>
      </c>
      <c r="AD263" s="5" t="s">
        <v>763</v>
      </c>
      <c r="AE263" s="5" t="s">
        <v>42</v>
      </c>
      <c r="AG263" s="5" t="s">
        <v>567</v>
      </c>
    </row>
    <row r="264" spans="1:33" ht="10" customHeight="1" x14ac:dyDescent="0.2">
      <c r="A264" s="5" t="s">
        <v>40</v>
      </c>
      <c r="B264" s="5" t="s">
        <v>41</v>
      </c>
      <c r="D264" s="5" t="s">
        <v>772</v>
      </c>
      <c r="E264" s="10" t="s">
        <v>53</v>
      </c>
      <c r="F264" s="5" t="s">
        <v>553</v>
      </c>
      <c r="I264" s="11">
        <v>1</v>
      </c>
      <c r="J264" s="5" t="s">
        <v>60</v>
      </c>
      <c r="K264" s="10" t="s">
        <v>46</v>
      </c>
      <c r="L264" s="5" t="s">
        <v>47</v>
      </c>
      <c r="M264" s="5" t="s">
        <v>48</v>
      </c>
      <c r="N264" s="5" t="s">
        <v>49</v>
      </c>
      <c r="O264" s="12"/>
      <c r="P264" s="13">
        <v>8889</v>
      </c>
      <c r="Q264" s="13">
        <v>9039</v>
      </c>
      <c r="S264" s="13">
        <v>32778</v>
      </c>
      <c r="U264" s="13">
        <v>32778</v>
      </c>
      <c r="AC264" s="10" t="s">
        <v>773</v>
      </c>
      <c r="AD264" s="5" t="s">
        <v>763</v>
      </c>
      <c r="AE264" s="5" t="s">
        <v>42</v>
      </c>
      <c r="AG264" s="5" t="s">
        <v>570</v>
      </c>
    </row>
    <row r="265" spans="1:33" ht="10" customHeight="1" x14ac:dyDescent="0.2">
      <c r="A265" s="5" t="s">
        <v>40</v>
      </c>
      <c r="B265" s="5" t="s">
        <v>41</v>
      </c>
      <c r="D265" s="5" t="s">
        <v>774</v>
      </c>
      <c r="E265" s="10" t="s">
        <v>53</v>
      </c>
      <c r="F265" s="5" t="s">
        <v>553</v>
      </c>
      <c r="I265" s="11">
        <v>1</v>
      </c>
      <c r="J265" s="5" t="s">
        <v>60</v>
      </c>
      <c r="K265" s="10" t="s">
        <v>46</v>
      </c>
      <c r="L265" s="5" t="s">
        <v>47</v>
      </c>
      <c r="M265" s="5" t="s">
        <v>48</v>
      </c>
      <c r="N265" s="5" t="s">
        <v>49</v>
      </c>
      <c r="O265" s="12"/>
      <c r="P265" s="13">
        <v>6084</v>
      </c>
      <c r="Q265" s="13">
        <v>9062</v>
      </c>
      <c r="S265" s="13">
        <v>5998</v>
      </c>
      <c r="U265" s="13">
        <v>5998</v>
      </c>
      <c r="AC265" s="10" t="s">
        <v>775</v>
      </c>
      <c r="AD265" s="5" t="s">
        <v>763</v>
      </c>
      <c r="AE265" s="5" t="s">
        <v>42</v>
      </c>
      <c r="AG265" s="5" t="s">
        <v>573</v>
      </c>
    </row>
    <row r="266" spans="1:33" ht="10" customHeight="1" x14ac:dyDescent="0.2">
      <c r="A266" s="5" t="s">
        <v>40</v>
      </c>
      <c r="B266" s="5" t="s">
        <v>41</v>
      </c>
      <c r="D266" s="5" t="s">
        <v>776</v>
      </c>
      <c r="E266" s="10" t="s">
        <v>53</v>
      </c>
      <c r="F266" s="5" t="s">
        <v>553</v>
      </c>
      <c r="I266" s="11">
        <v>1</v>
      </c>
      <c r="J266" s="5" t="s">
        <v>60</v>
      </c>
      <c r="K266" s="10" t="s">
        <v>46</v>
      </c>
      <c r="L266" s="5" t="s">
        <v>47</v>
      </c>
      <c r="M266" s="5" t="s">
        <v>48</v>
      </c>
      <c r="N266" s="5" t="s">
        <v>49</v>
      </c>
      <c r="O266" s="12"/>
      <c r="P266" s="13">
        <v>1779</v>
      </c>
      <c r="Q266" s="13">
        <v>6206</v>
      </c>
      <c r="S266" s="13">
        <v>7721</v>
      </c>
      <c r="U266" s="13">
        <v>7721</v>
      </c>
      <c r="AC266" s="10" t="s">
        <v>777</v>
      </c>
      <c r="AD266" s="5" t="s">
        <v>763</v>
      </c>
      <c r="AE266" s="5" t="s">
        <v>42</v>
      </c>
      <c r="AG266" s="5" t="s">
        <v>576</v>
      </c>
    </row>
    <row r="267" spans="1:33" ht="10" customHeight="1" x14ac:dyDescent="0.2">
      <c r="A267" s="5" t="s">
        <v>40</v>
      </c>
      <c r="B267" s="5" t="s">
        <v>41</v>
      </c>
      <c r="D267" s="5" t="s">
        <v>778</v>
      </c>
      <c r="E267" s="10" t="s">
        <v>53</v>
      </c>
      <c r="F267" s="5" t="s">
        <v>553</v>
      </c>
      <c r="I267" s="11">
        <v>1</v>
      </c>
      <c r="J267" s="5" t="s">
        <v>60</v>
      </c>
      <c r="K267" s="10" t="s">
        <v>46</v>
      </c>
      <c r="L267" s="5" t="s">
        <v>47</v>
      </c>
      <c r="M267" s="5" t="s">
        <v>48</v>
      </c>
      <c r="N267" s="5" t="s">
        <v>49</v>
      </c>
      <c r="O267" s="12"/>
      <c r="P267" s="13">
        <v>4001</v>
      </c>
      <c r="S267" s="13">
        <v>8891</v>
      </c>
      <c r="U267" s="13">
        <v>8891</v>
      </c>
      <c r="AC267" s="10" t="s">
        <v>779</v>
      </c>
      <c r="AD267" s="5" t="s">
        <v>763</v>
      </c>
      <c r="AE267" s="5" t="s">
        <v>42</v>
      </c>
      <c r="AG267" s="5" t="s">
        <v>596</v>
      </c>
    </row>
    <row r="268" spans="1:33" ht="10" customHeight="1" x14ac:dyDescent="0.2">
      <c r="A268" s="5" t="s">
        <v>40</v>
      </c>
      <c r="B268" s="5" t="s">
        <v>41</v>
      </c>
      <c r="D268" s="5" t="s">
        <v>780</v>
      </c>
      <c r="E268" s="10" t="s">
        <v>53</v>
      </c>
      <c r="F268" s="5" t="s">
        <v>553</v>
      </c>
      <c r="I268" s="11">
        <v>1</v>
      </c>
      <c r="J268" s="5" t="s">
        <v>60</v>
      </c>
      <c r="K268" s="10" t="s">
        <v>46</v>
      </c>
      <c r="L268" s="5" t="s">
        <v>47</v>
      </c>
      <c r="M268" s="5" t="s">
        <v>48</v>
      </c>
      <c r="N268" s="5" t="s">
        <v>49</v>
      </c>
      <c r="O268" s="12"/>
      <c r="P268" s="13">
        <v>3994</v>
      </c>
      <c r="S268" s="13">
        <v>0</v>
      </c>
      <c r="U268" s="13">
        <v>0</v>
      </c>
      <c r="AC268" s="10" t="s">
        <v>781</v>
      </c>
      <c r="AD268" s="5" t="s">
        <v>763</v>
      </c>
      <c r="AE268" s="5" t="s">
        <v>42</v>
      </c>
      <c r="AG268" s="5" t="s">
        <v>618</v>
      </c>
    </row>
    <row r="269" spans="1:33" ht="10" customHeight="1" x14ac:dyDescent="0.2">
      <c r="A269" s="5" t="s">
        <v>40</v>
      </c>
      <c r="B269" s="5" t="s">
        <v>41</v>
      </c>
      <c r="D269" s="5" t="s">
        <v>782</v>
      </c>
      <c r="E269" s="10" t="s">
        <v>53</v>
      </c>
      <c r="F269" s="5" t="s">
        <v>553</v>
      </c>
      <c r="I269" s="11">
        <v>1</v>
      </c>
      <c r="J269" s="5" t="s">
        <v>60</v>
      </c>
      <c r="K269" s="10" t="s">
        <v>46</v>
      </c>
      <c r="L269" s="5" t="s">
        <v>47</v>
      </c>
      <c r="M269" s="5" t="s">
        <v>48</v>
      </c>
      <c r="N269" s="5" t="s">
        <v>49</v>
      </c>
      <c r="O269" s="12"/>
      <c r="P269" s="13">
        <v>3994</v>
      </c>
      <c r="S269" s="13">
        <v>0</v>
      </c>
      <c r="U269" s="13">
        <v>0</v>
      </c>
      <c r="AC269" s="10" t="s">
        <v>783</v>
      </c>
      <c r="AD269" s="5" t="s">
        <v>763</v>
      </c>
      <c r="AE269" s="5" t="s">
        <v>42</v>
      </c>
      <c r="AG269" s="5" t="s">
        <v>555</v>
      </c>
    </row>
    <row r="270" spans="1:33" ht="10" customHeight="1" x14ac:dyDescent="0.2">
      <c r="A270" s="5" t="s">
        <v>40</v>
      </c>
      <c r="B270" s="5" t="s">
        <v>41</v>
      </c>
      <c r="D270" s="5" t="s">
        <v>784</v>
      </c>
      <c r="E270" s="10" t="s">
        <v>53</v>
      </c>
      <c r="F270" s="5" t="s">
        <v>553</v>
      </c>
      <c r="I270" s="11">
        <v>1</v>
      </c>
      <c r="J270" s="5" t="s">
        <v>60</v>
      </c>
      <c r="K270" s="10" t="s">
        <v>46</v>
      </c>
      <c r="L270" s="5" t="s">
        <v>47</v>
      </c>
      <c r="M270" s="5" t="s">
        <v>48</v>
      </c>
      <c r="N270" s="5" t="s">
        <v>49</v>
      </c>
      <c r="O270" s="12"/>
      <c r="S270" s="13">
        <v>0</v>
      </c>
      <c r="U270" s="13">
        <v>0</v>
      </c>
      <c r="AC270" s="10" t="s">
        <v>785</v>
      </c>
      <c r="AD270" s="5" t="s">
        <v>763</v>
      </c>
      <c r="AE270" s="5" t="s">
        <v>42</v>
      </c>
    </row>
    <row r="271" spans="1:33" ht="10" customHeight="1" x14ac:dyDescent="0.2">
      <c r="A271" s="5" t="s">
        <v>40</v>
      </c>
      <c r="B271" s="5" t="s">
        <v>41</v>
      </c>
      <c r="D271" s="5" t="s">
        <v>786</v>
      </c>
      <c r="E271" s="10" t="s">
        <v>53</v>
      </c>
      <c r="F271" s="5" t="s">
        <v>553</v>
      </c>
      <c r="I271" s="11">
        <v>1</v>
      </c>
      <c r="J271" s="5" t="s">
        <v>60</v>
      </c>
      <c r="K271" s="10" t="s">
        <v>46</v>
      </c>
      <c r="L271" s="5" t="s">
        <v>47</v>
      </c>
      <c r="M271" s="5" t="s">
        <v>48</v>
      </c>
      <c r="N271" s="5" t="s">
        <v>49</v>
      </c>
      <c r="O271" s="12"/>
      <c r="P271" s="13">
        <v>8430</v>
      </c>
      <c r="Q271" s="13">
        <v>58633</v>
      </c>
      <c r="S271" s="13">
        <v>0</v>
      </c>
      <c r="U271" s="13">
        <v>0</v>
      </c>
      <c r="AC271" s="10" t="s">
        <v>787</v>
      </c>
      <c r="AD271" s="5" t="s">
        <v>763</v>
      </c>
      <c r="AE271" s="5" t="s">
        <v>42</v>
      </c>
      <c r="AG271" s="5" t="s">
        <v>558</v>
      </c>
    </row>
    <row r="272" spans="1:33" ht="10" customHeight="1" x14ac:dyDescent="0.2">
      <c r="A272" s="5" t="s">
        <v>40</v>
      </c>
      <c r="B272" s="5" t="s">
        <v>41</v>
      </c>
      <c r="D272" s="5" t="s">
        <v>788</v>
      </c>
      <c r="E272" s="10" t="s">
        <v>53</v>
      </c>
      <c r="F272" s="5" t="s">
        <v>553</v>
      </c>
      <c r="I272" s="11">
        <v>1</v>
      </c>
      <c r="J272" s="5" t="s">
        <v>60</v>
      </c>
      <c r="K272" s="10" t="s">
        <v>46</v>
      </c>
      <c r="L272" s="5" t="s">
        <v>47</v>
      </c>
      <c r="M272" s="5" t="s">
        <v>48</v>
      </c>
      <c r="N272" s="5" t="s">
        <v>49</v>
      </c>
      <c r="O272" s="12"/>
      <c r="Q272" s="13">
        <v>19538</v>
      </c>
      <c r="S272" s="13">
        <v>85951</v>
      </c>
      <c r="U272" s="13">
        <v>85951</v>
      </c>
      <c r="AC272" s="10" t="s">
        <v>789</v>
      </c>
      <c r="AD272" s="5" t="s">
        <v>763</v>
      </c>
      <c r="AE272" s="5" t="s">
        <v>42</v>
      </c>
      <c r="AG272" s="5" t="s">
        <v>561</v>
      </c>
    </row>
    <row r="273" spans="1:33" ht="10" customHeight="1" x14ac:dyDescent="0.2">
      <c r="A273" s="5" t="s">
        <v>40</v>
      </c>
      <c r="B273" s="5" t="s">
        <v>41</v>
      </c>
      <c r="D273" s="5" t="s">
        <v>790</v>
      </c>
      <c r="E273" s="10" t="s">
        <v>53</v>
      </c>
      <c r="F273" s="5" t="s">
        <v>553</v>
      </c>
      <c r="I273" s="11">
        <v>1</v>
      </c>
      <c r="J273" s="5" t="s">
        <v>60</v>
      </c>
      <c r="K273" s="10" t="s">
        <v>46</v>
      </c>
      <c r="L273" s="5" t="s">
        <v>47</v>
      </c>
      <c r="M273" s="5" t="s">
        <v>48</v>
      </c>
      <c r="N273" s="5" t="s">
        <v>49</v>
      </c>
      <c r="O273" s="12"/>
      <c r="S273" s="13">
        <v>24650</v>
      </c>
      <c r="U273" s="13">
        <v>24650</v>
      </c>
      <c r="AC273" s="10" t="s">
        <v>791</v>
      </c>
      <c r="AD273" s="5" t="s">
        <v>763</v>
      </c>
      <c r="AE273" s="5" t="s">
        <v>42</v>
      </c>
      <c r="AG273" s="5" t="s">
        <v>564</v>
      </c>
    </row>
    <row r="274" spans="1:33" ht="10" customHeight="1" x14ac:dyDescent="0.2">
      <c r="A274" s="5" t="s">
        <v>40</v>
      </c>
      <c r="B274" s="5" t="s">
        <v>41</v>
      </c>
      <c r="D274" s="5" t="s">
        <v>792</v>
      </c>
      <c r="E274" s="10" t="s">
        <v>53</v>
      </c>
      <c r="F274" s="5" t="s">
        <v>553</v>
      </c>
      <c r="I274" s="11">
        <v>1</v>
      </c>
      <c r="J274" s="5" t="s">
        <v>60</v>
      </c>
      <c r="K274" s="10" t="s">
        <v>46</v>
      </c>
      <c r="L274" s="5" t="s">
        <v>47</v>
      </c>
      <c r="M274" s="5" t="s">
        <v>48</v>
      </c>
      <c r="N274" s="5" t="s">
        <v>49</v>
      </c>
      <c r="O274" s="12"/>
      <c r="S274" s="13">
        <v>0</v>
      </c>
      <c r="U274" s="13">
        <v>0</v>
      </c>
      <c r="AC274" s="10" t="s">
        <v>793</v>
      </c>
      <c r="AD274" s="5" t="s">
        <v>763</v>
      </c>
      <c r="AE274" s="5" t="s">
        <v>42</v>
      </c>
    </row>
    <row r="275" spans="1:33" ht="10" customHeight="1" x14ac:dyDescent="0.2">
      <c r="A275" s="5" t="s">
        <v>40</v>
      </c>
      <c r="B275" s="5" t="s">
        <v>41</v>
      </c>
      <c r="D275" s="5" t="s">
        <v>794</v>
      </c>
      <c r="E275" s="10" t="s">
        <v>53</v>
      </c>
      <c r="F275" s="5" t="s">
        <v>553</v>
      </c>
      <c r="I275" s="11">
        <v>1</v>
      </c>
      <c r="J275" s="5" t="s">
        <v>60</v>
      </c>
      <c r="K275" s="10" t="s">
        <v>46</v>
      </c>
      <c r="L275" s="5" t="s">
        <v>47</v>
      </c>
      <c r="M275" s="5" t="s">
        <v>48</v>
      </c>
      <c r="N275" s="5" t="s">
        <v>49</v>
      </c>
      <c r="O275" s="12"/>
      <c r="S275" s="13">
        <v>0</v>
      </c>
      <c r="U275" s="13">
        <v>0</v>
      </c>
      <c r="AC275" s="10" t="s">
        <v>795</v>
      </c>
      <c r="AD275" s="5" t="s">
        <v>763</v>
      </c>
      <c r="AE275" s="5" t="s">
        <v>42</v>
      </c>
    </row>
    <row r="276" spans="1:33" ht="10" customHeight="1" x14ac:dyDescent="0.2">
      <c r="A276" s="5" t="s">
        <v>40</v>
      </c>
      <c r="B276" s="5" t="s">
        <v>41</v>
      </c>
      <c r="D276" s="5" t="s">
        <v>796</v>
      </c>
      <c r="E276" s="10" t="s">
        <v>53</v>
      </c>
      <c r="F276" s="5" t="s">
        <v>553</v>
      </c>
      <c r="I276" s="11">
        <v>1</v>
      </c>
      <c r="J276" s="5" t="s">
        <v>60</v>
      </c>
      <c r="K276" s="10" t="s">
        <v>46</v>
      </c>
      <c r="L276" s="5" t="s">
        <v>47</v>
      </c>
      <c r="M276" s="5" t="s">
        <v>48</v>
      </c>
      <c r="N276" s="5" t="s">
        <v>49</v>
      </c>
      <c r="O276" s="12"/>
      <c r="S276" s="13">
        <v>0</v>
      </c>
      <c r="U276" s="13">
        <v>0</v>
      </c>
      <c r="AC276" s="10" t="s">
        <v>797</v>
      </c>
      <c r="AD276" s="5" t="s">
        <v>763</v>
      </c>
      <c r="AE276" s="5" t="s">
        <v>42</v>
      </c>
    </row>
    <row r="277" spans="1:33" ht="10" customHeight="1" x14ac:dyDescent="0.2">
      <c r="A277" s="5" t="s">
        <v>40</v>
      </c>
      <c r="B277" s="5" t="s">
        <v>41</v>
      </c>
      <c r="D277" s="5" t="s">
        <v>798</v>
      </c>
      <c r="E277" s="10" t="s">
        <v>53</v>
      </c>
      <c r="F277" s="5" t="s">
        <v>553</v>
      </c>
      <c r="I277" s="11">
        <v>1</v>
      </c>
      <c r="J277" s="5" t="s">
        <v>60</v>
      </c>
      <c r="K277" s="10" t="s">
        <v>46</v>
      </c>
      <c r="L277" s="5" t="s">
        <v>47</v>
      </c>
      <c r="M277" s="5" t="s">
        <v>48</v>
      </c>
      <c r="N277" s="5" t="s">
        <v>49</v>
      </c>
      <c r="O277" s="12"/>
      <c r="S277" s="13">
        <v>0</v>
      </c>
      <c r="U277" s="13">
        <v>0</v>
      </c>
      <c r="AC277" s="10" t="s">
        <v>799</v>
      </c>
      <c r="AD277" s="5" t="s">
        <v>763</v>
      </c>
      <c r="AE277" s="5" t="s">
        <v>42</v>
      </c>
    </row>
    <row r="278" spans="1:33" ht="10" customHeight="1" x14ac:dyDescent="0.2">
      <c r="A278" s="5" t="s">
        <v>40</v>
      </c>
      <c r="B278" s="5" t="s">
        <v>41</v>
      </c>
      <c r="D278" s="5" t="s">
        <v>786</v>
      </c>
      <c r="E278" s="10" t="s">
        <v>53</v>
      </c>
      <c r="F278" s="5" t="s">
        <v>553</v>
      </c>
      <c r="I278" s="11">
        <v>1</v>
      </c>
      <c r="J278" s="5" t="s">
        <v>60</v>
      </c>
      <c r="K278" s="10" t="s">
        <v>46</v>
      </c>
      <c r="L278" s="5" t="s">
        <v>47</v>
      </c>
      <c r="M278" s="5" t="s">
        <v>48</v>
      </c>
      <c r="N278" s="5" t="s">
        <v>49</v>
      </c>
      <c r="O278" s="12"/>
      <c r="Q278" s="13">
        <v>11900</v>
      </c>
      <c r="S278" s="13">
        <v>0</v>
      </c>
      <c r="U278" s="13">
        <v>0</v>
      </c>
      <c r="AC278" s="10" t="s">
        <v>787</v>
      </c>
      <c r="AD278" s="5" t="s">
        <v>763</v>
      </c>
      <c r="AE278" s="5" t="s">
        <v>42</v>
      </c>
      <c r="AG278" s="5" t="s">
        <v>558</v>
      </c>
    </row>
    <row r="279" spans="1:33" ht="10" customHeight="1" x14ac:dyDescent="0.2">
      <c r="A279" s="5" t="s">
        <v>40</v>
      </c>
      <c r="B279" s="5" t="s">
        <v>41</v>
      </c>
      <c r="D279" s="5" t="s">
        <v>663</v>
      </c>
      <c r="E279" s="10" t="s">
        <v>53</v>
      </c>
      <c r="F279" s="5" t="s">
        <v>553</v>
      </c>
      <c r="I279" s="11">
        <v>1</v>
      </c>
      <c r="J279" s="5" t="s">
        <v>60</v>
      </c>
      <c r="K279" s="10" t="s">
        <v>46</v>
      </c>
      <c r="L279" s="5" t="s">
        <v>47</v>
      </c>
      <c r="M279" s="5" t="s">
        <v>48</v>
      </c>
      <c r="N279" s="5" t="s">
        <v>49</v>
      </c>
      <c r="O279" s="12"/>
      <c r="Q279" s="13">
        <v>11900</v>
      </c>
      <c r="S279" s="13">
        <v>0</v>
      </c>
      <c r="U279" s="13">
        <v>0</v>
      </c>
      <c r="AC279" s="10" t="s">
        <v>664</v>
      </c>
      <c r="AD279" s="5" t="s">
        <v>800</v>
      </c>
      <c r="AE279" s="5" t="s">
        <v>42</v>
      </c>
      <c r="AG279" s="5" t="s">
        <v>561</v>
      </c>
    </row>
    <row r="280" spans="1:33" ht="10" customHeight="1" x14ac:dyDescent="0.2">
      <c r="A280" s="5" t="s">
        <v>40</v>
      </c>
      <c r="B280" s="5" t="s">
        <v>41</v>
      </c>
      <c r="D280" s="5" t="s">
        <v>665</v>
      </c>
      <c r="E280" s="10" t="s">
        <v>53</v>
      </c>
      <c r="F280" s="5" t="s">
        <v>553</v>
      </c>
      <c r="I280" s="11">
        <v>1</v>
      </c>
      <c r="J280" s="5" t="s">
        <v>60</v>
      </c>
      <c r="K280" s="10" t="s">
        <v>46</v>
      </c>
      <c r="L280" s="5" t="s">
        <v>47</v>
      </c>
      <c r="M280" s="5" t="s">
        <v>48</v>
      </c>
      <c r="N280" s="5" t="s">
        <v>49</v>
      </c>
      <c r="O280" s="12"/>
      <c r="Q280" s="13">
        <v>11900</v>
      </c>
      <c r="S280" s="13">
        <v>0</v>
      </c>
      <c r="U280" s="13">
        <v>0</v>
      </c>
      <c r="AC280" s="10" t="s">
        <v>666</v>
      </c>
      <c r="AD280" s="5" t="s">
        <v>800</v>
      </c>
      <c r="AE280" s="5" t="s">
        <v>42</v>
      </c>
      <c r="AG280" s="5" t="s">
        <v>564</v>
      </c>
    </row>
    <row r="281" spans="1:33" ht="10" customHeight="1" x14ac:dyDescent="0.2">
      <c r="A281" s="5" t="s">
        <v>40</v>
      </c>
      <c r="B281" s="5" t="s">
        <v>41</v>
      </c>
      <c r="D281" s="5" t="s">
        <v>667</v>
      </c>
      <c r="E281" s="10" t="s">
        <v>53</v>
      </c>
      <c r="F281" s="5" t="s">
        <v>553</v>
      </c>
      <c r="I281" s="11">
        <v>1</v>
      </c>
      <c r="J281" s="5" t="s">
        <v>60</v>
      </c>
      <c r="K281" s="10" t="s">
        <v>46</v>
      </c>
      <c r="L281" s="5" t="s">
        <v>47</v>
      </c>
      <c r="M281" s="5" t="s">
        <v>48</v>
      </c>
      <c r="N281" s="5" t="s">
        <v>49</v>
      </c>
      <c r="O281" s="12"/>
      <c r="Q281" s="13">
        <v>11900</v>
      </c>
      <c r="S281" s="13">
        <v>0</v>
      </c>
      <c r="U281" s="13">
        <v>0</v>
      </c>
      <c r="AC281" s="10" t="s">
        <v>668</v>
      </c>
      <c r="AD281" s="5" t="s">
        <v>800</v>
      </c>
      <c r="AE281" s="5" t="s">
        <v>42</v>
      </c>
      <c r="AG281" s="5" t="s">
        <v>567</v>
      </c>
    </row>
    <row r="282" spans="1:33" ht="10" customHeight="1" x14ac:dyDescent="0.2">
      <c r="A282" s="5" t="s">
        <v>40</v>
      </c>
      <c r="B282" s="5" t="s">
        <v>41</v>
      </c>
      <c r="D282" s="5" t="s">
        <v>669</v>
      </c>
      <c r="E282" s="10" t="s">
        <v>53</v>
      </c>
      <c r="F282" s="5" t="s">
        <v>553</v>
      </c>
      <c r="I282" s="11">
        <v>1</v>
      </c>
      <c r="J282" s="5" t="s">
        <v>60</v>
      </c>
      <c r="K282" s="10" t="s">
        <v>46</v>
      </c>
      <c r="L282" s="5" t="s">
        <v>47</v>
      </c>
      <c r="M282" s="5" t="s">
        <v>48</v>
      </c>
      <c r="N282" s="5" t="s">
        <v>49</v>
      </c>
      <c r="O282" s="12"/>
      <c r="Q282" s="13">
        <v>11900</v>
      </c>
      <c r="S282" s="13">
        <v>0</v>
      </c>
      <c r="U282" s="13">
        <v>0</v>
      </c>
      <c r="AC282" s="10" t="s">
        <v>670</v>
      </c>
      <c r="AD282" s="5" t="s">
        <v>800</v>
      </c>
      <c r="AE282" s="5" t="s">
        <v>42</v>
      </c>
      <c r="AG282" s="5" t="s">
        <v>570</v>
      </c>
    </row>
    <row r="283" spans="1:33" ht="10" customHeight="1" x14ac:dyDescent="0.2">
      <c r="A283" s="5" t="s">
        <v>40</v>
      </c>
      <c r="B283" s="5" t="s">
        <v>41</v>
      </c>
      <c r="D283" s="5" t="s">
        <v>552</v>
      </c>
      <c r="E283" s="10" t="s">
        <v>53</v>
      </c>
      <c r="F283" s="5" t="s">
        <v>553</v>
      </c>
      <c r="I283" s="11">
        <v>1</v>
      </c>
      <c r="J283" s="5" t="s">
        <v>60</v>
      </c>
      <c r="K283" s="10" t="s">
        <v>46</v>
      </c>
      <c r="L283" s="5" t="s">
        <v>47</v>
      </c>
      <c r="M283" s="5" t="s">
        <v>48</v>
      </c>
      <c r="N283" s="5" t="s">
        <v>49</v>
      </c>
      <c r="O283" s="12"/>
      <c r="S283" s="13">
        <v>1352000</v>
      </c>
      <c r="U283" s="13">
        <v>1352000</v>
      </c>
      <c r="AC283" s="10" t="s">
        <v>554</v>
      </c>
      <c r="AD283" s="5" t="s">
        <v>801</v>
      </c>
      <c r="AE283" s="5" t="s">
        <v>42</v>
      </c>
    </row>
    <row r="284" spans="1:33" ht="10" customHeight="1" x14ac:dyDescent="0.2">
      <c r="A284" s="5" t="s">
        <v>40</v>
      </c>
      <c r="B284" s="5" t="s">
        <v>41</v>
      </c>
      <c r="D284" s="5" t="s">
        <v>556</v>
      </c>
      <c r="E284" s="10" t="s">
        <v>53</v>
      </c>
      <c r="F284" s="5" t="s">
        <v>553</v>
      </c>
      <c r="I284" s="11">
        <v>1</v>
      </c>
      <c r="J284" s="5" t="s">
        <v>60</v>
      </c>
      <c r="K284" s="10" t="s">
        <v>46</v>
      </c>
      <c r="L284" s="5" t="s">
        <v>47</v>
      </c>
      <c r="M284" s="5" t="s">
        <v>48</v>
      </c>
      <c r="N284" s="5" t="s">
        <v>49</v>
      </c>
      <c r="O284" s="12"/>
      <c r="S284" s="13">
        <v>0</v>
      </c>
      <c r="U284" s="13">
        <v>0</v>
      </c>
      <c r="AC284" s="10" t="s">
        <v>557</v>
      </c>
      <c r="AD284" s="5" t="s">
        <v>801</v>
      </c>
      <c r="AE284" s="5" t="s">
        <v>42</v>
      </c>
    </row>
    <row r="285" spans="1:33" ht="10" customHeight="1" x14ac:dyDescent="0.2">
      <c r="A285" s="5" t="s">
        <v>40</v>
      </c>
      <c r="B285" s="5" t="s">
        <v>41</v>
      </c>
      <c r="D285" s="5" t="s">
        <v>559</v>
      </c>
      <c r="E285" s="10" t="s">
        <v>53</v>
      </c>
      <c r="F285" s="5" t="s">
        <v>553</v>
      </c>
      <c r="I285" s="11">
        <v>1</v>
      </c>
      <c r="J285" s="5" t="s">
        <v>60</v>
      </c>
      <c r="K285" s="10" t="s">
        <v>46</v>
      </c>
      <c r="L285" s="5" t="s">
        <v>47</v>
      </c>
      <c r="M285" s="5" t="s">
        <v>48</v>
      </c>
      <c r="N285" s="5" t="s">
        <v>49</v>
      </c>
      <c r="O285" s="12"/>
      <c r="S285" s="13">
        <v>51989</v>
      </c>
      <c r="U285" s="13">
        <v>51989</v>
      </c>
      <c r="AC285" s="10" t="s">
        <v>560</v>
      </c>
      <c r="AD285" s="5" t="s">
        <v>801</v>
      </c>
      <c r="AE285" s="5" t="s">
        <v>42</v>
      </c>
    </row>
    <row r="286" spans="1:33" ht="10" customHeight="1" x14ac:dyDescent="0.2">
      <c r="A286" s="5" t="s">
        <v>40</v>
      </c>
      <c r="B286" s="5" t="s">
        <v>41</v>
      </c>
      <c r="D286" s="5" t="s">
        <v>580</v>
      </c>
      <c r="E286" s="10" t="s">
        <v>53</v>
      </c>
      <c r="F286" s="5" t="s">
        <v>553</v>
      </c>
      <c r="I286" s="11">
        <v>1</v>
      </c>
      <c r="J286" s="5" t="s">
        <v>60</v>
      </c>
      <c r="K286" s="10" t="s">
        <v>46</v>
      </c>
      <c r="L286" s="5" t="s">
        <v>47</v>
      </c>
      <c r="M286" s="5" t="s">
        <v>48</v>
      </c>
      <c r="N286" s="5" t="s">
        <v>49</v>
      </c>
      <c r="O286" s="12"/>
      <c r="S286" s="13">
        <v>0</v>
      </c>
      <c r="U286" s="13">
        <v>0</v>
      </c>
      <c r="AC286" s="10" t="s">
        <v>581</v>
      </c>
      <c r="AD286" s="5" t="s">
        <v>801</v>
      </c>
      <c r="AE286" s="5" t="s">
        <v>42</v>
      </c>
    </row>
    <row r="287" spans="1:33" ht="10" customHeight="1" x14ac:dyDescent="0.2">
      <c r="A287" s="5" t="s">
        <v>40</v>
      </c>
      <c r="B287" s="5" t="s">
        <v>41</v>
      </c>
      <c r="D287" s="5" t="s">
        <v>582</v>
      </c>
      <c r="E287" s="10" t="s">
        <v>53</v>
      </c>
      <c r="F287" s="5" t="s">
        <v>553</v>
      </c>
      <c r="I287" s="11">
        <v>1</v>
      </c>
      <c r="J287" s="5" t="s">
        <v>60</v>
      </c>
      <c r="K287" s="10" t="s">
        <v>46</v>
      </c>
      <c r="L287" s="5" t="s">
        <v>47</v>
      </c>
      <c r="M287" s="5" t="s">
        <v>48</v>
      </c>
      <c r="N287" s="5" t="s">
        <v>49</v>
      </c>
      <c r="O287" s="12"/>
      <c r="S287" s="13">
        <v>203000</v>
      </c>
      <c r="U287" s="13">
        <v>203000</v>
      </c>
      <c r="AC287" s="10" t="s">
        <v>583</v>
      </c>
      <c r="AD287" s="5" t="s">
        <v>801</v>
      </c>
      <c r="AE287" s="5" t="s">
        <v>42</v>
      </c>
    </row>
    <row r="288" spans="1:33" ht="10" customHeight="1" x14ac:dyDescent="0.2">
      <c r="A288" s="5" t="s">
        <v>40</v>
      </c>
      <c r="B288" s="5" t="s">
        <v>41</v>
      </c>
      <c r="D288" s="5" t="s">
        <v>584</v>
      </c>
      <c r="E288" s="10" t="s">
        <v>53</v>
      </c>
      <c r="F288" s="5" t="s">
        <v>553</v>
      </c>
      <c r="I288" s="11">
        <v>1</v>
      </c>
      <c r="J288" s="5" t="s">
        <v>60</v>
      </c>
      <c r="K288" s="10" t="s">
        <v>46</v>
      </c>
      <c r="L288" s="5" t="s">
        <v>47</v>
      </c>
      <c r="M288" s="5" t="s">
        <v>48</v>
      </c>
      <c r="N288" s="5" t="s">
        <v>49</v>
      </c>
      <c r="O288" s="12"/>
      <c r="S288" s="13">
        <v>150730</v>
      </c>
      <c r="U288" s="13">
        <v>150730</v>
      </c>
      <c r="AC288" s="10" t="s">
        <v>585</v>
      </c>
      <c r="AD288" s="5" t="s">
        <v>801</v>
      </c>
      <c r="AE288" s="5" t="s">
        <v>42</v>
      </c>
    </row>
    <row r="289" spans="1:31" ht="10" customHeight="1" x14ac:dyDescent="0.2">
      <c r="A289" s="5" t="s">
        <v>40</v>
      </c>
      <c r="B289" s="5" t="s">
        <v>41</v>
      </c>
      <c r="D289" s="5" t="s">
        <v>599</v>
      </c>
      <c r="E289" s="10" t="s">
        <v>53</v>
      </c>
      <c r="F289" s="5" t="s">
        <v>553</v>
      </c>
      <c r="I289" s="11">
        <v>1</v>
      </c>
      <c r="J289" s="5" t="s">
        <v>60</v>
      </c>
      <c r="K289" s="10" t="s">
        <v>46</v>
      </c>
      <c r="L289" s="5" t="s">
        <v>47</v>
      </c>
      <c r="M289" s="5" t="s">
        <v>48</v>
      </c>
      <c r="N289" s="5" t="s">
        <v>49</v>
      </c>
      <c r="O289" s="12"/>
      <c r="S289" s="13">
        <v>0</v>
      </c>
      <c r="U289" s="13">
        <v>0</v>
      </c>
      <c r="AC289" s="10" t="s">
        <v>600</v>
      </c>
      <c r="AD289" s="5" t="s">
        <v>801</v>
      </c>
      <c r="AE289" s="5" t="s">
        <v>42</v>
      </c>
    </row>
    <row r="290" spans="1:31" ht="10" customHeight="1" x14ac:dyDescent="0.2">
      <c r="A290" s="5" t="s">
        <v>40</v>
      </c>
      <c r="B290" s="5" t="s">
        <v>41</v>
      </c>
      <c r="D290" s="5" t="s">
        <v>601</v>
      </c>
      <c r="E290" s="10" t="s">
        <v>53</v>
      </c>
      <c r="F290" s="5" t="s">
        <v>553</v>
      </c>
      <c r="I290" s="11">
        <v>1</v>
      </c>
      <c r="J290" s="5" t="s">
        <v>60</v>
      </c>
      <c r="K290" s="10" t="s">
        <v>46</v>
      </c>
      <c r="L290" s="5" t="s">
        <v>47</v>
      </c>
      <c r="M290" s="5" t="s">
        <v>48</v>
      </c>
      <c r="N290" s="5" t="s">
        <v>49</v>
      </c>
      <c r="O290" s="12"/>
      <c r="S290" s="13">
        <v>0</v>
      </c>
      <c r="U290" s="13">
        <v>0</v>
      </c>
      <c r="AC290" s="10" t="s">
        <v>602</v>
      </c>
      <c r="AD290" s="5" t="s">
        <v>801</v>
      </c>
      <c r="AE290" s="5" t="s">
        <v>42</v>
      </c>
    </row>
    <row r="291" spans="1:31" ht="10" customHeight="1" x14ac:dyDescent="0.2">
      <c r="A291" s="5" t="s">
        <v>40</v>
      </c>
      <c r="B291" s="5" t="s">
        <v>41</v>
      </c>
      <c r="D291" s="5" t="s">
        <v>603</v>
      </c>
      <c r="E291" s="10" t="s">
        <v>53</v>
      </c>
      <c r="F291" s="5" t="s">
        <v>553</v>
      </c>
      <c r="I291" s="11">
        <v>1</v>
      </c>
      <c r="J291" s="5" t="s">
        <v>60</v>
      </c>
      <c r="K291" s="10" t="s">
        <v>46</v>
      </c>
      <c r="L291" s="5" t="s">
        <v>47</v>
      </c>
      <c r="M291" s="5" t="s">
        <v>48</v>
      </c>
      <c r="N291" s="5" t="s">
        <v>49</v>
      </c>
      <c r="O291" s="12"/>
      <c r="S291" s="13">
        <v>36374</v>
      </c>
      <c r="U291" s="13">
        <v>36374</v>
      </c>
      <c r="AC291" s="10" t="s">
        <v>604</v>
      </c>
      <c r="AD291" s="5" t="s">
        <v>801</v>
      </c>
      <c r="AE291" s="5" t="s">
        <v>42</v>
      </c>
    </row>
    <row r="292" spans="1:31" ht="10" customHeight="1" x14ac:dyDescent="0.2">
      <c r="A292" s="5" t="s">
        <v>40</v>
      </c>
      <c r="B292" s="5" t="s">
        <v>41</v>
      </c>
      <c r="D292" s="5" t="s">
        <v>605</v>
      </c>
      <c r="E292" s="10" t="s">
        <v>53</v>
      </c>
      <c r="F292" s="5" t="s">
        <v>553</v>
      </c>
      <c r="I292" s="11">
        <v>1</v>
      </c>
      <c r="J292" s="5" t="s">
        <v>60</v>
      </c>
      <c r="K292" s="10" t="s">
        <v>46</v>
      </c>
      <c r="L292" s="5" t="s">
        <v>47</v>
      </c>
      <c r="M292" s="5" t="s">
        <v>48</v>
      </c>
      <c r="N292" s="5" t="s">
        <v>49</v>
      </c>
      <c r="O292" s="12"/>
      <c r="S292" s="13">
        <v>139961</v>
      </c>
      <c r="U292" s="13">
        <v>139961</v>
      </c>
      <c r="AC292" s="10" t="s">
        <v>606</v>
      </c>
      <c r="AD292" s="5" t="s">
        <v>801</v>
      </c>
      <c r="AE292" s="5" t="s">
        <v>42</v>
      </c>
    </row>
    <row r="293" spans="1:31" ht="10" customHeight="1" x14ac:dyDescent="0.2">
      <c r="A293" s="5" t="s">
        <v>40</v>
      </c>
      <c r="B293" s="5" t="s">
        <v>41</v>
      </c>
      <c r="D293" s="5" t="s">
        <v>607</v>
      </c>
      <c r="E293" s="10" t="s">
        <v>53</v>
      </c>
      <c r="F293" s="5" t="s">
        <v>553</v>
      </c>
      <c r="I293" s="11">
        <v>1</v>
      </c>
      <c r="J293" s="5" t="s">
        <v>60</v>
      </c>
      <c r="K293" s="10" t="s">
        <v>46</v>
      </c>
      <c r="L293" s="5" t="s">
        <v>47</v>
      </c>
      <c r="M293" s="5" t="s">
        <v>48</v>
      </c>
      <c r="N293" s="5" t="s">
        <v>49</v>
      </c>
      <c r="O293" s="12"/>
      <c r="S293" s="13">
        <v>64025</v>
      </c>
      <c r="U293" s="13">
        <v>64025</v>
      </c>
      <c r="AC293" s="10" t="s">
        <v>608</v>
      </c>
      <c r="AD293" s="5" t="s">
        <v>801</v>
      </c>
      <c r="AE293" s="5" t="s">
        <v>42</v>
      </c>
    </row>
    <row r="294" spans="1:31" ht="10" customHeight="1" x14ac:dyDescent="0.2">
      <c r="A294" s="5" t="s">
        <v>40</v>
      </c>
      <c r="B294" s="5" t="s">
        <v>41</v>
      </c>
      <c r="D294" s="5" t="s">
        <v>802</v>
      </c>
      <c r="E294" s="10" t="s">
        <v>53</v>
      </c>
      <c r="F294" s="5" t="s">
        <v>553</v>
      </c>
      <c r="I294" s="11">
        <v>1</v>
      </c>
      <c r="J294" s="5" t="s">
        <v>60</v>
      </c>
      <c r="K294" s="10" t="s">
        <v>46</v>
      </c>
      <c r="L294" s="5" t="s">
        <v>47</v>
      </c>
      <c r="M294" s="5" t="s">
        <v>48</v>
      </c>
      <c r="N294" s="5" t="s">
        <v>49</v>
      </c>
      <c r="O294" s="12"/>
      <c r="S294" s="13">
        <v>0</v>
      </c>
      <c r="U294" s="13">
        <v>0</v>
      </c>
      <c r="AC294" s="10" t="s">
        <v>803</v>
      </c>
      <c r="AD294" s="5" t="s">
        <v>801</v>
      </c>
      <c r="AE294" s="5" t="s">
        <v>42</v>
      </c>
    </row>
    <row r="295" spans="1:31" ht="10" customHeight="1" x14ac:dyDescent="0.2">
      <c r="A295" s="5" t="s">
        <v>40</v>
      </c>
      <c r="B295" s="5" t="s">
        <v>41</v>
      </c>
      <c r="D295" s="5" t="s">
        <v>804</v>
      </c>
      <c r="E295" s="10" t="s">
        <v>53</v>
      </c>
      <c r="F295" s="5" t="s">
        <v>553</v>
      </c>
      <c r="I295" s="11">
        <v>1</v>
      </c>
      <c r="J295" s="5" t="s">
        <v>60</v>
      </c>
      <c r="K295" s="10" t="s">
        <v>46</v>
      </c>
      <c r="L295" s="5" t="s">
        <v>47</v>
      </c>
      <c r="M295" s="5" t="s">
        <v>48</v>
      </c>
      <c r="N295" s="5" t="s">
        <v>49</v>
      </c>
      <c r="O295" s="12"/>
      <c r="S295" s="13">
        <v>0</v>
      </c>
      <c r="U295" s="13">
        <v>0</v>
      </c>
      <c r="AC295" s="10" t="s">
        <v>805</v>
      </c>
      <c r="AD295" s="5" t="s">
        <v>801</v>
      </c>
      <c r="AE295" s="5" t="s">
        <v>42</v>
      </c>
    </row>
    <row r="296" spans="1:31" ht="10" customHeight="1" x14ac:dyDescent="0.2">
      <c r="A296" s="5" t="s">
        <v>40</v>
      </c>
      <c r="B296" s="5" t="s">
        <v>41</v>
      </c>
      <c r="D296" s="5" t="s">
        <v>806</v>
      </c>
      <c r="E296" s="10" t="s">
        <v>53</v>
      </c>
      <c r="F296" s="5" t="s">
        <v>553</v>
      </c>
      <c r="I296" s="11">
        <v>1</v>
      </c>
      <c r="J296" s="5" t="s">
        <v>60</v>
      </c>
      <c r="K296" s="10" t="s">
        <v>46</v>
      </c>
      <c r="L296" s="5" t="s">
        <v>47</v>
      </c>
      <c r="M296" s="5" t="s">
        <v>48</v>
      </c>
      <c r="N296" s="5" t="s">
        <v>49</v>
      </c>
      <c r="O296" s="12"/>
      <c r="S296" s="13">
        <v>0</v>
      </c>
      <c r="U296" s="13">
        <v>0</v>
      </c>
      <c r="AC296" s="10" t="s">
        <v>807</v>
      </c>
      <c r="AD296" s="5" t="s">
        <v>801</v>
      </c>
      <c r="AE296" s="5" t="s">
        <v>42</v>
      </c>
    </row>
    <row r="297" spans="1:31" ht="10" customHeight="1" x14ac:dyDescent="0.2">
      <c r="A297" s="5" t="s">
        <v>40</v>
      </c>
      <c r="B297" s="5" t="s">
        <v>41</v>
      </c>
      <c r="D297" s="5" t="s">
        <v>623</v>
      </c>
      <c r="E297" s="10" t="s">
        <v>53</v>
      </c>
      <c r="F297" s="5" t="s">
        <v>553</v>
      </c>
      <c r="I297" s="11">
        <v>1</v>
      </c>
      <c r="J297" s="5" t="s">
        <v>60</v>
      </c>
      <c r="K297" s="10" t="s">
        <v>46</v>
      </c>
      <c r="L297" s="5" t="s">
        <v>47</v>
      </c>
      <c r="M297" s="5" t="s">
        <v>48</v>
      </c>
      <c r="N297" s="5" t="s">
        <v>49</v>
      </c>
      <c r="O297" s="12"/>
      <c r="S297" s="13">
        <v>0</v>
      </c>
      <c r="U297" s="13">
        <v>0</v>
      </c>
      <c r="AC297" s="10" t="s">
        <v>624</v>
      </c>
      <c r="AD297" s="5" t="s">
        <v>808</v>
      </c>
      <c r="AE297" s="5" t="s">
        <v>42</v>
      </c>
    </row>
    <row r="298" spans="1:31" ht="10" customHeight="1" x14ac:dyDescent="0.2">
      <c r="A298" s="5" t="s">
        <v>40</v>
      </c>
      <c r="B298" s="5" t="s">
        <v>41</v>
      </c>
      <c r="D298" s="5" t="s">
        <v>625</v>
      </c>
      <c r="E298" s="10" t="s">
        <v>53</v>
      </c>
      <c r="F298" s="5" t="s">
        <v>553</v>
      </c>
      <c r="I298" s="11">
        <v>1</v>
      </c>
      <c r="J298" s="5" t="s">
        <v>60</v>
      </c>
      <c r="K298" s="10" t="s">
        <v>46</v>
      </c>
      <c r="L298" s="5" t="s">
        <v>47</v>
      </c>
      <c r="M298" s="5" t="s">
        <v>48</v>
      </c>
      <c r="N298" s="5" t="s">
        <v>49</v>
      </c>
      <c r="O298" s="12"/>
      <c r="S298" s="13">
        <v>449046</v>
      </c>
      <c r="U298" s="13">
        <v>449046</v>
      </c>
      <c r="AC298" s="10" t="s">
        <v>626</v>
      </c>
      <c r="AD298" s="5" t="s">
        <v>808</v>
      </c>
      <c r="AE298" s="5" t="s">
        <v>42</v>
      </c>
    </row>
    <row r="299" spans="1:31" ht="10" customHeight="1" x14ac:dyDescent="0.2">
      <c r="A299" s="5" t="s">
        <v>40</v>
      </c>
      <c r="B299" s="5" t="s">
        <v>41</v>
      </c>
      <c r="D299" s="5" t="s">
        <v>627</v>
      </c>
      <c r="E299" s="10" t="s">
        <v>53</v>
      </c>
      <c r="F299" s="5" t="s">
        <v>553</v>
      </c>
      <c r="I299" s="11">
        <v>1</v>
      </c>
      <c r="J299" s="5" t="s">
        <v>60</v>
      </c>
      <c r="K299" s="10" t="s">
        <v>46</v>
      </c>
      <c r="L299" s="5" t="s">
        <v>47</v>
      </c>
      <c r="M299" s="5" t="s">
        <v>48</v>
      </c>
      <c r="N299" s="5" t="s">
        <v>49</v>
      </c>
      <c r="O299" s="12"/>
      <c r="S299" s="13">
        <v>100394</v>
      </c>
      <c r="U299" s="13">
        <v>100394</v>
      </c>
      <c r="AC299" s="10" t="s">
        <v>628</v>
      </c>
      <c r="AD299" s="5" t="s">
        <v>808</v>
      </c>
      <c r="AE299" s="5" t="s">
        <v>42</v>
      </c>
    </row>
    <row r="300" spans="1:31" ht="10" customHeight="1" x14ac:dyDescent="0.2">
      <c r="A300" s="5" t="s">
        <v>40</v>
      </c>
      <c r="B300" s="5" t="s">
        <v>41</v>
      </c>
      <c r="D300" s="5" t="s">
        <v>639</v>
      </c>
      <c r="E300" s="10" t="s">
        <v>53</v>
      </c>
      <c r="F300" s="5" t="s">
        <v>553</v>
      </c>
      <c r="I300" s="11">
        <v>1</v>
      </c>
      <c r="J300" s="5" t="s">
        <v>60</v>
      </c>
      <c r="K300" s="10" t="s">
        <v>46</v>
      </c>
      <c r="L300" s="5" t="s">
        <v>47</v>
      </c>
      <c r="M300" s="5" t="s">
        <v>48</v>
      </c>
      <c r="N300" s="5" t="s">
        <v>49</v>
      </c>
      <c r="O300" s="12"/>
      <c r="S300" s="13">
        <v>0</v>
      </c>
      <c r="U300" s="13">
        <v>0</v>
      </c>
      <c r="AC300" s="10" t="s">
        <v>640</v>
      </c>
      <c r="AD300" s="5" t="s">
        <v>808</v>
      </c>
      <c r="AE300" s="5" t="s">
        <v>42</v>
      </c>
    </row>
    <row r="301" spans="1:31" ht="10" customHeight="1" x14ac:dyDescent="0.2">
      <c r="A301" s="5" t="s">
        <v>40</v>
      </c>
      <c r="B301" s="5" t="s">
        <v>41</v>
      </c>
      <c r="D301" s="5" t="s">
        <v>641</v>
      </c>
      <c r="E301" s="10" t="s">
        <v>53</v>
      </c>
      <c r="F301" s="5" t="s">
        <v>553</v>
      </c>
      <c r="I301" s="11">
        <v>1</v>
      </c>
      <c r="J301" s="5" t="s">
        <v>60</v>
      </c>
      <c r="K301" s="10" t="s">
        <v>46</v>
      </c>
      <c r="L301" s="5" t="s">
        <v>47</v>
      </c>
      <c r="M301" s="5" t="s">
        <v>48</v>
      </c>
      <c r="N301" s="5" t="s">
        <v>49</v>
      </c>
      <c r="O301" s="12"/>
      <c r="S301" s="13">
        <v>0</v>
      </c>
      <c r="U301" s="13">
        <v>0</v>
      </c>
      <c r="AC301" s="10" t="s">
        <v>642</v>
      </c>
      <c r="AD301" s="5" t="s">
        <v>808</v>
      </c>
      <c r="AE301" s="5" t="s">
        <v>42</v>
      </c>
    </row>
    <row r="302" spans="1:31" ht="10" customHeight="1" x14ac:dyDescent="0.2">
      <c r="A302" s="5" t="s">
        <v>40</v>
      </c>
      <c r="B302" s="5" t="s">
        <v>41</v>
      </c>
      <c r="D302" s="5" t="s">
        <v>643</v>
      </c>
      <c r="E302" s="10" t="s">
        <v>53</v>
      </c>
      <c r="F302" s="5" t="s">
        <v>553</v>
      </c>
      <c r="I302" s="11">
        <v>1</v>
      </c>
      <c r="J302" s="5" t="s">
        <v>60</v>
      </c>
      <c r="K302" s="10" t="s">
        <v>46</v>
      </c>
      <c r="L302" s="5" t="s">
        <v>47</v>
      </c>
      <c r="M302" s="5" t="s">
        <v>48</v>
      </c>
      <c r="N302" s="5" t="s">
        <v>49</v>
      </c>
      <c r="O302" s="12"/>
      <c r="S302" s="13">
        <v>104926</v>
      </c>
      <c r="U302" s="13">
        <v>104926</v>
      </c>
      <c r="AC302" s="10" t="s">
        <v>644</v>
      </c>
      <c r="AD302" s="5" t="s">
        <v>808</v>
      </c>
      <c r="AE302" s="5" t="s">
        <v>42</v>
      </c>
    </row>
    <row r="303" spans="1:31" ht="10" customHeight="1" x14ac:dyDescent="0.2">
      <c r="A303" s="5" t="s">
        <v>40</v>
      </c>
      <c r="B303" s="5" t="s">
        <v>41</v>
      </c>
      <c r="D303" s="5" t="s">
        <v>645</v>
      </c>
      <c r="E303" s="10" t="s">
        <v>53</v>
      </c>
      <c r="F303" s="5" t="s">
        <v>553</v>
      </c>
      <c r="I303" s="11">
        <v>1</v>
      </c>
      <c r="J303" s="5" t="s">
        <v>60</v>
      </c>
      <c r="K303" s="10" t="s">
        <v>46</v>
      </c>
      <c r="L303" s="5" t="s">
        <v>47</v>
      </c>
      <c r="M303" s="5" t="s">
        <v>48</v>
      </c>
      <c r="N303" s="5" t="s">
        <v>49</v>
      </c>
      <c r="O303" s="12"/>
      <c r="S303" s="13">
        <v>104927</v>
      </c>
      <c r="U303" s="13">
        <v>104927</v>
      </c>
      <c r="AC303" s="10" t="s">
        <v>646</v>
      </c>
      <c r="AD303" s="5" t="s">
        <v>808</v>
      </c>
      <c r="AE303" s="5" t="s">
        <v>42</v>
      </c>
    </row>
    <row r="304" spans="1:31" ht="10" customHeight="1" x14ac:dyDescent="0.2">
      <c r="A304" s="5" t="s">
        <v>40</v>
      </c>
      <c r="B304" s="5" t="s">
        <v>41</v>
      </c>
      <c r="D304" s="5" t="s">
        <v>655</v>
      </c>
      <c r="E304" s="10" t="s">
        <v>53</v>
      </c>
      <c r="F304" s="5" t="s">
        <v>553</v>
      </c>
      <c r="I304" s="11">
        <v>1</v>
      </c>
      <c r="J304" s="5" t="s">
        <v>60</v>
      </c>
      <c r="K304" s="10" t="s">
        <v>46</v>
      </c>
      <c r="L304" s="5" t="s">
        <v>47</v>
      </c>
      <c r="M304" s="5" t="s">
        <v>48</v>
      </c>
      <c r="N304" s="5" t="s">
        <v>49</v>
      </c>
      <c r="O304" s="12"/>
      <c r="S304" s="13">
        <v>166792</v>
      </c>
      <c r="U304" s="13">
        <v>166792</v>
      </c>
      <c r="AC304" s="10" t="s">
        <v>656</v>
      </c>
      <c r="AD304" s="5" t="s">
        <v>808</v>
      </c>
      <c r="AE304" s="5" t="s">
        <v>42</v>
      </c>
    </row>
    <row r="305" spans="1:31" ht="10" customHeight="1" x14ac:dyDescent="0.2">
      <c r="A305" s="5" t="s">
        <v>40</v>
      </c>
      <c r="B305" s="5" t="s">
        <v>41</v>
      </c>
      <c r="D305" s="5" t="s">
        <v>809</v>
      </c>
      <c r="E305" s="10" t="s">
        <v>53</v>
      </c>
      <c r="F305" s="5" t="s">
        <v>553</v>
      </c>
      <c r="I305" s="11">
        <v>1</v>
      </c>
      <c r="J305" s="5" t="s">
        <v>60</v>
      </c>
      <c r="K305" s="10" t="s">
        <v>46</v>
      </c>
      <c r="L305" s="5" t="s">
        <v>47</v>
      </c>
      <c r="M305" s="5" t="s">
        <v>48</v>
      </c>
      <c r="N305" s="5" t="s">
        <v>49</v>
      </c>
      <c r="O305" s="12"/>
      <c r="S305" s="13">
        <v>0</v>
      </c>
      <c r="U305" s="13">
        <v>0</v>
      </c>
      <c r="AC305" s="10" t="s">
        <v>810</v>
      </c>
      <c r="AD305" s="5" t="s">
        <v>808</v>
      </c>
      <c r="AE305" s="5" t="s">
        <v>42</v>
      </c>
    </row>
    <row r="306" spans="1:31" ht="10" customHeight="1" x14ac:dyDescent="0.2">
      <c r="A306" s="5" t="s">
        <v>40</v>
      </c>
      <c r="B306" s="5" t="s">
        <v>41</v>
      </c>
      <c r="D306" s="5" t="s">
        <v>811</v>
      </c>
      <c r="E306" s="10" t="s">
        <v>53</v>
      </c>
      <c r="F306" s="5" t="s">
        <v>553</v>
      </c>
      <c r="I306" s="11">
        <v>1</v>
      </c>
      <c r="J306" s="5" t="s">
        <v>60</v>
      </c>
      <c r="K306" s="10" t="s">
        <v>46</v>
      </c>
      <c r="L306" s="5" t="s">
        <v>47</v>
      </c>
      <c r="M306" s="5" t="s">
        <v>48</v>
      </c>
      <c r="N306" s="5" t="s">
        <v>49</v>
      </c>
      <c r="O306" s="12"/>
      <c r="S306" s="13">
        <v>14476</v>
      </c>
      <c r="U306" s="13">
        <v>14476</v>
      </c>
      <c r="AC306" s="10" t="s">
        <v>812</v>
      </c>
      <c r="AD306" s="5" t="s">
        <v>808</v>
      </c>
      <c r="AE306" s="5" t="s">
        <v>42</v>
      </c>
    </row>
    <row r="307" spans="1:31" ht="10" customHeight="1" x14ac:dyDescent="0.2">
      <c r="A307" s="5" t="s">
        <v>40</v>
      </c>
      <c r="B307" s="5" t="s">
        <v>41</v>
      </c>
      <c r="D307" s="5" t="s">
        <v>813</v>
      </c>
      <c r="E307" s="10" t="s">
        <v>53</v>
      </c>
      <c r="F307" s="5" t="s">
        <v>553</v>
      </c>
      <c r="I307" s="11">
        <v>1</v>
      </c>
      <c r="J307" s="5" t="s">
        <v>60</v>
      </c>
      <c r="K307" s="10" t="s">
        <v>46</v>
      </c>
      <c r="L307" s="5" t="s">
        <v>47</v>
      </c>
      <c r="M307" s="5" t="s">
        <v>48</v>
      </c>
      <c r="N307" s="5" t="s">
        <v>49</v>
      </c>
      <c r="O307" s="12"/>
      <c r="S307" s="13">
        <v>11057</v>
      </c>
      <c r="U307" s="13">
        <v>11057</v>
      </c>
      <c r="AC307" s="10" t="s">
        <v>814</v>
      </c>
      <c r="AD307" s="5" t="s">
        <v>808</v>
      </c>
      <c r="AE307" s="5" t="s">
        <v>42</v>
      </c>
    </row>
    <row r="308" spans="1:31" ht="10" customHeight="1" x14ac:dyDescent="0.2">
      <c r="A308" s="5" t="s">
        <v>40</v>
      </c>
      <c r="B308" s="5" t="s">
        <v>41</v>
      </c>
      <c r="D308" s="5" t="s">
        <v>815</v>
      </c>
      <c r="E308" s="10" t="s">
        <v>53</v>
      </c>
      <c r="F308" s="5" t="s">
        <v>553</v>
      </c>
      <c r="I308" s="11">
        <v>1</v>
      </c>
      <c r="J308" s="5" t="s">
        <v>60</v>
      </c>
      <c r="K308" s="10" t="s">
        <v>46</v>
      </c>
      <c r="L308" s="5" t="s">
        <v>47</v>
      </c>
      <c r="M308" s="5" t="s">
        <v>48</v>
      </c>
      <c r="N308" s="5" t="s">
        <v>49</v>
      </c>
      <c r="O308" s="12"/>
      <c r="S308" s="13">
        <v>7968</v>
      </c>
      <c r="U308" s="13">
        <v>7968</v>
      </c>
      <c r="AC308" s="10" t="s">
        <v>816</v>
      </c>
      <c r="AD308" s="5" t="s">
        <v>808</v>
      </c>
      <c r="AE308" s="5" t="s">
        <v>42</v>
      </c>
    </row>
    <row r="309" spans="1:31" ht="10" customHeight="1" x14ac:dyDescent="0.2">
      <c r="A309" s="5" t="s">
        <v>40</v>
      </c>
      <c r="B309" s="5" t="s">
        <v>41</v>
      </c>
      <c r="D309" s="5" t="s">
        <v>669</v>
      </c>
      <c r="E309" s="10" t="s">
        <v>53</v>
      </c>
      <c r="F309" s="5" t="s">
        <v>553</v>
      </c>
      <c r="I309" s="11">
        <v>1</v>
      </c>
      <c r="J309" s="5" t="s">
        <v>60</v>
      </c>
      <c r="K309" s="10" t="s">
        <v>46</v>
      </c>
      <c r="L309" s="5" t="s">
        <v>47</v>
      </c>
      <c r="M309" s="5" t="s">
        <v>48</v>
      </c>
      <c r="N309" s="5" t="s">
        <v>49</v>
      </c>
      <c r="O309" s="12"/>
      <c r="S309" s="13">
        <v>5737</v>
      </c>
      <c r="U309" s="13">
        <v>5737</v>
      </c>
      <c r="AC309" s="10" t="s">
        <v>670</v>
      </c>
      <c r="AD309" s="5" t="s">
        <v>817</v>
      </c>
      <c r="AE309" s="5" t="s">
        <v>42</v>
      </c>
    </row>
    <row r="310" spans="1:31" ht="10" customHeight="1" x14ac:dyDescent="0.2">
      <c r="A310" s="5" t="s">
        <v>40</v>
      </c>
      <c r="B310" s="5" t="s">
        <v>41</v>
      </c>
      <c r="D310" s="5" t="s">
        <v>671</v>
      </c>
      <c r="E310" s="10" t="s">
        <v>53</v>
      </c>
      <c r="F310" s="5" t="s">
        <v>553</v>
      </c>
      <c r="I310" s="11">
        <v>1</v>
      </c>
      <c r="J310" s="5" t="s">
        <v>60</v>
      </c>
      <c r="K310" s="10" t="s">
        <v>46</v>
      </c>
      <c r="L310" s="5" t="s">
        <v>47</v>
      </c>
      <c r="M310" s="5" t="s">
        <v>48</v>
      </c>
      <c r="N310" s="5" t="s">
        <v>49</v>
      </c>
      <c r="O310" s="12"/>
      <c r="S310" s="13">
        <v>5752</v>
      </c>
      <c r="U310" s="13">
        <v>5752</v>
      </c>
      <c r="AC310" s="10" t="s">
        <v>672</v>
      </c>
      <c r="AD310" s="5" t="s">
        <v>817</v>
      </c>
      <c r="AE310" s="5" t="s">
        <v>42</v>
      </c>
    </row>
    <row r="311" spans="1:31" ht="10" customHeight="1" x14ac:dyDescent="0.2">
      <c r="A311" s="5" t="s">
        <v>40</v>
      </c>
      <c r="B311" s="5" t="s">
        <v>41</v>
      </c>
      <c r="D311" s="5" t="s">
        <v>673</v>
      </c>
      <c r="E311" s="10" t="s">
        <v>53</v>
      </c>
      <c r="F311" s="5" t="s">
        <v>553</v>
      </c>
      <c r="I311" s="11">
        <v>1</v>
      </c>
      <c r="J311" s="5" t="s">
        <v>60</v>
      </c>
      <c r="K311" s="10" t="s">
        <v>46</v>
      </c>
      <c r="L311" s="5" t="s">
        <v>47</v>
      </c>
      <c r="M311" s="5" t="s">
        <v>48</v>
      </c>
      <c r="N311" s="5" t="s">
        <v>49</v>
      </c>
      <c r="O311" s="12"/>
      <c r="S311" s="13">
        <v>0</v>
      </c>
      <c r="U311" s="13">
        <v>0</v>
      </c>
      <c r="AC311" s="10" t="s">
        <v>674</v>
      </c>
      <c r="AD311" s="5" t="s">
        <v>817</v>
      </c>
      <c r="AE311" s="5" t="s">
        <v>42</v>
      </c>
    </row>
    <row r="312" spans="1:31" ht="10" customHeight="1" x14ac:dyDescent="0.2">
      <c r="A312" s="5" t="s">
        <v>40</v>
      </c>
      <c r="B312" s="5" t="s">
        <v>41</v>
      </c>
      <c r="D312" s="5" t="s">
        <v>676</v>
      </c>
      <c r="E312" s="10" t="s">
        <v>53</v>
      </c>
      <c r="F312" s="5" t="s">
        <v>553</v>
      </c>
      <c r="I312" s="11">
        <v>1</v>
      </c>
      <c r="J312" s="5" t="s">
        <v>60</v>
      </c>
      <c r="K312" s="10" t="s">
        <v>46</v>
      </c>
      <c r="L312" s="5" t="s">
        <v>47</v>
      </c>
      <c r="M312" s="5" t="s">
        <v>48</v>
      </c>
      <c r="N312" s="5" t="s">
        <v>49</v>
      </c>
      <c r="O312" s="12"/>
      <c r="S312" s="13">
        <v>0</v>
      </c>
      <c r="U312" s="13">
        <v>0</v>
      </c>
      <c r="AC312" s="10" t="s">
        <v>677</v>
      </c>
      <c r="AD312" s="5" t="s">
        <v>817</v>
      </c>
      <c r="AE312" s="5" t="s">
        <v>42</v>
      </c>
    </row>
    <row r="313" spans="1:31" ht="10" customHeight="1" x14ac:dyDescent="0.2">
      <c r="A313" s="5" t="s">
        <v>40</v>
      </c>
      <c r="B313" s="5" t="s">
        <v>41</v>
      </c>
      <c r="D313" s="5" t="s">
        <v>679</v>
      </c>
      <c r="E313" s="10" t="s">
        <v>53</v>
      </c>
      <c r="F313" s="5" t="s">
        <v>553</v>
      </c>
      <c r="I313" s="11">
        <v>1</v>
      </c>
      <c r="J313" s="5" t="s">
        <v>60</v>
      </c>
      <c r="K313" s="10" t="s">
        <v>46</v>
      </c>
      <c r="L313" s="5" t="s">
        <v>47</v>
      </c>
      <c r="M313" s="5" t="s">
        <v>48</v>
      </c>
      <c r="N313" s="5" t="s">
        <v>49</v>
      </c>
      <c r="O313" s="12"/>
      <c r="S313" s="13">
        <v>711053</v>
      </c>
      <c r="U313" s="13">
        <v>711053</v>
      </c>
      <c r="AC313" s="10" t="s">
        <v>680</v>
      </c>
      <c r="AD313" s="5" t="s">
        <v>817</v>
      </c>
      <c r="AE313" s="5" t="s">
        <v>42</v>
      </c>
    </row>
    <row r="314" spans="1:31" ht="10" customHeight="1" x14ac:dyDescent="0.2">
      <c r="A314" s="5" t="s">
        <v>40</v>
      </c>
      <c r="B314" s="5" t="s">
        <v>41</v>
      </c>
      <c r="D314" s="5" t="s">
        <v>699</v>
      </c>
      <c r="E314" s="10" t="s">
        <v>53</v>
      </c>
      <c r="F314" s="5" t="s">
        <v>553</v>
      </c>
      <c r="I314" s="11">
        <v>1</v>
      </c>
      <c r="J314" s="5" t="s">
        <v>60</v>
      </c>
      <c r="K314" s="10" t="s">
        <v>46</v>
      </c>
      <c r="L314" s="5" t="s">
        <v>47</v>
      </c>
      <c r="M314" s="5" t="s">
        <v>48</v>
      </c>
      <c r="N314" s="5" t="s">
        <v>49</v>
      </c>
      <c r="O314" s="12"/>
      <c r="S314" s="13">
        <v>0</v>
      </c>
      <c r="U314" s="13">
        <v>0</v>
      </c>
      <c r="AC314" s="10" t="s">
        <v>700</v>
      </c>
      <c r="AD314" s="5" t="s">
        <v>817</v>
      </c>
      <c r="AE314" s="5" t="s">
        <v>42</v>
      </c>
    </row>
    <row r="315" spans="1:31" ht="10" customHeight="1" x14ac:dyDescent="0.2">
      <c r="A315" s="5" t="s">
        <v>40</v>
      </c>
      <c r="B315" s="5" t="s">
        <v>41</v>
      </c>
      <c r="D315" s="5" t="s">
        <v>702</v>
      </c>
      <c r="E315" s="10" t="s">
        <v>53</v>
      </c>
      <c r="F315" s="5" t="s">
        <v>553</v>
      </c>
      <c r="I315" s="11">
        <v>1</v>
      </c>
      <c r="J315" s="5" t="s">
        <v>60</v>
      </c>
      <c r="K315" s="10" t="s">
        <v>46</v>
      </c>
      <c r="L315" s="5" t="s">
        <v>47</v>
      </c>
      <c r="M315" s="5" t="s">
        <v>48</v>
      </c>
      <c r="N315" s="5" t="s">
        <v>49</v>
      </c>
      <c r="O315" s="12"/>
      <c r="S315" s="13">
        <v>8415</v>
      </c>
      <c r="U315" s="13">
        <v>8415</v>
      </c>
      <c r="AC315" s="10" t="s">
        <v>703</v>
      </c>
      <c r="AD315" s="5" t="s">
        <v>817</v>
      </c>
      <c r="AE315" s="5" t="s">
        <v>42</v>
      </c>
    </row>
    <row r="316" spans="1:31" ht="10" customHeight="1" x14ac:dyDescent="0.2">
      <c r="A316" s="5" t="s">
        <v>40</v>
      </c>
      <c r="B316" s="5" t="s">
        <v>41</v>
      </c>
      <c r="D316" s="5" t="s">
        <v>704</v>
      </c>
      <c r="E316" s="10" t="s">
        <v>53</v>
      </c>
      <c r="F316" s="5" t="s">
        <v>553</v>
      </c>
      <c r="I316" s="11">
        <v>1</v>
      </c>
      <c r="J316" s="5" t="s">
        <v>60</v>
      </c>
      <c r="K316" s="10" t="s">
        <v>46</v>
      </c>
      <c r="L316" s="5" t="s">
        <v>47</v>
      </c>
      <c r="M316" s="5" t="s">
        <v>48</v>
      </c>
      <c r="N316" s="5" t="s">
        <v>49</v>
      </c>
      <c r="O316" s="12"/>
      <c r="S316" s="13">
        <v>28330</v>
      </c>
      <c r="U316" s="13">
        <v>28330</v>
      </c>
      <c r="AC316" s="10" t="s">
        <v>705</v>
      </c>
      <c r="AD316" s="5" t="s">
        <v>817</v>
      </c>
      <c r="AE316" s="5" t="s">
        <v>42</v>
      </c>
    </row>
    <row r="317" spans="1:31" ht="10" customHeight="1" x14ac:dyDescent="0.2">
      <c r="A317" s="5" t="s">
        <v>40</v>
      </c>
      <c r="B317" s="5" t="s">
        <v>41</v>
      </c>
      <c r="D317" s="5" t="s">
        <v>818</v>
      </c>
      <c r="E317" s="10" t="s">
        <v>53</v>
      </c>
      <c r="F317" s="5" t="s">
        <v>553</v>
      </c>
      <c r="I317" s="11">
        <v>1</v>
      </c>
      <c r="J317" s="5" t="s">
        <v>60</v>
      </c>
      <c r="K317" s="10" t="s">
        <v>46</v>
      </c>
      <c r="L317" s="5" t="s">
        <v>47</v>
      </c>
      <c r="M317" s="5" t="s">
        <v>48</v>
      </c>
      <c r="N317" s="5" t="s">
        <v>49</v>
      </c>
      <c r="O317" s="12"/>
      <c r="S317" s="13">
        <v>6049</v>
      </c>
      <c r="U317" s="13">
        <v>6049</v>
      </c>
      <c r="AC317" s="10" t="s">
        <v>819</v>
      </c>
      <c r="AD317" s="5" t="s">
        <v>817</v>
      </c>
      <c r="AE317" s="5" t="s">
        <v>42</v>
      </c>
    </row>
    <row r="318" spans="1:31" ht="10" customHeight="1" x14ac:dyDescent="0.2">
      <c r="A318" s="5" t="s">
        <v>40</v>
      </c>
      <c r="B318" s="5" t="s">
        <v>41</v>
      </c>
      <c r="D318" s="5" t="s">
        <v>820</v>
      </c>
      <c r="E318" s="10" t="s">
        <v>53</v>
      </c>
      <c r="F318" s="5" t="s">
        <v>553</v>
      </c>
      <c r="I318" s="11">
        <v>1</v>
      </c>
      <c r="J318" s="5" t="s">
        <v>60</v>
      </c>
      <c r="K318" s="10" t="s">
        <v>46</v>
      </c>
      <c r="L318" s="5" t="s">
        <v>47</v>
      </c>
      <c r="M318" s="5" t="s">
        <v>48</v>
      </c>
      <c r="N318" s="5" t="s">
        <v>49</v>
      </c>
      <c r="O318" s="12"/>
      <c r="S318" s="13">
        <v>0</v>
      </c>
      <c r="U318" s="13">
        <v>0</v>
      </c>
      <c r="AC318" s="10" t="s">
        <v>821</v>
      </c>
      <c r="AD318" s="5" t="s">
        <v>817</v>
      </c>
      <c r="AE318" s="5" t="s">
        <v>42</v>
      </c>
    </row>
    <row r="319" spans="1:31" ht="10" customHeight="1" x14ac:dyDescent="0.2">
      <c r="A319" s="5" t="s">
        <v>40</v>
      </c>
      <c r="B319" s="5" t="s">
        <v>41</v>
      </c>
      <c r="D319" s="5" t="s">
        <v>822</v>
      </c>
      <c r="E319" s="10" t="s">
        <v>53</v>
      </c>
      <c r="F319" s="5" t="s">
        <v>553</v>
      </c>
      <c r="I319" s="11">
        <v>1</v>
      </c>
      <c r="J319" s="5" t="s">
        <v>60</v>
      </c>
      <c r="K319" s="10" t="s">
        <v>46</v>
      </c>
      <c r="L319" s="5" t="s">
        <v>47</v>
      </c>
      <c r="M319" s="5" t="s">
        <v>48</v>
      </c>
      <c r="N319" s="5" t="s">
        <v>49</v>
      </c>
      <c r="O319" s="12"/>
      <c r="S319" s="13">
        <v>0</v>
      </c>
      <c r="U319" s="13">
        <v>0</v>
      </c>
      <c r="AC319" s="10" t="s">
        <v>823</v>
      </c>
      <c r="AD319" s="5" t="s">
        <v>817</v>
      </c>
      <c r="AE319" s="5" t="s">
        <v>42</v>
      </c>
    </row>
    <row r="320" spans="1:31" ht="10" customHeight="1" x14ac:dyDescent="0.2">
      <c r="A320" s="5" t="s">
        <v>40</v>
      </c>
      <c r="B320" s="5" t="s">
        <v>41</v>
      </c>
      <c r="D320" s="5" t="s">
        <v>824</v>
      </c>
      <c r="E320" s="10" t="s">
        <v>53</v>
      </c>
      <c r="F320" s="5" t="s">
        <v>553</v>
      </c>
      <c r="I320" s="11">
        <v>1</v>
      </c>
      <c r="J320" s="5" t="s">
        <v>60</v>
      </c>
      <c r="K320" s="10" t="s">
        <v>46</v>
      </c>
      <c r="L320" s="5" t="s">
        <v>47</v>
      </c>
      <c r="M320" s="5" t="s">
        <v>48</v>
      </c>
      <c r="N320" s="5" t="s">
        <v>49</v>
      </c>
      <c r="O320" s="12"/>
      <c r="S320" s="13">
        <v>0</v>
      </c>
      <c r="U320" s="13">
        <v>0</v>
      </c>
      <c r="AC320" s="10" t="s">
        <v>825</v>
      </c>
      <c r="AD320" s="5" t="s">
        <v>817</v>
      </c>
      <c r="AE320" s="5" t="s">
        <v>42</v>
      </c>
    </row>
    <row r="321" spans="1:31" ht="10" customHeight="1" x14ac:dyDescent="0.2">
      <c r="A321" s="5" t="s">
        <v>40</v>
      </c>
      <c r="B321" s="5" t="s">
        <v>41</v>
      </c>
      <c r="D321" s="5" t="s">
        <v>826</v>
      </c>
      <c r="E321" s="10" t="s">
        <v>53</v>
      </c>
      <c r="F321" s="5" t="s">
        <v>553</v>
      </c>
      <c r="I321" s="11">
        <v>1</v>
      </c>
      <c r="J321" s="5" t="s">
        <v>60</v>
      </c>
      <c r="K321" s="10" t="s">
        <v>46</v>
      </c>
      <c r="L321" s="5" t="s">
        <v>47</v>
      </c>
      <c r="M321" s="5" t="s">
        <v>48</v>
      </c>
      <c r="N321" s="5" t="s">
        <v>49</v>
      </c>
      <c r="O321" s="12"/>
      <c r="S321" s="13">
        <v>0</v>
      </c>
      <c r="U321" s="13">
        <v>0</v>
      </c>
      <c r="AC321" s="10" t="s">
        <v>827</v>
      </c>
      <c r="AD321" s="5" t="s">
        <v>817</v>
      </c>
      <c r="AE321" s="5" t="s">
        <v>42</v>
      </c>
    </row>
    <row r="322" spans="1:31" ht="10" customHeight="1" x14ac:dyDescent="0.2">
      <c r="A322" s="5" t="s">
        <v>40</v>
      </c>
      <c r="B322" s="5" t="s">
        <v>41</v>
      </c>
      <c r="D322" s="5" t="s">
        <v>828</v>
      </c>
      <c r="E322" s="10" t="s">
        <v>53</v>
      </c>
      <c r="F322" s="5" t="s">
        <v>553</v>
      </c>
      <c r="I322" s="11">
        <v>1</v>
      </c>
      <c r="J322" s="5" t="s">
        <v>60</v>
      </c>
      <c r="K322" s="10" t="s">
        <v>46</v>
      </c>
      <c r="L322" s="5" t="s">
        <v>47</v>
      </c>
      <c r="M322" s="5" t="s">
        <v>48</v>
      </c>
      <c r="N322" s="5" t="s">
        <v>49</v>
      </c>
      <c r="O322" s="12"/>
      <c r="S322" s="13">
        <v>0</v>
      </c>
      <c r="U322" s="13">
        <v>0</v>
      </c>
      <c r="AC322" s="10" t="s">
        <v>829</v>
      </c>
      <c r="AD322" s="5" t="s">
        <v>817</v>
      </c>
      <c r="AE322" s="5" t="s">
        <v>42</v>
      </c>
    </row>
    <row r="323" spans="1:31" ht="10" customHeight="1" x14ac:dyDescent="0.2">
      <c r="A323" s="5" t="s">
        <v>40</v>
      </c>
      <c r="B323" s="5" t="s">
        <v>41</v>
      </c>
      <c r="D323" s="5" t="s">
        <v>727</v>
      </c>
      <c r="E323" s="10" t="s">
        <v>53</v>
      </c>
      <c r="F323" s="5" t="s">
        <v>553</v>
      </c>
      <c r="I323" s="11">
        <v>1</v>
      </c>
      <c r="J323" s="5" t="s">
        <v>60</v>
      </c>
      <c r="K323" s="10" t="s">
        <v>46</v>
      </c>
      <c r="L323" s="5" t="s">
        <v>47</v>
      </c>
      <c r="M323" s="5" t="s">
        <v>48</v>
      </c>
      <c r="N323" s="5" t="s">
        <v>49</v>
      </c>
      <c r="O323" s="12"/>
      <c r="S323" s="13">
        <v>0</v>
      </c>
      <c r="U323" s="13">
        <v>0</v>
      </c>
      <c r="AC323" s="10" t="s">
        <v>728</v>
      </c>
      <c r="AD323" s="5" t="s">
        <v>830</v>
      </c>
      <c r="AE323" s="5" t="s">
        <v>42</v>
      </c>
    </row>
    <row r="324" spans="1:31" ht="10" customHeight="1" x14ac:dyDescent="0.2">
      <c r="A324" s="5" t="s">
        <v>40</v>
      </c>
      <c r="B324" s="5" t="s">
        <v>41</v>
      </c>
      <c r="D324" s="5" t="s">
        <v>729</v>
      </c>
      <c r="E324" s="10" t="s">
        <v>53</v>
      </c>
      <c r="F324" s="5" t="s">
        <v>553</v>
      </c>
      <c r="I324" s="11">
        <v>1</v>
      </c>
      <c r="J324" s="5" t="s">
        <v>60</v>
      </c>
      <c r="K324" s="10" t="s">
        <v>46</v>
      </c>
      <c r="L324" s="5" t="s">
        <v>47</v>
      </c>
      <c r="M324" s="5" t="s">
        <v>48</v>
      </c>
      <c r="N324" s="5" t="s">
        <v>49</v>
      </c>
      <c r="O324" s="12"/>
      <c r="S324" s="13">
        <v>29510</v>
      </c>
      <c r="U324" s="13">
        <v>29510</v>
      </c>
      <c r="AC324" s="10" t="s">
        <v>730</v>
      </c>
      <c r="AD324" s="5" t="s">
        <v>830</v>
      </c>
      <c r="AE324" s="5" t="s">
        <v>42</v>
      </c>
    </row>
    <row r="325" spans="1:31" ht="10" customHeight="1" x14ac:dyDescent="0.2">
      <c r="A325" s="5" t="s">
        <v>40</v>
      </c>
      <c r="B325" s="5" t="s">
        <v>41</v>
      </c>
      <c r="D325" s="5" t="s">
        <v>731</v>
      </c>
      <c r="E325" s="10" t="s">
        <v>53</v>
      </c>
      <c r="F325" s="5" t="s">
        <v>553</v>
      </c>
      <c r="I325" s="11">
        <v>1</v>
      </c>
      <c r="J325" s="5" t="s">
        <v>60</v>
      </c>
      <c r="K325" s="10" t="s">
        <v>46</v>
      </c>
      <c r="L325" s="5" t="s">
        <v>47</v>
      </c>
      <c r="M325" s="5" t="s">
        <v>48</v>
      </c>
      <c r="N325" s="5" t="s">
        <v>49</v>
      </c>
      <c r="O325" s="12"/>
      <c r="S325" s="13">
        <v>46009</v>
      </c>
      <c r="U325" s="13">
        <v>46009</v>
      </c>
      <c r="AC325" s="10" t="s">
        <v>732</v>
      </c>
      <c r="AD325" s="5" t="s">
        <v>830</v>
      </c>
      <c r="AE325" s="5" t="s">
        <v>42</v>
      </c>
    </row>
    <row r="326" spans="1:31" ht="10" customHeight="1" x14ac:dyDescent="0.2">
      <c r="A326" s="5" t="s">
        <v>40</v>
      </c>
      <c r="B326" s="5" t="s">
        <v>41</v>
      </c>
      <c r="D326" s="5" t="s">
        <v>733</v>
      </c>
      <c r="E326" s="10" t="s">
        <v>53</v>
      </c>
      <c r="F326" s="5" t="s">
        <v>553</v>
      </c>
      <c r="I326" s="11">
        <v>1</v>
      </c>
      <c r="J326" s="5" t="s">
        <v>60</v>
      </c>
      <c r="K326" s="10" t="s">
        <v>46</v>
      </c>
      <c r="L326" s="5" t="s">
        <v>47</v>
      </c>
      <c r="M326" s="5" t="s">
        <v>48</v>
      </c>
      <c r="N326" s="5" t="s">
        <v>49</v>
      </c>
      <c r="O326" s="12"/>
      <c r="S326" s="13">
        <v>35875</v>
      </c>
      <c r="U326" s="13">
        <v>35875</v>
      </c>
      <c r="AC326" s="10" t="s">
        <v>734</v>
      </c>
      <c r="AD326" s="5" t="s">
        <v>830</v>
      </c>
      <c r="AE326" s="5" t="s">
        <v>42</v>
      </c>
    </row>
    <row r="327" spans="1:31" ht="10" customHeight="1" x14ac:dyDescent="0.2">
      <c r="A327" s="5" t="s">
        <v>40</v>
      </c>
      <c r="B327" s="5" t="s">
        <v>41</v>
      </c>
      <c r="D327" s="5" t="s">
        <v>749</v>
      </c>
      <c r="E327" s="10" t="s">
        <v>53</v>
      </c>
      <c r="F327" s="5" t="s">
        <v>553</v>
      </c>
      <c r="I327" s="11">
        <v>1</v>
      </c>
      <c r="J327" s="5" t="s">
        <v>60</v>
      </c>
      <c r="K327" s="10" t="s">
        <v>46</v>
      </c>
      <c r="L327" s="5" t="s">
        <v>47</v>
      </c>
      <c r="M327" s="5" t="s">
        <v>48</v>
      </c>
      <c r="N327" s="5" t="s">
        <v>49</v>
      </c>
      <c r="O327" s="12"/>
      <c r="S327" s="13">
        <v>0</v>
      </c>
      <c r="U327" s="13">
        <v>0</v>
      </c>
      <c r="AC327" s="10" t="s">
        <v>750</v>
      </c>
      <c r="AD327" s="5" t="s">
        <v>830</v>
      </c>
      <c r="AE327" s="5" t="s">
        <v>42</v>
      </c>
    </row>
    <row r="328" spans="1:31" ht="10" customHeight="1" x14ac:dyDescent="0.2">
      <c r="A328" s="5" t="s">
        <v>40</v>
      </c>
      <c r="B328" s="5" t="s">
        <v>41</v>
      </c>
      <c r="D328" s="5" t="s">
        <v>751</v>
      </c>
      <c r="E328" s="10" t="s">
        <v>53</v>
      </c>
      <c r="F328" s="5" t="s">
        <v>553</v>
      </c>
      <c r="I328" s="11">
        <v>1</v>
      </c>
      <c r="J328" s="5" t="s">
        <v>60</v>
      </c>
      <c r="K328" s="10" t="s">
        <v>46</v>
      </c>
      <c r="L328" s="5" t="s">
        <v>47</v>
      </c>
      <c r="M328" s="5" t="s">
        <v>48</v>
      </c>
      <c r="N328" s="5" t="s">
        <v>49</v>
      </c>
      <c r="O328" s="12"/>
      <c r="S328" s="13">
        <v>250</v>
      </c>
      <c r="U328" s="13">
        <v>250</v>
      </c>
      <c r="AC328" s="10" t="s">
        <v>752</v>
      </c>
      <c r="AD328" s="5" t="s">
        <v>830</v>
      </c>
      <c r="AE328" s="5" t="s">
        <v>42</v>
      </c>
    </row>
    <row r="329" spans="1:31" ht="10" customHeight="1" x14ac:dyDescent="0.2">
      <c r="A329" s="5" t="s">
        <v>40</v>
      </c>
      <c r="B329" s="5" t="s">
        <v>41</v>
      </c>
      <c r="D329" s="5" t="s">
        <v>753</v>
      </c>
      <c r="E329" s="10" t="s">
        <v>53</v>
      </c>
      <c r="F329" s="5" t="s">
        <v>553</v>
      </c>
      <c r="I329" s="11">
        <v>1</v>
      </c>
      <c r="J329" s="5" t="s">
        <v>60</v>
      </c>
      <c r="K329" s="10" t="s">
        <v>46</v>
      </c>
      <c r="L329" s="5" t="s">
        <v>47</v>
      </c>
      <c r="M329" s="5" t="s">
        <v>48</v>
      </c>
      <c r="N329" s="5" t="s">
        <v>49</v>
      </c>
      <c r="O329" s="12"/>
      <c r="S329" s="13">
        <v>250</v>
      </c>
      <c r="U329" s="13">
        <v>250</v>
      </c>
      <c r="AC329" s="10" t="s">
        <v>754</v>
      </c>
      <c r="AD329" s="5" t="s">
        <v>830</v>
      </c>
      <c r="AE329" s="5" t="s">
        <v>42</v>
      </c>
    </row>
    <row r="330" spans="1:31" ht="10" customHeight="1" x14ac:dyDescent="0.2">
      <c r="A330" s="5" t="s">
        <v>40</v>
      </c>
      <c r="B330" s="5" t="s">
        <v>41</v>
      </c>
      <c r="D330" s="5" t="s">
        <v>755</v>
      </c>
      <c r="E330" s="10" t="s">
        <v>53</v>
      </c>
      <c r="F330" s="5" t="s">
        <v>553</v>
      </c>
      <c r="I330" s="11">
        <v>1</v>
      </c>
      <c r="J330" s="5" t="s">
        <v>60</v>
      </c>
      <c r="K330" s="10" t="s">
        <v>46</v>
      </c>
      <c r="L330" s="5" t="s">
        <v>47</v>
      </c>
      <c r="M330" s="5" t="s">
        <v>48</v>
      </c>
      <c r="N330" s="5" t="s">
        <v>49</v>
      </c>
      <c r="O330" s="12"/>
      <c r="S330" s="13">
        <v>250</v>
      </c>
      <c r="U330" s="13">
        <v>250</v>
      </c>
      <c r="AC330" s="10" t="s">
        <v>756</v>
      </c>
      <c r="AD330" s="5" t="s">
        <v>830</v>
      </c>
      <c r="AE330" s="5" t="s">
        <v>42</v>
      </c>
    </row>
    <row r="331" spans="1:31" ht="10" customHeight="1" x14ac:dyDescent="0.2">
      <c r="A331" s="5" t="s">
        <v>40</v>
      </c>
      <c r="B331" s="5" t="s">
        <v>41</v>
      </c>
      <c r="D331" s="5" t="s">
        <v>757</v>
      </c>
      <c r="E331" s="10" t="s">
        <v>53</v>
      </c>
      <c r="F331" s="5" t="s">
        <v>553</v>
      </c>
      <c r="I331" s="11">
        <v>1</v>
      </c>
      <c r="J331" s="5" t="s">
        <v>60</v>
      </c>
      <c r="K331" s="10" t="s">
        <v>46</v>
      </c>
      <c r="L331" s="5" t="s">
        <v>47</v>
      </c>
      <c r="M331" s="5" t="s">
        <v>48</v>
      </c>
      <c r="N331" s="5" t="s">
        <v>49</v>
      </c>
      <c r="O331" s="12"/>
      <c r="S331" s="13">
        <v>250</v>
      </c>
      <c r="U331" s="13">
        <v>250</v>
      </c>
      <c r="AC331" s="10" t="s">
        <v>758</v>
      </c>
      <c r="AD331" s="5" t="s">
        <v>830</v>
      </c>
      <c r="AE331" s="5" t="s">
        <v>42</v>
      </c>
    </row>
    <row r="332" spans="1:31" ht="10" customHeight="1" x14ac:dyDescent="0.2">
      <c r="A332" s="5" t="s">
        <v>40</v>
      </c>
      <c r="B332" s="5" t="s">
        <v>41</v>
      </c>
      <c r="D332" s="5" t="s">
        <v>759</v>
      </c>
      <c r="E332" s="10" t="s">
        <v>53</v>
      </c>
      <c r="F332" s="5" t="s">
        <v>553</v>
      </c>
      <c r="I332" s="11">
        <v>1</v>
      </c>
      <c r="J332" s="5" t="s">
        <v>60</v>
      </c>
      <c r="K332" s="10" t="s">
        <v>46</v>
      </c>
      <c r="L332" s="5" t="s">
        <v>47</v>
      </c>
      <c r="M332" s="5" t="s">
        <v>48</v>
      </c>
      <c r="N332" s="5" t="s">
        <v>49</v>
      </c>
      <c r="O332" s="12"/>
      <c r="S332" s="13">
        <v>899</v>
      </c>
      <c r="U332" s="13">
        <v>899</v>
      </c>
      <c r="AC332" s="10" t="s">
        <v>760</v>
      </c>
      <c r="AD332" s="5" t="s">
        <v>830</v>
      </c>
      <c r="AE332" s="5" t="s">
        <v>42</v>
      </c>
    </row>
    <row r="333" spans="1:31" ht="10" customHeight="1" x14ac:dyDescent="0.2">
      <c r="A333" s="5" t="s">
        <v>40</v>
      </c>
      <c r="B333" s="5" t="s">
        <v>41</v>
      </c>
      <c r="D333" s="5" t="s">
        <v>761</v>
      </c>
      <c r="E333" s="10" t="s">
        <v>53</v>
      </c>
      <c r="F333" s="5" t="s">
        <v>553</v>
      </c>
      <c r="I333" s="11">
        <v>1</v>
      </c>
      <c r="J333" s="5" t="s">
        <v>60</v>
      </c>
      <c r="K333" s="10" t="s">
        <v>46</v>
      </c>
      <c r="L333" s="5" t="s">
        <v>47</v>
      </c>
      <c r="M333" s="5" t="s">
        <v>48</v>
      </c>
      <c r="N333" s="5" t="s">
        <v>49</v>
      </c>
      <c r="O333" s="12"/>
      <c r="S333" s="13">
        <v>899</v>
      </c>
      <c r="U333" s="13">
        <v>899</v>
      </c>
      <c r="AC333" s="10" t="s">
        <v>762</v>
      </c>
      <c r="AD333" s="5" t="s">
        <v>830</v>
      </c>
      <c r="AE333" s="5" t="s">
        <v>42</v>
      </c>
    </row>
    <row r="334" spans="1:31" ht="10" customHeight="1" x14ac:dyDescent="0.2">
      <c r="A334" s="5" t="s">
        <v>40</v>
      </c>
      <c r="B334" s="5" t="s">
        <v>41</v>
      </c>
      <c r="D334" s="5" t="s">
        <v>831</v>
      </c>
      <c r="E334" s="10" t="s">
        <v>53</v>
      </c>
      <c r="F334" s="5" t="s">
        <v>553</v>
      </c>
      <c r="I334" s="11">
        <v>1</v>
      </c>
      <c r="J334" s="5" t="s">
        <v>60</v>
      </c>
      <c r="K334" s="10" t="s">
        <v>46</v>
      </c>
      <c r="L334" s="5" t="s">
        <v>47</v>
      </c>
      <c r="M334" s="5" t="s">
        <v>48</v>
      </c>
      <c r="N334" s="5" t="s">
        <v>49</v>
      </c>
      <c r="O334" s="12"/>
      <c r="S334" s="13">
        <v>899</v>
      </c>
      <c r="U334" s="13">
        <v>899</v>
      </c>
      <c r="AC334" s="10" t="s">
        <v>832</v>
      </c>
      <c r="AD334" s="5" t="s">
        <v>830</v>
      </c>
      <c r="AE334" s="5" t="s">
        <v>42</v>
      </c>
    </row>
    <row r="335" spans="1:31" ht="10" customHeight="1" x14ac:dyDescent="0.2">
      <c r="A335" s="5" t="s">
        <v>40</v>
      </c>
      <c r="B335" s="5" t="s">
        <v>41</v>
      </c>
      <c r="D335" s="5" t="s">
        <v>833</v>
      </c>
      <c r="E335" s="10" t="s">
        <v>53</v>
      </c>
      <c r="F335" s="5" t="s">
        <v>553</v>
      </c>
      <c r="I335" s="11">
        <v>1</v>
      </c>
      <c r="J335" s="5" t="s">
        <v>60</v>
      </c>
      <c r="K335" s="10" t="s">
        <v>46</v>
      </c>
      <c r="L335" s="5" t="s">
        <v>47</v>
      </c>
      <c r="M335" s="5" t="s">
        <v>48</v>
      </c>
      <c r="N335" s="5" t="s">
        <v>49</v>
      </c>
      <c r="O335" s="12"/>
      <c r="S335" s="13">
        <v>913</v>
      </c>
      <c r="U335" s="13">
        <v>913</v>
      </c>
      <c r="AC335" s="10" t="s">
        <v>834</v>
      </c>
      <c r="AD335" s="5" t="s">
        <v>830</v>
      </c>
      <c r="AE335" s="5" t="s">
        <v>42</v>
      </c>
    </row>
    <row r="336" spans="1:31" ht="10" customHeight="1" x14ac:dyDescent="0.2">
      <c r="A336" s="5" t="s">
        <v>40</v>
      </c>
      <c r="B336" s="5" t="s">
        <v>41</v>
      </c>
      <c r="D336" s="5" t="s">
        <v>835</v>
      </c>
      <c r="E336" s="10" t="s">
        <v>53</v>
      </c>
      <c r="F336" s="5" t="s">
        <v>553</v>
      </c>
      <c r="I336" s="11">
        <v>1</v>
      </c>
      <c r="J336" s="5" t="s">
        <v>60</v>
      </c>
      <c r="K336" s="10" t="s">
        <v>46</v>
      </c>
      <c r="L336" s="5" t="s">
        <v>47</v>
      </c>
      <c r="M336" s="5" t="s">
        <v>48</v>
      </c>
      <c r="N336" s="5" t="s">
        <v>49</v>
      </c>
      <c r="O336" s="12"/>
      <c r="S336" s="13">
        <v>899</v>
      </c>
      <c r="U336" s="13">
        <v>899</v>
      </c>
      <c r="AC336" s="10" t="s">
        <v>836</v>
      </c>
      <c r="AD336" s="5" t="s">
        <v>830</v>
      </c>
      <c r="AE336" s="5" t="s">
        <v>42</v>
      </c>
    </row>
    <row r="337" spans="1:33" ht="10" customHeight="1" x14ac:dyDescent="0.2">
      <c r="A337" s="5" t="s">
        <v>40</v>
      </c>
      <c r="B337" s="5" t="s">
        <v>41</v>
      </c>
      <c r="D337" s="5" t="s">
        <v>766</v>
      </c>
      <c r="E337" s="10" t="s">
        <v>53</v>
      </c>
      <c r="F337" s="5" t="s">
        <v>553</v>
      </c>
      <c r="I337" s="11">
        <v>1</v>
      </c>
      <c r="J337" s="5" t="s">
        <v>60</v>
      </c>
      <c r="K337" s="10" t="s">
        <v>46</v>
      </c>
      <c r="L337" s="5" t="s">
        <v>47</v>
      </c>
      <c r="M337" s="5" t="s">
        <v>48</v>
      </c>
      <c r="N337" s="5" t="s">
        <v>49</v>
      </c>
      <c r="O337" s="12"/>
      <c r="S337" s="13">
        <v>7376</v>
      </c>
      <c r="U337" s="13">
        <v>7376</v>
      </c>
      <c r="AC337" s="10" t="s">
        <v>767</v>
      </c>
      <c r="AD337" s="5" t="s">
        <v>830</v>
      </c>
      <c r="AE337" s="5" t="s">
        <v>42</v>
      </c>
    </row>
    <row r="338" spans="1:33" ht="10" customHeight="1" x14ac:dyDescent="0.2">
      <c r="A338" s="5" t="s">
        <v>40</v>
      </c>
      <c r="B338" s="5" t="s">
        <v>41</v>
      </c>
      <c r="D338" s="5" t="s">
        <v>768</v>
      </c>
      <c r="E338" s="10" t="s">
        <v>53</v>
      </c>
      <c r="F338" s="5" t="s">
        <v>553</v>
      </c>
      <c r="I338" s="11">
        <v>1</v>
      </c>
      <c r="J338" s="5" t="s">
        <v>60</v>
      </c>
      <c r="K338" s="10" t="s">
        <v>46</v>
      </c>
      <c r="L338" s="5" t="s">
        <v>47</v>
      </c>
      <c r="M338" s="5" t="s">
        <v>48</v>
      </c>
      <c r="N338" s="5" t="s">
        <v>49</v>
      </c>
      <c r="O338" s="12"/>
      <c r="S338" s="13">
        <v>6000</v>
      </c>
      <c r="U338" s="13">
        <v>6000</v>
      </c>
      <c r="AC338" s="10" t="s">
        <v>769</v>
      </c>
      <c r="AD338" s="5" t="s">
        <v>830</v>
      </c>
      <c r="AE338" s="5" t="s">
        <v>42</v>
      </c>
    </row>
    <row r="339" spans="1:33" ht="10" customHeight="1" x14ac:dyDescent="0.2">
      <c r="A339" s="5" t="s">
        <v>40</v>
      </c>
      <c r="B339" s="5" t="s">
        <v>41</v>
      </c>
      <c r="D339" s="5" t="s">
        <v>770</v>
      </c>
      <c r="E339" s="10" t="s">
        <v>53</v>
      </c>
      <c r="F339" s="5" t="s">
        <v>553</v>
      </c>
      <c r="I339" s="11">
        <v>1</v>
      </c>
      <c r="J339" s="5" t="s">
        <v>60</v>
      </c>
      <c r="K339" s="10" t="s">
        <v>46</v>
      </c>
      <c r="L339" s="5" t="s">
        <v>47</v>
      </c>
      <c r="M339" s="5" t="s">
        <v>48</v>
      </c>
      <c r="N339" s="5" t="s">
        <v>49</v>
      </c>
      <c r="O339" s="12"/>
      <c r="S339" s="13">
        <v>39441</v>
      </c>
      <c r="U339" s="13">
        <v>39441</v>
      </c>
      <c r="AC339" s="10" t="s">
        <v>771</v>
      </c>
      <c r="AD339" s="5" t="s">
        <v>830</v>
      </c>
      <c r="AE339" s="5" t="s">
        <v>42</v>
      </c>
    </row>
    <row r="340" spans="1:33" ht="10" customHeight="1" x14ac:dyDescent="0.2">
      <c r="A340" s="5" t="s">
        <v>40</v>
      </c>
      <c r="B340" s="5" t="s">
        <v>41</v>
      </c>
      <c r="D340" s="5" t="s">
        <v>669</v>
      </c>
      <c r="E340" s="10" t="s">
        <v>53</v>
      </c>
      <c r="F340" s="5" t="s">
        <v>553</v>
      </c>
      <c r="I340" s="11">
        <v>1</v>
      </c>
      <c r="J340" s="5" t="s">
        <v>60</v>
      </c>
      <c r="K340" s="10" t="s">
        <v>46</v>
      </c>
      <c r="L340" s="5" t="s">
        <v>47</v>
      </c>
      <c r="M340" s="5" t="s">
        <v>48</v>
      </c>
      <c r="N340" s="5" t="s">
        <v>49</v>
      </c>
      <c r="O340" s="12"/>
      <c r="S340" s="13">
        <v>32778</v>
      </c>
      <c r="U340" s="13">
        <v>32778</v>
      </c>
      <c r="AC340" s="10" t="s">
        <v>670</v>
      </c>
      <c r="AD340" s="5" t="s">
        <v>837</v>
      </c>
      <c r="AE340" s="5" t="s">
        <v>42</v>
      </c>
    </row>
    <row r="341" spans="1:33" ht="10" customHeight="1" x14ac:dyDescent="0.2">
      <c r="A341" s="5" t="s">
        <v>40</v>
      </c>
      <c r="B341" s="5" t="s">
        <v>41</v>
      </c>
      <c r="D341" s="5" t="s">
        <v>671</v>
      </c>
      <c r="E341" s="10" t="s">
        <v>53</v>
      </c>
      <c r="F341" s="5" t="s">
        <v>553</v>
      </c>
      <c r="I341" s="11">
        <v>1</v>
      </c>
      <c r="J341" s="5" t="s">
        <v>60</v>
      </c>
      <c r="K341" s="10" t="s">
        <v>46</v>
      </c>
      <c r="L341" s="5" t="s">
        <v>47</v>
      </c>
      <c r="M341" s="5" t="s">
        <v>48</v>
      </c>
      <c r="N341" s="5" t="s">
        <v>49</v>
      </c>
      <c r="O341" s="12"/>
      <c r="S341" s="13">
        <v>5998</v>
      </c>
      <c r="U341" s="13">
        <v>5998</v>
      </c>
      <c r="AC341" s="10" t="s">
        <v>672</v>
      </c>
      <c r="AD341" s="5" t="s">
        <v>837</v>
      </c>
      <c r="AE341" s="5" t="s">
        <v>42</v>
      </c>
    </row>
    <row r="342" spans="1:33" ht="10" customHeight="1" x14ac:dyDescent="0.2">
      <c r="A342" s="5" t="s">
        <v>40</v>
      </c>
      <c r="B342" s="5" t="s">
        <v>41</v>
      </c>
      <c r="D342" s="5" t="s">
        <v>611</v>
      </c>
      <c r="E342" s="10" t="s">
        <v>53</v>
      </c>
      <c r="F342" s="5" t="s">
        <v>553</v>
      </c>
      <c r="I342" s="11">
        <v>1</v>
      </c>
      <c r="J342" s="5" t="s">
        <v>60</v>
      </c>
      <c r="K342" s="10" t="s">
        <v>46</v>
      </c>
      <c r="L342" s="5" t="s">
        <v>47</v>
      </c>
      <c r="M342" s="5" t="s">
        <v>48</v>
      </c>
      <c r="N342" s="5" t="s">
        <v>49</v>
      </c>
      <c r="O342" s="12"/>
      <c r="S342" s="13">
        <v>7721</v>
      </c>
      <c r="U342" s="13">
        <v>7721</v>
      </c>
      <c r="AC342" s="10" t="s">
        <v>612</v>
      </c>
      <c r="AD342" s="5" t="s">
        <v>837</v>
      </c>
      <c r="AE342" s="5" t="s">
        <v>42</v>
      </c>
    </row>
    <row r="343" spans="1:33" ht="10" customHeight="1" x14ac:dyDescent="0.2">
      <c r="A343" s="5" t="s">
        <v>40</v>
      </c>
      <c r="B343" s="5" t="s">
        <v>41</v>
      </c>
      <c r="D343" s="5" t="s">
        <v>614</v>
      </c>
      <c r="E343" s="10" t="s">
        <v>53</v>
      </c>
      <c r="F343" s="5" t="s">
        <v>553</v>
      </c>
      <c r="I343" s="11">
        <v>1</v>
      </c>
      <c r="J343" s="5" t="s">
        <v>60</v>
      </c>
      <c r="K343" s="10" t="s">
        <v>46</v>
      </c>
      <c r="L343" s="5" t="s">
        <v>47</v>
      </c>
      <c r="M343" s="5" t="s">
        <v>48</v>
      </c>
      <c r="N343" s="5" t="s">
        <v>49</v>
      </c>
      <c r="O343" s="12"/>
      <c r="S343" s="13">
        <v>8891</v>
      </c>
      <c r="U343" s="13">
        <v>8891</v>
      </c>
      <c r="AC343" s="10" t="s">
        <v>615</v>
      </c>
      <c r="AD343" s="5" t="s">
        <v>837</v>
      </c>
      <c r="AE343" s="5" t="s">
        <v>42</v>
      </c>
    </row>
    <row r="344" spans="1:33" ht="10" customHeight="1" x14ac:dyDescent="0.2">
      <c r="A344" s="5" t="s">
        <v>40</v>
      </c>
      <c r="B344" s="5" t="s">
        <v>41</v>
      </c>
      <c r="D344" s="5" t="s">
        <v>786</v>
      </c>
      <c r="E344" s="10" t="s">
        <v>53</v>
      </c>
      <c r="F344" s="5" t="s">
        <v>553</v>
      </c>
      <c r="I344" s="11">
        <v>1</v>
      </c>
      <c r="J344" s="5" t="s">
        <v>60</v>
      </c>
      <c r="K344" s="10" t="s">
        <v>46</v>
      </c>
      <c r="L344" s="5" t="s">
        <v>47</v>
      </c>
      <c r="M344" s="5" t="s">
        <v>48</v>
      </c>
      <c r="N344" s="5" t="s">
        <v>49</v>
      </c>
      <c r="O344" s="12"/>
      <c r="S344" s="13">
        <v>0</v>
      </c>
      <c r="U344" s="13">
        <v>0</v>
      </c>
      <c r="AC344" s="10" t="s">
        <v>787</v>
      </c>
      <c r="AD344" s="5" t="s">
        <v>837</v>
      </c>
      <c r="AE344" s="5" t="s">
        <v>42</v>
      </c>
    </row>
    <row r="345" spans="1:33" ht="10" customHeight="1" x14ac:dyDescent="0.2">
      <c r="A345" s="5" t="s">
        <v>40</v>
      </c>
      <c r="B345" s="5" t="s">
        <v>41</v>
      </c>
      <c r="D345" s="5" t="s">
        <v>788</v>
      </c>
      <c r="E345" s="10" t="s">
        <v>53</v>
      </c>
      <c r="F345" s="5" t="s">
        <v>553</v>
      </c>
      <c r="I345" s="11">
        <v>1</v>
      </c>
      <c r="J345" s="5" t="s">
        <v>60</v>
      </c>
      <c r="K345" s="10" t="s">
        <v>46</v>
      </c>
      <c r="L345" s="5" t="s">
        <v>47</v>
      </c>
      <c r="M345" s="5" t="s">
        <v>48</v>
      </c>
      <c r="N345" s="5" t="s">
        <v>49</v>
      </c>
      <c r="O345" s="12"/>
      <c r="S345" s="13">
        <v>85951</v>
      </c>
      <c r="U345" s="13">
        <v>85951</v>
      </c>
      <c r="AC345" s="10" t="s">
        <v>789</v>
      </c>
      <c r="AD345" s="5" t="s">
        <v>837</v>
      </c>
      <c r="AE345" s="5" t="s">
        <v>42</v>
      </c>
    </row>
    <row r="346" spans="1:33" ht="10" customHeight="1" x14ac:dyDescent="0.2">
      <c r="A346" s="5" t="s">
        <v>40</v>
      </c>
      <c r="B346" s="5" t="s">
        <v>41</v>
      </c>
      <c r="D346" s="5" t="s">
        <v>788</v>
      </c>
      <c r="E346" s="10" t="s">
        <v>53</v>
      </c>
      <c r="F346" s="5" t="s">
        <v>553</v>
      </c>
      <c r="I346" s="11">
        <v>1</v>
      </c>
      <c r="J346" s="5" t="s">
        <v>60</v>
      </c>
      <c r="K346" s="10" t="s">
        <v>46</v>
      </c>
      <c r="L346" s="5" t="s">
        <v>47</v>
      </c>
      <c r="M346" s="5" t="s">
        <v>48</v>
      </c>
      <c r="N346" s="5" t="s">
        <v>49</v>
      </c>
      <c r="O346" s="12"/>
      <c r="S346" s="13">
        <v>0</v>
      </c>
      <c r="U346" s="13">
        <v>0</v>
      </c>
      <c r="AC346" s="10" t="s">
        <v>789</v>
      </c>
      <c r="AD346" s="5" t="s">
        <v>837</v>
      </c>
      <c r="AE346" s="5" t="s">
        <v>42</v>
      </c>
    </row>
    <row r="347" spans="1:33" ht="10" customHeight="1" x14ac:dyDescent="0.2">
      <c r="A347" s="5" t="s">
        <v>40</v>
      </c>
      <c r="B347" s="5" t="s">
        <v>41</v>
      </c>
      <c r="D347" s="5" t="s">
        <v>790</v>
      </c>
      <c r="E347" s="10" t="s">
        <v>53</v>
      </c>
      <c r="F347" s="5" t="s">
        <v>553</v>
      </c>
      <c r="I347" s="11">
        <v>1</v>
      </c>
      <c r="J347" s="5" t="s">
        <v>60</v>
      </c>
      <c r="K347" s="10" t="s">
        <v>46</v>
      </c>
      <c r="L347" s="5" t="s">
        <v>47</v>
      </c>
      <c r="M347" s="5" t="s">
        <v>48</v>
      </c>
      <c r="N347" s="5" t="s">
        <v>49</v>
      </c>
      <c r="O347" s="12"/>
      <c r="S347" s="13">
        <v>0</v>
      </c>
      <c r="U347" s="13">
        <v>0</v>
      </c>
      <c r="AC347" s="10" t="s">
        <v>791</v>
      </c>
      <c r="AD347" s="5" t="s">
        <v>837</v>
      </c>
      <c r="AE347" s="5" t="s">
        <v>42</v>
      </c>
    </row>
    <row r="348" spans="1:33" ht="10" customHeight="1" x14ac:dyDescent="0.2">
      <c r="A348" s="5" t="s">
        <v>40</v>
      </c>
      <c r="B348" s="5" t="s">
        <v>41</v>
      </c>
      <c r="D348" s="5" t="s">
        <v>838</v>
      </c>
      <c r="E348" s="10" t="s">
        <v>345</v>
      </c>
      <c r="F348" s="5" t="s">
        <v>70</v>
      </c>
      <c r="G348" s="5" t="s">
        <v>346</v>
      </c>
      <c r="H348" s="5" t="s">
        <v>347</v>
      </c>
      <c r="I348" s="11">
        <v>1</v>
      </c>
      <c r="J348" s="5" t="s">
        <v>45</v>
      </c>
      <c r="K348" s="10" t="s">
        <v>46</v>
      </c>
      <c r="L348" s="5" t="s">
        <v>47</v>
      </c>
      <c r="M348" s="5" t="s">
        <v>65</v>
      </c>
      <c r="N348" s="5" t="s">
        <v>66</v>
      </c>
      <c r="O348" s="12"/>
      <c r="P348" s="13">
        <v>898865</v>
      </c>
      <c r="S348" s="13">
        <v>433200</v>
      </c>
      <c r="U348" s="13">
        <v>433200</v>
      </c>
      <c r="AC348" s="10" t="s">
        <v>839</v>
      </c>
      <c r="AD348" s="5" t="s">
        <v>840</v>
      </c>
      <c r="AE348" s="5" t="s">
        <v>63</v>
      </c>
      <c r="AG348" s="5" t="s">
        <v>350</v>
      </c>
    </row>
    <row r="349" spans="1:33" ht="10" customHeight="1" x14ac:dyDescent="0.2">
      <c r="A349" s="5" t="s">
        <v>40</v>
      </c>
      <c r="B349" s="5" t="s">
        <v>41</v>
      </c>
      <c r="D349" s="5" t="s">
        <v>841</v>
      </c>
      <c r="E349" s="10" t="s">
        <v>345</v>
      </c>
      <c r="F349" s="5" t="s">
        <v>70</v>
      </c>
      <c r="G349" s="5" t="s">
        <v>346</v>
      </c>
      <c r="H349" s="5" t="s">
        <v>175</v>
      </c>
      <c r="I349" s="11">
        <v>1</v>
      </c>
      <c r="J349" s="5" t="s">
        <v>45</v>
      </c>
      <c r="K349" s="10" t="s">
        <v>46</v>
      </c>
      <c r="L349" s="5" t="s">
        <v>47</v>
      </c>
      <c r="M349" s="5" t="s">
        <v>65</v>
      </c>
      <c r="N349" s="5" t="s">
        <v>66</v>
      </c>
      <c r="O349" s="12"/>
      <c r="P349" s="13">
        <v>8275549</v>
      </c>
      <c r="S349" s="13">
        <v>9054331</v>
      </c>
      <c r="U349" s="13">
        <v>9054331</v>
      </c>
      <c r="AC349" s="10" t="s">
        <v>842</v>
      </c>
      <c r="AD349" s="5" t="s">
        <v>840</v>
      </c>
      <c r="AE349" s="5" t="s">
        <v>63</v>
      </c>
      <c r="AG349" s="5" t="s">
        <v>175</v>
      </c>
    </row>
    <row r="350" spans="1:33" ht="10" customHeight="1" x14ac:dyDescent="0.2">
      <c r="A350" s="5" t="s">
        <v>40</v>
      </c>
      <c r="B350" s="5" t="s">
        <v>41</v>
      </c>
      <c r="D350" s="5" t="s">
        <v>843</v>
      </c>
      <c r="E350" s="10" t="s">
        <v>345</v>
      </c>
      <c r="F350" s="5" t="s">
        <v>70</v>
      </c>
      <c r="G350" s="5" t="s">
        <v>346</v>
      </c>
      <c r="H350" s="5" t="s">
        <v>354</v>
      </c>
      <c r="I350" s="11">
        <v>1</v>
      </c>
      <c r="J350" s="5" t="s">
        <v>45</v>
      </c>
      <c r="K350" s="10" t="s">
        <v>46</v>
      </c>
      <c r="L350" s="5" t="s">
        <v>47</v>
      </c>
      <c r="M350" s="5" t="s">
        <v>65</v>
      </c>
      <c r="N350" s="5" t="s">
        <v>66</v>
      </c>
      <c r="O350" s="12"/>
      <c r="P350" s="13">
        <v>412753</v>
      </c>
      <c r="S350" s="13">
        <v>284992</v>
      </c>
      <c r="U350" s="13">
        <v>284992</v>
      </c>
      <c r="AC350" s="10" t="s">
        <v>844</v>
      </c>
      <c r="AD350" s="5" t="s">
        <v>840</v>
      </c>
      <c r="AE350" s="5" t="s">
        <v>63</v>
      </c>
      <c r="AG350" s="5" t="s">
        <v>354</v>
      </c>
    </row>
    <row r="351" spans="1:33" ht="10" customHeight="1" x14ac:dyDescent="0.2">
      <c r="A351" s="5" t="s">
        <v>40</v>
      </c>
      <c r="B351" s="5" t="s">
        <v>41</v>
      </c>
      <c r="D351" s="5" t="s">
        <v>845</v>
      </c>
      <c r="E351" s="10" t="s">
        <v>345</v>
      </c>
      <c r="F351" s="5" t="s">
        <v>70</v>
      </c>
      <c r="G351" s="5" t="s">
        <v>346</v>
      </c>
      <c r="H351" s="5" t="s">
        <v>357</v>
      </c>
      <c r="I351" s="11">
        <v>1</v>
      </c>
      <c r="J351" s="5" t="s">
        <v>45</v>
      </c>
      <c r="K351" s="10" t="s">
        <v>46</v>
      </c>
      <c r="L351" s="5" t="s">
        <v>47</v>
      </c>
      <c r="M351" s="5" t="s">
        <v>65</v>
      </c>
      <c r="N351" s="5" t="s">
        <v>66</v>
      </c>
      <c r="O351" s="12"/>
      <c r="P351" s="13">
        <v>266941</v>
      </c>
      <c r="S351" s="13">
        <v>396759</v>
      </c>
      <c r="U351" s="13">
        <v>396759</v>
      </c>
      <c r="AC351" s="10" t="s">
        <v>846</v>
      </c>
      <c r="AD351" s="5" t="s">
        <v>840</v>
      </c>
      <c r="AE351" s="5" t="s">
        <v>63</v>
      </c>
    </row>
    <row r="352" spans="1:33" ht="10" customHeight="1" x14ac:dyDescent="0.2">
      <c r="A352" s="5" t="s">
        <v>40</v>
      </c>
      <c r="B352" s="5" t="s">
        <v>41</v>
      </c>
      <c r="D352" s="5" t="s">
        <v>847</v>
      </c>
      <c r="E352" s="10" t="s">
        <v>345</v>
      </c>
      <c r="F352" s="5" t="s">
        <v>70</v>
      </c>
      <c r="G352" s="5" t="s">
        <v>346</v>
      </c>
      <c r="H352" s="5" t="s">
        <v>360</v>
      </c>
      <c r="I352" s="11">
        <v>1</v>
      </c>
      <c r="J352" s="5" t="s">
        <v>45</v>
      </c>
      <c r="K352" s="10" t="s">
        <v>46</v>
      </c>
      <c r="L352" s="5" t="s">
        <v>47</v>
      </c>
      <c r="M352" s="5" t="s">
        <v>65</v>
      </c>
      <c r="N352" s="5" t="s">
        <v>66</v>
      </c>
      <c r="O352" s="12"/>
      <c r="P352" s="13">
        <v>2034582</v>
      </c>
      <c r="S352" s="13">
        <v>2524461</v>
      </c>
      <c r="U352" s="13">
        <v>2524461</v>
      </c>
      <c r="AC352" s="10" t="s">
        <v>848</v>
      </c>
      <c r="AD352" s="5" t="s">
        <v>840</v>
      </c>
      <c r="AE352" s="5" t="s">
        <v>63</v>
      </c>
      <c r="AG352" s="5" t="s">
        <v>360</v>
      </c>
    </row>
    <row r="353" spans="1:33" ht="10" customHeight="1" x14ac:dyDescent="0.2">
      <c r="A353" s="5" t="s">
        <v>40</v>
      </c>
      <c r="B353" s="5" t="s">
        <v>41</v>
      </c>
      <c r="D353" s="5" t="s">
        <v>849</v>
      </c>
      <c r="E353" s="10" t="s">
        <v>345</v>
      </c>
      <c r="F353" s="5" t="s">
        <v>70</v>
      </c>
      <c r="G353" s="5" t="s">
        <v>346</v>
      </c>
      <c r="H353" s="5" t="s">
        <v>363</v>
      </c>
      <c r="I353" s="11">
        <v>1</v>
      </c>
      <c r="J353" s="5" t="s">
        <v>45</v>
      </c>
      <c r="K353" s="10" t="s">
        <v>46</v>
      </c>
      <c r="L353" s="5" t="s">
        <v>47</v>
      </c>
      <c r="M353" s="5" t="s">
        <v>65</v>
      </c>
      <c r="N353" s="5" t="s">
        <v>66</v>
      </c>
      <c r="O353" s="12"/>
      <c r="P353" s="13">
        <v>29985</v>
      </c>
      <c r="S353" s="13">
        <v>23121</v>
      </c>
      <c r="U353" s="13">
        <v>23121</v>
      </c>
      <c r="AC353" s="10" t="s">
        <v>850</v>
      </c>
      <c r="AD353" s="5" t="s">
        <v>840</v>
      </c>
      <c r="AE353" s="5" t="s">
        <v>63</v>
      </c>
    </row>
    <row r="354" spans="1:33" ht="10" customHeight="1" x14ac:dyDescent="0.2">
      <c r="A354" s="5" t="s">
        <v>40</v>
      </c>
      <c r="B354" s="5" t="s">
        <v>41</v>
      </c>
      <c r="D354" s="5" t="s">
        <v>851</v>
      </c>
      <c r="E354" s="10" t="s">
        <v>345</v>
      </c>
      <c r="F354" s="5" t="s">
        <v>70</v>
      </c>
      <c r="G354" s="5" t="s">
        <v>346</v>
      </c>
      <c r="H354" s="5" t="s">
        <v>366</v>
      </c>
      <c r="I354" s="11">
        <v>1</v>
      </c>
      <c r="J354" s="5" t="s">
        <v>45</v>
      </c>
      <c r="K354" s="10" t="s">
        <v>46</v>
      </c>
      <c r="L354" s="5" t="s">
        <v>47</v>
      </c>
      <c r="M354" s="5" t="s">
        <v>65</v>
      </c>
      <c r="N354" s="5" t="s">
        <v>66</v>
      </c>
      <c r="O354" s="12"/>
      <c r="P354" s="13">
        <v>1147050</v>
      </c>
      <c r="S354" s="13">
        <v>1404576</v>
      </c>
      <c r="U354" s="13">
        <v>1404576</v>
      </c>
      <c r="AC354" s="10" t="s">
        <v>852</v>
      </c>
      <c r="AD354" s="5" t="s">
        <v>840</v>
      </c>
      <c r="AE354" s="5" t="s">
        <v>63</v>
      </c>
      <c r="AG354" s="5" t="s">
        <v>366</v>
      </c>
    </row>
    <row r="355" spans="1:33" ht="10" customHeight="1" x14ac:dyDescent="0.2">
      <c r="A355" s="5" t="s">
        <v>40</v>
      </c>
      <c r="B355" s="5" t="s">
        <v>41</v>
      </c>
      <c r="D355" s="5" t="s">
        <v>853</v>
      </c>
      <c r="E355" s="10" t="s">
        <v>345</v>
      </c>
      <c r="F355" s="5" t="s">
        <v>70</v>
      </c>
      <c r="G355" s="5" t="s">
        <v>346</v>
      </c>
      <c r="H355" s="5" t="s">
        <v>369</v>
      </c>
      <c r="I355" s="11">
        <v>1</v>
      </c>
      <c r="J355" s="5" t="s">
        <v>45</v>
      </c>
      <c r="K355" s="10" t="s">
        <v>46</v>
      </c>
      <c r="L355" s="5" t="s">
        <v>47</v>
      </c>
      <c r="M355" s="5" t="s">
        <v>65</v>
      </c>
      <c r="N355" s="5" t="s">
        <v>66</v>
      </c>
      <c r="O355" s="12"/>
      <c r="P355" s="13">
        <v>130245</v>
      </c>
      <c r="S355" s="13">
        <v>126019</v>
      </c>
      <c r="U355" s="13">
        <v>126019</v>
      </c>
      <c r="AC355" s="10" t="s">
        <v>854</v>
      </c>
      <c r="AD355" s="5" t="s">
        <v>840</v>
      </c>
      <c r="AE355" s="5" t="s">
        <v>63</v>
      </c>
    </row>
    <row r="356" spans="1:33" ht="10" customHeight="1" x14ac:dyDescent="0.2">
      <c r="A356" s="5" t="s">
        <v>40</v>
      </c>
      <c r="B356" s="5" t="s">
        <v>41</v>
      </c>
      <c r="D356" s="5" t="s">
        <v>855</v>
      </c>
      <c r="E356" s="10" t="s">
        <v>345</v>
      </c>
      <c r="F356" s="5" t="s">
        <v>70</v>
      </c>
      <c r="G356" s="5" t="s">
        <v>373</v>
      </c>
      <c r="H356" s="5" t="s">
        <v>357</v>
      </c>
      <c r="I356" s="11">
        <v>1</v>
      </c>
      <c r="J356" s="5" t="s">
        <v>45</v>
      </c>
      <c r="K356" s="10" t="s">
        <v>46</v>
      </c>
      <c r="L356" s="5" t="s">
        <v>47</v>
      </c>
      <c r="M356" s="5" t="s">
        <v>65</v>
      </c>
      <c r="N356" s="5" t="s">
        <v>66</v>
      </c>
      <c r="O356" s="12"/>
      <c r="P356" s="13">
        <v>19356</v>
      </c>
      <c r="S356" s="13">
        <v>22709</v>
      </c>
      <c r="U356" s="13">
        <v>22709</v>
      </c>
      <c r="AC356" s="10" t="s">
        <v>856</v>
      </c>
      <c r="AD356" s="5" t="s">
        <v>857</v>
      </c>
      <c r="AE356" s="5" t="s">
        <v>63</v>
      </c>
      <c r="AG356" s="5" t="s">
        <v>858</v>
      </c>
    </row>
    <row r="357" spans="1:33" ht="10" customHeight="1" x14ac:dyDescent="0.2">
      <c r="A357" s="5" t="s">
        <v>40</v>
      </c>
      <c r="B357" s="5" t="s">
        <v>41</v>
      </c>
      <c r="D357" s="5" t="s">
        <v>859</v>
      </c>
      <c r="E357" s="10" t="s">
        <v>345</v>
      </c>
      <c r="F357" s="5" t="s">
        <v>70</v>
      </c>
      <c r="G357" s="5" t="s">
        <v>373</v>
      </c>
      <c r="H357" s="5" t="s">
        <v>357</v>
      </c>
      <c r="I357" s="11">
        <v>1</v>
      </c>
      <c r="J357" s="5" t="s">
        <v>45</v>
      </c>
      <c r="K357" s="10" t="s">
        <v>46</v>
      </c>
      <c r="L357" s="5" t="s">
        <v>47</v>
      </c>
      <c r="M357" s="5" t="s">
        <v>65</v>
      </c>
      <c r="N357" s="5" t="s">
        <v>66</v>
      </c>
      <c r="O357" s="12"/>
      <c r="P357" s="13">
        <v>7374</v>
      </c>
      <c r="S357" s="13">
        <v>8020</v>
      </c>
      <c r="U357" s="13">
        <v>8020</v>
      </c>
      <c r="AC357" s="10" t="s">
        <v>860</v>
      </c>
      <c r="AD357" s="5" t="s">
        <v>857</v>
      </c>
      <c r="AE357" s="5" t="s">
        <v>63</v>
      </c>
      <c r="AG357" s="5" t="s">
        <v>861</v>
      </c>
    </row>
    <row r="358" spans="1:33" ht="10" customHeight="1" x14ac:dyDescent="0.2">
      <c r="A358" s="5" t="s">
        <v>40</v>
      </c>
      <c r="B358" s="5" t="s">
        <v>41</v>
      </c>
      <c r="D358" s="5" t="s">
        <v>862</v>
      </c>
      <c r="E358" s="10" t="s">
        <v>345</v>
      </c>
      <c r="F358" s="5" t="s">
        <v>70</v>
      </c>
      <c r="G358" s="5" t="s">
        <v>373</v>
      </c>
      <c r="H358" s="5" t="s">
        <v>357</v>
      </c>
      <c r="I358" s="11">
        <v>1</v>
      </c>
      <c r="J358" s="5" t="s">
        <v>45</v>
      </c>
      <c r="K358" s="10" t="s">
        <v>46</v>
      </c>
      <c r="L358" s="5" t="s">
        <v>47</v>
      </c>
      <c r="M358" s="5" t="s">
        <v>65</v>
      </c>
      <c r="N358" s="5" t="s">
        <v>66</v>
      </c>
      <c r="O358" s="12"/>
      <c r="P358" s="13">
        <v>8776</v>
      </c>
      <c r="S358" s="13">
        <v>8023</v>
      </c>
      <c r="U358" s="13">
        <v>8023</v>
      </c>
      <c r="AC358" s="10" t="s">
        <v>863</v>
      </c>
      <c r="AD358" s="5" t="s">
        <v>857</v>
      </c>
      <c r="AE358" s="5" t="s">
        <v>63</v>
      </c>
    </row>
    <row r="359" spans="1:33" ht="10" customHeight="1" x14ac:dyDescent="0.2">
      <c r="A359" s="5" t="s">
        <v>40</v>
      </c>
      <c r="B359" s="5" t="s">
        <v>41</v>
      </c>
      <c r="D359" s="5" t="s">
        <v>864</v>
      </c>
      <c r="E359" s="10" t="s">
        <v>345</v>
      </c>
      <c r="F359" s="5" t="s">
        <v>70</v>
      </c>
      <c r="G359" s="5" t="s">
        <v>373</v>
      </c>
      <c r="H359" s="5" t="s">
        <v>357</v>
      </c>
      <c r="I359" s="11">
        <v>1</v>
      </c>
      <c r="J359" s="5" t="s">
        <v>45</v>
      </c>
      <c r="K359" s="10" t="s">
        <v>46</v>
      </c>
      <c r="L359" s="5" t="s">
        <v>47</v>
      </c>
      <c r="M359" s="5" t="s">
        <v>65</v>
      </c>
      <c r="N359" s="5" t="s">
        <v>66</v>
      </c>
      <c r="O359" s="12"/>
      <c r="P359" s="13">
        <v>7076</v>
      </c>
      <c r="S359" s="13">
        <v>8251</v>
      </c>
      <c r="U359" s="13">
        <v>8251</v>
      </c>
      <c r="AC359" s="10" t="s">
        <v>865</v>
      </c>
      <c r="AD359" s="5" t="s">
        <v>857</v>
      </c>
      <c r="AE359" s="5" t="s">
        <v>63</v>
      </c>
      <c r="AG359" s="5" t="s">
        <v>866</v>
      </c>
    </row>
    <row r="360" spans="1:33" ht="10" customHeight="1" x14ac:dyDescent="0.2">
      <c r="A360" s="5" t="s">
        <v>40</v>
      </c>
      <c r="B360" s="5" t="s">
        <v>41</v>
      </c>
      <c r="D360" s="5" t="s">
        <v>867</v>
      </c>
      <c r="E360" s="10" t="s">
        <v>345</v>
      </c>
      <c r="F360" s="5" t="s">
        <v>70</v>
      </c>
      <c r="G360" s="5" t="s">
        <v>373</v>
      </c>
      <c r="H360" s="5" t="s">
        <v>357</v>
      </c>
      <c r="I360" s="11">
        <v>1</v>
      </c>
      <c r="J360" s="5" t="s">
        <v>45</v>
      </c>
      <c r="K360" s="10" t="s">
        <v>46</v>
      </c>
      <c r="L360" s="5" t="s">
        <v>47</v>
      </c>
      <c r="M360" s="5" t="s">
        <v>65</v>
      </c>
      <c r="N360" s="5" t="s">
        <v>66</v>
      </c>
      <c r="O360" s="12"/>
      <c r="P360" s="13">
        <v>7878</v>
      </c>
      <c r="S360" s="13">
        <v>12762</v>
      </c>
      <c r="U360" s="13">
        <v>12762</v>
      </c>
      <c r="AC360" s="10" t="s">
        <v>868</v>
      </c>
      <c r="AD360" s="5" t="s">
        <v>857</v>
      </c>
      <c r="AE360" s="5" t="s">
        <v>63</v>
      </c>
      <c r="AG360" s="5" t="s">
        <v>869</v>
      </c>
    </row>
    <row r="361" spans="1:33" ht="10" customHeight="1" x14ac:dyDescent="0.2">
      <c r="A361" s="5" t="s">
        <v>40</v>
      </c>
      <c r="B361" s="5" t="s">
        <v>41</v>
      </c>
      <c r="D361" s="5" t="s">
        <v>870</v>
      </c>
      <c r="E361" s="10" t="s">
        <v>345</v>
      </c>
      <c r="F361" s="5" t="s">
        <v>70</v>
      </c>
      <c r="G361" s="5" t="s">
        <v>373</v>
      </c>
      <c r="H361" s="5" t="s">
        <v>357</v>
      </c>
      <c r="I361" s="11">
        <v>1</v>
      </c>
      <c r="J361" s="5" t="s">
        <v>45</v>
      </c>
      <c r="K361" s="10" t="s">
        <v>46</v>
      </c>
      <c r="L361" s="5" t="s">
        <v>47</v>
      </c>
      <c r="M361" s="5" t="s">
        <v>65</v>
      </c>
      <c r="N361" s="5" t="s">
        <v>66</v>
      </c>
      <c r="O361" s="12"/>
      <c r="P361" s="13">
        <v>24437</v>
      </c>
      <c r="S361" s="13">
        <v>43206</v>
      </c>
      <c r="U361" s="13">
        <v>43206</v>
      </c>
      <c r="AC361" s="10" t="s">
        <v>871</v>
      </c>
      <c r="AD361" s="5" t="s">
        <v>857</v>
      </c>
      <c r="AE361" s="5" t="s">
        <v>63</v>
      </c>
      <c r="AG361" s="5" t="s">
        <v>872</v>
      </c>
    </row>
    <row r="362" spans="1:33" ht="10" customHeight="1" x14ac:dyDescent="0.2">
      <c r="A362" s="5" t="s">
        <v>40</v>
      </c>
      <c r="B362" s="5" t="s">
        <v>41</v>
      </c>
      <c r="D362" s="5" t="s">
        <v>873</v>
      </c>
      <c r="E362" s="10" t="s">
        <v>345</v>
      </c>
      <c r="F362" s="5" t="s">
        <v>70</v>
      </c>
      <c r="G362" s="5" t="s">
        <v>373</v>
      </c>
      <c r="H362" s="5" t="s">
        <v>357</v>
      </c>
      <c r="I362" s="11">
        <v>1</v>
      </c>
      <c r="J362" s="5" t="s">
        <v>45</v>
      </c>
      <c r="K362" s="10" t="s">
        <v>46</v>
      </c>
      <c r="L362" s="5" t="s">
        <v>47</v>
      </c>
      <c r="M362" s="5" t="s">
        <v>65</v>
      </c>
      <c r="N362" s="5" t="s">
        <v>66</v>
      </c>
      <c r="O362" s="12"/>
      <c r="P362" s="13">
        <v>4284</v>
      </c>
      <c r="S362" s="13">
        <v>5169</v>
      </c>
      <c r="U362" s="13">
        <v>5169</v>
      </c>
      <c r="AC362" s="10" t="s">
        <v>874</v>
      </c>
      <c r="AD362" s="5" t="s">
        <v>857</v>
      </c>
      <c r="AE362" s="5" t="s">
        <v>63</v>
      </c>
      <c r="AG362" s="5" t="s">
        <v>875</v>
      </c>
    </row>
    <row r="363" spans="1:33" ht="10" customHeight="1" x14ac:dyDescent="0.2">
      <c r="A363" s="5" t="s">
        <v>40</v>
      </c>
      <c r="B363" s="5" t="s">
        <v>41</v>
      </c>
      <c r="D363" s="5" t="s">
        <v>876</v>
      </c>
      <c r="E363" s="10" t="s">
        <v>345</v>
      </c>
      <c r="F363" s="5" t="s">
        <v>70</v>
      </c>
      <c r="G363" s="5" t="s">
        <v>373</v>
      </c>
      <c r="H363" s="5" t="s">
        <v>357</v>
      </c>
      <c r="I363" s="11">
        <v>1</v>
      </c>
      <c r="J363" s="5" t="s">
        <v>45</v>
      </c>
      <c r="K363" s="10" t="s">
        <v>46</v>
      </c>
      <c r="L363" s="5" t="s">
        <v>47</v>
      </c>
      <c r="M363" s="5" t="s">
        <v>65</v>
      </c>
      <c r="N363" s="5" t="s">
        <v>66</v>
      </c>
      <c r="O363" s="12"/>
      <c r="P363" s="13">
        <v>5469</v>
      </c>
      <c r="S363" s="13">
        <v>8536</v>
      </c>
      <c r="U363" s="13">
        <v>8536</v>
      </c>
      <c r="AC363" s="10" t="s">
        <v>877</v>
      </c>
      <c r="AD363" s="5" t="s">
        <v>857</v>
      </c>
      <c r="AE363" s="5" t="s">
        <v>63</v>
      </c>
      <c r="AG363" s="5" t="s">
        <v>878</v>
      </c>
    </row>
    <row r="364" spans="1:33" ht="10" customHeight="1" x14ac:dyDescent="0.2">
      <c r="A364" s="5" t="s">
        <v>40</v>
      </c>
      <c r="B364" s="5" t="s">
        <v>41</v>
      </c>
      <c r="D364" s="5" t="s">
        <v>879</v>
      </c>
      <c r="E364" s="10" t="s">
        <v>345</v>
      </c>
      <c r="F364" s="5" t="s">
        <v>70</v>
      </c>
      <c r="G364" s="5" t="s">
        <v>373</v>
      </c>
      <c r="H364" s="5" t="s">
        <v>357</v>
      </c>
      <c r="I364" s="11">
        <v>1</v>
      </c>
      <c r="J364" s="5" t="s">
        <v>45</v>
      </c>
      <c r="K364" s="10" t="s">
        <v>46</v>
      </c>
      <c r="L364" s="5" t="s">
        <v>47</v>
      </c>
      <c r="M364" s="5" t="s">
        <v>65</v>
      </c>
      <c r="N364" s="5" t="s">
        <v>66</v>
      </c>
      <c r="O364" s="12"/>
      <c r="P364" s="13">
        <v>14130</v>
      </c>
      <c r="S364" s="13">
        <v>13904</v>
      </c>
      <c r="U364" s="13">
        <v>13904</v>
      </c>
      <c r="AC364" s="10" t="s">
        <v>880</v>
      </c>
      <c r="AD364" s="5" t="s">
        <v>857</v>
      </c>
      <c r="AE364" s="5" t="s">
        <v>63</v>
      </c>
    </row>
    <row r="365" spans="1:33" ht="10" customHeight="1" x14ac:dyDescent="0.2">
      <c r="A365" s="5" t="s">
        <v>40</v>
      </c>
      <c r="B365" s="5" t="s">
        <v>41</v>
      </c>
      <c r="D365" s="5" t="s">
        <v>881</v>
      </c>
      <c r="E365" s="10" t="s">
        <v>345</v>
      </c>
      <c r="F365" s="5" t="s">
        <v>70</v>
      </c>
      <c r="G365" s="5" t="s">
        <v>373</v>
      </c>
      <c r="H365" s="5" t="s">
        <v>357</v>
      </c>
      <c r="I365" s="11">
        <v>1</v>
      </c>
      <c r="J365" s="5" t="s">
        <v>45</v>
      </c>
      <c r="K365" s="10" t="s">
        <v>46</v>
      </c>
      <c r="L365" s="5" t="s">
        <v>47</v>
      </c>
      <c r="M365" s="5" t="s">
        <v>65</v>
      </c>
      <c r="N365" s="5" t="s">
        <v>66</v>
      </c>
      <c r="O365" s="12"/>
      <c r="P365" s="13">
        <v>5048</v>
      </c>
      <c r="S365" s="13">
        <v>12514</v>
      </c>
      <c r="U365" s="13">
        <v>12514</v>
      </c>
      <c r="AC365" s="10" t="s">
        <v>882</v>
      </c>
      <c r="AD365" s="5" t="s">
        <v>857</v>
      </c>
      <c r="AE365" s="5" t="s">
        <v>63</v>
      </c>
      <c r="AG365" s="5" t="s">
        <v>883</v>
      </c>
    </row>
    <row r="366" spans="1:33" ht="10" customHeight="1" x14ac:dyDescent="0.2">
      <c r="A366" s="5" t="s">
        <v>40</v>
      </c>
      <c r="B366" s="5" t="s">
        <v>41</v>
      </c>
      <c r="D366" s="5" t="s">
        <v>884</v>
      </c>
      <c r="E366" s="10" t="s">
        <v>345</v>
      </c>
      <c r="F366" s="5" t="s">
        <v>70</v>
      </c>
      <c r="G366" s="5" t="s">
        <v>373</v>
      </c>
      <c r="H366" s="5" t="s">
        <v>357</v>
      </c>
      <c r="I366" s="11">
        <v>1</v>
      </c>
      <c r="J366" s="5" t="s">
        <v>45</v>
      </c>
      <c r="K366" s="10" t="s">
        <v>46</v>
      </c>
      <c r="L366" s="5" t="s">
        <v>47</v>
      </c>
      <c r="M366" s="5" t="s">
        <v>65</v>
      </c>
      <c r="N366" s="5" t="s">
        <v>66</v>
      </c>
      <c r="O366" s="12"/>
      <c r="P366" s="13">
        <v>5210</v>
      </c>
      <c r="S366" s="13">
        <v>5344</v>
      </c>
      <c r="U366" s="13">
        <v>5344</v>
      </c>
      <c r="AC366" s="10" t="s">
        <v>885</v>
      </c>
      <c r="AD366" s="5" t="s">
        <v>857</v>
      </c>
      <c r="AE366" s="5" t="s">
        <v>63</v>
      </c>
      <c r="AG366" s="5" t="s">
        <v>886</v>
      </c>
    </row>
    <row r="367" spans="1:33" ht="10" customHeight="1" x14ac:dyDescent="0.2">
      <c r="A367" s="5" t="s">
        <v>40</v>
      </c>
      <c r="B367" s="5" t="s">
        <v>41</v>
      </c>
      <c r="D367" s="5" t="s">
        <v>887</v>
      </c>
      <c r="E367" s="10" t="s">
        <v>345</v>
      </c>
      <c r="F367" s="5" t="s">
        <v>70</v>
      </c>
      <c r="G367" s="5" t="s">
        <v>373</v>
      </c>
      <c r="H367" s="5" t="s">
        <v>357</v>
      </c>
      <c r="I367" s="11">
        <v>1</v>
      </c>
      <c r="J367" s="5" t="s">
        <v>45</v>
      </c>
      <c r="K367" s="10" t="s">
        <v>46</v>
      </c>
      <c r="L367" s="5" t="s">
        <v>47</v>
      </c>
      <c r="M367" s="5" t="s">
        <v>65</v>
      </c>
      <c r="N367" s="5" t="s">
        <v>66</v>
      </c>
      <c r="O367" s="12"/>
      <c r="S367" s="13">
        <v>9866</v>
      </c>
      <c r="U367" s="13">
        <v>9866</v>
      </c>
      <c r="AC367" s="10" t="s">
        <v>888</v>
      </c>
      <c r="AD367" s="5" t="s">
        <v>857</v>
      </c>
      <c r="AE367" s="5" t="s">
        <v>63</v>
      </c>
      <c r="AG367" s="5" t="s">
        <v>889</v>
      </c>
    </row>
    <row r="368" spans="1:33" ht="10" customHeight="1" x14ac:dyDescent="0.2">
      <c r="A368" s="5" t="s">
        <v>40</v>
      </c>
      <c r="B368" s="5" t="s">
        <v>41</v>
      </c>
      <c r="D368" s="5" t="s">
        <v>890</v>
      </c>
      <c r="E368" s="10" t="s">
        <v>345</v>
      </c>
      <c r="F368" s="5" t="s">
        <v>70</v>
      </c>
      <c r="G368" s="5" t="s">
        <v>373</v>
      </c>
      <c r="H368" s="5" t="s">
        <v>357</v>
      </c>
      <c r="I368" s="11">
        <v>1</v>
      </c>
      <c r="J368" s="5" t="s">
        <v>45</v>
      </c>
      <c r="K368" s="10" t="s">
        <v>46</v>
      </c>
      <c r="L368" s="5" t="s">
        <v>47</v>
      </c>
      <c r="M368" s="5" t="s">
        <v>65</v>
      </c>
      <c r="N368" s="5" t="s">
        <v>66</v>
      </c>
      <c r="O368" s="12"/>
      <c r="P368" s="13">
        <v>39605</v>
      </c>
      <c r="S368" s="13">
        <v>39900</v>
      </c>
      <c r="U368" s="13">
        <v>39900</v>
      </c>
      <c r="AC368" s="10" t="s">
        <v>891</v>
      </c>
      <c r="AD368" s="5" t="s">
        <v>857</v>
      </c>
      <c r="AE368" s="5" t="s">
        <v>63</v>
      </c>
      <c r="AG368" s="5" t="s">
        <v>892</v>
      </c>
    </row>
    <row r="369" spans="1:33" ht="10" customHeight="1" x14ac:dyDescent="0.2">
      <c r="A369" s="5" t="s">
        <v>40</v>
      </c>
      <c r="B369" s="5" t="s">
        <v>41</v>
      </c>
      <c r="D369" s="5" t="s">
        <v>893</v>
      </c>
      <c r="E369" s="10" t="s">
        <v>345</v>
      </c>
      <c r="F369" s="5" t="s">
        <v>70</v>
      </c>
      <c r="G369" s="5" t="s">
        <v>373</v>
      </c>
      <c r="H369" s="5" t="s">
        <v>357</v>
      </c>
      <c r="I369" s="11">
        <v>1</v>
      </c>
      <c r="J369" s="5" t="s">
        <v>45</v>
      </c>
      <c r="K369" s="10" t="s">
        <v>46</v>
      </c>
      <c r="L369" s="5" t="s">
        <v>47</v>
      </c>
      <c r="M369" s="5" t="s">
        <v>65</v>
      </c>
      <c r="N369" s="5" t="s">
        <v>66</v>
      </c>
      <c r="O369" s="12"/>
      <c r="S369" s="13">
        <v>6122</v>
      </c>
      <c r="U369" s="13">
        <v>6122</v>
      </c>
      <c r="AC369" s="10" t="s">
        <v>894</v>
      </c>
      <c r="AD369" s="5" t="s">
        <v>857</v>
      </c>
      <c r="AE369" s="5" t="s">
        <v>63</v>
      </c>
      <c r="AG369" s="5" t="s">
        <v>895</v>
      </c>
    </row>
    <row r="370" spans="1:33" ht="10" customHeight="1" x14ac:dyDescent="0.2">
      <c r="A370" s="5" t="s">
        <v>40</v>
      </c>
      <c r="B370" s="5" t="s">
        <v>41</v>
      </c>
      <c r="D370" s="5" t="s">
        <v>896</v>
      </c>
      <c r="E370" s="10" t="s">
        <v>345</v>
      </c>
      <c r="F370" s="5" t="s">
        <v>70</v>
      </c>
      <c r="G370" s="5" t="s">
        <v>373</v>
      </c>
      <c r="H370" s="5" t="s">
        <v>357</v>
      </c>
      <c r="I370" s="11">
        <v>1</v>
      </c>
      <c r="J370" s="5" t="s">
        <v>45</v>
      </c>
      <c r="K370" s="10" t="s">
        <v>46</v>
      </c>
      <c r="L370" s="5" t="s">
        <v>47</v>
      </c>
      <c r="M370" s="5" t="s">
        <v>65</v>
      </c>
      <c r="N370" s="5" t="s">
        <v>66</v>
      </c>
      <c r="O370" s="12"/>
      <c r="S370" s="13">
        <v>8363</v>
      </c>
      <c r="U370" s="13">
        <v>8363</v>
      </c>
      <c r="AC370" s="10" t="s">
        <v>897</v>
      </c>
      <c r="AD370" s="5" t="s">
        <v>857</v>
      </c>
      <c r="AE370" s="5" t="s">
        <v>63</v>
      </c>
      <c r="AG370" s="5" t="s">
        <v>898</v>
      </c>
    </row>
    <row r="371" spans="1:33" ht="10" customHeight="1" x14ac:dyDescent="0.2">
      <c r="A371" s="5" t="s">
        <v>40</v>
      </c>
      <c r="B371" s="5" t="s">
        <v>41</v>
      </c>
      <c r="D371" s="5" t="s">
        <v>899</v>
      </c>
      <c r="E371" s="10" t="s">
        <v>345</v>
      </c>
      <c r="F371" s="5" t="s">
        <v>70</v>
      </c>
      <c r="G371" s="5" t="s">
        <v>373</v>
      </c>
      <c r="H371" s="5" t="s">
        <v>357</v>
      </c>
      <c r="I371" s="11">
        <v>1</v>
      </c>
      <c r="J371" s="5" t="s">
        <v>45</v>
      </c>
      <c r="K371" s="10" t="s">
        <v>46</v>
      </c>
      <c r="L371" s="5" t="s">
        <v>47</v>
      </c>
      <c r="M371" s="5" t="s">
        <v>65</v>
      </c>
      <c r="N371" s="5" t="s">
        <v>66</v>
      </c>
      <c r="O371" s="12"/>
      <c r="S371" s="13">
        <v>9325</v>
      </c>
      <c r="U371" s="13">
        <v>9325</v>
      </c>
      <c r="AC371" s="10" t="s">
        <v>900</v>
      </c>
      <c r="AD371" s="5" t="s">
        <v>857</v>
      </c>
      <c r="AE371" s="5" t="s">
        <v>63</v>
      </c>
      <c r="AG371" s="5" t="s">
        <v>901</v>
      </c>
    </row>
    <row r="372" spans="1:33" ht="10" customHeight="1" x14ac:dyDescent="0.2">
      <c r="A372" s="5" t="s">
        <v>40</v>
      </c>
      <c r="B372" s="5" t="s">
        <v>41</v>
      </c>
      <c r="D372" s="5" t="s">
        <v>902</v>
      </c>
      <c r="E372" s="10" t="s">
        <v>345</v>
      </c>
      <c r="F372" s="5" t="s">
        <v>70</v>
      </c>
      <c r="G372" s="5" t="s">
        <v>373</v>
      </c>
      <c r="H372" s="5" t="s">
        <v>357</v>
      </c>
      <c r="I372" s="11">
        <v>1</v>
      </c>
      <c r="J372" s="5" t="s">
        <v>45</v>
      </c>
      <c r="K372" s="10" t="s">
        <v>46</v>
      </c>
      <c r="L372" s="5" t="s">
        <v>47</v>
      </c>
      <c r="M372" s="5" t="s">
        <v>65</v>
      </c>
      <c r="N372" s="5" t="s">
        <v>66</v>
      </c>
      <c r="O372" s="12"/>
      <c r="S372" s="13">
        <v>33900</v>
      </c>
      <c r="U372" s="13">
        <v>33900</v>
      </c>
      <c r="AC372" s="10" t="s">
        <v>903</v>
      </c>
      <c r="AD372" s="5" t="s">
        <v>857</v>
      </c>
      <c r="AE372" s="5" t="s">
        <v>63</v>
      </c>
      <c r="AG372" s="5" t="s">
        <v>904</v>
      </c>
    </row>
    <row r="373" spans="1:33" ht="10" customHeight="1" x14ac:dyDescent="0.2">
      <c r="A373" s="5" t="s">
        <v>40</v>
      </c>
      <c r="B373" s="5" t="s">
        <v>41</v>
      </c>
      <c r="D373" s="5" t="s">
        <v>905</v>
      </c>
      <c r="E373" s="10" t="s">
        <v>345</v>
      </c>
      <c r="F373" s="5" t="s">
        <v>70</v>
      </c>
      <c r="G373" s="5" t="s">
        <v>373</v>
      </c>
      <c r="H373" s="5" t="s">
        <v>357</v>
      </c>
      <c r="I373" s="11">
        <v>1</v>
      </c>
      <c r="J373" s="5" t="s">
        <v>45</v>
      </c>
      <c r="K373" s="10" t="s">
        <v>46</v>
      </c>
      <c r="L373" s="5" t="s">
        <v>47</v>
      </c>
      <c r="M373" s="5" t="s">
        <v>65</v>
      </c>
      <c r="N373" s="5" t="s">
        <v>66</v>
      </c>
      <c r="O373" s="12"/>
      <c r="S373" s="13">
        <v>7500</v>
      </c>
      <c r="U373" s="13">
        <v>7500</v>
      </c>
      <c r="AC373" s="10" t="s">
        <v>906</v>
      </c>
      <c r="AD373" s="5" t="s">
        <v>857</v>
      </c>
      <c r="AE373" s="5" t="s">
        <v>63</v>
      </c>
      <c r="AG373" s="5" t="s">
        <v>907</v>
      </c>
    </row>
    <row r="374" spans="1:33" ht="10" customHeight="1" x14ac:dyDescent="0.2">
      <c r="A374" s="5" t="s">
        <v>40</v>
      </c>
      <c r="B374" s="5" t="s">
        <v>41</v>
      </c>
      <c r="D374" s="5" t="s">
        <v>908</v>
      </c>
      <c r="E374" s="10" t="s">
        <v>345</v>
      </c>
      <c r="F374" s="5" t="s">
        <v>70</v>
      </c>
      <c r="G374" s="5" t="s">
        <v>373</v>
      </c>
      <c r="H374" s="5" t="s">
        <v>357</v>
      </c>
      <c r="I374" s="11">
        <v>1</v>
      </c>
      <c r="J374" s="5" t="s">
        <v>45</v>
      </c>
      <c r="K374" s="10" t="s">
        <v>46</v>
      </c>
      <c r="L374" s="5" t="s">
        <v>47</v>
      </c>
      <c r="M374" s="5" t="s">
        <v>65</v>
      </c>
      <c r="N374" s="5" t="s">
        <v>66</v>
      </c>
      <c r="O374" s="12"/>
      <c r="P374" s="13">
        <v>2255</v>
      </c>
      <c r="S374" s="13">
        <v>2950</v>
      </c>
      <c r="U374" s="13">
        <v>2950</v>
      </c>
      <c r="AC374" s="10" t="s">
        <v>909</v>
      </c>
      <c r="AD374" s="5" t="s">
        <v>857</v>
      </c>
      <c r="AE374" s="5" t="s">
        <v>63</v>
      </c>
      <c r="AG374" s="5" t="s">
        <v>910</v>
      </c>
    </row>
    <row r="375" spans="1:33" ht="10" customHeight="1" x14ac:dyDescent="0.2">
      <c r="A375" s="5" t="s">
        <v>40</v>
      </c>
      <c r="B375" s="5" t="s">
        <v>41</v>
      </c>
      <c r="D375" s="5" t="s">
        <v>911</v>
      </c>
      <c r="E375" s="10" t="s">
        <v>345</v>
      </c>
      <c r="F375" s="5" t="s">
        <v>70</v>
      </c>
      <c r="G375" s="5" t="s">
        <v>373</v>
      </c>
      <c r="H375" s="5" t="s">
        <v>357</v>
      </c>
      <c r="I375" s="11">
        <v>1</v>
      </c>
      <c r="J375" s="5" t="s">
        <v>45</v>
      </c>
      <c r="K375" s="10" t="s">
        <v>46</v>
      </c>
      <c r="L375" s="5" t="s">
        <v>47</v>
      </c>
      <c r="M375" s="5" t="s">
        <v>65</v>
      </c>
      <c r="N375" s="5" t="s">
        <v>66</v>
      </c>
      <c r="O375" s="12"/>
      <c r="P375" s="13">
        <v>2199</v>
      </c>
      <c r="S375" s="13">
        <v>2233</v>
      </c>
      <c r="U375" s="13">
        <v>2233</v>
      </c>
      <c r="AC375" s="10" t="s">
        <v>912</v>
      </c>
      <c r="AD375" s="5" t="s">
        <v>857</v>
      </c>
      <c r="AE375" s="5" t="s">
        <v>63</v>
      </c>
      <c r="AG375" s="5" t="s">
        <v>913</v>
      </c>
    </row>
    <row r="376" spans="1:33" ht="10" customHeight="1" x14ac:dyDescent="0.2">
      <c r="A376" s="5" t="s">
        <v>40</v>
      </c>
      <c r="B376" s="5" t="s">
        <v>41</v>
      </c>
      <c r="D376" s="5" t="s">
        <v>914</v>
      </c>
      <c r="E376" s="10" t="s">
        <v>345</v>
      </c>
      <c r="F376" s="5" t="s">
        <v>70</v>
      </c>
      <c r="G376" s="5" t="s">
        <v>373</v>
      </c>
      <c r="H376" s="5" t="s">
        <v>357</v>
      </c>
      <c r="I376" s="11">
        <v>1</v>
      </c>
      <c r="J376" s="5" t="s">
        <v>45</v>
      </c>
      <c r="K376" s="10" t="s">
        <v>46</v>
      </c>
      <c r="L376" s="5" t="s">
        <v>47</v>
      </c>
      <c r="M376" s="5" t="s">
        <v>65</v>
      </c>
      <c r="N376" s="5" t="s">
        <v>66</v>
      </c>
      <c r="O376" s="12"/>
      <c r="P376" s="13">
        <v>1226</v>
      </c>
      <c r="S376" s="13">
        <v>1244</v>
      </c>
      <c r="U376" s="13">
        <v>1244</v>
      </c>
      <c r="AC376" s="10" t="s">
        <v>915</v>
      </c>
      <c r="AD376" s="5" t="s">
        <v>857</v>
      </c>
      <c r="AE376" s="5" t="s">
        <v>63</v>
      </c>
    </row>
    <row r="377" spans="1:33" ht="10" customHeight="1" x14ac:dyDescent="0.2">
      <c r="A377" s="5" t="s">
        <v>40</v>
      </c>
      <c r="B377" s="5" t="s">
        <v>41</v>
      </c>
      <c r="D377" s="5" t="s">
        <v>916</v>
      </c>
      <c r="E377" s="10" t="s">
        <v>345</v>
      </c>
      <c r="F377" s="5" t="s">
        <v>70</v>
      </c>
      <c r="G377" s="5" t="s">
        <v>373</v>
      </c>
      <c r="H377" s="5" t="s">
        <v>357</v>
      </c>
      <c r="I377" s="11">
        <v>1</v>
      </c>
      <c r="J377" s="5" t="s">
        <v>45</v>
      </c>
      <c r="K377" s="10" t="s">
        <v>46</v>
      </c>
      <c r="L377" s="5" t="s">
        <v>47</v>
      </c>
      <c r="M377" s="5" t="s">
        <v>65</v>
      </c>
      <c r="N377" s="5" t="s">
        <v>66</v>
      </c>
      <c r="O377" s="12"/>
      <c r="P377" s="13">
        <v>8301</v>
      </c>
      <c r="S377" s="13">
        <v>7187</v>
      </c>
      <c r="U377" s="13">
        <v>7187</v>
      </c>
      <c r="AC377" s="10" t="s">
        <v>917</v>
      </c>
      <c r="AD377" s="5" t="s">
        <v>857</v>
      </c>
      <c r="AE377" s="5" t="s">
        <v>63</v>
      </c>
      <c r="AG377" s="5" t="s">
        <v>918</v>
      </c>
    </row>
    <row r="378" spans="1:33" ht="10" customHeight="1" x14ac:dyDescent="0.2">
      <c r="A378" s="5" t="s">
        <v>40</v>
      </c>
      <c r="B378" s="5" t="s">
        <v>41</v>
      </c>
      <c r="D378" s="5" t="s">
        <v>919</v>
      </c>
      <c r="E378" s="10" t="s">
        <v>345</v>
      </c>
      <c r="F378" s="5" t="s">
        <v>70</v>
      </c>
      <c r="G378" s="5" t="s">
        <v>373</v>
      </c>
      <c r="H378" s="5" t="s">
        <v>357</v>
      </c>
      <c r="I378" s="11">
        <v>1</v>
      </c>
      <c r="J378" s="5" t="s">
        <v>45</v>
      </c>
      <c r="K378" s="10" t="s">
        <v>46</v>
      </c>
      <c r="L378" s="5" t="s">
        <v>47</v>
      </c>
      <c r="M378" s="5" t="s">
        <v>65</v>
      </c>
      <c r="N378" s="5" t="s">
        <v>66</v>
      </c>
      <c r="O378" s="12"/>
      <c r="P378" s="13">
        <v>1980</v>
      </c>
      <c r="S378" s="13">
        <v>2888</v>
      </c>
      <c r="U378" s="13">
        <v>2888</v>
      </c>
      <c r="AC378" s="10" t="s">
        <v>920</v>
      </c>
      <c r="AD378" s="5" t="s">
        <v>857</v>
      </c>
      <c r="AE378" s="5" t="s">
        <v>63</v>
      </c>
      <c r="AG378" s="5" t="s">
        <v>921</v>
      </c>
    </row>
    <row r="379" spans="1:33" ht="10" customHeight="1" x14ac:dyDescent="0.2">
      <c r="A379" s="5" t="s">
        <v>40</v>
      </c>
      <c r="B379" s="5" t="s">
        <v>41</v>
      </c>
      <c r="D379" s="5" t="s">
        <v>922</v>
      </c>
      <c r="E379" s="10" t="s">
        <v>345</v>
      </c>
      <c r="F379" s="5" t="s">
        <v>70</v>
      </c>
      <c r="G379" s="5" t="s">
        <v>373</v>
      </c>
      <c r="H379" s="5" t="s">
        <v>357</v>
      </c>
      <c r="I379" s="11">
        <v>1</v>
      </c>
      <c r="J379" s="5" t="s">
        <v>45</v>
      </c>
      <c r="K379" s="10" t="s">
        <v>46</v>
      </c>
      <c r="L379" s="5" t="s">
        <v>47</v>
      </c>
      <c r="M379" s="5" t="s">
        <v>65</v>
      </c>
      <c r="N379" s="5" t="s">
        <v>66</v>
      </c>
      <c r="O379" s="12"/>
      <c r="S379" s="13">
        <v>2624</v>
      </c>
      <c r="U379" s="13">
        <v>2624</v>
      </c>
      <c r="AC379" s="10" t="s">
        <v>923</v>
      </c>
      <c r="AD379" s="5" t="s">
        <v>857</v>
      </c>
      <c r="AE379" s="5" t="s">
        <v>63</v>
      </c>
      <c r="AG379" s="5" t="s">
        <v>924</v>
      </c>
    </row>
    <row r="380" spans="1:33" ht="10" customHeight="1" x14ac:dyDescent="0.2">
      <c r="A380" s="5" t="s">
        <v>40</v>
      </c>
      <c r="B380" s="5" t="s">
        <v>41</v>
      </c>
      <c r="D380" s="5" t="s">
        <v>925</v>
      </c>
      <c r="E380" s="10" t="s">
        <v>345</v>
      </c>
      <c r="F380" s="5" t="s">
        <v>70</v>
      </c>
      <c r="G380" s="5" t="s">
        <v>373</v>
      </c>
      <c r="H380" s="5" t="s">
        <v>357</v>
      </c>
      <c r="I380" s="11">
        <v>1</v>
      </c>
      <c r="J380" s="5" t="s">
        <v>45</v>
      </c>
      <c r="K380" s="10" t="s">
        <v>46</v>
      </c>
      <c r="L380" s="5" t="s">
        <v>47</v>
      </c>
      <c r="M380" s="5" t="s">
        <v>65</v>
      </c>
      <c r="N380" s="5" t="s">
        <v>66</v>
      </c>
      <c r="O380" s="12"/>
      <c r="P380" s="13">
        <v>7056</v>
      </c>
      <c r="S380" s="13">
        <v>19549</v>
      </c>
      <c r="U380" s="13">
        <v>19549</v>
      </c>
      <c r="AC380" s="10" t="s">
        <v>926</v>
      </c>
      <c r="AD380" s="5" t="s">
        <v>857</v>
      </c>
      <c r="AE380" s="5" t="s">
        <v>63</v>
      </c>
      <c r="AG380" s="5" t="s">
        <v>927</v>
      </c>
    </row>
    <row r="381" spans="1:33" ht="10" customHeight="1" x14ac:dyDescent="0.2">
      <c r="A381" s="5" t="s">
        <v>40</v>
      </c>
      <c r="B381" s="5" t="s">
        <v>41</v>
      </c>
      <c r="D381" s="5" t="s">
        <v>928</v>
      </c>
      <c r="E381" s="10" t="s">
        <v>345</v>
      </c>
      <c r="F381" s="5" t="s">
        <v>70</v>
      </c>
      <c r="G381" s="5" t="s">
        <v>373</v>
      </c>
      <c r="H381" s="5" t="s">
        <v>357</v>
      </c>
      <c r="I381" s="11">
        <v>1</v>
      </c>
      <c r="J381" s="5" t="s">
        <v>45</v>
      </c>
      <c r="K381" s="10" t="s">
        <v>46</v>
      </c>
      <c r="L381" s="5" t="s">
        <v>47</v>
      </c>
      <c r="M381" s="5" t="s">
        <v>65</v>
      </c>
      <c r="N381" s="5" t="s">
        <v>66</v>
      </c>
      <c r="O381" s="12"/>
      <c r="P381" s="13">
        <v>9271</v>
      </c>
      <c r="S381" s="13">
        <v>8272</v>
      </c>
      <c r="U381" s="13">
        <v>8272</v>
      </c>
      <c r="AC381" s="10" t="s">
        <v>929</v>
      </c>
      <c r="AD381" s="5" t="s">
        <v>857</v>
      </c>
      <c r="AE381" s="5" t="s">
        <v>63</v>
      </c>
      <c r="AG381" s="5" t="s">
        <v>930</v>
      </c>
    </row>
    <row r="382" spans="1:33" ht="10" customHeight="1" x14ac:dyDescent="0.2">
      <c r="A382" s="5" t="s">
        <v>40</v>
      </c>
      <c r="B382" s="5" t="s">
        <v>41</v>
      </c>
      <c r="D382" s="5" t="s">
        <v>931</v>
      </c>
      <c r="E382" s="10" t="s">
        <v>345</v>
      </c>
      <c r="F382" s="5" t="s">
        <v>70</v>
      </c>
      <c r="G382" s="5" t="s">
        <v>373</v>
      </c>
      <c r="H382" s="5" t="s">
        <v>357</v>
      </c>
      <c r="I382" s="11">
        <v>1</v>
      </c>
      <c r="J382" s="5" t="s">
        <v>45</v>
      </c>
      <c r="K382" s="10" t="s">
        <v>46</v>
      </c>
      <c r="L382" s="5" t="s">
        <v>47</v>
      </c>
      <c r="M382" s="5" t="s">
        <v>65</v>
      </c>
      <c r="N382" s="5" t="s">
        <v>66</v>
      </c>
      <c r="O382" s="12"/>
      <c r="S382" s="13">
        <v>1318</v>
      </c>
      <c r="U382" s="13">
        <v>1318</v>
      </c>
      <c r="AC382" s="10" t="s">
        <v>932</v>
      </c>
      <c r="AD382" s="5" t="s">
        <v>857</v>
      </c>
      <c r="AE382" s="5" t="s">
        <v>63</v>
      </c>
      <c r="AG382" s="5" t="s">
        <v>933</v>
      </c>
    </row>
    <row r="383" spans="1:33" ht="10" customHeight="1" x14ac:dyDescent="0.2">
      <c r="A383" s="5" t="s">
        <v>40</v>
      </c>
      <c r="B383" s="5" t="s">
        <v>41</v>
      </c>
      <c r="D383" s="5" t="s">
        <v>934</v>
      </c>
      <c r="E383" s="10" t="s">
        <v>345</v>
      </c>
      <c r="F383" s="5" t="s">
        <v>70</v>
      </c>
      <c r="G383" s="5" t="s">
        <v>373</v>
      </c>
      <c r="H383" s="5" t="s">
        <v>357</v>
      </c>
      <c r="I383" s="11">
        <v>1</v>
      </c>
      <c r="J383" s="5" t="s">
        <v>45</v>
      </c>
      <c r="K383" s="10" t="s">
        <v>46</v>
      </c>
      <c r="L383" s="5" t="s">
        <v>47</v>
      </c>
      <c r="M383" s="5" t="s">
        <v>65</v>
      </c>
      <c r="N383" s="5" t="s">
        <v>66</v>
      </c>
      <c r="O383" s="12"/>
      <c r="P383" s="13">
        <v>1184</v>
      </c>
      <c r="S383" s="13">
        <v>1811</v>
      </c>
      <c r="U383" s="13">
        <v>1811</v>
      </c>
      <c r="AC383" s="10" t="s">
        <v>935</v>
      </c>
      <c r="AD383" s="5" t="s">
        <v>857</v>
      </c>
      <c r="AE383" s="5" t="s">
        <v>63</v>
      </c>
      <c r="AG383" s="5" t="s">
        <v>936</v>
      </c>
    </row>
    <row r="384" spans="1:33" ht="10" customHeight="1" x14ac:dyDescent="0.2">
      <c r="A384" s="5" t="s">
        <v>40</v>
      </c>
      <c r="B384" s="5" t="s">
        <v>41</v>
      </c>
      <c r="D384" s="5" t="s">
        <v>937</v>
      </c>
      <c r="E384" s="10" t="s">
        <v>345</v>
      </c>
      <c r="F384" s="5" t="s">
        <v>70</v>
      </c>
      <c r="G384" s="5" t="s">
        <v>373</v>
      </c>
      <c r="H384" s="5" t="s">
        <v>357</v>
      </c>
      <c r="I384" s="11">
        <v>1</v>
      </c>
      <c r="J384" s="5" t="s">
        <v>45</v>
      </c>
      <c r="K384" s="10" t="s">
        <v>46</v>
      </c>
      <c r="L384" s="5" t="s">
        <v>47</v>
      </c>
      <c r="M384" s="5" t="s">
        <v>65</v>
      </c>
      <c r="N384" s="5" t="s">
        <v>66</v>
      </c>
      <c r="O384" s="12"/>
      <c r="P384" s="13">
        <v>908</v>
      </c>
      <c r="S384" s="13">
        <v>1230</v>
      </c>
      <c r="U384" s="13">
        <v>1230</v>
      </c>
      <c r="AC384" s="10" t="s">
        <v>938</v>
      </c>
      <c r="AD384" s="5" t="s">
        <v>857</v>
      </c>
      <c r="AE384" s="5" t="s">
        <v>63</v>
      </c>
      <c r="AG384" s="5" t="s">
        <v>939</v>
      </c>
    </row>
    <row r="385" spans="1:33" ht="10" customHeight="1" x14ac:dyDescent="0.2">
      <c r="A385" s="5" t="s">
        <v>40</v>
      </c>
      <c r="B385" s="5" t="s">
        <v>41</v>
      </c>
      <c r="D385" s="5" t="s">
        <v>940</v>
      </c>
      <c r="E385" s="10" t="s">
        <v>345</v>
      </c>
      <c r="F385" s="5" t="s">
        <v>70</v>
      </c>
      <c r="G385" s="5" t="s">
        <v>373</v>
      </c>
      <c r="H385" s="5" t="s">
        <v>357</v>
      </c>
      <c r="I385" s="11">
        <v>1</v>
      </c>
      <c r="J385" s="5" t="s">
        <v>45</v>
      </c>
      <c r="K385" s="10" t="s">
        <v>46</v>
      </c>
      <c r="L385" s="5" t="s">
        <v>47</v>
      </c>
      <c r="M385" s="5" t="s">
        <v>65</v>
      </c>
      <c r="N385" s="5" t="s">
        <v>66</v>
      </c>
      <c r="O385" s="12"/>
      <c r="S385" s="13">
        <v>1822</v>
      </c>
      <c r="U385" s="13">
        <v>1822</v>
      </c>
      <c r="AC385" s="10" t="s">
        <v>941</v>
      </c>
      <c r="AD385" s="5" t="s">
        <v>942</v>
      </c>
      <c r="AE385" s="5" t="s">
        <v>63</v>
      </c>
    </row>
    <row r="386" spans="1:33" ht="10" customHeight="1" x14ac:dyDescent="0.2">
      <c r="A386" s="5" t="s">
        <v>40</v>
      </c>
      <c r="B386" s="5" t="s">
        <v>41</v>
      </c>
      <c r="D386" s="5" t="s">
        <v>943</v>
      </c>
      <c r="E386" s="10" t="s">
        <v>345</v>
      </c>
      <c r="F386" s="5" t="s">
        <v>70</v>
      </c>
      <c r="G386" s="5" t="s">
        <v>373</v>
      </c>
      <c r="H386" s="5" t="s">
        <v>357</v>
      </c>
      <c r="I386" s="11">
        <v>1</v>
      </c>
      <c r="J386" s="5" t="s">
        <v>45</v>
      </c>
      <c r="K386" s="10" t="s">
        <v>46</v>
      </c>
      <c r="L386" s="5" t="s">
        <v>47</v>
      </c>
      <c r="M386" s="5" t="s">
        <v>65</v>
      </c>
      <c r="N386" s="5" t="s">
        <v>66</v>
      </c>
      <c r="O386" s="12"/>
      <c r="P386" s="13">
        <v>1412</v>
      </c>
      <c r="S386" s="13">
        <v>2001</v>
      </c>
      <c r="U386" s="13">
        <v>2001</v>
      </c>
      <c r="AC386" s="10" t="s">
        <v>944</v>
      </c>
      <c r="AD386" s="5" t="s">
        <v>942</v>
      </c>
      <c r="AE386" s="5" t="s">
        <v>63</v>
      </c>
    </row>
    <row r="387" spans="1:33" ht="10" customHeight="1" x14ac:dyDescent="0.2">
      <c r="A387" s="5" t="s">
        <v>40</v>
      </c>
      <c r="B387" s="5" t="s">
        <v>41</v>
      </c>
      <c r="D387" s="5" t="s">
        <v>945</v>
      </c>
      <c r="E387" s="10" t="s">
        <v>345</v>
      </c>
      <c r="F387" s="5" t="s">
        <v>70</v>
      </c>
      <c r="G387" s="5" t="s">
        <v>373</v>
      </c>
      <c r="H387" s="5" t="s">
        <v>357</v>
      </c>
      <c r="I387" s="11">
        <v>1</v>
      </c>
      <c r="J387" s="5" t="s">
        <v>45</v>
      </c>
      <c r="K387" s="10" t="s">
        <v>46</v>
      </c>
      <c r="L387" s="5" t="s">
        <v>47</v>
      </c>
      <c r="M387" s="5" t="s">
        <v>65</v>
      </c>
      <c r="N387" s="5" t="s">
        <v>66</v>
      </c>
      <c r="O387" s="12"/>
      <c r="P387" s="13">
        <v>13992</v>
      </c>
      <c r="S387" s="13">
        <v>22462</v>
      </c>
      <c r="U387" s="13">
        <v>22462</v>
      </c>
      <c r="AC387" s="10" t="s">
        <v>946</v>
      </c>
      <c r="AD387" s="5" t="s">
        <v>942</v>
      </c>
      <c r="AE387" s="5" t="s">
        <v>63</v>
      </c>
      <c r="AG387" s="5" t="s">
        <v>947</v>
      </c>
    </row>
    <row r="388" spans="1:33" ht="10" customHeight="1" x14ac:dyDescent="0.2">
      <c r="A388" s="5" t="s">
        <v>40</v>
      </c>
      <c r="B388" s="5" t="s">
        <v>41</v>
      </c>
      <c r="D388" s="5" t="s">
        <v>948</v>
      </c>
      <c r="E388" s="10" t="s">
        <v>345</v>
      </c>
      <c r="F388" s="5" t="s">
        <v>70</v>
      </c>
      <c r="G388" s="5" t="s">
        <v>373</v>
      </c>
      <c r="H388" s="5" t="s">
        <v>357</v>
      </c>
      <c r="I388" s="11">
        <v>1</v>
      </c>
      <c r="J388" s="5" t="s">
        <v>45</v>
      </c>
      <c r="K388" s="10" t="s">
        <v>46</v>
      </c>
      <c r="L388" s="5" t="s">
        <v>47</v>
      </c>
      <c r="M388" s="5" t="s">
        <v>65</v>
      </c>
      <c r="N388" s="5" t="s">
        <v>66</v>
      </c>
      <c r="O388" s="12"/>
      <c r="P388" s="13">
        <v>2240</v>
      </c>
      <c r="S388" s="13">
        <v>3430</v>
      </c>
      <c r="U388" s="13">
        <v>3430</v>
      </c>
      <c r="AC388" s="10" t="s">
        <v>949</v>
      </c>
      <c r="AD388" s="5" t="s">
        <v>942</v>
      </c>
      <c r="AE388" s="5" t="s">
        <v>63</v>
      </c>
    </row>
    <row r="389" spans="1:33" ht="10" customHeight="1" x14ac:dyDescent="0.2">
      <c r="A389" s="5" t="s">
        <v>40</v>
      </c>
      <c r="B389" s="5" t="s">
        <v>41</v>
      </c>
      <c r="D389" s="5" t="s">
        <v>950</v>
      </c>
      <c r="E389" s="10" t="s">
        <v>345</v>
      </c>
      <c r="F389" s="5" t="s">
        <v>70</v>
      </c>
      <c r="G389" s="5" t="s">
        <v>373</v>
      </c>
      <c r="H389" s="5" t="s">
        <v>357</v>
      </c>
      <c r="I389" s="11">
        <v>1</v>
      </c>
      <c r="J389" s="5" t="s">
        <v>45</v>
      </c>
      <c r="K389" s="10" t="s">
        <v>46</v>
      </c>
      <c r="L389" s="5" t="s">
        <v>47</v>
      </c>
      <c r="M389" s="5" t="s">
        <v>65</v>
      </c>
      <c r="N389" s="5" t="s">
        <v>66</v>
      </c>
      <c r="O389" s="12"/>
      <c r="S389" s="13">
        <v>2308</v>
      </c>
      <c r="U389" s="13">
        <v>2308</v>
      </c>
      <c r="AC389" s="10" t="s">
        <v>951</v>
      </c>
      <c r="AD389" s="5" t="s">
        <v>942</v>
      </c>
      <c r="AE389" s="5" t="s">
        <v>63</v>
      </c>
      <c r="AG389" s="5" t="s">
        <v>952</v>
      </c>
    </row>
    <row r="390" spans="1:33" ht="10" customHeight="1" x14ac:dyDescent="0.2">
      <c r="A390" s="5" t="s">
        <v>40</v>
      </c>
      <c r="B390" s="5" t="s">
        <v>41</v>
      </c>
      <c r="D390" s="5" t="s">
        <v>953</v>
      </c>
      <c r="E390" s="10" t="s">
        <v>345</v>
      </c>
      <c r="F390" s="5" t="s">
        <v>70</v>
      </c>
      <c r="G390" s="5" t="s">
        <v>373</v>
      </c>
      <c r="H390" s="5" t="s">
        <v>357</v>
      </c>
      <c r="I390" s="11">
        <v>1</v>
      </c>
      <c r="J390" s="5" t="s">
        <v>45</v>
      </c>
      <c r="K390" s="10" t="s">
        <v>46</v>
      </c>
      <c r="L390" s="5" t="s">
        <v>47</v>
      </c>
      <c r="M390" s="5" t="s">
        <v>65</v>
      </c>
      <c r="N390" s="5" t="s">
        <v>66</v>
      </c>
      <c r="O390" s="12"/>
      <c r="S390" s="13">
        <v>2262</v>
      </c>
      <c r="U390" s="13">
        <v>2262</v>
      </c>
      <c r="AC390" s="10" t="s">
        <v>954</v>
      </c>
      <c r="AD390" s="5" t="s">
        <v>942</v>
      </c>
      <c r="AE390" s="5" t="s">
        <v>63</v>
      </c>
      <c r="AG390" s="5" t="s">
        <v>955</v>
      </c>
    </row>
    <row r="391" spans="1:33" ht="10" customHeight="1" x14ac:dyDescent="0.2">
      <c r="A391" s="5" t="s">
        <v>40</v>
      </c>
      <c r="B391" s="5" t="s">
        <v>41</v>
      </c>
      <c r="D391" s="5" t="s">
        <v>956</v>
      </c>
      <c r="E391" s="10" t="s">
        <v>345</v>
      </c>
      <c r="F391" s="5" t="s">
        <v>70</v>
      </c>
      <c r="G391" s="5" t="s">
        <v>373</v>
      </c>
      <c r="H391" s="5" t="s">
        <v>357</v>
      </c>
      <c r="I391" s="11">
        <v>1</v>
      </c>
      <c r="J391" s="5" t="s">
        <v>45</v>
      </c>
      <c r="K391" s="10" t="s">
        <v>46</v>
      </c>
      <c r="L391" s="5" t="s">
        <v>47</v>
      </c>
      <c r="M391" s="5" t="s">
        <v>65</v>
      </c>
      <c r="N391" s="5" t="s">
        <v>66</v>
      </c>
      <c r="O391" s="12"/>
      <c r="P391" s="13">
        <v>2594</v>
      </c>
      <c r="S391" s="13">
        <v>3215</v>
      </c>
      <c r="U391" s="13">
        <v>3215</v>
      </c>
      <c r="AC391" s="10" t="s">
        <v>957</v>
      </c>
      <c r="AD391" s="5" t="s">
        <v>942</v>
      </c>
      <c r="AE391" s="5" t="s">
        <v>63</v>
      </c>
      <c r="AG391" s="5" t="s">
        <v>958</v>
      </c>
    </row>
    <row r="392" spans="1:33" ht="10" customHeight="1" x14ac:dyDescent="0.2">
      <c r="A392" s="5" t="s">
        <v>40</v>
      </c>
      <c r="B392" s="5" t="s">
        <v>41</v>
      </c>
      <c r="D392" s="5" t="s">
        <v>959</v>
      </c>
      <c r="E392" s="10" t="s">
        <v>345</v>
      </c>
      <c r="F392" s="5" t="s">
        <v>70</v>
      </c>
      <c r="G392" s="5" t="s">
        <v>373</v>
      </c>
      <c r="H392" s="5" t="s">
        <v>357</v>
      </c>
      <c r="I392" s="11">
        <v>1</v>
      </c>
      <c r="J392" s="5" t="s">
        <v>45</v>
      </c>
      <c r="K392" s="10" t="s">
        <v>46</v>
      </c>
      <c r="L392" s="5" t="s">
        <v>47</v>
      </c>
      <c r="M392" s="5" t="s">
        <v>65</v>
      </c>
      <c r="N392" s="5" t="s">
        <v>66</v>
      </c>
      <c r="O392" s="12"/>
      <c r="S392" s="13">
        <v>990</v>
      </c>
      <c r="U392" s="13">
        <v>990</v>
      </c>
      <c r="AC392" s="10" t="s">
        <v>960</v>
      </c>
      <c r="AD392" s="5" t="s">
        <v>942</v>
      </c>
      <c r="AE392" s="5" t="s">
        <v>63</v>
      </c>
      <c r="AG392" s="5" t="s">
        <v>961</v>
      </c>
    </row>
    <row r="393" spans="1:33" ht="10" customHeight="1" x14ac:dyDescent="0.2">
      <c r="A393" s="5" t="s">
        <v>40</v>
      </c>
      <c r="B393" s="5" t="s">
        <v>41</v>
      </c>
      <c r="D393" s="5" t="s">
        <v>962</v>
      </c>
      <c r="E393" s="10" t="s">
        <v>345</v>
      </c>
      <c r="F393" s="5" t="s">
        <v>70</v>
      </c>
      <c r="G393" s="5" t="s">
        <v>373</v>
      </c>
      <c r="H393" s="5" t="s">
        <v>357</v>
      </c>
      <c r="I393" s="11">
        <v>1</v>
      </c>
      <c r="J393" s="5" t="s">
        <v>45</v>
      </c>
      <c r="K393" s="10" t="s">
        <v>46</v>
      </c>
      <c r="L393" s="5" t="s">
        <v>47</v>
      </c>
      <c r="M393" s="5" t="s">
        <v>65</v>
      </c>
      <c r="N393" s="5" t="s">
        <v>66</v>
      </c>
      <c r="O393" s="12"/>
      <c r="P393" s="13">
        <v>3524</v>
      </c>
      <c r="S393" s="13">
        <v>3928</v>
      </c>
      <c r="U393" s="13">
        <v>3928</v>
      </c>
      <c r="AC393" s="10" t="s">
        <v>963</v>
      </c>
      <c r="AD393" s="5" t="s">
        <v>942</v>
      </c>
      <c r="AE393" s="5" t="s">
        <v>63</v>
      </c>
      <c r="AG393" s="5" t="s">
        <v>964</v>
      </c>
    </row>
    <row r="394" spans="1:33" ht="10" customHeight="1" x14ac:dyDescent="0.2">
      <c r="A394" s="5" t="s">
        <v>40</v>
      </c>
      <c r="B394" s="5" t="s">
        <v>41</v>
      </c>
      <c r="D394" s="5" t="s">
        <v>965</v>
      </c>
      <c r="E394" s="10" t="s">
        <v>345</v>
      </c>
      <c r="F394" s="5" t="s">
        <v>70</v>
      </c>
      <c r="G394" s="5" t="s">
        <v>373</v>
      </c>
      <c r="H394" s="5" t="s">
        <v>357</v>
      </c>
      <c r="I394" s="11">
        <v>1</v>
      </c>
      <c r="J394" s="5" t="s">
        <v>45</v>
      </c>
      <c r="K394" s="10" t="s">
        <v>46</v>
      </c>
      <c r="L394" s="5" t="s">
        <v>47</v>
      </c>
      <c r="M394" s="5" t="s">
        <v>65</v>
      </c>
      <c r="N394" s="5" t="s">
        <v>66</v>
      </c>
      <c r="O394" s="12"/>
      <c r="P394" s="13">
        <v>2898</v>
      </c>
      <c r="S394" s="13">
        <v>3887</v>
      </c>
      <c r="U394" s="13">
        <v>3887</v>
      </c>
      <c r="AC394" s="10" t="s">
        <v>966</v>
      </c>
      <c r="AD394" s="5" t="s">
        <v>942</v>
      </c>
      <c r="AE394" s="5" t="s">
        <v>63</v>
      </c>
      <c r="AG394" s="5" t="s">
        <v>967</v>
      </c>
    </row>
    <row r="395" spans="1:33" ht="10" customHeight="1" x14ac:dyDescent="0.2">
      <c r="A395" s="5" t="s">
        <v>40</v>
      </c>
      <c r="B395" s="5" t="s">
        <v>41</v>
      </c>
      <c r="D395" s="5" t="s">
        <v>968</v>
      </c>
      <c r="E395" s="10" t="s">
        <v>345</v>
      </c>
      <c r="F395" s="5" t="s">
        <v>70</v>
      </c>
      <c r="G395" s="5" t="s">
        <v>373</v>
      </c>
      <c r="H395" s="5" t="s">
        <v>357</v>
      </c>
      <c r="I395" s="11">
        <v>1</v>
      </c>
      <c r="J395" s="5" t="s">
        <v>45</v>
      </c>
      <c r="K395" s="10" t="s">
        <v>46</v>
      </c>
      <c r="L395" s="5" t="s">
        <v>47</v>
      </c>
      <c r="M395" s="5" t="s">
        <v>65</v>
      </c>
      <c r="N395" s="5" t="s">
        <v>66</v>
      </c>
      <c r="O395" s="12"/>
      <c r="P395" s="13">
        <v>18058</v>
      </c>
      <c r="S395" s="13">
        <v>18809</v>
      </c>
      <c r="U395" s="13">
        <v>18809</v>
      </c>
      <c r="AC395" s="10" t="s">
        <v>969</v>
      </c>
      <c r="AD395" s="5" t="s">
        <v>942</v>
      </c>
      <c r="AE395" s="5" t="s">
        <v>63</v>
      </c>
      <c r="AG395" s="5" t="s">
        <v>970</v>
      </c>
    </row>
    <row r="396" spans="1:33" ht="10" customHeight="1" x14ac:dyDescent="0.2">
      <c r="A396" s="5" t="s">
        <v>40</v>
      </c>
      <c r="B396" s="5" t="s">
        <v>41</v>
      </c>
      <c r="D396" s="5" t="s">
        <v>971</v>
      </c>
      <c r="E396" s="10" t="s">
        <v>345</v>
      </c>
      <c r="F396" s="5" t="s">
        <v>70</v>
      </c>
      <c r="G396" s="5" t="s">
        <v>373</v>
      </c>
      <c r="H396" s="5" t="s">
        <v>357</v>
      </c>
      <c r="I396" s="11">
        <v>1</v>
      </c>
      <c r="J396" s="5" t="s">
        <v>45</v>
      </c>
      <c r="K396" s="10" t="s">
        <v>46</v>
      </c>
      <c r="L396" s="5" t="s">
        <v>47</v>
      </c>
      <c r="M396" s="5" t="s">
        <v>65</v>
      </c>
      <c r="N396" s="5" t="s">
        <v>66</v>
      </c>
      <c r="O396" s="12"/>
      <c r="P396" s="13">
        <v>1239</v>
      </c>
      <c r="S396" s="13">
        <v>1831</v>
      </c>
      <c r="U396" s="13">
        <v>1831</v>
      </c>
      <c r="AC396" s="10" t="s">
        <v>972</v>
      </c>
      <c r="AD396" s="5" t="s">
        <v>942</v>
      </c>
      <c r="AE396" s="5" t="s">
        <v>63</v>
      </c>
    </row>
    <row r="397" spans="1:33" ht="10" customHeight="1" x14ac:dyDescent="0.2">
      <c r="A397" s="5" t="s">
        <v>40</v>
      </c>
      <c r="B397" s="5" t="s">
        <v>41</v>
      </c>
      <c r="D397" s="5" t="s">
        <v>973</v>
      </c>
      <c r="E397" s="10" t="s">
        <v>345</v>
      </c>
      <c r="F397" s="5" t="s">
        <v>70</v>
      </c>
      <c r="G397" s="5" t="s">
        <v>373</v>
      </c>
      <c r="H397" s="5" t="s">
        <v>357</v>
      </c>
      <c r="I397" s="11">
        <v>1</v>
      </c>
      <c r="J397" s="5" t="s">
        <v>45</v>
      </c>
      <c r="K397" s="10" t="s">
        <v>46</v>
      </c>
      <c r="L397" s="5" t="s">
        <v>47</v>
      </c>
      <c r="M397" s="5" t="s">
        <v>65</v>
      </c>
      <c r="N397" s="5" t="s">
        <v>66</v>
      </c>
      <c r="O397" s="12"/>
      <c r="S397" s="13">
        <v>3424</v>
      </c>
      <c r="U397" s="13">
        <v>3424</v>
      </c>
      <c r="AC397" s="10" t="s">
        <v>974</v>
      </c>
      <c r="AD397" s="5" t="s">
        <v>942</v>
      </c>
      <c r="AE397" s="5" t="s">
        <v>63</v>
      </c>
      <c r="AG397" s="5" t="s">
        <v>975</v>
      </c>
    </row>
    <row r="398" spans="1:33" ht="10" customHeight="1" x14ac:dyDescent="0.2">
      <c r="A398" s="5" t="s">
        <v>40</v>
      </c>
      <c r="B398" s="5" t="s">
        <v>41</v>
      </c>
      <c r="D398" s="5" t="s">
        <v>976</v>
      </c>
      <c r="E398" s="10" t="s">
        <v>345</v>
      </c>
      <c r="F398" s="5" t="s">
        <v>70</v>
      </c>
      <c r="G398" s="5" t="s">
        <v>373</v>
      </c>
      <c r="H398" s="5" t="s">
        <v>357</v>
      </c>
      <c r="I398" s="11">
        <v>1</v>
      </c>
      <c r="J398" s="5" t="s">
        <v>45</v>
      </c>
      <c r="K398" s="10" t="s">
        <v>46</v>
      </c>
      <c r="L398" s="5" t="s">
        <v>47</v>
      </c>
      <c r="M398" s="5" t="s">
        <v>65</v>
      </c>
      <c r="N398" s="5" t="s">
        <v>66</v>
      </c>
      <c r="O398" s="12"/>
      <c r="P398" s="13">
        <v>4544</v>
      </c>
      <c r="S398" s="13">
        <v>7900</v>
      </c>
      <c r="U398" s="13">
        <v>7900</v>
      </c>
      <c r="AC398" s="10" t="s">
        <v>977</v>
      </c>
      <c r="AD398" s="5" t="s">
        <v>942</v>
      </c>
      <c r="AE398" s="5" t="s">
        <v>63</v>
      </c>
      <c r="AG398" s="5" t="s">
        <v>978</v>
      </c>
    </row>
    <row r="399" spans="1:33" ht="10" customHeight="1" x14ac:dyDescent="0.2">
      <c r="A399" s="5" t="s">
        <v>40</v>
      </c>
      <c r="B399" s="5" t="s">
        <v>41</v>
      </c>
      <c r="D399" s="5" t="s">
        <v>979</v>
      </c>
      <c r="E399" s="10" t="s">
        <v>345</v>
      </c>
      <c r="F399" s="5" t="s">
        <v>70</v>
      </c>
      <c r="G399" s="5" t="s">
        <v>373</v>
      </c>
      <c r="H399" s="5" t="s">
        <v>357</v>
      </c>
      <c r="I399" s="11">
        <v>1</v>
      </c>
      <c r="J399" s="5" t="s">
        <v>45</v>
      </c>
      <c r="K399" s="10" t="s">
        <v>46</v>
      </c>
      <c r="L399" s="5" t="s">
        <v>47</v>
      </c>
      <c r="M399" s="5" t="s">
        <v>65</v>
      </c>
      <c r="N399" s="5" t="s">
        <v>66</v>
      </c>
      <c r="O399" s="12"/>
      <c r="P399" s="13">
        <v>1397</v>
      </c>
      <c r="S399" s="13">
        <v>2300</v>
      </c>
      <c r="U399" s="13">
        <v>2300</v>
      </c>
      <c r="AC399" s="10" t="s">
        <v>980</v>
      </c>
      <c r="AD399" s="5" t="s">
        <v>942</v>
      </c>
      <c r="AE399" s="5" t="s">
        <v>63</v>
      </c>
      <c r="AG399" s="5" t="s">
        <v>981</v>
      </c>
    </row>
    <row r="400" spans="1:33" ht="10" customHeight="1" x14ac:dyDescent="0.2">
      <c r="A400" s="5" t="s">
        <v>40</v>
      </c>
      <c r="B400" s="5" t="s">
        <v>41</v>
      </c>
      <c r="D400" s="5" t="s">
        <v>982</v>
      </c>
      <c r="E400" s="10" t="s">
        <v>345</v>
      </c>
      <c r="F400" s="5" t="s">
        <v>70</v>
      </c>
      <c r="G400" s="5" t="s">
        <v>373</v>
      </c>
      <c r="H400" s="5" t="s">
        <v>357</v>
      </c>
      <c r="I400" s="11">
        <v>1</v>
      </c>
      <c r="J400" s="5" t="s">
        <v>45</v>
      </c>
      <c r="K400" s="10" t="s">
        <v>46</v>
      </c>
      <c r="L400" s="5" t="s">
        <v>47</v>
      </c>
      <c r="M400" s="5" t="s">
        <v>65</v>
      </c>
      <c r="N400" s="5" t="s">
        <v>66</v>
      </c>
      <c r="O400" s="12"/>
      <c r="S400" s="13">
        <v>1115</v>
      </c>
      <c r="U400" s="13">
        <v>1115</v>
      </c>
      <c r="AC400" s="10" t="s">
        <v>983</v>
      </c>
      <c r="AD400" s="5" t="s">
        <v>942</v>
      </c>
      <c r="AE400" s="5" t="s">
        <v>63</v>
      </c>
      <c r="AG400" s="5" t="s">
        <v>984</v>
      </c>
    </row>
    <row r="401" spans="1:33" ht="10" customHeight="1" x14ac:dyDescent="0.2">
      <c r="A401" s="5" t="s">
        <v>40</v>
      </c>
      <c r="B401" s="5" t="s">
        <v>41</v>
      </c>
      <c r="D401" s="5" t="s">
        <v>985</v>
      </c>
      <c r="E401" s="10" t="s">
        <v>345</v>
      </c>
      <c r="F401" s="5" t="s">
        <v>70</v>
      </c>
      <c r="G401" s="5" t="s">
        <v>373</v>
      </c>
      <c r="H401" s="5" t="s">
        <v>357</v>
      </c>
      <c r="I401" s="11">
        <v>1</v>
      </c>
      <c r="J401" s="5" t="s">
        <v>45</v>
      </c>
      <c r="K401" s="10" t="s">
        <v>46</v>
      </c>
      <c r="L401" s="5" t="s">
        <v>47</v>
      </c>
      <c r="M401" s="5" t="s">
        <v>65</v>
      </c>
      <c r="N401" s="5" t="s">
        <v>66</v>
      </c>
      <c r="O401" s="12"/>
      <c r="S401" s="13">
        <v>2283</v>
      </c>
      <c r="U401" s="13">
        <v>2283</v>
      </c>
      <c r="AC401" s="10" t="s">
        <v>986</v>
      </c>
      <c r="AD401" s="5" t="s">
        <v>942</v>
      </c>
      <c r="AE401" s="5" t="s">
        <v>63</v>
      </c>
      <c r="AG401" s="5" t="s">
        <v>987</v>
      </c>
    </row>
    <row r="402" spans="1:33" ht="10" customHeight="1" x14ac:dyDescent="0.2">
      <c r="A402" s="5" t="s">
        <v>40</v>
      </c>
      <c r="B402" s="5" t="s">
        <v>41</v>
      </c>
      <c r="D402" s="5" t="s">
        <v>988</v>
      </c>
      <c r="E402" s="10" t="s">
        <v>345</v>
      </c>
      <c r="F402" s="5" t="s">
        <v>70</v>
      </c>
      <c r="G402" s="5" t="s">
        <v>373</v>
      </c>
      <c r="H402" s="5" t="s">
        <v>357</v>
      </c>
      <c r="I402" s="11">
        <v>1</v>
      </c>
      <c r="J402" s="5" t="s">
        <v>45</v>
      </c>
      <c r="K402" s="10" t="s">
        <v>46</v>
      </c>
      <c r="L402" s="5" t="s">
        <v>47</v>
      </c>
      <c r="M402" s="5" t="s">
        <v>65</v>
      </c>
      <c r="N402" s="5" t="s">
        <v>66</v>
      </c>
      <c r="O402" s="12"/>
      <c r="S402" s="13">
        <v>1883</v>
      </c>
      <c r="U402" s="13">
        <v>1883</v>
      </c>
      <c r="AC402" s="10" t="s">
        <v>989</v>
      </c>
      <c r="AD402" s="5" t="s">
        <v>942</v>
      </c>
      <c r="AE402" s="5" t="s">
        <v>63</v>
      </c>
    </row>
    <row r="403" spans="1:33" ht="10" customHeight="1" x14ac:dyDescent="0.2">
      <c r="A403" s="5" t="s">
        <v>40</v>
      </c>
      <c r="B403" s="5" t="s">
        <v>41</v>
      </c>
      <c r="D403" s="5" t="s">
        <v>990</v>
      </c>
      <c r="E403" s="10" t="s">
        <v>345</v>
      </c>
      <c r="F403" s="5" t="s">
        <v>70</v>
      </c>
      <c r="G403" s="5" t="s">
        <v>373</v>
      </c>
      <c r="H403" s="5" t="s">
        <v>357</v>
      </c>
      <c r="I403" s="11">
        <v>1</v>
      </c>
      <c r="J403" s="5" t="s">
        <v>45</v>
      </c>
      <c r="K403" s="10" t="s">
        <v>46</v>
      </c>
      <c r="L403" s="5" t="s">
        <v>47</v>
      </c>
      <c r="M403" s="5" t="s">
        <v>65</v>
      </c>
      <c r="N403" s="5" t="s">
        <v>66</v>
      </c>
      <c r="O403" s="12"/>
      <c r="S403" s="13">
        <v>4003</v>
      </c>
      <c r="U403" s="13">
        <v>4003</v>
      </c>
      <c r="AC403" s="10" t="s">
        <v>991</v>
      </c>
      <c r="AD403" s="5" t="s">
        <v>942</v>
      </c>
      <c r="AE403" s="5" t="s">
        <v>63</v>
      </c>
      <c r="AG403" s="5" t="s">
        <v>992</v>
      </c>
    </row>
    <row r="404" spans="1:33" ht="10" customHeight="1" x14ac:dyDescent="0.2">
      <c r="A404" s="5" t="s">
        <v>40</v>
      </c>
      <c r="B404" s="5" t="s">
        <v>41</v>
      </c>
      <c r="D404" s="5" t="s">
        <v>993</v>
      </c>
      <c r="E404" s="10" t="s">
        <v>345</v>
      </c>
      <c r="F404" s="5" t="s">
        <v>70</v>
      </c>
      <c r="G404" s="5" t="s">
        <v>373</v>
      </c>
      <c r="H404" s="5" t="s">
        <v>357</v>
      </c>
      <c r="I404" s="11">
        <v>1</v>
      </c>
      <c r="J404" s="5" t="s">
        <v>45</v>
      </c>
      <c r="K404" s="10" t="s">
        <v>46</v>
      </c>
      <c r="L404" s="5" t="s">
        <v>47</v>
      </c>
      <c r="M404" s="5" t="s">
        <v>65</v>
      </c>
      <c r="N404" s="5" t="s">
        <v>66</v>
      </c>
      <c r="O404" s="12"/>
      <c r="S404" s="13">
        <v>2351</v>
      </c>
      <c r="U404" s="13">
        <v>2351</v>
      </c>
      <c r="AC404" s="10" t="s">
        <v>994</v>
      </c>
      <c r="AD404" s="5" t="s">
        <v>942</v>
      </c>
      <c r="AE404" s="5" t="s">
        <v>63</v>
      </c>
    </row>
    <row r="405" spans="1:33" ht="10" customHeight="1" x14ac:dyDescent="0.2">
      <c r="A405" s="5" t="s">
        <v>40</v>
      </c>
      <c r="B405" s="5" t="s">
        <v>41</v>
      </c>
      <c r="D405" s="5" t="s">
        <v>995</v>
      </c>
      <c r="E405" s="10" t="s">
        <v>345</v>
      </c>
      <c r="F405" s="5" t="s">
        <v>70</v>
      </c>
      <c r="G405" s="5" t="s">
        <v>373</v>
      </c>
      <c r="H405" s="5" t="s">
        <v>357</v>
      </c>
      <c r="I405" s="11">
        <v>1</v>
      </c>
      <c r="J405" s="5" t="s">
        <v>45</v>
      </c>
      <c r="K405" s="10" t="s">
        <v>46</v>
      </c>
      <c r="L405" s="5" t="s">
        <v>47</v>
      </c>
      <c r="M405" s="5" t="s">
        <v>65</v>
      </c>
      <c r="N405" s="5" t="s">
        <v>66</v>
      </c>
      <c r="O405" s="12"/>
      <c r="P405" s="13">
        <v>11209</v>
      </c>
      <c r="S405" s="13">
        <v>10646</v>
      </c>
      <c r="U405" s="13">
        <v>10646</v>
      </c>
      <c r="AC405" s="10" t="s">
        <v>996</v>
      </c>
      <c r="AD405" s="5" t="s">
        <v>942</v>
      </c>
      <c r="AE405" s="5" t="s">
        <v>63</v>
      </c>
      <c r="AG405" s="5" t="s">
        <v>997</v>
      </c>
    </row>
    <row r="406" spans="1:33" ht="10" customHeight="1" x14ac:dyDescent="0.2">
      <c r="A406" s="5" t="s">
        <v>40</v>
      </c>
      <c r="B406" s="5" t="s">
        <v>41</v>
      </c>
      <c r="D406" s="5" t="s">
        <v>998</v>
      </c>
      <c r="E406" s="10" t="s">
        <v>345</v>
      </c>
      <c r="F406" s="5" t="s">
        <v>70</v>
      </c>
      <c r="I406" s="11">
        <v>1</v>
      </c>
      <c r="J406" s="5" t="s">
        <v>45</v>
      </c>
      <c r="K406" s="10" t="s">
        <v>46</v>
      </c>
      <c r="L406" s="5" t="s">
        <v>47</v>
      </c>
      <c r="M406" s="5" t="s">
        <v>65</v>
      </c>
      <c r="N406" s="5" t="s">
        <v>66</v>
      </c>
      <c r="O406" s="12"/>
      <c r="S406" s="13">
        <v>11503</v>
      </c>
      <c r="U406" s="13">
        <v>11503</v>
      </c>
      <c r="AC406" s="10" t="s">
        <v>999</v>
      </c>
      <c r="AD406" s="5" t="s">
        <v>1000</v>
      </c>
      <c r="AE406" s="5" t="s">
        <v>63</v>
      </c>
    </row>
    <row r="407" spans="1:33" ht="10" customHeight="1" x14ac:dyDescent="0.2">
      <c r="A407" s="5" t="s">
        <v>40</v>
      </c>
      <c r="B407" s="5" t="s">
        <v>41</v>
      </c>
      <c r="D407" s="5" t="s">
        <v>1001</v>
      </c>
      <c r="E407" s="10" t="s">
        <v>345</v>
      </c>
      <c r="F407" s="5" t="s">
        <v>70</v>
      </c>
      <c r="I407" s="11">
        <v>1</v>
      </c>
      <c r="J407" s="5" t="s">
        <v>45</v>
      </c>
      <c r="K407" s="10" t="s">
        <v>46</v>
      </c>
      <c r="L407" s="5" t="s">
        <v>47</v>
      </c>
      <c r="M407" s="5" t="s">
        <v>65</v>
      </c>
      <c r="N407" s="5" t="s">
        <v>66</v>
      </c>
      <c r="O407" s="12"/>
      <c r="S407" s="13">
        <v>10875</v>
      </c>
      <c r="U407" s="13">
        <v>10875</v>
      </c>
      <c r="AC407" s="10" t="s">
        <v>1002</v>
      </c>
      <c r="AD407" s="5" t="s">
        <v>1000</v>
      </c>
      <c r="AE407" s="5" t="s">
        <v>63</v>
      </c>
    </row>
    <row r="408" spans="1:33" ht="10" customHeight="1" x14ac:dyDescent="0.2">
      <c r="A408" s="5" t="s">
        <v>40</v>
      </c>
      <c r="B408" s="5" t="s">
        <v>41</v>
      </c>
      <c r="D408" s="5" t="s">
        <v>1003</v>
      </c>
      <c r="E408" s="10" t="s">
        <v>345</v>
      </c>
      <c r="F408" s="5" t="s">
        <v>70</v>
      </c>
      <c r="G408" s="5" t="s">
        <v>373</v>
      </c>
      <c r="H408" s="5" t="s">
        <v>363</v>
      </c>
      <c r="I408" s="11">
        <v>1</v>
      </c>
      <c r="J408" s="5" t="s">
        <v>45</v>
      </c>
      <c r="K408" s="10" t="s">
        <v>46</v>
      </c>
      <c r="L408" s="5" t="s">
        <v>47</v>
      </c>
      <c r="M408" s="5" t="s">
        <v>65</v>
      </c>
      <c r="N408" s="5" t="s">
        <v>66</v>
      </c>
      <c r="O408" s="12"/>
      <c r="P408" s="13">
        <v>23996</v>
      </c>
      <c r="S408" s="13">
        <v>16494</v>
      </c>
      <c r="U408" s="13">
        <v>16494</v>
      </c>
      <c r="AC408" s="10" t="s">
        <v>1004</v>
      </c>
      <c r="AD408" s="5" t="s">
        <v>1005</v>
      </c>
      <c r="AE408" s="5" t="s">
        <v>63</v>
      </c>
      <c r="AG408" s="5" t="s">
        <v>1006</v>
      </c>
    </row>
    <row r="409" spans="1:33" ht="10" customHeight="1" x14ac:dyDescent="0.2">
      <c r="A409" s="5" t="s">
        <v>40</v>
      </c>
      <c r="B409" s="5" t="s">
        <v>41</v>
      </c>
      <c r="D409" s="5" t="s">
        <v>1007</v>
      </c>
      <c r="E409" s="10" t="s">
        <v>345</v>
      </c>
      <c r="F409" s="5" t="s">
        <v>70</v>
      </c>
      <c r="G409" s="5" t="s">
        <v>373</v>
      </c>
      <c r="H409" s="5" t="s">
        <v>363</v>
      </c>
      <c r="I409" s="11">
        <v>1</v>
      </c>
      <c r="J409" s="5" t="s">
        <v>45</v>
      </c>
      <c r="K409" s="10" t="s">
        <v>46</v>
      </c>
      <c r="L409" s="5" t="s">
        <v>47</v>
      </c>
      <c r="M409" s="5" t="s">
        <v>65</v>
      </c>
      <c r="N409" s="5" t="s">
        <v>66</v>
      </c>
      <c r="O409" s="12"/>
      <c r="P409" s="13">
        <v>2008</v>
      </c>
      <c r="S409" s="13">
        <v>2068</v>
      </c>
      <c r="U409" s="13">
        <v>2068</v>
      </c>
      <c r="AC409" s="10" t="s">
        <v>1008</v>
      </c>
      <c r="AD409" s="5" t="s">
        <v>1005</v>
      </c>
      <c r="AE409" s="5" t="s">
        <v>63</v>
      </c>
      <c r="AG409" s="5" t="s">
        <v>1009</v>
      </c>
    </row>
    <row r="410" spans="1:33" ht="10" customHeight="1" x14ac:dyDescent="0.2">
      <c r="A410" s="5" t="s">
        <v>40</v>
      </c>
      <c r="B410" s="5" t="s">
        <v>41</v>
      </c>
      <c r="D410" s="5" t="s">
        <v>1010</v>
      </c>
      <c r="E410" s="10" t="s">
        <v>345</v>
      </c>
      <c r="F410" s="5" t="s">
        <v>70</v>
      </c>
      <c r="G410" s="5" t="s">
        <v>373</v>
      </c>
      <c r="H410" s="5" t="s">
        <v>363</v>
      </c>
      <c r="I410" s="11">
        <v>1</v>
      </c>
      <c r="J410" s="5" t="s">
        <v>45</v>
      </c>
      <c r="K410" s="10" t="s">
        <v>46</v>
      </c>
      <c r="L410" s="5" t="s">
        <v>47</v>
      </c>
      <c r="M410" s="5" t="s">
        <v>65</v>
      </c>
      <c r="N410" s="5" t="s">
        <v>66</v>
      </c>
      <c r="O410" s="12"/>
      <c r="P410" s="13">
        <v>810</v>
      </c>
      <c r="S410" s="13">
        <v>620</v>
      </c>
      <c r="U410" s="13">
        <v>620</v>
      </c>
      <c r="AC410" s="10" t="s">
        <v>1011</v>
      </c>
      <c r="AD410" s="5" t="s">
        <v>1005</v>
      </c>
      <c r="AE410" s="5" t="s">
        <v>63</v>
      </c>
      <c r="AG410" s="5" t="s">
        <v>1012</v>
      </c>
    </row>
    <row r="411" spans="1:33" ht="10" customHeight="1" x14ac:dyDescent="0.2">
      <c r="A411" s="5" t="s">
        <v>40</v>
      </c>
      <c r="B411" s="5" t="s">
        <v>41</v>
      </c>
      <c r="D411" s="5" t="s">
        <v>1013</v>
      </c>
      <c r="E411" s="10" t="s">
        <v>345</v>
      </c>
      <c r="F411" s="5" t="s">
        <v>70</v>
      </c>
      <c r="G411" s="5" t="s">
        <v>373</v>
      </c>
      <c r="H411" s="5" t="s">
        <v>363</v>
      </c>
      <c r="I411" s="11">
        <v>1</v>
      </c>
      <c r="J411" s="5" t="s">
        <v>45</v>
      </c>
      <c r="K411" s="10" t="s">
        <v>46</v>
      </c>
      <c r="L411" s="5" t="s">
        <v>47</v>
      </c>
      <c r="M411" s="5" t="s">
        <v>65</v>
      </c>
      <c r="N411" s="5" t="s">
        <v>66</v>
      </c>
      <c r="O411" s="12"/>
      <c r="S411" s="13">
        <v>825</v>
      </c>
      <c r="U411" s="13">
        <v>825</v>
      </c>
      <c r="AC411" s="10" t="s">
        <v>1014</v>
      </c>
      <c r="AD411" s="5" t="s">
        <v>1005</v>
      </c>
      <c r="AE411" s="5" t="s">
        <v>63</v>
      </c>
      <c r="AG411" s="5" t="s">
        <v>1015</v>
      </c>
    </row>
    <row r="412" spans="1:33" ht="10" customHeight="1" x14ac:dyDescent="0.2">
      <c r="A412" s="5" t="s">
        <v>40</v>
      </c>
      <c r="B412" s="5" t="s">
        <v>41</v>
      </c>
      <c r="D412" s="5" t="s">
        <v>1016</v>
      </c>
      <c r="E412" s="10" t="s">
        <v>345</v>
      </c>
      <c r="F412" s="5" t="s">
        <v>70</v>
      </c>
      <c r="G412" s="5" t="s">
        <v>373</v>
      </c>
      <c r="H412" s="5" t="s">
        <v>363</v>
      </c>
      <c r="I412" s="11">
        <v>1</v>
      </c>
      <c r="J412" s="5" t="s">
        <v>45</v>
      </c>
      <c r="K412" s="10" t="s">
        <v>46</v>
      </c>
      <c r="L412" s="5" t="s">
        <v>47</v>
      </c>
      <c r="M412" s="5" t="s">
        <v>65</v>
      </c>
      <c r="N412" s="5" t="s">
        <v>66</v>
      </c>
      <c r="O412" s="12"/>
      <c r="P412" s="13">
        <v>3171</v>
      </c>
      <c r="S412" s="13">
        <v>3114</v>
      </c>
      <c r="U412" s="13">
        <v>3114</v>
      </c>
      <c r="AC412" s="10" t="s">
        <v>1017</v>
      </c>
      <c r="AD412" s="5" t="s">
        <v>1005</v>
      </c>
      <c r="AE412" s="5" t="s">
        <v>63</v>
      </c>
      <c r="AG412" s="5" t="s">
        <v>1018</v>
      </c>
    </row>
    <row r="413" spans="1:33" ht="10" customHeight="1" x14ac:dyDescent="0.2">
      <c r="A413" s="5" t="s">
        <v>40</v>
      </c>
      <c r="B413" s="5" t="s">
        <v>41</v>
      </c>
      <c r="D413" s="5" t="s">
        <v>1019</v>
      </c>
      <c r="E413" s="10" t="s">
        <v>345</v>
      </c>
      <c r="F413" s="5" t="s">
        <v>70</v>
      </c>
      <c r="G413" s="5" t="s">
        <v>373</v>
      </c>
      <c r="H413" s="5" t="s">
        <v>366</v>
      </c>
      <c r="I413" s="11">
        <v>1</v>
      </c>
      <c r="J413" s="5" t="s">
        <v>45</v>
      </c>
      <c r="K413" s="10" t="s">
        <v>46</v>
      </c>
      <c r="L413" s="5" t="s">
        <v>47</v>
      </c>
      <c r="M413" s="5" t="s">
        <v>65</v>
      </c>
      <c r="N413" s="5" t="s">
        <v>66</v>
      </c>
      <c r="O413" s="12"/>
      <c r="P413" s="13">
        <v>678430</v>
      </c>
      <c r="S413" s="13">
        <v>758239</v>
      </c>
      <c r="U413" s="13">
        <v>758239</v>
      </c>
      <c r="AC413" s="10" t="s">
        <v>1020</v>
      </c>
      <c r="AD413" s="5" t="s">
        <v>1021</v>
      </c>
      <c r="AE413" s="5" t="s">
        <v>63</v>
      </c>
      <c r="AG413" s="5" t="s">
        <v>1022</v>
      </c>
    </row>
    <row r="414" spans="1:33" ht="10" customHeight="1" x14ac:dyDescent="0.2">
      <c r="A414" s="5" t="s">
        <v>40</v>
      </c>
      <c r="B414" s="5" t="s">
        <v>41</v>
      </c>
      <c r="D414" s="5" t="s">
        <v>1023</v>
      </c>
      <c r="E414" s="10" t="s">
        <v>345</v>
      </c>
      <c r="F414" s="5" t="s">
        <v>70</v>
      </c>
      <c r="G414" s="5" t="s">
        <v>373</v>
      </c>
      <c r="H414" s="5" t="s">
        <v>366</v>
      </c>
      <c r="I414" s="11">
        <v>1</v>
      </c>
      <c r="J414" s="5" t="s">
        <v>45</v>
      </c>
      <c r="K414" s="10" t="s">
        <v>46</v>
      </c>
      <c r="L414" s="5" t="s">
        <v>47</v>
      </c>
      <c r="M414" s="5" t="s">
        <v>65</v>
      </c>
      <c r="N414" s="5" t="s">
        <v>66</v>
      </c>
      <c r="O414" s="12"/>
      <c r="P414" s="13">
        <v>77157</v>
      </c>
      <c r="S414" s="13">
        <v>60559</v>
      </c>
      <c r="U414" s="13">
        <v>60559</v>
      </c>
      <c r="AC414" s="10" t="s">
        <v>1024</v>
      </c>
      <c r="AD414" s="5" t="s">
        <v>1021</v>
      </c>
      <c r="AE414" s="5" t="s">
        <v>63</v>
      </c>
      <c r="AG414" s="5" t="s">
        <v>1025</v>
      </c>
    </row>
    <row r="415" spans="1:33" ht="10" customHeight="1" x14ac:dyDescent="0.2">
      <c r="A415" s="5" t="s">
        <v>40</v>
      </c>
      <c r="B415" s="5" t="s">
        <v>41</v>
      </c>
      <c r="D415" s="5" t="s">
        <v>1026</v>
      </c>
      <c r="E415" s="10" t="s">
        <v>345</v>
      </c>
      <c r="F415" s="5" t="s">
        <v>70</v>
      </c>
      <c r="G415" s="5" t="s">
        <v>373</v>
      </c>
      <c r="H415" s="5" t="s">
        <v>366</v>
      </c>
      <c r="I415" s="11">
        <v>1</v>
      </c>
      <c r="J415" s="5" t="s">
        <v>45</v>
      </c>
      <c r="K415" s="10" t="s">
        <v>46</v>
      </c>
      <c r="L415" s="5" t="s">
        <v>47</v>
      </c>
      <c r="M415" s="5" t="s">
        <v>65</v>
      </c>
      <c r="N415" s="5" t="s">
        <v>66</v>
      </c>
      <c r="O415" s="12"/>
      <c r="P415" s="13">
        <v>260082</v>
      </c>
      <c r="S415" s="13">
        <v>385090</v>
      </c>
      <c r="U415" s="13">
        <v>385090</v>
      </c>
      <c r="AC415" s="10" t="s">
        <v>1027</v>
      </c>
      <c r="AD415" s="5" t="s">
        <v>1021</v>
      </c>
      <c r="AE415" s="5" t="s">
        <v>63</v>
      </c>
      <c r="AG415" s="5" t="s">
        <v>1028</v>
      </c>
    </row>
    <row r="416" spans="1:33" ht="10" customHeight="1" x14ac:dyDescent="0.2">
      <c r="A416" s="5" t="s">
        <v>40</v>
      </c>
      <c r="B416" s="5" t="s">
        <v>41</v>
      </c>
      <c r="D416" s="5" t="s">
        <v>1029</v>
      </c>
      <c r="E416" s="10" t="s">
        <v>345</v>
      </c>
      <c r="F416" s="5" t="s">
        <v>70</v>
      </c>
      <c r="G416" s="5" t="s">
        <v>373</v>
      </c>
      <c r="H416" s="5" t="s">
        <v>366</v>
      </c>
      <c r="I416" s="11">
        <v>1</v>
      </c>
      <c r="J416" s="5" t="s">
        <v>45</v>
      </c>
      <c r="K416" s="10" t="s">
        <v>46</v>
      </c>
      <c r="L416" s="5" t="s">
        <v>47</v>
      </c>
      <c r="M416" s="5" t="s">
        <v>65</v>
      </c>
      <c r="N416" s="5" t="s">
        <v>66</v>
      </c>
      <c r="O416" s="12"/>
      <c r="P416" s="13">
        <v>19205</v>
      </c>
      <c r="S416" s="13">
        <v>23277</v>
      </c>
      <c r="U416" s="13">
        <v>23277</v>
      </c>
      <c r="AC416" s="10" t="s">
        <v>1030</v>
      </c>
      <c r="AD416" s="5" t="s">
        <v>1021</v>
      </c>
      <c r="AE416" s="5" t="s">
        <v>63</v>
      </c>
    </row>
    <row r="417" spans="1:33" ht="10" customHeight="1" x14ac:dyDescent="0.2">
      <c r="A417" s="5" t="s">
        <v>40</v>
      </c>
      <c r="B417" s="5" t="s">
        <v>41</v>
      </c>
      <c r="D417" s="5" t="s">
        <v>1031</v>
      </c>
      <c r="E417" s="10" t="s">
        <v>345</v>
      </c>
      <c r="F417" s="5" t="s">
        <v>70</v>
      </c>
      <c r="G417" s="5" t="s">
        <v>373</v>
      </c>
      <c r="H417" s="5" t="s">
        <v>366</v>
      </c>
      <c r="I417" s="11">
        <v>1</v>
      </c>
      <c r="J417" s="5" t="s">
        <v>45</v>
      </c>
      <c r="K417" s="10" t="s">
        <v>46</v>
      </c>
      <c r="L417" s="5" t="s">
        <v>47</v>
      </c>
      <c r="M417" s="5" t="s">
        <v>65</v>
      </c>
      <c r="N417" s="5" t="s">
        <v>66</v>
      </c>
      <c r="O417" s="12"/>
      <c r="P417" s="13">
        <v>3483</v>
      </c>
      <c r="S417" s="13">
        <v>4216</v>
      </c>
      <c r="U417" s="13">
        <v>4216</v>
      </c>
      <c r="AC417" s="10" t="s">
        <v>1032</v>
      </c>
      <c r="AD417" s="5" t="s">
        <v>1021</v>
      </c>
      <c r="AE417" s="5" t="s">
        <v>63</v>
      </c>
      <c r="AG417" s="5" t="s">
        <v>1033</v>
      </c>
    </row>
    <row r="418" spans="1:33" ht="10" customHeight="1" x14ac:dyDescent="0.2">
      <c r="A418" s="5" t="s">
        <v>40</v>
      </c>
      <c r="B418" s="5" t="s">
        <v>41</v>
      </c>
      <c r="D418" s="5" t="s">
        <v>1034</v>
      </c>
      <c r="E418" s="10" t="s">
        <v>345</v>
      </c>
      <c r="F418" s="5" t="s">
        <v>70</v>
      </c>
      <c r="G418" s="5" t="s">
        <v>373</v>
      </c>
      <c r="H418" s="5" t="s">
        <v>366</v>
      </c>
      <c r="I418" s="11">
        <v>1</v>
      </c>
      <c r="J418" s="5" t="s">
        <v>45</v>
      </c>
      <c r="K418" s="10" t="s">
        <v>46</v>
      </c>
      <c r="L418" s="5" t="s">
        <v>47</v>
      </c>
      <c r="M418" s="5" t="s">
        <v>65</v>
      </c>
      <c r="N418" s="5" t="s">
        <v>66</v>
      </c>
      <c r="O418" s="12"/>
      <c r="P418" s="13">
        <v>44337</v>
      </c>
      <c r="S418" s="13">
        <v>46523</v>
      </c>
      <c r="U418" s="13">
        <v>46523</v>
      </c>
      <c r="AC418" s="10" t="s">
        <v>1035</v>
      </c>
      <c r="AD418" s="5" t="s">
        <v>1021</v>
      </c>
      <c r="AE418" s="5" t="s">
        <v>63</v>
      </c>
      <c r="AG418" s="5" t="s">
        <v>1036</v>
      </c>
    </row>
    <row r="419" spans="1:33" ht="10" customHeight="1" x14ac:dyDescent="0.2">
      <c r="A419" s="5" t="s">
        <v>40</v>
      </c>
      <c r="B419" s="5" t="s">
        <v>41</v>
      </c>
      <c r="D419" s="5" t="s">
        <v>1037</v>
      </c>
      <c r="E419" s="10" t="s">
        <v>345</v>
      </c>
      <c r="F419" s="5" t="s">
        <v>70</v>
      </c>
      <c r="G419" s="5" t="s">
        <v>373</v>
      </c>
      <c r="H419" s="5" t="s">
        <v>366</v>
      </c>
      <c r="I419" s="11">
        <v>1</v>
      </c>
      <c r="J419" s="5" t="s">
        <v>45</v>
      </c>
      <c r="K419" s="10" t="s">
        <v>46</v>
      </c>
      <c r="L419" s="5" t="s">
        <v>47</v>
      </c>
      <c r="M419" s="5" t="s">
        <v>65</v>
      </c>
      <c r="N419" s="5" t="s">
        <v>66</v>
      </c>
      <c r="O419" s="12"/>
      <c r="P419" s="13">
        <v>5356</v>
      </c>
      <c r="S419" s="13">
        <v>8657</v>
      </c>
      <c r="U419" s="13">
        <v>8657</v>
      </c>
      <c r="AC419" s="10" t="s">
        <v>1038</v>
      </c>
      <c r="AD419" s="5" t="s">
        <v>1021</v>
      </c>
      <c r="AE419" s="5" t="s">
        <v>63</v>
      </c>
      <c r="AG419" s="5" t="s">
        <v>1039</v>
      </c>
    </row>
    <row r="420" spans="1:33" ht="10" customHeight="1" x14ac:dyDescent="0.2">
      <c r="A420" s="5" t="s">
        <v>40</v>
      </c>
      <c r="B420" s="5" t="s">
        <v>41</v>
      </c>
      <c r="D420" s="5" t="s">
        <v>1040</v>
      </c>
      <c r="E420" s="10" t="s">
        <v>345</v>
      </c>
      <c r="F420" s="5" t="s">
        <v>70</v>
      </c>
      <c r="G420" s="5" t="s">
        <v>373</v>
      </c>
      <c r="H420" s="5" t="s">
        <v>366</v>
      </c>
      <c r="I420" s="11">
        <v>1</v>
      </c>
      <c r="J420" s="5" t="s">
        <v>45</v>
      </c>
      <c r="K420" s="10" t="s">
        <v>46</v>
      </c>
      <c r="L420" s="5" t="s">
        <v>47</v>
      </c>
      <c r="M420" s="5" t="s">
        <v>65</v>
      </c>
      <c r="N420" s="5" t="s">
        <v>66</v>
      </c>
      <c r="O420" s="12"/>
      <c r="P420" s="13">
        <v>16102</v>
      </c>
      <c r="S420" s="13">
        <v>18584</v>
      </c>
      <c r="U420" s="13">
        <v>18584</v>
      </c>
      <c r="AC420" s="10" t="s">
        <v>1041</v>
      </c>
      <c r="AD420" s="5" t="s">
        <v>1021</v>
      </c>
      <c r="AE420" s="5" t="s">
        <v>63</v>
      </c>
      <c r="AG420" s="5" t="s">
        <v>1042</v>
      </c>
    </row>
    <row r="421" spans="1:33" ht="10" customHeight="1" x14ac:dyDescent="0.2">
      <c r="A421" s="5" t="s">
        <v>40</v>
      </c>
      <c r="B421" s="5" t="s">
        <v>41</v>
      </c>
      <c r="D421" s="5" t="s">
        <v>1043</v>
      </c>
      <c r="E421" s="10" t="s">
        <v>345</v>
      </c>
      <c r="F421" s="5" t="s">
        <v>70</v>
      </c>
      <c r="G421" s="5" t="s">
        <v>373</v>
      </c>
      <c r="H421" s="5" t="s">
        <v>366</v>
      </c>
      <c r="I421" s="11">
        <v>1</v>
      </c>
      <c r="J421" s="5" t="s">
        <v>45</v>
      </c>
      <c r="K421" s="10" t="s">
        <v>46</v>
      </c>
      <c r="L421" s="5" t="s">
        <v>47</v>
      </c>
      <c r="M421" s="5" t="s">
        <v>65</v>
      </c>
      <c r="N421" s="5" t="s">
        <v>66</v>
      </c>
      <c r="O421" s="12"/>
      <c r="P421" s="13">
        <v>7694</v>
      </c>
      <c r="S421" s="13">
        <v>8656</v>
      </c>
      <c r="U421" s="13">
        <v>8656</v>
      </c>
      <c r="AC421" s="10" t="s">
        <v>1044</v>
      </c>
      <c r="AD421" s="5" t="s">
        <v>1021</v>
      </c>
      <c r="AE421" s="5" t="s">
        <v>63</v>
      </c>
    </row>
    <row r="422" spans="1:33" ht="10" customHeight="1" x14ac:dyDescent="0.2">
      <c r="A422" s="5" t="s">
        <v>40</v>
      </c>
      <c r="B422" s="5" t="s">
        <v>41</v>
      </c>
      <c r="D422" s="5" t="s">
        <v>1045</v>
      </c>
      <c r="E422" s="10" t="s">
        <v>345</v>
      </c>
      <c r="F422" s="5" t="s">
        <v>70</v>
      </c>
      <c r="G422" s="5" t="s">
        <v>373</v>
      </c>
      <c r="H422" s="5" t="s">
        <v>366</v>
      </c>
      <c r="I422" s="11">
        <v>1</v>
      </c>
      <c r="J422" s="5" t="s">
        <v>45</v>
      </c>
      <c r="K422" s="10" t="s">
        <v>46</v>
      </c>
      <c r="L422" s="5" t="s">
        <v>47</v>
      </c>
      <c r="M422" s="5" t="s">
        <v>65</v>
      </c>
      <c r="N422" s="5" t="s">
        <v>66</v>
      </c>
      <c r="O422" s="12"/>
      <c r="S422" s="13">
        <v>8837</v>
      </c>
      <c r="U422" s="13">
        <v>8837</v>
      </c>
      <c r="AC422" s="10" t="s">
        <v>1046</v>
      </c>
      <c r="AD422" s="5" t="s">
        <v>1021</v>
      </c>
      <c r="AE422" s="5" t="s">
        <v>63</v>
      </c>
      <c r="AG422" s="5" t="s">
        <v>1047</v>
      </c>
    </row>
    <row r="423" spans="1:33" ht="10" customHeight="1" x14ac:dyDescent="0.2">
      <c r="A423" s="5" t="s">
        <v>40</v>
      </c>
      <c r="B423" s="5" t="s">
        <v>41</v>
      </c>
      <c r="D423" s="5" t="s">
        <v>1048</v>
      </c>
      <c r="E423" s="10" t="s">
        <v>345</v>
      </c>
      <c r="F423" s="5" t="s">
        <v>70</v>
      </c>
      <c r="G423" s="5" t="s">
        <v>373</v>
      </c>
      <c r="H423" s="5" t="s">
        <v>366</v>
      </c>
      <c r="I423" s="11">
        <v>1</v>
      </c>
      <c r="J423" s="5" t="s">
        <v>45</v>
      </c>
      <c r="K423" s="10" t="s">
        <v>46</v>
      </c>
      <c r="L423" s="5" t="s">
        <v>47</v>
      </c>
      <c r="M423" s="5" t="s">
        <v>65</v>
      </c>
      <c r="N423" s="5" t="s">
        <v>66</v>
      </c>
      <c r="O423" s="12"/>
      <c r="S423" s="13">
        <v>5523</v>
      </c>
      <c r="U423" s="13">
        <v>5523</v>
      </c>
      <c r="AC423" s="10" t="s">
        <v>1049</v>
      </c>
      <c r="AD423" s="5" t="s">
        <v>1021</v>
      </c>
      <c r="AE423" s="5" t="s">
        <v>63</v>
      </c>
      <c r="AG423" s="5" t="s">
        <v>1050</v>
      </c>
    </row>
    <row r="424" spans="1:33" ht="10" customHeight="1" x14ac:dyDescent="0.2">
      <c r="A424" s="5" t="s">
        <v>40</v>
      </c>
      <c r="B424" s="5" t="s">
        <v>41</v>
      </c>
      <c r="D424" s="5" t="s">
        <v>1051</v>
      </c>
      <c r="E424" s="10" t="s">
        <v>345</v>
      </c>
      <c r="F424" s="5" t="s">
        <v>70</v>
      </c>
      <c r="G424" s="5" t="s">
        <v>373</v>
      </c>
      <c r="H424" s="5" t="s">
        <v>366</v>
      </c>
      <c r="I424" s="11">
        <v>1</v>
      </c>
      <c r="J424" s="5" t="s">
        <v>45</v>
      </c>
      <c r="K424" s="10" t="s">
        <v>46</v>
      </c>
      <c r="L424" s="5" t="s">
        <v>47</v>
      </c>
      <c r="M424" s="5" t="s">
        <v>65</v>
      </c>
      <c r="N424" s="5" t="s">
        <v>66</v>
      </c>
      <c r="O424" s="12"/>
      <c r="S424" s="13">
        <v>46100</v>
      </c>
      <c r="U424" s="13">
        <v>46100</v>
      </c>
      <c r="AC424" s="10" t="s">
        <v>1052</v>
      </c>
      <c r="AD424" s="5" t="s">
        <v>1021</v>
      </c>
      <c r="AE424" s="5" t="s">
        <v>63</v>
      </c>
      <c r="AG424" s="5" t="s">
        <v>1053</v>
      </c>
    </row>
    <row r="425" spans="1:33" ht="10" customHeight="1" x14ac:dyDescent="0.2">
      <c r="A425" s="5" t="s">
        <v>40</v>
      </c>
      <c r="B425" s="5" t="s">
        <v>41</v>
      </c>
      <c r="D425" s="5" t="s">
        <v>1054</v>
      </c>
      <c r="E425" s="10" t="s">
        <v>345</v>
      </c>
      <c r="F425" s="5" t="s">
        <v>70</v>
      </c>
      <c r="G425" s="5" t="s">
        <v>373</v>
      </c>
      <c r="H425" s="5" t="s">
        <v>366</v>
      </c>
      <c r="I425" s="11">
        <v>1</v>
      </c>
      <c r="J425" s="5" t="s">
        <v>45</v>
      </c>
      <c r="K425" s="10" t="s">
        <v>46</v>
      </c>
      <c r="L425" s="5" t="s">
        <v>47</v>
      </c>
      <c r="M425" s="5" t="s">
        <v>65</v>
      </c>
      <c r="N425" s="5" t="s">
        <v>66</v>
      </c>
      <c r="O425" s="12"/>
      <c r="P425" s="13">
        <v>2527</v>
      </c>
      <c r="S425" s="13">
        <v>2820</v>
      </c>
      <c r="U425" s="13">
        <v>2820</v>
      </c>
      <c r="AC425" s="10" t="s">
        <v>1055</v>
      </c>
      <c r="AD425" s="5" t="s">
        <v>1021</v>
      </c>
      <c r="AE425" s="5" t="s">
        <v>63</v>
      </c>
      <c r="AG425" s="5" t="s">
        <v>1056</v>
      </c>
    </row>
    <row r="426" spans="1:33" ht="10" customHeight="1" x14ac:dyDescent="0.2">
      <c r="A426" s="5" t="s">
        <v>40</v>
      </c>
      <c r="B426" s="5" t="s">
        <v>41</v>
      </c>
      <c r="D426" s="5" t="s">
        <v>1057</v>
      </c>
      <c r="E426" s="10" t="s">
        <v>345</v>
      </c>
      <c r="F426" s="5" t="s">
        <v>70</v>
      </c>
      <c r="G426" s="5" t="s">
        <v>373</v>
      </c>
      <c r="H426" s="5" t="s">
        <v>366</v>
      </c>
      <c r="I426" s="11">
        <v>1</v>
      </c>
      <c r="J426" s="5" t="s">
        <v>45</v>
      </c>
      <c r="K426" s="10" t="s">
        <v>46</v>
      </c>
      <c r="L426" s="5" t="s">
        <v>47</v>
      </c>
      <c r="M426" s="5" t="s">
        <v>65</v>
      </c>
      <c r="N426" s="5" t="s">
        <v>66</v>
      </c>
      <c r="O426" s="12"/>
      <c r="P426" s="13">
        <v>1089</v>
      </c>
      <c r="S426" s="13">
        <v>1972</v>
      </c>
      <c r="U426" s="13">
        <v>1972</v>
      </c>
      <c r="AC426" s="10" t="s">
        <v>1058</v>
      </c>
      <c r="AD426" s="5" t="s">
        <v>1021</v>
      </c>
      <c r="AE426" s="5" t="s">
        <v>63</v>
      </c>
      <c r="AG426" s="5" t="s">
        <v>1059</v>
      </c>
    </row>
    <row r="427" spans="1:33" ht="10" customHeight="1" x14ac:dyDescent="0.2">
      <c r="A427" s="5" t="s">
        <v>40</v>
      </c>
      <c r="B427" s="5" t="s">
        <v>41</v>
      </c>
      <c r="D427" s="5" t="s">
        <v>1060</v>
      </c>
      <c r="E427" s="10" t="s">
        <v>345</v>
      </c>
      <c r="F427" s="5" t="s">
        <v>70</v>
      </c>
      <c r="G427" s="5" t="s">
        <v>373</v>
      </c>
      <c r="H427" s="5" t="s">
        <v>366</v>
      </c>
      <c r="I427" s="11">
        <v>1</v>
      </c>
      <c r="J427" s="5" t="s">
        <v>45</v>
      </c>
      <c r="K427" s="10" t="s">
        <v>46</v>
      </c>
      <c r="L427" s="5" t="s">
        <v>47</v>
      </c>
      <c r="M427" s="5" t="s">
        <v>65</v>
      </c>
      <c r="N427" s="5" t="s">
        <v>66</v>
      </c>
      <c r="O427" s="12"/>
      <c r="P427" s="13">
        <v>889</v>
      </c>
      <c r="S427" s="13">
        <v>1096</v>
      </c>
      <c r="U427" s="13">
        <v>1096</v>
      </c>
      <c r="AC427" s="10" t="s">
        <v>1061</v>
      </c>
      <c r="AD427" s="5" t="s">
        <v>1021</v>
      </c>
      <c r="AE427" s="5" t="s">
        <v>63</v>
      </c>
      <c r="AG427" s="5" t="s">
        <v>1062</v>
      </c>
    </row>
    <row r="428" spans="1:33" ht="10" customHeight="1" x14ac:dyDescent="0.2">
      <c r="A428" s="5" t="s">
        <v>40</v>
      </c>
      <c r="B428" s="5" t="s">
        <v>41</v>
      </c>
      <c r="D428" s="5" t="s">
        <v>1063</v>
      </c>
      <c r="E428" s="10" t="s">
        <v>345</v>
      </c>
      <c r="F428" s="5" t="s">
        <v>70</v>
      </c>
      <c r="G428" s="5" t="s">
        <v>373</v>
      </c>
      <c r="H428" s="5" t="s">
        <v>366</v>
      </c>
      <c r="I428" s="11">
        <v>1</v>
      </c>
      <c r="J428" s="5" t="s">
        <v>45</v>
      </c>
      <c r="K428" s="10" t="s">
        <v>46</v>
      </c>
      <c r="L428" s="5" t="s">
        <v>47</v>
      </c>
      <c r="M428" s="5" t="s">
        <v>65</v>
      </c>
      <c r="N428" s="5" t="s">
        <v>66</v>
      </c>
      <c r="O428" s="12"/>
      <c r="S428" s="13">
        <v>2090</v>
      </c>
      <c r="U428" s="13">
        <v>2090</v>
      </c>
      <c r="AC428" s="10" t="s">
        <v>1064</v>
      </c>
      <c r="AD428" s="5" t="s">
        <v>1021</v>
      </c>
      <c r="AE428" s="5" t="s">
        <v>63</v>
      </c>
    </row>
    <row r="429" spans="1:33" ht="10" customHeight="1" x14ac:dyDescent="0.2">
      <c r="A429" s="5" t="s">
        <v>40</v>
      </c>
      <c r="B429" s="5" t="s">
        <v>41</v>
      </c>
      <c r="D429" s="5" t="s">
        <v>1065</v>
      </c>
      <c r="E429" s="10" t="s">
        <v>345</v>
      </c>
      <c r="F429" s="5" t="s">
        <v>70</v>
      </c>
      <c r="G429" s="5" t="s">
        <v>373</v>
      </c>
      <c r="H429" s="5" t="s">
        <v>366</v>
      </c>
      <c r="I429" s="11">
        <v>1</v>
      </c>
      <c r="J429" s="5" t="s">
        <v>45</v>
      </c>
      <c r="K429" s="10" t="s">
        <v>46</v>
      </c>
      <c r="L429" s="5" t="s">
        <v>47</v>
      </c>
      <c r="M429" s="5" t="s">
        <v>65</v>
      </c>
      <c r="N429" s="5" t="s">
        <v>66</v>
      </c>
      <c r="O429" s="12"/>
      <c r="S429" s="13">
        <v>5018</v>
      </c>
      <c r="U429" s="13">
        <v>5018</v>
      </c>
      <c r="AC429" s="10" t="s">
        <v>1066</v>
      </c>
      <c r="AD429" s="5" t="s">
        <v>1021</v>
      </c>
      <c r="AE429" s="5" t="s">
        <v>63</v>
      </c>
    </row>
    <row r="430" spans="1:33" ht="10" customHeight="1" x14ac:dyDescent="0.2">
      <c r="A430" s="5" t="s">
        <v>40</v>
      </c>
      <c r="B430" s="5" t="s">
        <v>41</v>
      </c>
      <c r="D430" s="5" t="s">
        <v>1067</v>
      </c>
      <c r="E430" s="10" t="s">
        <v>345</v>
      </c>
      <c r="F430" s="5" t="s">
        <v>70</v>
      </c>
      <c r="G430" s="5" t="s">
        <v>373</v>
      </c>
      <c r="H430" s="5" t="s">
        <v>366</v>
      </c>
      <c r="I430" s="11">
        <v>1</v>
      </c>
      <c r="J430" s="5" t="s">
        <v>45</v>
      </c>
      <c r="K430" s="10" t="s">
        <v>46</v>
      </c>
      <c r="L430" s="5" t="s">
        <v>47</v>
      </c>
      <c r="M430" s="5" t="s">
        <v>65</v>
      </c>
      <c r="N430" s="5" t="s">
        <v>66</v>
      </c>
      <c r="O430" s="12"/>
      <c r="P430" s="13">
        <v>2371</v>
      </c>
      <c r="S430" s="13">
        <v>2677</v>
      </c>
      <c r="U430" s="13">
        <v>2677</v>
      </c>
      <c r="AC430" s="10" t="s">
        <v>1068</v>
      </c>
      <c r="AD430" s="5" t="s">
        <v>1021</v>
      </c>
      <c r="AE430" s="5" t="s">
        <v>63</v>
      </c>
      <c r="AG430" s="5" t="s">
        <v>1069</v>
      </c>
    </row>
    <row r="431" spans="1:33" ht="10" customHeight="1" x14ac:dyDescent="0.2">
      <c r="A431" s="5" t="s">
        <v>40</v>
      </c>
      <c r="B431" s="5" t="s">
        <v>41</v>
      </c>
      <c r="D431" s="5" t="s">
        <v>1070</v>
      </c>
      <c r="E431" s="10" t="s">
        <v>345</v>
      </c>
      <c r="F431" s="5" t="s">
        <v>70</v>
      </c>
      <c r="G431" s="5" t="s">
        <v>373</v>
      </c>
      <c r="H431" s="5" t="s">
        <v>366</v>
      </c>
      <c r="I431" s="11">
        <v>1</v>
      </c>
      <c r="J431" s="5" t="s">
        <v>45</v>
      </c>
      <c r="K431" s="10" t="s">
        <v>46</v>
      </c>
      <c r="L431" s="5" t="s">
        <v>47</v>
      </c>
      <c r="M431" s="5" t="s">
        <v>65</v>
      </c>
      <c r="N431" s="5" t="s">
        <v>66</v>
      </c>
      <c r="O431" s="12"/>
      <c r="P431" s="13">
        <v>2338</v>
      </c>
      <c r="S431" s="13">
        <v>1995</v>
      </c>
      <c r="U431" s="13">
        <v>1995</v>
      </c>
      <c r="AC431" s="10" t="s">
        <v>1071</v>
      </c>
      <c r="AD431" s="5" t="s">
        <v>1021</v>
      </c>
      <c r="AE431" s="5" t="s">
        <v>63</v>
      </c>
      <c r="AG431" s="5" t="s">
        <v>1072</v>
      </c>
    </row>
    <row r="432" spans="1:33" ht="10" customHeight="1" x14ac:dyDescent="0.2">
      <c r="A432" s="5" t="s">
        <v>40</v>
      </c>
      <c r="B432" s="5" t="s">
        <v>41</v>
      </c>
      <c r="D432" s="5" t="s">
        <v>1073</v>
      </c>
      <c r="E432" s="10" t="s">
        <v>345</v>
      </c>
      <c r="F432" s="5" t="s">
        <v>70</v>
      </c>
      <c r="G432" s="5" t="s">
        <v>373</v>
      </c>
      <c r="H432" s="5" t="s">
        <v>366</v>
      </c>
      <c r="I432" s="11">
        <v>1</v>
      </c>
      <c r="J432" s="5" t="s">
        <v>45</v>
      </c>
      <c r="K432" s="10" t="s">
        <v>46</v>
      </c>
      <c r="L432" s="5" t="s">
        <v>47</v>
      </c>
      <c r="M432" s="5" t="s">
        <v>65</v>
      </c>
      <c r="N432" s="5" t="s">
        <v>66</v>
      </c>
      <c r="O432" s="12"/>
      <c r="S432" s="13">
        <v>4175</v>
      </c>
      <c r="U432" s="13">
        <v>4175</v>
      </c>
      <c r="AC432" s="10" t="s">
        <v>1074</v>
      </c>
      <c r="AD432" s="5" t="s">
        <v>1021</v>
      </c>
      <c r="AE432" s="5" t="s">
        <v>63</v>
      </c>
      <c r="AG432" s="5" t="s">
        <v>1075</v>
      </c>
    </row>
    <row r="433" spans="1:33" ht="10" customHeight="1" x14ac:dyDescent="0.2">
      <c r="A433" s="5" t="s">
        <v>40</v>
      </c>
      <c r="B433" s="5" t="s">
        <v>41</v>
      </c>
      <c r="D433" s="5" t="s">
        <v>1076</v>
      </c>
      <c r="E433" s="10" t="s">
        <v>345</v>
      </c>
      <c r="F433" s="5" t="s">
        <v>70</v>
      </c>
      <c r="G433" s="5" t="s">
        <v>373</v>
      </c>
      <c r="H433" s="5" t="s">
        <v>366</v>
      </c>
      <c r="I433" s="11">
        <v>1</v>
      </c>
      <c r="J433" s="5" t="s">
        <v>45</v>
      </c>
      <c r="K433" s="10" t="s">
        <v>46</v>
      </c>
      <c r="L433" s="5" t="s">
        <v>47</v>
      </c>
      <c r="M433" s="5" t="s">
        <v>65</v>
      </c>
      <c r="N433" s="5" t="s">
        <v>66</v>
      </c>
      <c r="O433" s="12"/>
      <c r="S433" s="13">
        <v>1693</v>
      </c>
      <c r="U433" s="13">
        <v>1693</v>
      </c>
      <c r="AC433" s="10" t="s">
        <v>1077</v>
      </c>
      <c r="AD433" s="5" t="s">
        <v>1021</v>
      </c>
      <c r="AE433" s="5" t="s">
        <v>63</v>
      </c>
      <c r="AG433" s="5" t="s">
        <v>1078</v>
      </c>
    </row>
    <row r="434" spans="1:33" ht="10" customHeight="1" x14ac:dyDescent="0.2">
      <c r="A434" s="5" t="s">
        <v>40</v>
      </c>
      <c r="B434" s="5" t="s">
        <v>41</v>
      </c>
      <c r="D434" s="5" t="s">
        <v>1079</v>
      </c>
      <c r="E434" s="10" t="s">
        <v>345</v>
      </c>
      <c r="F434" s="5" t="s">
        <v>70</v>
      </c>
      <c r="G434" s="5" t="s">
        <v>373</v>
      </c>
      <c r="H434" s="5" t="s">
        <v>366</v>
      </c>
      <c r="I434" s="11">
        <v>1</v>
      </c>
      <c r="J434" s="5" t="s">
        <v>45</v>
      </c>
      <c r="K434" s="10" t="s">
        <v>46</v>
      </c>
      <c r="L434" s="5" t="s">
        <v>47</v>
      </c>
      <c r="M434" s="5" t="s">
        <v>65</v>
      </c>
      <c r="N434" s="5" t="s">
        <v>66</v>
      </c>
      <c r="O434" s="12"/>
      <c r="S434" s="13">
        <v>4214</v>
      </c>
      <c r="U434" s="13">
        <v>4214</v>
      </c>
      <c r="AC434" s="10" t="s">
        <v>1080</v>
      </c>
      <c r="AD434" s="5" t="s">
        <v>1021</v>
      </c>
      <c r="AE434" s="5" t="s">
        <v>63</v>
      </c>
    </row>
    <row r="435" spans="1:33" ht="10" customHeight="1" x14ac:dyDescent="0.2">
      <c r="A435" s="5" t="s">
        <v>40</v>
      </c>
      <c r="B435" s="5" t="s">
        <v>41</v>
      </c>
      <c r="D435" s="5" t="s">
        <v>1081</v>
      </c>
      <c r="E435" s="10" t="s">
        <v>345</v>
      </c>
      <c r="F435" s="5" t="s">
        <v>70</v>
      </c>
      <c r="G435" s="5" t="s">
        <v>373</v>
      </c>
      <c r="H435" s="5" t="s">
        <v>366</v>
      </c>
      <c r="I435" s="11">
        <v>1</v>
      </c>
      <c r="J435" s="5" t="s">
        <v>45</v>
      </c>
      <c r="K435" s="10" t="s">
        <v>46</v>
      </c>
      <c r="L435" s="5" t="s">
        <v>47</v>
      </c>
      <c r="M435" s="5" t="s">
        <v>65</v>
      </c>
      <c r="N435" s="5" t="s">
        <v>66</v>
      </c>
      <c r="O435" s="12"/>
      <c r="S435" s="13">
        <v>10810</v>
      </c>
      <c r="U435" s="13">
        <v>10810</v>
      </c>
      <c r="AC435" s="10" t="s">
        <v>1082</v>
      </c>
      <c r="AD435" s="5" t="s">
        <v>1021</v>
      </c>
      <c r="AE435" s="5" t="s">
        <v>63</v>
      </c>
      <c r="AG435" s="5" t="s">
        <v>1083</v>
      </c>
    </row>
    <row r="436" spans="1:33" ht="10" customHeight="1" x14ac:dyDescent="0.2">
      <c r="A436" s="5" t="s">
        <v>40</v>
      </c>
      <c r="B436" s="5" t="s">
        <v>41</v>
      </c>
      <c r="D436" s="5" t="s">
        <v>1084</v>
      </c>
      <c r="E436" s="10" t="s">
        <v>345</v>
      </c>
      <c r="F436" s="5" t="s">
        <v>70</v>
      </c>
      <c r="G436" s="5" t="s">
        <v>373</v>
      </c>
      <c r="H436" s="5" t="s">
        <v>366</v>
      </c>
      <c r="I436" s="11">
        <v>1</v>
      </c>
      <c r="J436" s="5" t="s">
        <v>45</v>
      </c>
      <c r="K436" s="10" t="s">
        <v>46</v>
      </c>
      <c r="L436" s="5" t="s">
        <v>47</v>
      </c>
      <c r="M436" s="5" t="s">
        <v>65</v>
      </c>
      <c r="N436" s="5" t="s">
        <v>66</v>
      </c>
      <c r="O436" s="12"/>
      <c r="P436" s="13">
        <v>8072</v>
      </c>
      <c r="S436" s="13">
        <v>9673</v>
      </c>
      <c r="U436" s="13">
        <v>9673</v>
      </c>
      <c r="AC436" s="10" t="s">
        <v>1085</v>
      </c>
      <c r="AD436" s="5" t="s">
        <v>1021</v>
      </c>
      <c r="AE436" s="5" t="s">
        <v>63</v>
      </c>
      <c r="AG436" s="5" t="s">
        <v>1086</v>
      </c>
    </row>
    <row r="437" spans="1:33" ht="10" customHeight="1" x14ac:dyDescent="0.2">
      <c r="A437" s="5" t="s">
        <v>40</v>
      </c>
      <c r="B437" s="5" t="s">
        <v>41</v>
      </c>
      <c r="D437" s="5" t="s">
        <v>1087</v>
      </c>
      <c r="E437" s="10" t="s">
        <v>345</v>
      </c>
      <c r="F437" s="5" t="s">
        <v>70</v>
      </c>
      <c r="G437" s="5" t="s">
        <v>373</v>
      </c>
      <c r="H437" s="5" t="s">
        <v>366</v>
      </c>
      <c r="I437" s="11">
        <v>1</v>
      </c>
      <c r="J437" s="5" t="s">
        <v>45</v>
      </c>
      <c r="K437" s="10" t="s">
        <v>46</v>
      </c>
      <c r="L437" s="5" t="s">
        <v>47</v>
      </c>
      <c r="M437" s="5" t="s">
        <v>65</v>
      </c>
      <c r="N437" s="5" t="s">
        <v>66</v>
      </c>
      <c r="O437" s="12"/>
      <c r="S437" s="13">
        <v>50314</v>
      </c>
      <c r="U437" s="13">
        <v>50314</v>
      </c>
      <c r="AC437" s="10" t="s">
        <v>1088</v>
      </c>
      <c r="AD437" s="5" t="s">
        <v>1089</v>
      </c>
      <c r="AE437" s="5" t="s">
        <v>63</v>
      </c>
    </row>
    <row r="438" spans="1:33" ht="10" customHeight="1" x14ac:dyDescent="0.2">
      <c r="A438" s="5" t="s">
        <v>40</v>
      </c>
      <c r="B438" s="5" t="s">
        <v>41</v>
      </c>
      <c r="D438" s="5" t="s">
        <v>1090</v>
      </c>
      <c r="E438" s="10" t="s">
        <v>345</v>
      </c>
      <c r="F438" s="5" t="s">
        <v>70</v>
      </c>
      <c r="G438" s="5" t="s">
        <v>464</v>
      </c>
      <c r="I438" s="11">
        <v>1</v>
      </c>
      <c r="J438" s="5" t="s">
        <v>45</v>
      </c>
      <c r="K438" s="10" t="s">
        <v>46</v>
      </c>
      <c r="L438" s="5" t="s">
        <v>47</v>
      </c>
      <c r="M438" s="5" t="s">
        <v>65</v>
      </c>
      <c r="N438" s="5" t="s">
        <v>66</v>
      </c>
      <c r="O438" s="12"/>
      <c r="P438" s="13">
        <v>12305</v>
      </c>
      <c r="S438" s="13">
        <v>15121</v>
      </c>
      <c r="U438" s="13">
        <v>15121</v>
      </c>
      <c r="AC438" s="10" t="s">
        <v>1091</v>
      </c>
      <c r="AD438" s="5" t="s">
        <v>1092</v>
      </c>
      <c r="AE438" s="5" t="s">
        <v>63</v>
      </c>
    </row>
    <row r="439" spans="1:33" ht="10" customHeight="1" x14ac:dyDescent="0.2">
      <c r="A439" s="5" t="s">
        <v>40</v>
      </c>
      <c r="B439" s="5" t="s">
        <v>41</v>
      </c>
      <c r="D439" s="5" t="s">
        <v>1093</v>
      </c>
      <c r="E439" s="10" t="s">
        <v>345</v>
      </c>
      <c r="F439" s="5" t="s">
        <v>70</v>
      </c>
      <c r="G439" s="5" t="s">
        <v>464</v>
      </c>
      <c r="I439" s="11">
        <v>1</v>
      </c>
      <c r="J439" s="5" t="s">
        <v>45</v>
      </c>
      <c r="K439" s="10" t="s">
        <v>46</v>
      </c>
      <c r="L439" s="5" t="s">
        <v>47</v>
      </c>
      <c r="M439" s="5" t="s">
        <v>65</v>
      </c>
      <c r="N439" s="5" t="s">
        <v>66</v>
      </c>
      <c r="O439" s="12"/>
      <c r="P439" s="13">
        <v>99</v>
      </c>
      <c r="S439" s="13">
        <v>200</v>
      </c>
      <c r="U439" s="13">
        <v>200</v>
      </c>
      <c r="AC439" s="10" t="s">
        <v>1094</v>
      </c>
      <c r="AD439" s="5" t="s">
        <v>1092</v>
      </c>
      <c r="AE439" s="5" t="s">
        <v>63</v>
      </c>
    </row>
    <row r="440" spans="1:33" ht="10" customHeight="1" x14ac:dyDescent="0.2">
      <c r="A440" s="5" t="s">
        <v>40</v>
      </c>
      <c r="B440" s="5" t="s">
        <v>41</v>
      </c>
      <c r="D440" s="5" t="s">
        <v>1095</v>
      </c>
      <c r="E440" s="10" t="s">
        <v>345</v>
      </c>
      <c r="F440" s="5" t="s">
        <v>70</v>
      </c>
      <c r="G440" s="5" t="s">
        <v>464</v>
      </c>
      <c r="I440" s="11">
        <v>1</v>
      </c>
      <c r="J440" s="5" t="s">
        <v>45</v>
      </c>
      <c r="K440" s="10" t="s">
        <v>46</v>
      </c>
      <c r="L440" s="5" t="s">
        <v>47</v>
      </c>
      <c r="M440" s="5" t="s">
        <v>65</v>
      </c>
      <c r="N440" s="5" t="s">
        <v>66</v>
      </c>
      <c r="O440" s="12"/>
      <c r="P440" s="13">
        <v>627</v>
      </c>
      <c r="S440" s="13">
        <v>901</v>
      </c>
      <c r="U440" s="13">
        <v>901</v>
      </c>
      <c r="AC440" s="10" t="s">
        <v>1096</v>
      </c>
      <c r="AD440" s="5" t="s">
        <v>1092</v>
      </c>
      <c r="AE440" s="5" t="s">
        <v>63</v>
      </c>
    </row>
    <row r="441" spans="1:33" ht="10" customHeight="1" x14ac:dyDescent="0.2">
      <c r="A441" s="5" t="s">
        <v>40</v>
      </c>
      <c r="B441" s="5" t="s">
        <v>41</v>
      </c>
      <c r="D441" s="5" t="s">
        <v>1097</v>
      </c>
      <c r="E441" s="10" t="s">
        <v>345</v>
      </c>
      <c r="F441" s="5" t="s">
        <v>70</v>
      </c>
      <c r="G441" s="5" t="s">
        <v>464</v>
      </c>
      <c r="I441" s="11">
        <v>1</v>
      </c>
      <c r="J441" s="5" t="s">
        <v>45</v>
      </c>
      <c r="K441" s="10" t="s">
        <v>46</v>
      </c>
      <c r="L441" s="5" t="s">
        <v>47</v>
      </c>
      <c r="M441" s="5" t="s">
        <v>65</v>
      </c>
      <c r="N441" s="5" t="s">
        <v>66</v>
      </c>
      <c r="O441" s="12"/>
      <c r="P441" s="13">
        <v>1448</v>
      </c>
      <c r="S441" s="13">
        <v>1070</v>
      </c>
      <c r="U441" s="13">
        <v>1070</v>
      </c>
      <c r="AC441" s="10" t="s">
        <v>1098</v>
      </c>
      <c r="AD441" s="5" t="s">
        <v>1092</v>
      </c>
      <c r="AE441" s="5" t="s">
        <v>63</v>
      </c>
    </row>
    <row r="442" spans="1:33" ht="10" customHeight="1" x14ac:dyDescent="0.2">
      <c r="A442" s="5" t="s">
        <v>40</v>
      </c>
      <c r="B442" s="5" t="s">
        <v>41</v>
      </c>
      <c r="D442" s="5" t="s">
        <v>1099</v>
      </c>
      <c r="E442" s="10" t="s">
        <v>345</v>
      </c>
      <c r="F442" s="5" t="s">
        <v>70</v>
      </c>
      <c r="G442" s="5" t="s">
        <v>464</v>
      </c>
      <c r="I442" s="11">
        <v>1</v>
      </c>
      <c r="J442" s="5" t="s">
        <v>45</v>
      </c>
      <c r="K442" s="10" t="s">
        <v>46</v>
      </c>
      <c r="L442" s="5" t="s">
        <v>47</v>
      </c>
      <c r="M442" s="5" t="s">
        <v>65</v>
      </c>
      <c r="N442" s="5" t="s">
        <v>66</v>
      </c>
      <c r="O442" s="12"/>
      <c r="P442" s="13">
        <v>1061</v>
      </c>
      <c r="S442" s="13">
        <v>1294</v>
      </c>
      <c r="U442" s="13">
        <v>1294</v>
      </c>
      <c r="AC442" s="10" t="s">
        <v>1100</v>
      </c>
      <c r="AD442" s="5" t="s">
        <v>1092</v>
      </c>
      <c r="AE442" s="5" t="s">
        <v>63</v>
      </c>
    </row>
    <row r="443" spans="1:33" ht="10" customHeight="1" x14ac:dyDescent="0.2">
      <c r="A443" s="5" t="s">
        <v>40</v>
      </c>
      <c r="B443" s="5" t="s">
        <v>41</v>
      </c>
      <c r="D443" s="5" t="s">
        <v>1101</v>
      </c>
      <c r="E443" s="10" t="s">
        <v>345</v>
      </c>
      <c r="F443" s="5" t="s">
        <v>70</v>
      </c>
      <c r="G443" s="5" t="s">
        <v>464</v>
      </c>
      <c r="I443" s="11">
        <v>1</v>
      </c>
      <c r="J443" s="5" t="s">
        <v>45</v>
      </c>
      <c r="K443" s="10" t="s">
        <v>46</v>
      </c>
      <c r="L443" s="5" t="s">
        <v>47</v>
      </c>
      <c r="M443" s="5" t="s">
        <v>65</v>
      </c>
      <c r="N443" s="5" t="s">
        <v>66</v>
      </c>
      <c r="O443" s="12"/>
      <c r="P443" s="13">
        <v>3816</v>
      </c>
      <c r="S443" s="13">
        <v>4123</v>
      </c>
      <c r="U443" s="13">
        <v>4123</v>
      </c>
      <c r="AC443" s="10" t="s">
        <v>1102</v>
      </c>
      <c r="AD443" s="5" t="s">
        <v>1092</v>
      </c>
      <c r="AE443" s="5" t="s">
        <v>63</v>
      </c>
      <c r="AG443" s="5" t="s">
        <v>371</v>
      </c>
    </row>
    <row r="444" spans="1:33" ht="10" customHeight="1" x14ac:dyDescent="0.2">
      <c r="A444" s="5" t="s">
        <v>40</v>
      </c>
      <c r="B444" s="5" t="s">
        <v>41</v>
      </c>
      <c r="D444" s="5" t="s">
        <v>1103</v>
      </c>
      <c r="E444" s="10" t="s">
        <v>345</v>
      </c>
      <c r="F444" s="5" t="s">
        <v>70</v>
      </c>
      <c r="G444" s="5" t="s">
        <v>464</v>
      </c>
      <c r="I444" s="11">
        <v>1</v>
      </c>
      <c r="J444" s="5" t="s">
        <v>45</v>
      </c>
      <c r="K444" s="10" t="s">
        <v>46</v>
      </c>
      <c r="L444" s="5" t="s">
        <v>47</v>
      </c>
      <c r="M444" s="5" t="s">
        <v>65</v>
      </c>
      <c r="N444" s="5" t="s">
        <v>66</v>
      </c>
      <c r="O444" s="12"/>
      <c r="P444" s="13">
        <v>4024</v>
      </c>
      <c r="S444" s="13">
        <v>4944</v>
      </c>
      <c r="U444" s="13">
        <v>4944</v>
      </c>
      <c r="AC444" s="10" t="s">
        <v>1104</v>
      </c>
      <c r="AD444" s="5" t="s">
        <v>1105</v>
      </c>
      <c r="AE444" s="5" t="s">
        <v>63</v>
      </c>
    </row>
    <row r="445" spans="1:33" ht="10" customHeight="1" x14ac:dyDescent="0.2">
      <c r="A445" s="5" t="s">
        <v>40</v>
      </c>
      <c r="B445" s="5" t="s">
        <v>41</v>
      </c>
      <c r="D445" s="5" t="s">
        <v>1106</v>
      </c>
      <c r="E445" s="10" t="s">
        <v>345</v>
      </c>
      <c r="F445" s="5" t="s">
        <v>70</v>
      </c>
      <c r="G445" s="5" t="s">
        <v>464</v>
      </c>
      <c r="I445" s="11">
        <v>1</v>
      </c>
      <c r="J445" s="5" t="s">
        <v>45</v>
      </c>
      <c r="K445" s="10" t="s">
        <v>46</v>
      </c>
      <c r="L445" s="5" t="s">
        <v>47</v>
      </c>
      <c r="M445" s="5" t="s">
        <v>65</v>
      </c>
      <c r="N445" s="5" t="s">
        <v>66</v>
      </c>
      <c r="O445" s="12"/>
      <c r="P445" s="13">
        <v>957</v>
      </c>
      <c r="S445" s="13">
        <v>910</v>
      </c>
      <c r="U445" s="13">
        <v>910</v>
      </c>
      <c r="AC445" s="10" t="s">
        <v>1107</v>
      </c>
      <c r="AD445" s="5" t="s">
        <v>1105</v>
      </c>
      <c r="AE445" s="5" t="s">
        <v>63</v>
      </c>
    </row>
    <row r="446" spans="1:33" ht="10" customHeight="1" x14ac:dyDescent="0.2">
      <c r="A446" s="5" t="s">
        <v>40</v>
      </c>
      <c r="B446" s="5" t="s">
        <v>41</v>
      </c>
      <c r="D446" s="5" t="s">
        <v>1108</v>
      </c>
      <c r="E446" s="10" t="s">
        <v>345</v>
      </c>
      <c r="F446" s="5" t="s">
        <v>70</v>
      </c>
      <c r="G446" s="5" t="s">
        <v>464</v>
      </c>
      <c r="I446" s="11">
        <v>1</v>
      </c>
      <c r="J446" s="5" t="s">
        <v>45</v>
      </c>
      <c r="K446" s="10" t="s">
        <v>46</v>
      </c>
      <c r="L446" s="5" t="s">
        <v>47</v>
      </c>
      <c r="M446" s="5" t="s">
        <v>65</v>
      </c>
      <c r="N446" s="5" t="s">
        <v>66</v>
      </c>
      <c r="O446" s="12"/>
      <c r="P446" s="13">
        <v>933</v>
      </c>
      <c r="S446" s="13">
        <v>464</v>
      </c>
      <c r="U446" s="13">
        <v>464</v>
      </c>
      <c r="AC446" s="10" t="s">
        <v>1109</v>
      </c>
      <c r="AD446" s="5" t="s">
        <v>1105</v>
      </c>
      <c r="AE446" s="5" t="s">
        <v>63</v>
      </c>
    </row>
    <row r="447" spans="1:33" ht="10" customHeight="1" x14ac:dyDescent="0.2">
      <c r="A447" s="5" t="s">
        <v>40</v>
      </c>
      <c r="B447" s="5" t="s">
        <v>41</v>
      </c>
      <c r="D447" s="5" t="s">
        <v>1110</v>
      </c>
      <c r="E447" s="10" t="s">
        <v>345</v>
      </c>
      <c r="F447" s="5" t="s">
        <v>70</v>
      </c>
      <c r="G447" s="5" t="s">
        <v>464</v>
      </c>
      <c r="I447" s="11">
        <v>1</v>
      </c>
      <c r="J447" s="5" t="s">
        <v>45</v>
      </c>
      <c r="K447" s="10" t="s">
        <v>46</v>
      </c>
      <c r="L447" s="5" t="s">
        <v>47</v>
      </c>
      <c r="M447" s="5" t="s">
        <v>65</v>
      </c>
      <c r="N447" s="5" t="s">
        <v>66</v>
      </c>
      <c r="O447" s="12"/>
      <c r="P447" s="13">
        <v>586</v>
      </c>
      <c r="S447" s="13">
        <v>716</v>
      </c>
      <c r="U447" s="13">
        <v>716</v>
      </c>
      <c r="AC447" s="10" t="s">
        <v>1111</v>
      </c>
      <c r="AD447" s="5" t="s">
        <v>1105</v>
      </c>
      <c r="AE447" s="5" t="s">
        <v>63</v>
      </c>
    </row>
    <row r="448" spans="1:33" ht="10" customHeight="1" x14ac:dyDescent="0.2">
      <c r="A448" s="5" t="s">
        <v>40</v>
      </c>
      <c r="B448" s="5" t="s">
        <v>41</v>
      </c>
      <c r="D448" s="5" t="s">
        <v>1112</v>
      </c>
      <c r="E448" s="10" t="s">
        <v>345</v>
      </c>
      <c r="F448" s="5" t="s">
        <v>70</v>
      </c>
      <c r="G448" s="5" t="s">
        <v>464</v>
      </c>
      <c r="I448" s="11">
        <v>1</v>
      </c>
      <c r="J448" s="5" t="s">
        <v>45</v>
      </c>
      <c r="K448" s="10" t="s">
        <v>46</v>
      </c>
      <c r="L448" s="5" t="s">
        <v>47</v>
      </c>
      <c r="M448" s="5" t="s">
        <v>65</v>
      </c>
      <c r="N448" s="5" t="s">
        <v>66</v>
      </c>
      <c r="O448" s="12"/>
      <c r="P448" s="13">
        <v>874</v>
      </c>
      <c r="S448" s="13">
        <v>986</v>
      </c>
      <c r="U448" s="13">
        <v>986</v>
      </c>
      <c r="AC448" s="10" t="s">
        <v>1113</v>
      </c>
      <c r="AD448" s="5" t="s">
        <v>1105</v>
      </c>
      <c r="AE448" s="5" t="s">
        <v>63</v>
      </c>
    </row>
    <row r="449" spans="1:31" ht="10" customHeight="1" x14ac:dyDescent="0.2">
      <c r="A449" s="5" t="s">
        <v>40</v>
      </c>
      <c r="B449" s="5" t="s">
        <v>41</v>
      </c>
      <c r="D449" s="5" t="s">
        <v>1114</v>
      </c>
      <c r="E449" s="10" t="s">
        <v>345</v>
      </c>
      <c r="F449" s="5" t="s">
        <v>70</v>
      </c>
      <c r="G449" s="5" t="s">
        <v>464</v>
      </c>
      <c r="I449" s="11">
        <v>1</v>
      </c>
      <c r="J449" s="5" t="s">
        <v>45</v>
      </c>
      <c r="K449" s="10" t="s">
        <v>46</v>
      </c>
      <c r="L449" s="5" t="s">
        <v>47</v>
      </c>
      <c r="M449" s="5" t="s">
        <v>65</v>
      </c>
      <c r="N449" s="5" t="s">
        <v>66</v>
      </c>
      <c r="O449" s="12"/>
      <c r="P449" s="13">
        <v>7730</v>
      </c>
      <c r="S449" s="13">
        <v>7100</v>
      </c>
      <c r="U449" s="13">
        <v>7100</v>
      </c>
      <c r="AC449" s="10" t="s">
        <v>1115</v>
      </c>
      <c r="AD449" s="5" t="s">
        <v>1116</v>
      </c>
      <c r="AE449" s="5" t="s">
        <v>63</v>
      </c>
    </row>
    <row r="450" spans="1:31" ht="10" customHeight="1" x14ac:dyDescent="0.2">
      <c r="A450" s="5" t="s">
        <v>40</v>
      </c>
      <c r="B450" s="5" t="s">
        <v>41</v>
      </c>
      <c r="D450" s="5" t="s">
        <v>1117</v>
      </c>
      <c r="E450" s="10" t="s">
        <v>345</v>
      </c>
      <c r="F450" s="5" t="s">
        <v>70</v>
      </c>
      <c r="G450" s="5" t="s">
        <v>464</v>
      </c>
      <c r="I450" s="11">
        <v>1</v>
      </c>
      <c r="J450" s="5" t="s">
        <v>45</v>
      </c>
      <c r="K450" s="10" t="s">
        <v>46</v>
      </c>
      <c r="L450" s="5" t="s">
        <v>47</v>
      </c>
      <c r="M450" s="5" t="s">
        <v>65</v>
      </c>
      <c r="N450" s="5" t="s">
        <v>66</v>
      </c>
      <c r="O450" s="12"/>
      <c r="S450" s="13">
        <v>58</v>
      </c>
      <c r="U450" s="13">
        <v>58</v>
      </c>
      <c r="AC450" s="10" t="s">
        <v>1118</v>
      </c>
      <c r="AD450" s="5" t="s">
        <v>1116</v>
      </c>
      <c r="AE450" s="5" t="s">
        <v>63</v>
      </c>
    </row>
    <row r="451" spans="1:31" ht="10" customHeight="1" x14ac:dyDescent="0.2">
      <c r="A451" s="5" t="s">
        <v>40</v>
      </c>
      <c r="B451" s="5" t="s">
        <v>41</v>
      </c>
      <c r="D451" s="5" t="s">
        <v>1119</v>
      </c>
      <c r="E451" s="10" t="s">
        <v>345</v>
      </c>
      <c r="F451" s="5" t="s">
        <v>70</v>
      </c>
      <c r="G451" s="5" t="s">
        <v>464</v>
      </c>
      <c r="I451" s="11">
        <v>1</v>
      </c>
      <c r="J451" s="5" t="s">
        <v>45</v>
      </c>
      <c r="K451" s="10" t="s">
        <v>46</v>
      </c>
      <c r="L451" s="5" t="s">
        <v>47</v>
      </c>
      <c r="M451" s="5" t="s">
        <v>65</v>
      </c>
      <c r="N451" s="5" t="s">
        <v>66</v>
      </c>
      <c r="O451" s="12"/>
      <c r="P451" s="13">
        <v>50</v>
      </c>
      <c r="S451" s="13">
        <v>55</v>
      </c>
      <c r="U451" s="13">
        <v>55</v>
      </c>
      <c r="AC451" s="10" t="s">
        <v>1120</v>
      </c>
      <c r="AD451" s="5" t="s">
        <v>1116</v>
      </c>
      <c r="AE451" s="5" t="s">
        <v>63</v>
      </c>
    </row>
    <row r="452" spans="1:31" ht="10" customHeight="1" x14ac:dyDescent="0.2">
      <c r="A452" s="5" t="s">
        <v>40</v>
      </c>
      <c r="B452" s="5" t="s">
        <v>41</v>
      </c>
      <c r="D452" s="5" t="s">
        <v>1121</v>
      </c>
      <c r="E452" s="10" t="s">
        <v>345</v>
      </c>
      <c r="F452" s="5" t="s">
        <v>70</v>
      </c>
      <c r="G452" s="5" t="s">
        <v>464</v>
      </c>
      <c r="I452" s="11">
        <v>1</v>
      </c>
      <c r="J452" s="5" t="s">
        <v>45</v>
      </c>
      <c r="K452" s="10" t="s">
        <v>46</v>
      </c>
      <c r="L452" s="5" t="s">
        <v>47</v>
      </c>
      <c r="M452" s="5" t="s">
        <v>65</v>
      </c>
      <c r="N452" s="5" t="s">
        <v>66</v>
      </c>
      <c r="O452" s="12"/>
      <c r="P452" s="13">
        <v>152</v>
      </c>
      <c r="S452" s="13">
        <v>259</v>
      </c>
      <c r="U452" s="13">
        <v>259</v>
      </c>
      <c r="AC452" s="10" t="s">
        <v>1122</v>
      </c>
      <c r="AD452" s="5" t="s">
        <v>1116</v>
      </c>
      <c r="AE452" s="5" t="s">
        <v>63</v>
      </c>
    </row>
    <row r="453" spans="1:31" ht="10" customHeight="1" x14ac:dyDescent="0.2">
      <c r="A453" s="5" t="s">
        <v>40</v>
      </c>
      <c r="B453" s="5" t="s">
        <v>41</v>
      </c>
      <c r="D453" s="5" t="s">
        <v>1123</v>
      </c>
      <c r="E453" s="10" t="s">
        <v>345</v>
      </c>
      <c r="F453" s="5" t="s">
        <v>70</v>
      </c>
      <c r="G453" s="5" t="s">
        <v>464</v>
      </c>
      <c r="I453" s="11">
        <v>1</v>
      </c>
      <c r="J453" s="5" t="s">
        <v>45</v>
      </c>
      <c r="K453" s="10" t="s">
        <v>46</v>
      </c>
      <c r="L453" s="5" t="s">
        <v>47</v>
      </c>
      <c r="M453" s="5" t="s">
        <v>65</v>
      </c>
      <c r="N453" s="5" t="s">
        <v>66</v>
      </c>
      <c r="O453" s="12"/>
      <c r="P453" s="13">
        <v>269</v>
      </c>
      <c r="S453" s="13">
        <v>371</v>
      </c>
      <c r="U453" s="13">
        <v>371</v>
      </c>
      <c r="AC453" s="10" t="s">
        <v>1124</v>
      </c>
      <c r="AD453" s="5" t="s">
        <v>1116</v>
      </c>
      <c r="AE453" s="5" t="s">
        <v>63</v>
      </c>
    </row>
    <row r="454" spans="1:31" ht="10" customHeight="1" x14ac:dyDescent="0.2">
      <c r="A454" s="5" t="s">
        <v>40</v>
      </c>
      <c r="B454" s="5" t="s">
        <v>41</v>
      </c>
      <c r="D454" s="5" t="s">
        <v>1125</v>
      </c>
      <c r="E454" s="10" t="s">
        <v>345</v>
      </c>
      <c r="F454" s="5" t="s">
        <v>70</v>
      </c>
      <c r="G454" s="5" t="s">
        <v>464</v>
      </c>
      <c r="I454" s="11">
        <v>1</v>
      </c>
      <c r="J454" s="5" t="s">
        <v>45</v>
      </c>
      <c r="K454" s="10" t="s">
        <v>46</v>
      </c>
      <c r="L454" s="5" t="s">
        <v>47</v>
      </c>
      <c r="M454" s="5" t="s">
        <v>65</v>
      </c>
      <c r="N454" s="5" t="s">
        <v>66</v>
      </c>
      <c r="O454" s="12"/>
      <c r="P454" s="13">
        <v>517</v>
      </c>
      <c r="S454" s="13">
        <v>238</v>
      </c>
      <c r="U454" s="13">
        <v>238</v>
      </c>
      <c r="AC454" s="10" t="s">
        <v>1126</v>
      </c>
      <c r="AD454" s="5" t="s">
        <v>1116</v>
      </c>
      <c r="AE454" s="5" t="s">
        <v>63</v>
      </c>
    </row>
    <row r="455" spans="1:31" ht="10" customHeight="1" x14ac:dyDescent="0.2">
      <c r="A455" s="5" t="s">
        <v>40</v>
      </c>
      <c r="B455" s="5" t="s">
        <v>41</v>
      </c>
      <c r="D455" s="5" t="s">
        <v>1127</v>
      </c>
      <c r="E455" s="10" t="s">
        <v>345</v>
      </c>
      <c r="F455" s="5" t="s">
        <v>70</v>
      </c>
      <c r="G455" s="5" t="s">
        <v>464</v>
      </c>
      <c r="I455" s="11">
        <v>1</v>
      </c>
      <c r="J455" s="5" t="s">
        <v>45</v>
      </c>
      <c r="K455" s="10" t="s">
        <v>46</v>
      </c>
      <c r="L455" s="5" t="s">
        <v>47</v>
      </c>
      <c r="M455" s="5" t="s">
        <v>65</v>
      </c>
      <c r="N455" s="5" t="s">
        <v>66</v>
      </c>
      <c r="O455" s="12"/>
      <c r="P455" s="13">
        <v>5903</v>
      </c>
      <c r="S455" s="13">
        <v>6872</v>
      </c>
      <c r="U455" s="13">
        <v>6872</v>
      </c>
      <c r="AC455" s="10" t="s">
        <v>1128</v>
      </c>
      <c r="AD455" s="5" t="s">
        <v>1129</v>
      </c>
      <c r="AE455" s="5" t="s">
        <v>63</v>
      </c>
    </row>
    <row r="456" spans="1:31" ht="10" customHeight="1" x14ac:dyDescent="0.2">
      <c r="A456" s="5" t="s">
        <v>40</v>
      </c>
      <c r="B456" s="5" t="s">
        <v>41</v>
      </c>
      <c r="D456" s="5" t="s">
        <v>1130</v>
      </c>
      <c r="E456" s="10" t="s">
        <v>345</v>
      </c>
      <c r="F456" s="5" t="s">
        <v>70</v>
      </c>
      <c r="G456" s="5" t="s">
        <v>464</v>
      </c>
      <c r="I456" s="11">
        <v>1</v>
      </c>
      <c r="J456" s="5" t="s">
        <v>45</v>
      </c>
      <c r="K456" s="10" t="s">
        <v>46</v>
      </c>
      <c r="L456" s="5" t="s">
        <v>47</v>
      </c>
      <c r="M456" s="5" t="s">
        <v>65</v>
      </c>
      <c r="N456" s="5" t="s">
        <v>66</v>
      </c>
      <c r="O456" s="12"/>
      <c r="P456" s="13">
        <v>11</v>
      </c>
      <c r="S456" s="13">
        <v>55</v>
      </c>
      <c r="U456" s="13">
        <v>55</v>
      </c>
      <c r="AC456" s="10" t="s">
        <v>1131</v>
      </c>
      <c r="AD456" s="5" t="s">
        <v>1129</v>
      </c>
      <c r="AE456" s="5" t="s">
        <v>63</v>
      </c>
    </row>
    <row r="457" spans="1:31" ht="10" customHeight="1" x14ac:dyDescent="0.2">
      <c r="A457" s="5" t="s">
        <v>40</v>
      </c>
      <c r="B457" s="5" t="s">
        <v>41</v>
      </c>
      <c r="D457" s="5" t="s">
        <v>1132</v>
      </c>
      <c r="E457" s="10" t="s">
        <v>345</v>
      </c>
      <c r="F457" s="5" t="s">
        <v>70</v>
      </c>
      <c r="G457" s="5" t="s">
        <v>464</v>
      </c>
      <c r="I457" s="11">
        <v>1</v>
      </c>
      <c r="J457" s="5" t="s">
        <v>45</v>
      </c>
      <c r="K457" s="10" t="s">
        <v>46</v>
      </c>
      <c r="L457" s="5" t="s">
        <v>47</v>
      </c>
      <c r="M457" s="5" t="s">
        <v>65</v>
      </c>
      <c r="N457" s="5" t="s">
        <v>66</v>
      </c>
      <c r="O457" s="12"/>
      <c r="P457" s="13">
        <v>4</v>
      </c>
      <c r="S457" s="13">
        <v>19</v>
      </c>
      <c r="U457" s="13">
        <v>19</v>
      </c>
      <c r="AC457" s="10" t="s">
        <v>1133</v>
      </c>
      <c r="AD457" s="5" t="s">
        <v>1129</v>
      </c>
      <c r="AE457" s="5" t="s">
        <v>63</v>
      </c>
    </row>
    <row r="458" spans="1:31" ht="10" customHeight="1" x14ac:dyDescent="0.2">
      <c r="A458" s="5" t="s">
        <v>40</v>
      </c>
      <c r="B458" s="5" t="s">
        <v>41</v>
      </c>
      <c r="D458" s="5" t="s">
        <v>1134</v>
      </c>
      <c r="E458" s="10" t="s">
        <v>345</v>
      </c>
      <c r="F458" s="5" t="s">
        <v>70</v>
      </c>
      <c r="G458" s="5" t="s">
        <v>464</v>
      </c>
      <c r="I458" s="11">
        <v>1</v>
      </c>
      <c r="J458" s="5" t="s">
        <v>45</v>
      </c>
      <c r="K458" s="10" t="s">
        <v>46</v>
      </c>
      <c r="L458" s="5" t="s">
        <v>47</v>
      </c>
      <c r="M458" s="5" t="s">
        <v>65</v>
      </c>
      <c r="N458" s="5" t="s">
        <v>66</v>
      </c>
      <c r="O458" s="12"/>
      <c r="P458" s="13">
        <v>127</v>
      </c>
      <c r="S458" s="13">
        <v>530</v>
      </c>
      <c r="U458" s="13">
        <v>530</v>
      </c>
      <c r="AC458" s="10" t="s">
        <v>1135</v>
      </c>
      <c r="AD458" s="5" t="s">
        <v>1129</v>
      </c>
      <c r="AE458" s="5" t="s">
        <v>63</v>
      </c>
    </row>
    <row r="459" spans="1:31" ht="10" customHeight="1" x14ac:dyDescent="0.2">
      <c r="A459" s="5" t="s">
        <v>40</v>
      </c>
      <c r="B459" s="5" t="s">
        <v>41</v>
      </c>
      <c r="D459" s="5" t="s">
        <v>1136</v>
      </c>
      <c r="E459" s="10" t="s">
        <v>345</v>
      </c>
      <c r="F459" s="5" t="s">
        <v>70</v>
      </c>
      <c r="G459" s="5" t="s">
        <v>464</v>
      </c>
      <c r="I459" s="11">
        <v>1</v>
      </c>
      <c r="J459" s="5" t="s">
        <v>45</v>
      </c>
      <c r="K459" s="10" t="s">
        <v>46</v>
      </c>
      <c r="L459" s="5" t="s">
        <v>47</v>
      </c>
      <c r="M459" s="5" t="s">
        <v>65</v>
      </c>
      <c r="N459" s="5" t="s">
        <v>66</v>
      </c>
      <c r="O459" s="12"/>
      <c r="P459" s="13">
        <v>108</v>
      </c>
      <c r="S459" s="13">
        <v>51</v>
      </c>
      <c r="U459" s="13">
        <v>51</v>
      </c>
      <c r="AC459" s="10" t="s">
        <v>1137</v>
      </c>
      <c r="AD459" s="5" t="s">
        <v>1129</v>
      </c>
      <c r="AE459" s="5" t="s">
        <v>63</v>
      </c>
    </row>
    <row r="460" spans="1:31" ht="10" customHeight="1" x14ac:dyDescent="0.2">
      <c r="A460" s="5" t="s">
        <v>40</v>
      </c>
      <c r="B460" s="5" t="s">
        <v>41</v>
      </c>
      <c r="D460" s="5" t="s">
        <v>1138</v>
      </c>
      <c r="E460" s="10" t="s">
        <v>345</v>
      </c>
      <c r="F460" s="5" t="s">
        <v>70</v>
      </c>
      <c r="G460" s="5" t="s">
        <v>464</v>
      </c>
      <c r="I460" s="11">
        <v>1</v>
      </c>
      <c r="J460" s="5" t="s">
        <v>45</v>
      </c>
      <c r="K460" s="10" t="s">
        <v>46</v>
      </c>
      <c r="L460" s="5" t="s">
        <v>47</v>
      </c>
      <c r="M460" s="5" t="s">
        <v>65</v>
      </c>
      <c r="N460" s="5" t="s">
        <v>66</v>
      </c>
      <c r="O460" s="12"/>
      <c r="P460" s="13">
        <v>644</v>
      </c>
      <c r="S460" s="13">
        <v>182</v>
      </c>
      <c r="U460" s="13">
        <v>182</v>
      </c>
      <c r="AC460" s="10" t="s">
        <v>1139</v>
      </c>
      <c r="AD460" s="5" t="s">
        <v>1129</v>
      </c>
      <c r="AE460" s="5" t="s">
        <v>63</v>
      </c>
    </row>
    <row r="461" spans="1:31" ht="10" customHeight="1" x14ac:dyDescent="0.2">
      <c r="A461" s="5" t="s">
        <v>40</v>
      </c>
      <c r="B461" s="5" t="s">
        <v>41</v>
      </c>
      <c r="D461" s="5" t="s">
        <v>1140</v>
      </c>
      <c r="E461" s="10" t="s">
        <v>345</v>
      </c>
      <c r="F461" s="5" t="s">
        <v>70</v>
      </c>
      <c r="G461" s="5" t="s">
        <v>464</v>
      </c>
      <c r="I461" s="11">
        <v>1</v>
      </c>
      <c r="J461" s="5" t="s">
        <v>45</v>
      </c>
      <c r="K461" s="10" t="s">
        <v>46</v>
      </c>
      <c r="L461" s="5" t="s">
        <v>47</v>
      </c>
      <c r="M461" s="5" t="s">
        <v>65</v>
      </c>
      <c r="N461" s="5" t="s">
        <v>66</v>
      </c>
      <c r="O461" s="12"/>
      <c r="P461" s="13">
        <v>279</v>
      </c>
      <c r="S461" s="13">
        <v>542</v>
      </c>
      <c r="U461" s="13">
        <v>542</v>
      </c>
      <c r="AC461" s="10" t="s">
        <v>1141</v>
      </c>
      <c r="AD461" s="5" t="s">
        <v>1129</v>
      </c>
      <c r="AE461" s="5" t="s">
        <v>63</v>
      </c>
    </row>
    <row r="462" spans="1:31" ht="10" customHeight="1" x14ac:dyDescent="0.2">
      <c r="A462" s="5" t="s">
        <v>40</v>
      </c>
      <c r="B462" s="5" t="s">
        <v>41</v>
      </c>
      <c r="D462" s="5" t="s">
        <v>1142</v>
      </c>
      <c r="E462" s="10" t="s">
        <v>345</v>
      </c>
      <c r="F462" s="5" t="s">
        <v>70</v>
      </c>
      <c r="G462" s="5" t="s">
        <v>464</v>
      </c>
      <c r="I462" s="11">
        <v>1</v>
      </c>
      <c r="J462" s="5" t="s">
        <v>45</v>
      </c>
      <c r="K462" s="10" t="s">
        <v>46</v>
      </c>
      <c r="L462" s="5" t="s">
        <v>47</v>
      </c>
      <c r="M462" s="5" t="s">
        <v>65</v>
      </c>
      <c r="N462" s="5" t="s">
        <v>66</v>
      </c>
      <c r="O462" s="12"/>
      <c r="P462" s="13">
        <v>7230</v>
      </c>
      <c r="S462" s="13">
        <v>11737</v>
      </c>
      <c r="U462" s="13">
        <v>11737</v>
      </c>
      <c r="AC462" s="10" t="s">
        <v>1143</v>
      </c>
      <c r="AD462" s="5" t="s">
        <v>1144</v>
      </c>
      <c r="AE462" s="5" t="s">
        <v>63</v>
      </c>
    </row>
    <row r="463" spans="1:31" ht="10" customHeight="1" x14ac:dyDescent="0.2">
      <c r="A463" s="5" t="s">
        <v>40</v>
      </c>
      <c r="B463" s="5" t="s">
        <v>41</v>
      </c>
      <c r="D463" s="5" t="s">
        <v>1145</v>
      </c>
      <c r="E463" s="10" t="s">
        <v>345</v>
      </c>
      <c r="F463" s="5" t="s">
        <v>70</v>
      </c>
      <c r="G463" s="5" t="s">
        <v>464</v>
      </c>
      <c r="I463" s="11">
        <v>1</v>
      </c>
      <c r="J463" s="5" t="s">
        <v>45</v>
      </c>
      <c r="K463" s="10" t="s">
        <v>46</v>
      </c>
      <c r="L463" s="5" t="s">
        <v>47</v>
      </c>
      <c r="M463" s="5" t="s">
        <v>65</v>
      </c>
      <c r="N463" s="5" t="s">
        <v>66</v>
      </c>
      <c r="O463" s="12"/>
      <c r="P463" s="13">
        <v>279</v>
      </c>
      <c r="S463" s="13">
        <v>387</v>
      </c>
      <c r="U463" s="13">
        <v>387</v>
      </c>
      <c r="AC463" s="10" t="s">
        <v>1146</v>
      </c>
      <c r="AD463" s="5" t="s">
        <v>1144</v>
      </c>
      <c r="AE463" s="5" t="s">
        <v>63</v>
      </c>
    </row>
    <row r="464" spans="1:31" ht="10" customHeight="1" x14ac:dyDescent="0.2">
      <c r="A464" s="5" t="s">
        <v>40</v>
      </c>
      <c r="B464" s="5" t="s">
        <v>41</v>
      </c>
      <c r="D464" s="5" t="s">
        <v>1147</v>
      </c>
      <c r="E464" s="10" t="s">
        <v>345</v>
      </c>
      <c r="F464" s="5" t="s">
        <v>70</v>
      </c>
      <c r="G464" s="5" t="s">
        <v>464</v>
      </c>
      <c r="I464" s="11">
        <v>1</v>
      </c>
      <c r="J464" s="5" t="s">
        <v>45</v>
      </c>
      <c r="K464" s="10" t="s">
        <v>46</v>
      </c>
      <c r="L464" s="5" t="s">
        <v>47</v>
      </c>
      <c r="M464" s="5" t="s">
        <v>65</v>
      </c>
      <c r="N464" s="5" t="s">
        <v>66</v>
      </c>
      <c r="O464" s="12"/>
      <c r="P464" s="13">
        <v>250</v>
      </c>
      <c r="S464" s="13">
        <v>430</v>
      </c>
      <c r="U464" s="13">
        <v>430</v>
      </c>
      <c r="AC464" s="10" t="s">
        <v>1148</v>
      </c>
      <c r="AD464" s="5" t="s">
        <v>1144</v>
      </c>
      <c r="AE464" s="5" t="s">
        <v>63</v>
      </c>
    </row>
    <row r="465" spans="1:31" ht="10" customHeight="1" x14ac:dyDescent="0.2">
      <c r="A465" s="5" t="s">
        <v>40</v>
      </c>
      <c r="B465" s="5" t="s">
        <v>41</v>
      </c>
      <c r="D465" s="5" t="s">
        <v>1149</v>
      </c>
      <c r="E465" s="10" t="s">
        <v>345</v>
      </c>
      <c r="F465" s="5" t="s">
        <v>70</v>
      </c>
      <c r="G465" s="5" t="s">
        <v>464</v>
      </c>
      <c r="I465" s="11">
        <v>1</v>
      </c>
      <c r="J465" s="5" t="s">
        <v>45</v>
      </c>
      <c r="K465" s="10" t="s">
        <v>46</v>
      </c>
      <c r="L465" s="5" t="s">
        <v>47</v>
      </c>
      <c r="M465" s="5" t="s">
        <v>65</v>
      </c>
      <c r="N465" s="5" t="s">
        <v>66</v>
      </c>
      <c r="O465" s="12"/>
      <c r="P465" s="13">
        <v>119</v>
      </c>
      <c r="S465" s="13">
        <v>208</v>
      </c>
      <c r="U465" s="13">
        <v>208</v>
      </c>
      <c r="AC465" s="10" t="s">
        <v>1150</v>
      </c>
      <c r="AD465" s="5" t="s">
        <v>1144</v>
      </c>
      <c r="AE465" s="5" t="s">
        <v>63</v>
      </c>
    </row>
    <row r="466" spans="1:31" ht="10" customHeight="1" x14ac:dyDescent="0.2">
      <c r="A466" s="5" t="s">
        <v>40</v>
      </c>
      <c r="B466" s="5" t="s">
        <v>41</v>
      </c>
      <c r="D466" s="5" t="s">
        <v>1151</v>
      </c>
      <c r="E466" s="10" t="s">
        <v>345</v>
      </c>
      <c r="F466" s="5" t="s">
        <v>70</v>
      </c>
      <c r="G466" s="5" t="s">
        <v>464</v>
      </c>
      <c r="I466" s="11">
        <v>1</v>
      </c>
      <c r="J466" s="5" t="s">
        <v>45</v>
      </c>
      <c r="K466" s="10" t="s">
        <v>46</v>
      </c>
      <c r="L466" s="5" t="s">
        <v>47</v>
      </c>
      <c r="M466" s="5" t="s">
        <v>65</v>
      </c>
      <c r="N466" s="5" t="s">
        <v>66</v>
      </c>
      <c r="O466" s="12"/>
      <c r="P466" s="13">
        <v>11135</v>
      </c>
      <c r="S466" s="13">
        <v>18900</v>
      </c>
      <c r="U466" s="13">
        <v>18900</v>
      </c>
      <c r="AC466" s="10" t="s">
        <v>1152</v>
      </c>
      <c r="AD466" s="5" t="s">
        <v>1153</v>
      </c>
      <c r="AE466" s="5" t="s">
        <v>63</v>
      </c>
    </row>
    <row r="467" spans="1:31" ht="10" customHeight="1" x14ac:dyDescent="0.2">
      <c r="A467" s="5" t="s">
        <v>40</v>
      </c>
      <c r="B467" s="5" t="s">
        <v>41</v>
      </c>
      <c r="D467" s="5" t="s">
        <v>1154</v>
      </c>
      <c r="E467" s="10" t="s">
        <v>345</v>
      </c>
      <c r="F467" s="5" t="s">
        <v>70</v>
      </c>
      <c r="G467" s="5" t="s">
        <v>464</v>
      </c>
      <c r="I467" s="11">
        <v>1</v>
      </c>
      <c r="J467" s="5" t="s">
        <v>45</v>
      </c>
      <c r="K467" s="10" t="s">
        <v>46</v>
      </c>
      <c r="L467" s="5" t="s">
        <v>47</v>
      </c>
      <c r="M467" s="5" t="s">
        <v>65</v>
      </c>
      <c r="N467" s="5" t="s">
        <v>66</v>
      </c>
      <c r="O467" s="12"/>
      <c r="P467" s="13">
        <v>349</v>
      </c>
      <c r="S467" s="13">
        <v>1556</v>
      </c>
      <c r="U467" s="13">
        <v>1556</v>
      </c>
      <c r="AC467" s="10" t="s">
        <v>1155</v>
      </c>
      <c r="AD467" s="5" t="s">
        <v>1153</v>
      </c>
      <c r="AE467" s="5" t="s">
        <v>63</v>
      </c>
    </row>
    <row r="468" spans="1:31" ht="10" customHeight="1" x14ac:dyDescent="0.2">
      <c r="A468" s="5" t="s">
        <v>40</v>
      </c>
      <c r="B468" s="5" t="s">
        <v>41</v>
      </c>
      <c r="D468" s="5" t="s">
        <v>1156</v>
      </c>
      <c r="E468" s="10" t="s">
        <v>345</v>
      </c>
      <c r="F468" s="5" t="s">
        <v>70</v>
      </c>
      <c r="G468" s="5" t="s">
        <v>464</v>
      </c>
      <c r="I468" s="11">
        <v>1</v>
      </c>
      <c r="J468" s="5" t="s">
        <v>45</v>
      </c>
      <c r="K468" s="10" t="s">
        <v>46</v>
      </c>
      <c r="L468" s="5" t="s">
        <v>47</v>
      </c>
      <c r="M468" s="5" t="s">
        <v>65</v>
      </c>
      <c r="N468" s="5" t="s">
        <v>66</v>
      </c>
      <c r="O468" s="12"/>
      <c r="P468" s="13">
        <v>889</v>
      </c>
      <c r="S468" s="13">
        <v>644</v>
      </c>
      <c r="U468" s="13">
        <v>644</v>
      </c>
      <c r="AC468" s="10" t="s">
        <v>1157</v>
      </c>
      <c r="AD468" s="5" t="s">
        <v>1153</v>
      </c>
      <c r="AE468" s="5" t="s">
        <v>63</v>
      </c>
    </row>
    <row r="469" spans="1:31" ht="10" customHeight="1" x14ac:dyDescent="0.2">
      <c r="A469" s="5" t="s">
        <v>40</v>
      </c>
      <c r="B469" s="5" t="s">
        <v>41</v>
      </c>
      <c r="D469" s="5" t="s">
        <v>1158</v>
      </c>
      <c r="E469" s="10" t="s">
        <v>345</v>
      </c>
      <c r="F469" s="5" t="s">
        <v>70</v>
      </c>
      <c r="G469" s="5" t="s">
        <v>464</v>
      </c>
      <c r="I469" s="11">
        <v>1</v>
      </c>
      <c r="J469" s="5" t="s">
        <v>45</v>
      </c>
      <c r="K469" s="10" t="s">
        <v>46</v>
      </c>
      <c r="L469" s="5" t="s">
        <v>47</v>
      </c>
      <c r="M469" s="5" t="s">
        <v>65</v>
      </c>
      <c r="N469" s="5" t="s">
        <v>66</v>
      </c>
      <c r="O469" s="12"/>
      <c r="P469" s="13">
        <v>3053</v>
      </c>
      <c r="S469" s="13">
        <v>7467</v>
      </c>
      <c r="U469" s="13">
        <v>7467</v>
      </c>
      <c r="AC469" s="10" t="s">
        <v>1159</v>
      </c>
      <c r="AD469" s="5" t="s">
        <v>1153</v>
      </c>
      <c r="AE469" s="5" t="s">
        <v>63</v>
      </c>
    </row>
    <row r="470" spans="1:31" ht="10" customHeight="1" x14ac:dyDescent="0.2">
      <c r="A470" s="5" t="s">
        <v>40</v>
      </c>
      <c r="B470" s="5" t="s">
        <v>41</v>
      </c>
      <c r="D470" s="5" t="s">
        <v>1160</v>
      </c>
      <c r="E470" s="10" t="s">
        <v>345</v>
      </c>
      <c r="F470" s="5" t="s">
        <v>70</v>
      </c>
      <c r="G470" s="5" t="s">
        <v>464</v>
      </c>
      <c r="I470" s="11">
        <v>1</v>
      </c>
      <c r="J470" s="5" t="s">
        <v>45</v>
      </c>
      <c r="K470" s="10" t="s">
        <v>46</v>
      </c>
      <c r="L470" s="5" t="s">
        <v>47</v>
      </c>
      <c r="M470" s="5" t="s">
        <v>65</v>
      </c>
      <c r="N470" s="5" t="s">
        <v>66</v>
      </c>
      <c r="O470" s="12"/>
      <c r="P470" s="13">
        <v>1168</v>
      </c>
      <c r="S470" s="13">
        <v>2792</v>
      </c>
      <c r="U470" s="13">
        <v>2792</v>
      </c>
      <c r="AC470" s="10" t="s">
        <v>1161</v>
      </c>
      <c r="AD470" s="5" t="s">
        <v>1153</v>
      </c>
      <c r="AE470" s="5" t="s">
        <v>63</v>
      </c>
    </row>
    <row r="471" spans="1:31" ht="10" customHeight="1" x14ac:dyDescent="0.2">
      <c r="A471" s="5" t="s">
        <v>40</v>
      </c>
      <c r="B471" s="5" t="s">
        <v>41</v>
      </c>
      <c r="D471" s="5" t="s">
        <v>1162</v>
      </c>
      <c r="E471" s="10" t="s">
        <v>345</v>
      </c>
      <c r="F471" s="5" t="s">
        <v>70</v>
      </c>
      <c r="G471" s="5" t="s">
        <v>464</v>
      </c>
      <c r="I471" s="11">
        <v>1</v>
      </c>
      <c r="J471" s="5" t="s">
        <v>45</v>
      </c>
      <c r="K471" s="10" t="s">
        <v>46</v>
      </c>
      <c r="L471" s="5" t="s">
        <v>47</v>
      </c>
      <c r="M471" s="5" t="s">
        <v>65</v>
      </c>
      <c r="N471" s="5" t="s">
        <v>66</v>
      </c>
      <c r="O471" s="12"/>
      <c r="P471" s="13">
        <v>7843</v>
      </c>
      <c r="S471" s="13">
        <v>11847</v>
      </c>
      <c r="U471" s="13">
        <v>11847</v>
      </c>
      <c r="AC471" s="10" t="s">
        <v>1163</v>
      </c>
      <c r="AD471" s="5" t="s">
        <v>1153</v>
      </c>
      <c r="AE471" s="5" t="s">
        <v>63</v>
      </c>
    </row>
    <row r="472" spans="1:31" ht="10" customHeight="1" x14ac:dyDescent="0.2">
      <c r="A472" s="5" t="s">
        <v>40</v>
      </c>
      <c r="B472" s="5" t="s">
        <v>41</v>
      </c>
      <c r="D472" s="5" t="s">
        <v>1164</v>
      </c>
      <c r="E472" s="10" t="s">
        <v>345</v>
      </c>
      <c r="F472" s="5" t="s">
        <v>70</v>
      </c>
      <c r="G472" s="5" t="s">
        <v>464</v>
      </c>
      <c r="I472" s="11">
        <v>1</v>
      </c>
      <c r="J472" s="5" t="s">
        <v>45</v>
      </c>
      <c r="K472" s="10" t="s">
        <v>46</v>
      </c>
      <c r="L472" s="5" t="s">
        <v>47</v>
      </c>
      <c r="M472" s="5" t="s">
        <v>65</v>
      </c>
      <c r="N472" s="5" t="s">
        <v>66</v>
      </c>
      <c r="O472" s="12"/>
      <c r="P472" s="13">
        <v>2863</v>
      </c>
      <c r="S472" s="13">
        <v>3057</v>
      </c>
      <c r="U472" s="13">
        <v>3057</v>
      </c>
      <c r="AC472" s="10" t="s">
        <v>1165</v>
      </c>
      <c r="AD472" s="5" t="s">
        <v>1166</v>
      </c>
      <c r="AE472" s="5" t="s">
        <v>63</v>
      </c>
    </row>
    <row r="473" spans="1:31" ht="10" customHeight="1" x14ac:dyDescent="0.2">
      <c r="A473" s="5" t="s">
        <v>40</v>
      </c>
      <c r="B473" s="5" t="s">
        <v>41</v>
      </c>
      <c r="D473" s="5" t="s">
        <v>1167</v>
      </c>
      <c r="E473" s="10" t="s">
        <v>345</v>
      </c>
      <c r="F473" s="5" t="s">
        <v>70</v>
      </c>
      <c r="G473" s="5" t="s">
        <v>464</v>
      </c>
      <c r="I473" s="11">
        <v>1</v>
      </c>
      <c r="J473" s="5" t="s">
        <v>45</v>
      </c>
      <c r="K473" s="10" t="s">
        <v>46</v>
      </c>
      <c r="L473" s="5" t="s">
        <v>47</v>
      </c>
      <c r="M473" s="5" t="s">
        <v>65</v>
      </c>
      <c r="N473" s="5" t="s">
        <v>66</v>
      </c>
      <c r="O473" s="12"/>
      <c r="P473" s="13">
        <v>221</v>
      </c>
      <c r="S473" s="13">
        <v>68</v>
      </c>
      <c r="U473" s="13">
        <v>68</v>
      </c>
      <c r="AC473" s="10" t="s">
        <v>1168</v>
      </c>
      <c r="AD473" s="5" t="s">
        <v>1166</v>
      </c>
      <c r="AE473" s="5" t="s">
        <v>63</v>
      </c>
    </row>
    <row r="474" spans="1:31" ht="10" customHeight="1" x14ac:dyDescent="0.2">
      <c r="A474" s="5" t="s">
        <v>40</v>
      </c>
      <c r="B474" s="5" t="s">
        <v>41</v>
      </c>
      <c r="D474" s="5" t="s">
        <v>1169</v>
      </c>
      <c r="E474" s="10" t="s">
        <v>345</v>
      </c>
      <c r="F474" s="5" t="s">
        <v>70</v>
      </c>
      <c r="G474" s="5" t="s">
        <v>464</v>
      </c>
      <c r="I474" s="11">
        <v>1</v>
      </c>
      <c r="J474" s="5" t="s">
        <v>45</v>
      </c>
      <c r="K474" s="10" t="s">
        <v>46</v>
      </c>
      <c r="L474" s="5" t="s">
        <v>47</v>
      </c>
      <c r="M474" s="5" t="s">
        <v>65</v>
      </c>
      <c r="N474" s="5" t="s">
        <v>66</v>
      </c>
      <c r="O474" s="12"/>
      <c r="P474" s="13">
        <v>612</v>
      </c>
      <c r="S474" s="13">
        <v>571</v>
      </c>
      <c r="U474" s="13">
        <v>571</v>
      </c>
      <c r="AC474" s="10" t="s">
        <v>1170</v>
      </c>
      <c r="AD474" s="5" t="s">
        <v>1166</v>
      </c>
      <c r="AE474" s="5" t="s">
        <v>63</v>
      </c>
    </row>
    <row r="475" spans="1:31" ht="10" customHeight="1" x14ac:dyDescent="0.2">
      <c r="A475" s="5" t="s">
        <v>40</v>
      </c>
      <c r="B475" s="5" t="s">
        <v>41</v>
      </c>
      <c r="D475" s="5" t="s">
        <v>1171</v>
      </c>
      <c r="E475" s="10" t="s">
        <v>345</v>
      </c>
      <c r="F475" s="5" t="s">
        <v>70</v>
      </c>
      <c r="G475" s="5" t="s">
        <v>464</v>
      </c>
      <c r="I475" s="11">
        <v>1</v>
      </c>
      <c r="J475" s="5" t="s">
        <v>45</v>
      </c>
      <c r="K475" s="10" t="s">
        <v>46</v>
      </c>
      <c r="L475" s="5" t="s">
        <v>47</v>
      </c>
      <c r="M475" s="5" t="s">
        <v>65</v>
      </c>
      <c r="N475" s="5" t="s">
        <v>66</v>
      </c>
      <c r="O475" s="12"/>
      <c r="P475" s="13">
        <v>249</v>
      </c>
      <c r="S475" s="13">
        <v>730</v>
      </c>
      <c r="U475" s="13">
        <v>730</v>
      </c>
      <c r="AC475" s="10" t="s">
        <v>1172</v>
      </c>
      <c r="AD475" s="5" t="s">
        <v>1166</v>
      </c>
      <c r="AE475" s="5" t="s">
        <v>63</v>
      </c>
    </row>
    <row r="476" spans="1:31" ht="10" customHeight="1" x14ac:dyDescent="0.2">
      <c r="A476" s="5" t="s">
        <v>40</v>
      </c>
      <c r="B476" s="5" t="s">
        <v>41</v>
      </c>
      <c r="D476" s="5" t="s">
        <v>1173</v>
      </c>
      <c r="E476" s="10" t="s">
        <v>345</v>
      </c>
      <c r="F476" s="5" t="s">
        <v>70</v>
      </c>
      <c r="G476" s="5" t="s">
        <v>464</v>
      </c>
      <c r="I476" s="11">
        <v>1</v>
      </c>
      <c r="J476" s="5" t="s">
        <v>45</v>
      </c>
      <c r="K476" s="10" t="s">
        <v>46</v>
      </c>
      <c r="L476" s="5" t="s">
        <v>47</v>
      </c>
      <c r="M476" s="5" t="s">
        <v>65</v>
      </c>
      <c r="N476" s="5" t="s">
        <v>66</v>
      </c>
      <c r="O476" s="12"/>
      <c r="P476" s="13">
        <v>339</v>
      </c>
      <c r="S476" s="13">
        <v>743</v>
      </c>
      <c r="U476" s="13">
        <v>743</v>
      </c>
      <c r="AC476" s="10" t="s">
        <v>1174</v>
      </c>
      <c r="AD476" s="5" t="s">
        <v>1166</v>
      </c>
      <c r="AE476" s="5" t="s">
        <v>63</v>
      </c>
    </row>
    <row r="477" spans="1:31" ht="10" customHeight="1" x14ac:dyDescent="0.2">
      <c r="A477" s="5" t="s">
        <v>40</v>
      </c>
      <c r="B477" s="5" t="s">
        <v>41</v>
      </c>
      <c r="D477" s="5" t="s">
        <v>1175</v>
      </c>
      <c r="E477" s="10" t="s">
        <v>345</v>
      </c>
      <c r="F477" s="5" t="s">
        <v>70</v>
      </c>
      <c r="G477" s="5" t="s">
        <v>464</v>
      </c>
      <c r="I477" s="11">
        <v>1</v>
      </c>
      <c r="J477" s="5" t="s">
        <v>45</v>
      </c>
      <c r="K477" s="10" t="s">
        <v>46</v>
      </c>
      <c r="L477" s="5" t="s">
        <v>47</v>
      </c>
      <c r="M477" s="5" t="s">
        <v>65</v>
      </c>
      <c r="N477" s="5" t="s">
        <v>66</v>
      </c>
      <c r="O477" s="12"/>
      <c r="P477" s="13">
        <v>5091</v>
      </c>
      <c r="S477" s="13">
        <v>7822</v>
      </c>
      <c r="U477" s="13">
        <v>7822</v>
      </c>
      <c r="AC477" s="10" t="s">
        <v>1176</v>
      </c>
      <c r="AD477" s="5" t="s">
        <v>1177</v>
      </c>
      <c r="AE477" s="5" t="s">
        <v>63</v>
      </c>
    </row>
    <row r="478" spans="1:31" ht="10" customHeight="1" x14ac:dyDescent="0.2">
      <c r="A478" s="5" t="s">
        <v>40</v>
      </c>
      <c r="B478" s="5" t="s">
        <v>41</v>
      </c>
      <c r="D478" s="5" t="s">
        <v>1178</v>
      </c>
      <c r="E478" s="10" t="s">
        <v>345</v>
      </c>
      <c r="F478" s="5" t="s">
        <v>70</v>
      </c>
      <c r="G478" s="5" t="s">
        <v>464</v>
      </c>
      <c r="I478" s="11">
        <v>1</v>
      </c>
      <c r="J478" s="5" t="s">
        <v>45</v>
      </c>
      <c r="K478" s="10" t="s">
        <v>46</v>
      </c>
      <c r="L478" s="5" t="s">
        <v>47</v>
      </c>
      <c r="M478" s="5" t="s">
        <v>65</v>
      </c>
      <c r="N478" s="5" t="s">
        <v>66</v>
      </c>
      <c r="O478" s="12"/>
      <c r="S478" s="13">
        <v>5</v>
      </c>
      <c r="U478" s="13">
        <v>5</v>
      </c>
      <c r="AC478" s="10" t="s">
        <v>1179</v>
      </c>
      <c r="AD478" s="5" t="s">
        <v>1177</v>
      </c>
      <c r="AE478" s="5" t="s">
        <v>63</v>
      </c>
    </row>
    <row r="479" spans="1:31" ht="10" customHeight="1" x14ac:dyDescent="0.2">
      <c r="A479" s="5" t="s">
        <v>40</v>
      </c>
      <c r="B479" s="5" t="s">
        <v>41</v>
      </c>
      <c r="D479" s="5" t="s">
        <v>1180</v>
      </c>
      <c r="E479" s="10" t="s">
        <v>345</v>
      </c>
      <c r="F479" s="5" t="s">
        <v>70</v>
      </c>
      <c r="G479" s="5" t="s">
        <v>464</v>
      </c>
      <c r="I479" s="11">
        <v>1</v>
      </c>
      <c r="J479" s="5" t="s">
        <v>45</v>
      </c>
      <c r="K479" s="10" t="s">
        <v>46</v>
      </c>
      <c r="L479" s="5" t="s">
        <v>47</v>
      </c>
      <c r="M479" s="5" t="s">
        <v>65</v>
      </c>
      <c r="N479" s="5" t="s">
        <v>66</v>
      </c>
      <c r="O479" s="12"/>
      <c r="S479" s="13">
        <v>263</v>
      </c>
      <c r="U479" s="13">
        <v>263</v>
      </c>
      <c r="AC479" s="10" t="s">
        <v>1181</v>
      </c>
      <c r="AD479" s="5" t="s">
        <v>1177</v>
      </c>
      <c r="AE479" s="5" t="s">
        <v>63</v>
      </c>
    </row>
    <row r="480" spans="1:31" ht="10" customHeight="1" x14ac:dyDescent="0.2">
      <c r="A480" s="5" t="s">
        <v>40</v>
      </c>
      <c r="B480" s="5" t="s">
        <v>41</v>
      </c>
      <c r="D480" s="5" t="s">
        <v>1182</v>
      </c>
      <c r="E480" s="10" t="s">
        <v>345</v>
      </c>
      <c r="F480" s="5" t="s">
        <v>70</v>
      </c>
      <c r="G480" s="5" t="s">
        <v>464</v>
      </c>
      <c r="I480" s="11">
        <v>1</v>
      </c>
      <c r="J480" s="5" t="s">
        <v>45</v>
      </c>
      <c r="K480" s="10" t="s">
        <v>46</v>
      </c>
      <c r="L480" s="5" t="s">
        <v>47</v>
      </c>
      <c r="M480" s="5" t="s">
        <v>65</v>
      </c>
      <c r="N480" s="5" t="s">
        <v>66</v>
      </c>
      <c r="O480" s="12"/>
      <c r="P480" s="13">
        <v>42</v>
      </c>
      <c r="S480" s="13">
        <v>60</v>
      </c>
      <c r="U480" s="13">
        <v>60</v>
      </c>
      <c r="AC480" s="10" t="s">
        <v>1183</v>
      </c>
      <c r="AD480" s="5" t="s">
        <v>1177</v>
      </c>
      <c r="AE480" s="5" t="s">
        <v>63</v>
      </c>
    </row>
    <row r="481" spans="1:31" ht="10" customHeight="1" x14ac:dyDescent="0.2">
      <c r="A481" s="5" t="s">
        <v>40</v>
      </c>
      <c r="B481" s="5" t="s">
        <v>41</v>
      </c>
      <c r="D481" s="5" t="s">
        <v>1184</v>
      </c>
      <c r="E481" s="10" t="s">
        <v>345</v>
      </c>
      <c r="F481" s="5" t="s">
        <v>70</v>
      </c>
      <c r="G481" s="5" t="s">
        <v>464</v>
      </c>
      <c r="I481" s="11">
        <v>1</v>
      </c>
      <c r="J481" s="5" t="s">
        <v>45</v>
      </c>
      <c r="K481" s="10" t="s">
        <v>46</v>
      </c>
      <c r="L481" s="5" t="s">
        <v>47</v>
      </c>
      <c r="M481" s="5" t="s">
        <v>65</v>
      </c>
      <c r="N481" s="5" t="s">
        <v>66</v>
      </c>
      <c r="O481" s="12"/>
      <c r="P481" s="13">
        <v>29</v>
      </c>
      <c r="S481" s="13">
        <v>87</v>
      </c>
      <c r="U481" s="13">
        <v>87</v>
      </c>
      <c r="AC481" s="10" t="s">
        <v>1185</v>
      </c>
      <c r="AD481" s="5" t="s">
        <v>1177</v>
      </c>
      <c r="AE481" s="5" t="s">
        <v>63</v>
      </c>
    </row>
    <row r="482" spans="1:31" ht="10" customHeight="1" x14ac:dyDescent="0.2">
      <c r="A482" s="5" t="s">
        <v>40</v>
      </c>
      <c r="B482" s="5" t="s">
        <v>41</v>
      </c>
      <c r="D482" s="5" t="s">
        <v>1186</v>
      </c>
      <c r="E482" s="10" t="s">
        <v>345</v>
      </c>
      <c r="F482" s="5" t="s">
        <v>70</v>
      </c>
      <c r="G482" s="5" t="s">
        <v>464</v>
      </c>
      <c r="I482" s="11">
        <v>1</v>
      </c>
      <c r="J482" s="5" t="s">
        <v>45</v>
      </c>
      <c r="K482" s="10" t="s">
        <v>46</v>
      </c>
      <c r="L482" s="5" t="s">
        <v>47</v>
      </c>
      <c r="M482" s="5" t="s">
        <v>65</v>
      </c>
      <c r="N482" s="5" t="s">
        <v>66</v>
      </c>
      <c r="O482" s="12"/>
      <c r="P482" s="13">
        <v>302</v>
      </c>
      <c r="S482" s="13">
        <v>304</v>
      </c>
      <c r="U482" s="13">
        <v>304</v>
      </c>
      <c r="AC482" s="10" t="s">
        <v>1187</v>
      </c>
      <c r="AD482" s="5" t="s">
        <v>1177</v>
      </c>
      <c r="AE482" s="5" t="s">
        <v>63</v>
      </c>
    </row>
    <row r="483" spans="1:31" ht="10" customHeight="1" x14ac:dyDescent="0.2">
      <c r="A483" s="5" t="s">
        <v>40</v>
      </c>
      <c r="B483" s="5" t="s">
        <v>41</v>
      </c>
      <c r="D483" s="5" t="s">
        <v>1188</v>
      </c>
      <c r="E483" s="10" t="s">
        <v>345</v>
      </c>
      <c r="F483" s="5" t="s">
        <v>70</v>
      </c>
      <c r="G483" s="5" t="s">
        <v>464</v>
      </c>
      <c r="I483" s="11">
        <v>1</v>
      </c>
      <c r="J483" s="5" t="s">
        <v>45</v>
      </c>
      <c r="K483" s="10" t="s">
        <v>46</v>
      </c>
      <c r="L483" s="5" t="s">
        <v>47</v>
      </c>
      <c r="M483" s="5" t="s">
        <v>65</v>
      </c>
      <c r="N483" s="5" t="s">
        <v>66</v>
      </c>
      <c r="O483" s="12"/>
      <c r="P483" s="13">
        <v>10544</v>
      </c>
      <c r="S483" s="13">
        <v>11100</v>
      </c>
      <c r="U483" s="13">
        <v>11100</v>
      </c>
      <c r="AC483" s="10" t="s">
        <v>1189</v>
      </c>
      <c r="AD483" s="5" t="s">
        <v>1190</v>
      </c>
      <c r="AE483" s="5" t="s">
        <v>63</v>
      </c>
    </row>
    <row r="484" spans="1:31" ht="10" customHeight="1" x14ac:dyDescent="0.2">
      <c r="A484" s="5" t="s">
        <v>40</v>
      </c>
      <c r="B484" s="5" t="s">
        <v>41</v>
      </c>
      <c r="D484" s="5" t="s">
        <v>1191</v>
      </c>
      <c r="E484" s="10" t="s">
        <v>345</v>
      </c>
      <c r="F484" s="5" t="s">
        <v>70</v>
      </c>
      <c r="G484" s="5" t="s">
        <v>464</v>
      </c>
      <c r="I484" s="11">
        <v>1</v>
      </c>
      <c r="J484" s="5" t="s">
        <v>45</v>
      </c>
      <c r="K484" s="10" t="s">
        <v>46</v>
      </c>
      <c r="L484" s="5" t="s">
        <v>47</v>
      </c>
      <c r="M484" s="5" t="s">
        <v>65</v>
      </c>
      <c r="N484" s="5" t="s">
        <v>66</v>
      </c>
      <c r="O484" s="12"/>
      <c r="P484" s="13">
        <v>195</v>
      </c>
      <c r="S484" s="13">
        <v>212</v>
      </c>
      <c r="U484" s="13">
        <v>212</v>
      </c>
      <c r="AC484" s="10" t="s">
        <v>1192</v>
      </c>
      <c r="AD484" s="5" t="s">
        <v>1190</v>
      </c>
      <c r="AE484" s="5" t="s">
        <v>63</v>
      </c>
    </row>
    <row r="485" spans="1:31" ht="10" customHeight="1" x14ac:dyDescent="0.2">
      <c r="A485" s="5" t="s">
        <v>40</v>
      </c>
      <c r="B485" s="5" t="s">
        <v>41</v>
      </c>
      <c r="D485" s="5" t="s">
        <v>1193</v>
      </c>
      <c r="E485" s="10" t="s">
        <v>345</v>
      </c>
      <c r="F485" s="5" t="s">
        <v>70</v>
      </c>
      <c r="G485" s="5" t="s">
        <v>464</v>
      </c>
      <c r="I485" s="11">
        <v>1</v>
      </c>
      <c r="J485" s="5" t="s">
        <v>45</v>
      </c>
      <c r="K485" s="10" t="s">
        <v>46</v>
      </c>
      <c r="L485" s="5" t="s">
        <v>47</v>
      </c>
      <c r="M485" s="5" t="s">
        <v>65</v>
      </c>
      <c r="N485" s="5" t="s">
        <v>66</v>
      </c>
      <c r="O485" s="12"/>
      <c r="P485" s="13">
        <v>202</v>
      </c>
      <c r="S485" s="13">
        <v>267</v>
      </c>
      <c r="U485" s="13">
        <v>267</v>
      </c>
      <c r="AC485" s="10" t="s">
        <v>1194</v>
      </c>
      <c r="AD485" s="5" t="s">
        <v>1190</v>
      </c>
      <c r="AE485" s="5" t="s">
        <v>63</v>
      </c>
    </row>
    <row r="486" spans="1:31" ht="10" customHeight="1" x14ac:dyDescent="0.2">
      <c r="A486" s="5" t="s">
        <v>40</v>
      </c>
      <c r="B486" s="5" t="s">
        <v>41</v>
      </c>
      <c r="D486" s="5" t="s">
        <v>1195</v>
      </c>
      <c r="E486" s="10" t="s">
        <v>345</v>
      </c>
      <c r="F486" s="5" t="s">
        <v>70</v>
      </c>
      <c r="G486" s="5" t="s">
        <v>464</v>
      </c>
      <c r="I486" s="11">
        <v>1</v>
      </c>
      <c r="J486" s="5" t="s">
        <v>45</v>
      </c>
      <c r="K486" s="10" t="s">
        <v>46</v>
      </c>
      <c r="L486" s="5" t="s">
        <v>47</v>
      </c>
      <c r="M486" s="5" t="s">
        <v>65</v>
      </c>
      <c r="N486" s="5" t="s">
        <v>66</v>
      </c>
      <c r="O486" s="12"/>
      <c r="P486" s="13">
        <v>1407</v>
      </c>
      <c r="S486" s="13">
        <v>980</v>
      </c>
      <c r="U486" s="13">
        <v>980</v>
      </c>
      <c r="AC486" s="10" t="s">
        <v>1196</v>
      </c>
      <c r="AD486" s="5" t="s">
        <v>1190</v>
      </c>
      <c r="AE486" s="5" t="s">
        <v>63</v>
      </c>
    </row>
    <row r="487" spans="1:31" ht="10" customHeight="1" x14ac:dyDescent="0.2">
      <c r="A487" s="5" t="s">
        <v>40</v>
      </c>
      <c r="B487" s="5" t="s">
        <v>41</v>
      </c>
      <c r="D487" s="5" t="s">
        <v>1197</v>
      </c>
      <c r="E487" s="10" t="s">
        <v>345</v>
      </c>
      <c r="F487" s="5" t="s">
        <v>70</v>
      </c>
      <c r="G487" s="5" t="s">
        <v>464</v>
      </c>
      <c r="I487" s="11">
        <v>1</v>
      </c>
      <c r="J487" s="5" t="s">
        <v>45</v>
      </c>
      <c r="K487" s="10" t="s">
        <v>46</v>
      </c>
      <c r="L487" s="5" t="s">
        <v>47</v>
      </c>
      <c r="M487" s="5" t="s">
        <v>65</v>
      </c>
      <c r="N487" s="5" t="s">
        <v>66</v>
      </c>
      <c r="O487" s="12"/>
      <c r="P487" s="13">
        <v>986</v>
      </c>
      <c r="S487" s="13">
        <v>168</v>
      </c>
      <c r="U487" s="13">
        <v>168</v>
      </c>
      <c r="AC487" s="10" t="s">
        <v>1198</v>
      </c>
      <c r="AD487" s="5" t="s">
        <v>1190</v>
      </c>
      <c r="AE487" s="5" t="s">
        <v>63</v>
      </c>
    </row>
    <row r="488" spans="1:31" ht="10" customHeight="1" x14ac:dyDescent="0.2">
      <c r="A488" s="5" t="s">
        <v>40</v>
      </c>
      <c r="B488" s="5" t="s">
        <v>41</v>
      </c>
      <c r="D488" s="5" t="s">
        <v>1199</v>
      </c>
      <c r="E488" s="10" t="s">
        <v>345</v>
      </c>
      <c r="F488" s="5" t="s">
        <v>70</v>
      </c>
      <c r="G488" s="5" t="s">
        <v>464</v>
      </c>
      <c r="I488" s="11">
        <v>1</v>
      </c>
      <c r="J488" s="5" t="s">
        <v>45</v>
      </c>
      <c r="K488" s="10" t="s">
        <v>46</v>
      </c>
      <c r="L488" s="5" t="s">
        <v>47</v>
      </c>
      <c r="M488" s="5" t="s">
        <v>65</v>
      </c>
      <c r="N488" s="5" t="s">
        <v>66</v>
      </c>
      <c r="O488" s="12"/>
      <c r="P488" s="13">
        <v>796</v>
      </c>
      <c r="S488" s="13">
        <v>1177</v>
      </c>
      <c r="U488" s="13">
        <v>1177</v>
      </c>
      <c r="AC488" s="10" t="s">
        <v>1200</v>
      </c>
      <c r="AD488" s="5" t="s">
        <v>1190</v>
      </c>
      <c r="AE488" s="5" t="s">
        <v>63</v>
      </c>
    </row>
    <row r="489" spans="1:31" ht="10" customHeight="1" x14ac:dyDescent="0.2">
      <c r="A489" s="5" t="s">
        <v>40</v>
      </c>
      <c r="B489" s="5" t="s">
        <v>41</v>
      </c>
      <c r="D489" s="5" t="s">
        <v>1201</v>
      </c>
      <c r="E489" s="10" t="s">
        <v>345</v>
      </c>
      <c r="F489" s="5" t="s">
        <v>70</v>
      </c>
      <c r="G489" s="5" t="s">
        <v>464</v>
      </c>
      <c r="I489" s="11">
        <v>1</v>
      </c>
      <c r="J489" s="5" t="s">
        <v>45</v>
      </c>
      <c r="K489" s="10" t="s">
        <v>46</v>
      </c>
      <c r="L489" s="5" t="s">
        <v>47</v>
      </c>
      <c r="M489" s="5" t="s">
        <v>65</v>
      </c>
      <c r="N489" s="5" t="s">
        <v>66</v>
      </c>
      <c r="O489" s="12"/>
      <c r="P489" s="13">
        <v>3771</v>
      </c>
      <c r="S489" s="13">
        <v>9747</v>
      </c>
      <c r="U489" s="13">
        <v>9747</v>
      </c>
      <c r="AC489" s="10" t="s">
        <v>1202</v>
      </c>
      <c r="AD489" s="5" t="s">
        <v>1203</v>
      </c>
      <c r="AE489" s="5" t="s">
        <v>63</v>
      </c>
    </row>
    <row r="490" spans="1:31" ht="10" customHeight="1" x14ac:dyDescent="0.2">
      <c r="A490" s="5" t="s">
        <v>40</v>
      </c>
      <c r="B490" s="5" t="s">
        <v>41</v>
      </c>
      <c r="D490" s="5" t="s">
        <v>1204</v>
      </c>
      <c r="E490" s="10" t="s">
        <v>345</v>
      </c>
      <c r="F490" s="5" t="s">
        <v>70</v>
      </c>
      <c r="G490" s="5" t="s">
        <v>464</v>
      </c>
      <c r="I490" s="11">
        <v>1</v>
      </c>
      <c r="J490" s="5" t="s">
        <v>45</v>
      </c>
      <c r="K490" s="10" t="s">
        <v>46</v>
      </c>
      <c r="L490" s="5" t="s">
        <v>47</v>
      </c>
      <c r="M490" s="5" t="s">
        <v>65</v>
      </c>
      <c r="N490" s="5" t="s">
        <v>66</v>
      </c>
      <c r="O490" s="12"/>
      <c r="P490" s="13">
        <v>70</v>
      </c>
      <c r="S490" s="13">
        <v>666</v>
      </c>
      <c r="U490" s="13">
        <v>666</v>
      </c>
      <c r="AC490" s="10" t="s">
        <v>1205</v>
      </c>
      <c r="AD490" s="5" t="s">
        <v>1203</v>
      </c>
      <c r="AE490" s="5" t="s">
        <v>63</v>
      </c>
    </row>
    <row r="491" spans="1:31" ht="10" customHeight="1" x14ac:dyDescent="0.2">
      <c r="A491" s="5" t="s">
        <v>40</v>
      </c>
      <c r="B491" s="5" t="s">
        <v>41</v>
      </c>
      <c r="D491" s="5" t="s">
        <v>1206</v>
      </c>
      <c r="E491" s="10" t="s">
        <v>345</v>
      </c>
      <c r="F491" s="5" t="s">
        <v>70</v>
      </c>
      <c r="G491" s="5" t="s">
        <v>464</v>
      </c>
      <c r="I491" s="11">
        <v>1</v>
      </c>
      <c r="J491" s="5" t="s">
        <v>45</v>
      </c>
      <c r="K491" s="10" t="s">
        <v>46</v>
      </c>
      <c r="L491" s="5" t="s">
        <v>47</v>
      </c>
      <c r="M491" s="5" t="s">
        <v>65</v>
      </c>
      <c r="N491" s="5" t="s">
        <v>66</v>
      </c>
      <c r="O491" s="12"/>
      <c r="P491" s="13">
        <v>491</v>
      </c>
      <c r="S491" s="13">
        <v>764</v>
      </c>
      <c r="U491" s="13">
        <v>764</v>
      </c>
      <c r="AC491" s="10" t="s">
        <v>1207</v>
      </c>
      <c r="AD491" s="5" t="s">
        <v>1203</v>
      </c>
      <c r="AE491" s="5" t="s">
        <v>63</v>
      </c>
    </row>
    <row r="492" spans="1:31" ht="10" customHeight="1" x14ac:dyDescent="0.2">
      <c r="A492" s="5" t="s">
        <v>40</v>
      </c>
      <c r="B492" s="5" t="s">
        <v>41</v>
      </c>
      <c r="D492" s="5" t="s">
        <v>1208</v>
      </c>
      <c r="E492" s="10" t="s">
        <v>345</v>
      </c>
      <c r="F492" s="5" t="s">
        <v>70</v>
      </c>
      <c r="G492" s="5" t="s">
        <v>464</v>
      </c>
      <c r="I492" s="11">
        <v>1</v>
      </c>
      <c r="J492" s="5" t="s">
        <v>45</v>
      </c>
      <c r="K492" s="10" t="s">
        <v>46</v>
      </c>
      <c r="L492" s="5" t="s">
        <v>47</v>
      </c>
      <c r="M492" s="5" t="s">
        <v>65</v>
      </c>
      <c r="N492" s="5" t="s">
        <v>66</v>
      </c>
      <c r="O492" s="12"/>
      <c r="P492" s="13">
        <v>100</v>
      </c>
      <c r="S492" s="13">
        <v>176</v>
      </c>
      <c r="U492" s="13">
        <v>176</v>
      </c>
      <c r="AC492" s="10" t="s">
        <v>1209</v>
      </c>
      <c r="AD492" s="5" t="s">
        <v>1203</v>
      </c>
      <c r="AE492" s="5" t="s">
        <v>63</v>
      </c>
    </row>
    <row r="493" spans="1:31" ht="10" customHeight="1" x14ac:dyDescent="0.2">
      <c r="A493" s="5" t="s">
        <v>40</v>
      </c>
      <c r="B493" s="5" t="s">
        <v>41</v>
      </c>
      <c r="D493" s="5" t="s">
        <v>1210</v>
      </c>
      <c r="E493" s="10" t="s">
        <v>345</v>
      </c>
      <c r="F493" s="5" t="s">
        <v>70</v>
      </c>
      <c r="G493" s="5" t="s">
        <v>464</v>
      </c>
      <c r="I493" s="11">
        <v>1</v>
      </c>
      <c r="J493" s="5" t="s">
        <v>45</v>
      </c>
      <c r="K493" s="10" t="s">
        <v>46</v>
      </c>
      <c r="L493" s="5" t="s">
        <v>47</v>
      </c>
      <c r="M493" s="5" t="s">
        <v>65</v>
      </c>
      <c r="N493" s="5" t="s">
        <v>66</v>
      </c>
      <c r="O493" s="12"/>
      <c r="P493" s="13">
        <v>616</v>
      </c>
      <c r="S493" s="13">
        <v>1161</v>
      </c>
      <c r="U493" s="13">
        <v>1161</v>
      </c>
      <c r="AC493" s="10" t="s">
        <v>1211</v>
      </c>
      <c r="AD493" s="5" t="s">
        <v>1203</v>
      </c>
      <c r="AE493" s="5" t="s">
        <v>63</v>
      </c>
    </row>
    <row r="494" spans="1:31" ht="10" customHeight="1" x14ac:dyDescent="0.2">
      <c r="A494" s="5" t="s">
        <v>40</v>
      </c>
      <c r="B494" s="5" t="s">
        <v>41</v>
      </c>
      <c r="D494" s="5" t="s">
        <v>1212</v>
      </c>
      <c r="E494" s="10" t="s">
        <v>345</v>
      </c>
      <c r="F494" s="5" t="s">
        <v>70</v>
      </c>
      <c r="G494" s="5" t="s">
        <v>464</v>
      </c>
      <c r="I494" s="11">
        <v>1</v>
      </c>
      <c r="J494" s="5" t="s">
        <v>45</v>
      </c>
      <c r="K494" s="10" t="s">
        <v>46</v>
      </c>
      <c r="L494" s="5" t="s">
        <v>47</v>
      </c>
      <c r="M494" s="5" t="s">
        <v>65</v>
      </c>
      <c r="N494" s="5" t="s">
        <v>66</v>
      </c>
      <c r="O494" s="12"/>
      <c r="P494" s="13">
        <v>4553</v>
      </c>
      <c r="S494" s="13">
        <v>4553</v>
      </c>
      <c r="U494" s="13">
        <v>4553</v>
      </c>
      <c r="AC494" s="10" t="s">
        <v>1213</v>
      </c>
      <c r="AD494" s="5" t="s">
        <v>1214</v>
      </c>
      <c r="AE494" s="5" t="s">
        <v>63</v>
      </c>
    </row>
    <row r="495" spans="1:31" ht="10" customHeight="1" x14ac:dyDescent="0.2">
      <c r="A495" s="5" t="s">
        <v>40</v>
      </c>
      <c r="B495" s="5" t="s">
        <v>41</v>
      </c>
      <c r="D495" s="5" t="s">
        <v>1215</v>
      </c>
      <c r="E495" s="10" t="s">
        <v>345</v>
      </c>
      <c r="F495" s="5" t="s">
        <v>70</v>
      </c>
      <c r="G495" s="5" t="s">
        <v>464</v>
      </c>
      <c r="I495" s="11">
        <v>1</v>
      </c>
      <c r="J495" s="5" t="s">
        <v>45</v>
      </c>
      <c r="K495" s="10" t="s">
        <v>46</v>
      </c>
      <c r="L495" s="5" t="s">
        <v>47</v>
      </c>
      <c r="M495" s="5" t="s">
        <v>65</v>
      </c>
      <c r="N495" s="5" t="s">
        <v>66</v>
      </c>
      <c r="O495" s="12"/>
      <c r="P495" s="13">
        <v>81</v>
      </c>
      <c r="S495" s="13">
        <v>10</v>
      </c>
      <c r="U495" s="13">
        <v>10</v>
      </c>
      <c r="AC495" s="10" t="s">
        <v>1216</v>
      </c>
      <c r="AD495" s="5" t="s">
        <v>1214</v>
      </c>
      <c r="AE495" s="5" t="s">
        <v>63</v>
      </c>
    </row>
    <row r="496" spans="1:31" ht="10" customHeight="1" x14ac:dyDescent="0.2">
      <c r="A496" s="5" t="s">
        <v>40</v>
      </c>
      <c r="B496" s="5" t="s">
        <v>41</v>
      </c>
      <c r="D496" s="5" t="s">
        <v>1217</v>
      </c>
      <c r="E496" s="10" t="s">
        <v>345</v>
      </c>
      <c r="F496" s="5" t="s">
        <v>70</v>
      </c>
      <c r="G496" s="5" t="s">
        <v>464</v>
      </c>
      <c r="I496" s="11">
        <v>1</v>
      </c>
      <c r="J496" s="5" t="s">
        <v>45</v>
      </c>
      <c r="K496" s="10" t="s">
        <v>46</v>
      </c>
      <c r="L496" s="5" t="s">
        <v>47</v>
      </c>
      <c r="M496" s="5" t="s">
        <v>65</v>
      </c>
      <c r="N496" s="5" t="s">
        <v>66</v>
      </c>
      <c r="O496" s="12"/>
      <c r="P496" s="13">
        <v>164</v>
      </c>
      <c r="S496" s="13">
        <v>207</v>
      </c>
      <c r="U496" s="13">
        <v>207</v>
      </c>
      <c r="AC496" s="10" t="s">
        <v>1218</v>
      </c>
      <c r="AD496" s="5" t="s">
        <v>1214</v>
      </c>
      <c r="AE496" s="5" t="s">
        <v>63</v>
      </c>
    </row>
    <row r="497" spans="1:31" ht="10" customHeight="1" x14ac:dyDescent="0.2">
      <c r="A497" s="5" t="s">
        <v>40</v>
      </c>
      <c r="B497" s="5" t="s">
        <v>41</v>
      </c>
      <c r="D497" s="5" t="s">
        <v>1219</v>
      </c>
      <c r="E497" s="10" t="s">
        <v>345</v>
      </c>
      <c r="F497" s="5" t="s">
        <v>70</v>
      </c>
      <c r="G497" s="5" t="s">
        <v>464</v>
      </c>
      <c r="I497" s="11">
        <v>1</v>
      </c>
      <c r="J497" s="5" t="s">
        <v>45</v>
      </c>
      <c r="K497" s="10" t="s">
        <v>46</v>
      </c>
      <c r="L497" s="5" t="s">
        <v>47</v>
      </c>
      <c r="M497" s="5" t="s">
        <v>65</v>
      </c>
      <c r="N497" s="5" t="s">
        <v>66</v>
      </c>
      <c r="O497" s="12"/>
      <c r="P497" s="13">
        <v>181</v>
      </c>
      <c r="S497" s="13">
        <v>396</v>
      </c>
      <c r="U497" s="13">
        <v>396</v>
      </c>
      <c r="AC497" s="10" t="s">
        <v>1220</v>
      </c>
      <c r="AD497" s="5" t="s">
        <v>1214</v>
      </c>
      <c r="AE497" s="5" t="s">
        <v>63</v>
      </c>
    </row>
    <row r="498" spans="1:31" ht="10" customHeight="1" x14ac:dyDescent="0.2">
      <c r="A498" s="5" t="s">
        <v>40</v>
      </c>
      <c r="B498" s="5" t="s">
        <v>41</v>
      </c>
      <c r="D498" s="5" t="s">
        <v>1221</v>
      </c>
      <c r="E498" s="10" t="s">
        <v>345</v>
      </c>
      <c r="F498" s="5" t="s">
        <v>70</v>
      </c>
      <c r="G498" s="5" t="s">
        <v>464</v>
      </c>
      <c r="I498" s="11">
        <v>1</v>
      </c>
      <c r="J498" s="5" t="s">
        <v>45</v>
      </c>
      <c r="K498" s="10" t="s">
        <v>46</v>
      </c>
      <c r="L498" s="5" t="s">
        <v>47</v>
      </c>
      <c r="M498" s="5" t="s">
        <v>65</v>
      </c>
      <c r="N498" s="5" t="s">
        <v>66</v>
      </c>
      <c r="O498" s="12"/>
      <c r="P498" s="13">
        <v>231</v>
      </c>
      <c r="S498" s="13">
        <v>178</v>
      </c>
      <c r="U498" s="13">
        <v>178</v>
      </c>
      <c r="AC498" s="10" t="s">
        <v>1222</v>
      </c>
      <c r="AD498" s="5" t="s">
        <v>1214</v>
      </c>
      <c r="AE498" s="5" t="s">
        <v>63</v>
      </c>
    </row>
    <row r="499" spans="1:31" ht="10" customHeight="1" x14ac:dyDescent="0.2">
      <c r="A499" s="5" t="s">
        <v>40</v>
      </c>
      <c r="B499" s="5" t="s">
        <v>41</v>
      </c>
      <c r="D499" s="5" t="s">
        <v>1223</v>
      </c>
      <c r="E499" s="10" t="s">
        <v>345</v>
      </c>
      <c r="F499" s="5" t="s">
        <v>70</v>
      </c>
      <c r="G499" s="5" t="s">
        <v>464</v>
      </c>
      <c r="I499" s="11">
        <v>1</v>
      </c>
      <c r="J499" s="5" t="s">
        <v>45</v>
      </c>
      <c r="K499" s="10" t="s">
        <v>46</v>
      </c>
      <c r="L499" s="5" t="s">
        <v>47</v>
      </c>
      <c r="M499" s="5" t="s">
        <v>65</v>
      </c>
      <c r="N499" s="5" t="s">
        <v>66</v>
      </c>
      <c r="O499" s="12"/>
      <c r="S499" s="13">
        <v>9466</v>
      </c>
      <c r="U499" s="13">
        <v>9466</v>
      </c>
      <c r="AC499" s="10" t="s">
        <v>1224</v>
      </c>
      <c r="AD499" s="5" t="s">
        <v>1225</v>
      </c>
      <c r="AE499" s="5" t="s">
        <v>63</v>
      </c>
    </row>
    <row r="500" spans="1:31" ht="10" customHeight="1" x14ac:dyDescent="0.2">
      <c r="A500" s="5" t="s">
        <v>40</v>
      </c>
      <c r="B500" s="5" t="s">
        <v>41</v>
      </c>
      <c r="D500" s="5" t="s">
        <v>1226</v>
      </c>
      <c r="E500" s="10" t="s">
        <v>345</v>
      </c>
      <c r="F500" s="5" t="s">
        <v>70</v>
      </c>
      <c r="G500" s="5" t="s">
        <v>464</v>
      </c>
      <c r="I500" s="11">
        <v>1</v>
      </c>
      <c r="J500" s="5" t="s">
        <v>45</v>
      </c>
      <c r="K500" s="10" t="s">
        <v>46</v>
      </c>
      <c r="L500" s="5" t="s">
        <v>47</v>
      </c>
      <c r="M500" s="5" t="s">
        <v>65</v>
      </c>
      <c r="N500" s="5" t="s">
        <v>66</v>
      </c>
      <c r="O500" s="12"/>
      <c r="S500" s="13">
        <v>284</v>
      </c>
      <c r="U500" s="13">
        <v>284</v>
      </c>
      <c r="AC500" s="10" t="s">
        <v>1227</v>
      </c>
      <c r="AD500" s="5" t="s">
        <v>1225</v>
      </c>
      <c r="AE500" s="5" t="s">
        <v>63</v>
      </c>
    </row>
    <row r="501" spans="1:31" ht="10" customHeight="1" x14ac:dyDescent="0.2">
      <c r="A501" s="5" t="s">
        <v>40</v>
      </c>
      <c r="B501" s="5" t="s">
        <v>41</v>
      </c>
      <c r="D501" s="5" t="s">
        <v>1228</v>
      </c>
      <c r="E501" s="10" t="s">
        <v>345</v>
      </c>
      <c r="F501" s="5" t="s">
        <v>70</v>
      </c>
      <c r="G501" s="5" t="s">
        <v>464</v>
      </c>
      <c r="I501" s="11">
        <v>1</v>
      </c>
      <c r="J501" s="5" t="s">
        <v>45</v>
      </c>
      <c r="K501" s="10" t="s">
        <v>46</v>
      </c>
      <c r="L501" s="5" t="s">
        <v>47</v>
      </c>
      <c r="M501" s="5" t="s">
        <v>65</v>
      </c>
      <c r="N501" s="5" t="s">
        <v>66</v>
      </c>
      <c r="O501" s="12"/>
      <c r="S501" s="13">
        <v>89</v>
      </c>
      <c r="U501" s="13">
        <v>89</v>
      </c>
      <c r="AC501" s="10" t="s">
        <v>1229</v>
      </c>
      <c r="AD501" s="5" t="s">
        <v>1225</v>
      </c>
      <c r="AE501" s="5" t="s">
        <v>63</v>
      </c>
    </row>
    <row r="502" spans="1:31" ht="10" customHeight="1" x14ac:dyDescent="0.2">
      <c r="A502" s="5" t="s">
        <v>40</v>
      </c>
      <c r="B502" s="5" t="s">
        <v>41</v>
      </c>
      <c r="D502" s="5" t="s">
        <v>1230</v>
      </c>
      <c r="E502" s="10" t="s">
        <v>345</v>
      </c>
      <c r="F502" s="5" t="s">
        <v>70</v>
      </c>
      <c r="G502" s="5" t="s">
        <v>464</v>
      </c>
      <c r="I502" s="11">
        <v>1</v>
      </c>
      <c r="J502" s="5" t="s">
        <v>45</v>
      </c>
      <c r="K502" s="10" t="s">
        <v>46</v>
      </c>
      <c r="L502" s="5" t="s">
        <v>47</v>
      </c>
      <c r="M502" s="5" t="s">
        <v>65</v>
      </c>
      <c r="N502" s="5" t="s">
        <v>66</v>
      </c>
      <c r="O502" s="12"/>
      <c r="S502" s="13">
        <v>27</v>
      </c>
      <c r="U502" s="13">
        <v>27</v>
      </c>
      <c r="AC502" s="10" t="s">
        <v>1231</v>
      </c>
      <c r="AD502" s="5" t="s">
        <v>1225</v>
      </c>
      <c r="AE502" s="5" t="s">
        <v>63</v>
      </c>
    </row>
    <row r="503" spans="1:31" ht="10" customHeight="1" x14ac:dyDescent="0.2">
      <c r="A503" s="5" t="s">
        <v>40</v>
      </c>
      <c r="B503" s="5" t="s">
        <v>41</v>
      </c>
      <c r="D503" s="5" t="s">
        <v>1232</v>
      </c>
      <c r="E503" s="10" t="s">
        <v>345</v>
      </c>
      <c r="F503" s="5" t="s">
        <v>70</v>
      </c>
      <c r="G503" s="5" t="s">
        <v>464</v>
      </c>
      <c r="I503" s="11">
        <v>1</v>
      </c>
      <c r="J503" s="5" t="s">
        <v>45</v>
      </c>
      <c r="K503" s="10" t="s">
        <v>46</v>
      </c>
      <c r="L503" s="5" t="s">
        <v>47</v>
      </c>
      <c r="M503" s="5" t="s">
        <v>65</v>
      </c>
      <c r="N503" s="5" t="s">
        <v>66</v>
      </c>
      <c r="O503" s="12"/>
      <c r="P503" s="13">
        <v>39423</v>
      </c>
      <c r="S503" s="13">
        <v>39504</v>
      </c>
      <c r="U503" s="13">
        <v>39504</v>
      </c>
      <c r="AC503" s="10" t="s">
        <v>1233</v>
      </c>
      <c r="AD503" s="5" t="s">
        <v>1234</v>
      </c>
      <c r="AE503" s="5" t="s">
        <v>63</v>
      </c>
    </row>
    <row r="504" spans="1:31" ht="10" customHeight="1" x14ac:dyDescent="0.2">
      <c r="A504" s="5" t="s">
        <v>40</v>
      </c>
      <c r="B504" s="5" t="s">
        <v>41</v>
      </c>
      <c r="D504" s="5" t="s">
        <v>1235</v>
      </c>
      <c r="E504" s="10" t="s">
        <v>345</v>
      </c>
      <c r="F504" s="5" t="s">
        <v>70</v>
      </c>
      <c r="G504" s="5" t="s">
        <v>464</v>
      </c>
      <c r="I504" s="11">
        <v>1</v>
      </c>
      <c r="J504" s="5" t="s">
        <v>45</v>
      </c>
      <c r="K504" s="10" t="s">
        <v>46</v>
      </c>
      <c r="L504" s="5" t="s">
        <v>47</v>
      </c>
      <c r="M504" s="5" t="s">
        <v>65</v>
      </c>
      <c r="N504" s="5" t="s">
        <v>66</v>
      </c>
      <c r="O504" s="12"/>
      <c r="P504" s="13">
        <v>182</v>
      </c>
      <c r="S504" s="13">
        <v>396</v>
      </c>
      <c r="U504" s="13">
        <v>396</v>
      </c>
      <c r="AC504" s="10" t="s">
        <v>1236</v>
      </c>
      <c r="AD504" s="5" t="s">
        <v>1234</v>
      </c>
      <c r="AE504" s="5" t="s">
        <v>63</v>
      </c>
    </row>
    <row r="505" spans="1:31" ht="10" customHeight="1" x14ac:dyDescent="0.2">
      <c r="A505" s="5" t="s">
        <v>40</v>
      </c>
      <c r="B505" s="5" t="s">
        <v>41</v>
      </c>
      <c r="D505" s="5" t="s">
        <v>1237</v>
      </c>
      <c r="E505" s="10" t="s">
        <v>345</v>
      </c>
      <c r="F505" s="5" t="s">
        <v>70</v>
      </c>
      <c r="G505" s="5" t="s">
        <v>464</v>
      </c>
      <c r="I505" s="11">
        <v>1</v>
      </c>
      <c r="J505" s="5" t="s">
        <v>45</v>
      </c>
      <c r="K505" s="10" t="s">
        <v>46</v>
      </c>
      <c r="L505" s="5" t="s">
        <v>47</v>
      </c>
      <c r="M505" s="5" t="s">
        <v>65</v>
      </c>
      <c r="N505" s="5" t="s">
        <v>66</v>
      </c>
      <c r="O505" s="12"/>
      <c r="S505" s="13">
        <v>5925</v>
      </c>
      <c r="U505" s="13">
        <v>5925</v>
      </c>
      <c r="AC505" s="10" t="s">
        <v>1238</v>
      </c>
      <c r="AD505" s="5" t="s">
        <v>1239</v>
      </c>
      <c r="AE505" s="5" t="s">
        <v>63</v>
      </c>
    </row>
    <row r="506" spans="1:31" ht="10" customHeight="1" x14ac:dyDescent="0.2">
      <c r="A506" s="5" t="s">
        <v>40</v>
      </c>
      <c r="B506" s="5" t="s">
        <v>41</v>
      </c>
      <c r="D506" s="5" t="s">
        <v>1240</v>
      </c>
      <c r="E506" s="10" t="s">
        <v>345</v>
      </c>
      <c r="F506" s="5" t="s">
        <v>70</v>
      </c>
      <c r="G506" s="5" t="s">
        <v>464</v>
      </c>
      <c r="I506" s="11">
        <v>1</v>
      </c>
      <c r="J506" s="5" t="s">
        <v>45</v>
      </c>
      <c r="K506" s="10" t="s">
        <v>46</v>
      </c>
      <c r="L506" s="5" t="s">
        <v>47</v>
      </c>
      <c r="M506" s="5" t="s">
        <v>65</v>
      </c>
      <c r="N506" s="5" t="s">
        <v>66</v>
      </c>
      <c r="O506" s="12"/>
      <c r="S506" s="13">
        <v>66</v>
      </c>
      <c r="U506" s="13">
        <v>66</v>
      </c>
      <c r="AC506" s="10" t="s">
        <v>1241</v>
      </c>
      <c r="AD506" s="5" t="s">
        <v>1239</v>
      </c>
      <c r="AE506" s="5" t="s">
        <v>63</v>
      </c>
    </row>
    <row r="507" spans="1:31" ht="10" customHeight="1" x14ac:dyDescent="0.2">
      <c r="A507" s="5" t="s">
        <v>40</v>
      </c>
      <c r="B507" s="5" t="s">
        <v>41</v>
      </c>
      <c r="D507" s="5" t="s">
        <v>1242</v>
      </c>
      <c r="E507" s="10" t="s">
        <v>345</v>
      </c>
      <c r="F507" s="5" t="s">
        <v>70</v>
      </c>
      <c r="G507" s="5" t="s">
        <v>464</v>
      </c>
      <c r="I507" s="11">
        <v>1</v>
      </c>
      <c r="J507" s="5" t="s">
        <v>45</v>
      </c>
      <c r="K507" s="10" t="s">
        <v>46</v>
      </c>
      <c r="L507" s="5" t="s">
        <v>47</v>
      </c>
      <c r="M507" s="5" t="s">
        <v>65</v>
      </c>
      <c r="N507" s="5" t="s">
        <v>66</v>
      </c>
      <c r="O507" s="12"/>
      <c r="S507" s="13">
        <v>54</v>
      </c>
      <c r="U507" s="13">
        <v>54</v>
      </c>
      <c r="AC507" s="10" t="s">
        <v>1243</v>
      </c>
      <c r="AD507" s="5" t="s">
        <v>1239</v>
      </c>
      <c r="AE507" s="5" t="s">
        <v>63</v>
      </c>
    </row>
    <row r="508" spans="1:31" ht="10" customHeight="1" x14ac:dyDescent="0.2">
      <c r="A508" s="5" t="s">
        <v>40</v>
      </c>
      <c r="B508" s="5" t="s">
        <v>41</v>
      </c>
      <c r="D508" s="5" t="s">
        <v>1244</v>
      </c>
      <c r="E508" s="10" t="s">
        <v>345</v>
      </c>
      <c r="F508" s="5" t="s">
        <v>70</v>
      </c>
      <c r="G508" s="5" t="s">
        <v>464</v>
      </c>
      <c r="I508" s="11">
        <v>1</v>
      </c>
      <c r="J508" s="5" t="s">
        <v>45</v>
      </c>
      <c r="K508" s="10" t="s">
        <v>46</v>
      </c>
      <c r="L508" s="5" t="s">
        <v>47</v>
      </c>
      <c r="M508" s="5" t="s">
        <v>65</v>
      </c>
      <c r="N508" s="5" t="s">
        <v>66</v>
      </c>
      <c r="O508" s="12"/>
      <c r="S508" s="13">
        <v>77</v>
      </c>
      <c r="U508" s="13">
        <v>77</v>
      </c>
      <c r="AC508" s="10" t="s">
        <v>1245</v>
      </c>
      <c r="AD508" s="5" t="s">
        <v>1239</v>
      </c>
      <c r="AE508" s="5" t="s">
        <v>63</v>
      </c>
    </row>
    <row r="509" spans="1:31" ht="10" customHeight="1" x14ac:dyDescent="0.2">
      <c r="A509" s="5" t="s">
        <v>40</v>
      </c>
      <c r="B509" s="5" t="s">
        <v>41</v>
      </c>
      <c r="D509" s="5" t="s">
        <v>1246</v>
      </c>
      <c r="E509" s="10" t="s">
        <v>345</v>
      </c>
      <c r="F509" s="5" t="s">
        <v>70</v>
      </c>
      <c r="G509" s="5" t="s">
        <v>464</v>
      </c>
      <c r="I509" s="11">
        <v>1</v>
      </c>
      <c r="J509" s="5" t="s">
        <v>45</v>
      </c>
      <c r="K509" s="10" t="s">
        <v>46</v>
      </c>
      <c r="L509" s="5" t="s">
        <v>47</v>
      </c>
      <c r="M509" s="5" t="s">
        <v>65</v>
      </c>
      <c r="N509" s="5" t="s">
        <v>66</v>
      </c>
      <c r="O509" s="12"/>
      <c r="S509" s="13">
        <v>6396</v>
      </c>
      <c r="U509" s="13">
        <v>6396</v>
      </c>
      <c r="AC509" s="10" t="s">
        <v>1247</v>
      </c>
      <c r="AD509" s="5" t="s">
        <v>1248</v>
      </c>
      <c r="AE509" s="5" t="s">
        <v>63</v>
      </c>
    </row>
    <row r="510" spans="1:31" ht="10" customHeight="1" x14ac:dyDescent="0.2">
      <c r="A510" s="5" t="s">
        <v>40</v>
      </c>
      <c r="B510" s="5" t="s">
        <v>41</v>
      </c>
      <c r="D510" s="5" t="s">
        <v>1249</v>
      </c>
      <c r="E510" s="10" t="s">
        <v>345</v>
      </c>
      <c r="F510" s="5" t="s">
        <v>70</v>
      </c>
      <c r="G510" s="5" t="s">
        <v>464</v>
      </c>
      <c r="I510" s="11">
        <v>1</v>
      </c>
      <c r="J510" s="5" t="s">
        <v>45</v>
      </c>
      <c r="K510" s="10" t="s">
        <v>46</v>
      </c>
      <c r="L510" s="5" t="s">
        <v>47</v>
      </c>
      <c r="M510" s="5" t="s">
        <v>65</v>
      </c>
      <c r="N510" s="5" t="s">
        <v>66</v>
      </c>
      <c r="O510" s="12"/>
      <c r="S510" s="13">
        <v>854</v>
      </c>
      <c r="U510" s="13">
        <v>854</v>
      </c>
      <c r="AC510" s="10" t="s">
        <v>1250</v>
      </c>
      <c r="AD510" s="5" t="s">
        <v>1248</v>
      </c>
      <c r="AE510" s="5" t="s">
        <v>63</v>
      </c>
    </row>
    <row r="511" spans="1:31" ht="10" customHeight="1" x14ac:dyDescent="0.2">
      <c r="A511" s="5" t="s">
        <v>40</v>
      </c>
      <c r="B511" s="5" t="s">
        <v>41</v>
      </c>
      <c r="D511" s="5" t="s">
        <v>1251</v>
      </c>
      <c r="E511" s="10" t="s">
        <v>345</v>
      </c>
      <c r="F511" s="5" t="s">
        <v>70</v>
      </c>
      <c r="G511" s="5" t="s">
        <v>464</v>
      </c>
      <c r="I511" s="11">
        <v>1</v>
      </c>
      <c r="J511" s="5" t="s">
        <v>45</v>
      </c>
      <c r="K511" s="10" t="s">
        <v>46</v>
      </c>
      <c r="L511" s="5" t="s">
        <v>47</v>
      </c>
      <c r="M511" s="5" t="s">
        <v>65</v>
      </c>
      <c r="N511" s="5" t="s">
        <v>66</v>
      </c>
      <c r="O511" s="12"/>
      <c r="S511" s="13">
        <v>250</v>
      </c>
      <c r="U511" s="13">
        <v>250</v>
      </c>
      <c r="AC511" s="10" t="s">
        <v>1252</v>
      </c>
      <c r="AD511" s="5" t="s">
        <v>1248</v>
      </c>
      <c r="AE511" s="5" t="s">
        <v>63</v>
      </c>
    </row>
    <row r="512" spans="1:31" ht="10" customHeight="1" x14ac:dyDescent="0.2">
      <c r="A512" s="5" t="s">
        <v>40</v>
      </c>
      <c r="B512" s="5" t="s">
        <v>41</v>
      </c>
      <c r="D512" s="5" t="s">
        <v>1253</v>
      </c>
      <c r="E512" s="10" t="s">
        <v>345</v>
      </c>
      <c r="F512" s="5" t="s">
        <v>70</v>
      </c>
      <c r="G512" s="5" t="s">
        <v>464</v>
      </c>
      <c r="I512" s="11">
        <v>1</v>
      </c>
      <c r="J512" s="5" t="s">
        <v>45</v>
      </c>
      <c r="K512" s="10" t="s">
        <v>46</v>
      </c>
      <c r="L512" s="5" t="s">
        <v>47</v>
      </c>
      <c r="M512" s="5" t="s">
        <v>65</v>
      </c>
      <c r="N512" s="5" t="s">
        <v>66</v>
      </c>
      <c r="O512" s="12"/>
      <c r="S512" s="13">
        <v>244</v>
      </c>
      <c r="U512" s="13">
        <v>244</v>
      </c>
      <c r="AC512" s="10" t="s">
        <v>1254</v>
      </c>
      <c r="AD512" s="5" t="s">
        <v>1248</v>
      </c>
      <c r="AE512" s="5" t="s">
        <v>63</v>
      </c>
    </row>
    <row r="513" spans="1:31" ht="10" customHeight="1" x14ac:dyDescent="0.2">
      <c r="A513" s="5" t="s">
        <v>40</v>
      </c>
      <c r="B513" s="5" t="s">
        <v>41</v>
      </c>
      <c r="D513" s="5" t="s">
        <v>1255</v>
      </c>
      <c r="E513" s="10" t="s">
        <v>345</v>
      </c>
      <c r="F513" s="5" t="s">
        <v>70</v>
      </c>
      <c r="G513" s="5" t="s">
        <v>464</v>
      </c>
      <c r="I513" s="11">
        <v>1</v>
      </c>
      <c r="J513" s="5" t="s">
        <v>45</v>
      </c>
      <c r="K513" s="10" t="s">
        <v>46</v>
      </c>
      <c r="L513" s="5" t="s">
        <v>47</v>
      </c>
      <c r="M513" s="5" t="s">
        <v>65</v>
      </c>
      <c r="N513" s="5" t="s">
        <v>66</v>
      </c>
      <c r="O513" s="12"/>
      <c r="S513" s="13">
        <v>619</v>
      </c>
      <c r="U513" s="13">
        <v>619</v>
      </c>
      <c r="AC513" s="10" t="s">
        <v>1256</v>
      </c>
      <c r="AD513" s="5" t="s">
        <v>1248</v>
      </c>
      <c r="AE513" s="5" t="s">
        <v>63</v>
      </c>
    </row>
    <row r="514" spans="1:31" ht="10" customHeight="1" x14ac:dyDescent="0.2">
      <c r="A514" s="5" t="s">
        <v>40</v>
      </c>
      <c r="B514" s="5" t="s">
        <v>41</v>
      </c>
      <c r="D514" s="5" t="s">
        <v>1257</v>
      </c>
      <c r="E514" s="10" t="s">
        <v>345</v>
      </c>
      <c r="F514" s="5" t="s">
        <v>70</v>
      </c>
      <c r="G514" s="5" t="s">
        <v>464</v>
      </c>
      <c r="I514" s="11">
        <v>1</v>
      </c>
      <c r="J514" s="5" t="s">
        <v>45</v>
      </c>
      <c r="K514" s="10" t="s">
        <v>46</v>
      </c>
      <c r="L514" s="5" t="s">
        <v>47</v>
      </c>
      <c r="M514" s="5" t="s">
        <v>65</v>
      </c>
      <c r="N514" s="5" t="s">
        <v>66</v>
      </c>
      <c r="O514" s="12"/>
      <c r="S514" s="13">
        <v>4864</v>
      </c>
      <c r="U514" s="13">
        <v>4864</v>
      </c>
      <c r="AC514" s="10" t="s">
        <v>1258</v>
      </c>
      <c r="AD514" s="5" t="s">
        <v>1259</v>
      </c>
      <c r="AE514" s="5" t="s">
        <v>1260</v>
      </c>
    </row>
    <row r="515" spans="1:31" ht="10" customHeight="1" x14ac:dyDescent="0.2">
      <c r="A515" s="5" t="s">
        <v>40</v>
      </c>
      <c r="B515" s="5" t="s">
        <v>41</v>
      </c>
      <c r="D515" s="5" t="s">
        <v>1261</v>
      </c>
      <c r="E515" s="10" t="s">
        <v>345</v>
      </c>
      <c r="F515" s="5" t="s">
        <v>70</v>
      </c>
      <c r="G515" s="5" t="s">
        <v>464</v>
      </c>
      <c r="I515" s="11">
        <v>1</v>
      </c>
      <c r="J515" s="5" t="s">
        <v>45</v>
      </c>
      <c r="K515" s="10" t="s">
        <v>46</v>
      </c>
      <c r="L515" s="5" t="s">
        <v>47</v>
      </c>
      <c r="M515" s="5" t="s">
        <v>65</v>
      </c>
      <c r="N515" s="5" t="s">
        <v>66</v>
      </c>
      <c r="O515" s="12"/>
      <c r="S515" s="13">
        <v>150</v>
      </c>
      <c r="U515" s="13">
        <v>150</v>
      </c>
      <c r="AC515" s="10" t="s">
        <v>1262</v>
      </c>
      <c r="AD515" s="5" t="s">
        <v>1259</v>
      </c>
      <c r="AE515" s="5" t="s">
        <v>63</v>
      </c>
    </row>
    <row r="516" spans="1:31" ht="10" customHeight="1" x14ac:dyDescent="0.2">
      <c r="A516" s="5" t="s">
        <v>40</v>
      </c>
      <c r="B516" s="5" t="s">
        <v>41</v>
      </c>
      <c r="D516" s="5" t="s">
        <v>1263</v>
      </c>
      <c r="E516" s="10" t="s">
        <v>345</v>
      </c>
      <c r="F516" s="5" t="s">
        <v>70</v>
      </c>
      <c r="G516" s="5" t="s">
        <v>464</v>
      </c>
      <c r="I516" s="11">
        <v>1</v>
      </c>
      <c r="J516" s="5" t="s">
        <v>45</v>
      </c>
      <c r="K516" s="10" t="s">
        <v>46</v>
      </c>
      <c r="L516" s="5" t="s">
        <v>47</v>
      </c>
      <c r="M516" s="5" t="s">
        <v>65</v>
      </c>
      <c r="N516" s="5" t="s">
        <v>66</v>
      </c>
      <c r="O516" s="12"/>
      <c r="S516" s="13">
        <v>600</v>
      </c>
      <c r="U516" s="13">
        <v>600</v>
      </c>
      <c r="AC516" s="10" t="s">
        <v>1264</v>
      </c>
      <c r="AD516" s="5" t="s">
        <v>1259</v>
      </c>
      <c r="AE516" s="5" t="s">
        <v>63</v>
      </c>
    </row>
    <row r="517" spans="1:31" ht="10" customHeight="1" x14ac:dyDescent="0.2">
      <c r="A517" s="5" t="s">
        <v>40</v>
      </c>
      <c r="B517" s="5" t="s">
        <v>41</v>
      </c>
      <c r="D517" s="5" t="s">
        <v>1265</v>
      </c>
      <c r="E517" s="10" t="s">
        <v>345</v>
      </c>
      <c r="F517" s="5" t="s">
        <v>70</v>
      </c>
      <c r="G517" s="5" t="s">
        <v>464</v>
      </c>
      <c r="I517" s="11">
        <v>1</v>
      </c>
      <c r="J517" s="5" t="s">
        <v>45</v>
      </c>
      <c r="K517" s="10" t="s">
        <v>46</v>
      </c>
      <c r="L517" s="5" t="s">
        <v>47</v>
      </c>
      <c r="M517" s="5" t="s">
        <v>65</v>
      </c>
      <c r="N517" s="5" t="s">
        <v>66</v>
      </c>
      <c r="O517" s="12"/>
      <c r="S517" s="13">
        <v>2701</v>
      </c>
      <c r="U517" s="13">
        <v>2701</v>
      </c>
      <c r="AC517" s="10" t="s">
        <v>1266</v>
      </c>
      <c r="AD517" s="5" t="s">
        <v>1259</v>
      </c>
      <c r="AE517" s="5" t="s">
        <v>63</v>
      </c>
    </row>
    <row r="518" spans="1:31" ht="10" customHeight="1" x14ac:dyDescent="0.2">
      <c r="A518" s="5" t="s">
        <v>40</v>
      </c>
      <c r="B518" s="5" t="s">
        <v>41</v>
      </c>
      <c r="D518" s="5" t="s">
        <v>1267</v>
      </c>
      <c r="E518" s="10" t="s">
        <v>345</v>
      </c>
      <c r="F518" s="5" t="s">
        <v>70</v>
      </c>
      <c r="G518" s="5" t="s">
        <v>464</v>
      </c>
      <c r="I518" s="11">
        <v>1</v>
      </c>
      <c r="J518" s="5" t="s">
        <v>45</v>
      </c>
      <c r="K518" s="10" t="s">
        <v>46</v>
      </c>
      <c r="L518" s="5" t="s">
        <v>47</v>
      </c>
      <c r="M518" s="5" t="s">
        <v>65</v>
      </c>
      <c r="N518" s="5" t="s">
        <v>66</v>
      </c>
      <c r="O518" s="12"/>
      <c r="S518" s="13">
        <v>233</v>
      </c>
      <c r="U518" s="13">
        <v>233</v>
      </c>
      <c r="AC518" s="10" t="s">
        <v>1268</v>
      </c>
      <c r="AD518" s="5" t="s">
        <v>1259</v>
      </c>
      <c r="AE518" s="5" t="s">
        <v>63</v>
      </c>
    </row>
    <row r="519" spans="1:31" ht="10" customHeight="1" x14ac:dyDescent="0.2">
      <c r="A519" s="5" t="s">
        <v>40</v>
      </c>
      <c r="B519" s="5" t="s">
        <v>41</v>
      </c>
      <c r="D519" s="5" t="s">
        <v>1269</v>
      </c>
      <c r="E519" s="10" t="s">
        <v>345</v>
      </c>
      <c r="F519" s="5" t="s">
        <v>70</v>
      </c>
      <c r="G519" s="5" t="s">
        <v>464</v>
      </c>
      <c r="I519" s="11">
        <v>1</v>
      </c>
      <c r="J519" s="5" t="s">
        <v>45</v>
      </c>
      <c r="K519" s="10" t="s">
        <v>46</v>
      </c>
      <c r="L519" s="5" t="s">
        <v>47</v>
      </c>
      <c r="M519" s="5" t="s">
        <v>65</v>
      </c>
      <c r="N519" s="5" t="s">
        <v>66</v>
      </c>
      <c r="O519" s="12"/>
      <c r="S519" s="13">
        <v>777</v>
      </c>
      <c r="U519" s="13">
        <v>777</v>
      </c>
      <c r="AC519" s="10" t="s">
        <v>1270</v>
      </c>
      <c r="AD519" s="5" t="s">
        <v>1259</v>
      </c>
      <c r="AE519" s="5" t="s">
        <v>63</v>
      </c>
    </row>
    <row r="520" spans="1:31" ht="10" customHeight="1" x14ac:dyDescent="0.2">
      <c r="A520" s="5" t="s">
        <v>40</v>
      </c>
      <c r="B520" s="5" t="s">
        <v>41</v>
      </c>
      <c r="D520" s="5" t="s">
        <v>1271</v>
      </c>
      <c r="E520" s="10" t="s">
        <v>345</v>
      </c>
      <c r="F520" s="5" t="s">
        <v>70</v>
      </c>
      <c r="G520" s="5" t="s">
        <v>464</v>
      </c>
      <c r="I520" s="11">
        <v>1</v>
      </c>
      <c r="J520" s="5" t="s">
        <v>45</v>
      </c>
      <c r="K520" s="10" t="s">
        <v>46</v>
      </c>
      <c r="L520" s="5" t="s">
        <v>47</v>
      </c>
      <c r="M520" s="5" t="s">
        <v>65</v>
      </c>
      <c r="N520" s="5" t="s">
        <v>66</v>
      </c>
      <c r="O520" s="12"/>
      <c r="S520" s="13">
        <v>12084</v>
      </c>
      <c r="U520" s="13">
        <v>12084</v>
      </c>
      <c r="AC520" s="10" t="s">
        <v>1272</v>
      </c>
      <c r="AD520" s="5" t="s">
        <v>1273</v>
      </c>
      <c r="AE520" s="5" t="s">
        <v>63</v>
      </c>
    </row>
    <row r="521" spans="1:31" ht="10" customHeight="1" x14ac:dyDescent="0.2">
      <c r="A521" s="5" t="s">
        <v>40</v>
      </c>
      <c r="B521" s="5" t="s">
        <v>41</v>
      </c>
      <c r="D521" s="5" t="s">
        <v>1274</v>
      </c>
      <c r="E521" s="10" t="s">
        <v>345</v>
      </c>
      <c r="F521" s="5" t="s">
        <v>70</v>
      </c>
      <c r="G521" s="5" t="s">
        <v>464</v>
      </c>
      <c r="I521" s="11">
        <v>1</v>
      </c>
      <c r="J521" s="5" t="s">
        <v>45</v>
      </c>
      <c r="K521" s="10" t="s">
        <v>46</v>
      </c>
      <c r="L521" s="5" t="s">
        <v>47</v>
      </c>
      <c r="M521" s="5" t="s">
        <v>65</v>
      </c>
      <c r="N521" s="5" t="s">
        <v>66</v>
      </c>
      <c r="O521" s="12"/>
      <c r="S521" s="13">
        <v>69</v>
      </c>
      <c r="U521" s="13">
        <v>69</v>
      </c>
      <c r="AC521" s="10" t="s">
        <v>1275</v>
      </c>
      <c r="AD521" s="5" t="s">
        <v>1273</v>
      </c>
      <c r="AE521" s="5" t="s">
        <v>63</v>
      </c>
    </row>
    <row r="522" spans="1:31" ht="10" customHeight="1" x14ac:dyDescent="0.2">
      <c r="A522" s="5" t="s">
        <v>40</v>
      </c>
      <c r="B522" s="5" t="s">
        <v>41</v>
      </c>
      <c r="D522" s="5" t="s">
        <v>1276</v>
      </c>
      <c r="E522" s="10" t="s">
        <v>345</v>
      </c>
      <c r="F522" s="5" t="s">
        <v>70</v>
      </c>
      <c r="G522" s="5" t="s">
        <v>464</v>
      </c>
      <c r="I522" s="11">
        <v>1</v>
      </c>
      <c r="J522" s="5" t="s">
        <v>45</v>
      </c>
      <c r="K522" s="10" t="s">
        <v>46</v>
      </c>
      <c r="L522" s="5" t="s">
        <v>47</v>
      </c>
      <c r="M522" s="5" t="s">
        <v>65</v>
      </c>
      <c r="N522" s="5" t="s">
        <v>66</v>
      </c>
      <c r="O522" s="12"/>
      <c r="S522" s="13">
        <v>86</v>
      </c>
      <c r="U522" s="13">
        <v>86</v>
      </c>
      <c r="AC522" s="10" t="s">
        <v>1277</v>
      </c>
      <c r="AD522" s="5" t="s">
        <v>1273</v>
      </c>
      <c r="AE522" s="5" t="s">
        <v>63</v>
      </c>
    </row>
    <row r="523" spans="1:31" ht="10" customHeight="1" x14ac:dyDescent="0.2">
      <c r="A523" s="5" t="s">
        <v>40</v>
      </c>
      <c r="B523" s="5" t="s">
        <v>41</v>
      </c>
      <c r="D523" s="5" t="s">
        <v>1278</v>
      </c>
      <c r="E523" s="10" t="s">
        <v>345</v>
      </c>
      <c r="F523" s="5" t="s">
        <v>70</v>
      </c>
      <c r="G523" s="5" t="s">
        <v>464</v>
      </c>
      <c r="I523" s="11">
        <v>1</v>
      </c>
      <c r="J523" s="5" t="s">
        <v>45</v>
      </c>
      <c r="K523" s="10" t="s">
        <v>46</v>
      </c>
      <c r="L523" s="5" t="s">
        <v>47</v>
      </c>
      <c r="M523" s="5" t="s">
        <v>65</v>
      </c>
      <c r="N523" s="5" t="s">
        <v>66</v>
      </c>
      <c r="O523" s="12"/>
      <c r="S523" s="13">
        <v>2042</v>
      </c>
      <c r="U523" s="13">
        <v>2042</v>
      </c>
      <c r="AC523" s="10" t="s">
        <v>1279</v>
      </c>
      <c r="AD523" s="5" t="s">
        <v>1273</v>
      </c>
      <c r="AE523" s="5" t="s">
        <v>63</v>
      </c>
    </row>
    <row r="524" spans="1:31" ht="10" customHeight="1" x14ac:dyDescent="0.2">
      <c r="A524" s="5" t="s">
        <v>40</v>
      </c>
      <c r="B524" s="5" t="s">
        <v>41</v>
      </c>
      <c r="D524" s="5" t="s">
        <v>1280</v>
      </c>
      <c r="E524" s="10" t="s">
        <v>345</v>
      </c>
      <c r="F524" s="5" t="s">
        <v>70</v>
      </c>
      <c r="G524" s="5" t="s">
        <v>464</v>
      </c>
      <c r="I524" s="11">
        <v>1</v>
      </c>
      <c r="J524" s="5" t="s">
        <v>45</v>
      </c>
      <c r="K524" s="10" t="s">
        <v>46</v>
      </c>
      <c r="L524" s="5" t="s">
        <v>47</v>
      </c>
      <c r="M524" s="5" t="s">
        <v>65</v>
      </c>
      <c r="N524" s="5" t="s">
        <v>66</v>
      </c>
      <c r="O524" s="12"/>
      <c r="S524" s="13">
        <v>3321</v>
      </c>
      <c r="U524" s="13">
        <v>3321</v>
      </c>
      <c r="AC524" s="10" t="s">
        <v>1281</v>
      </c>
      <c r="AD524" s="5" t="s">
        <v>1273</v>
      </c>
      <c r="AE524" s="5" t="s">
        <v>63</v>
      </c>
    </row>
    <row r="525" spans="1:31" ht="10" customHeight="1" x14ac:dyDescent="0.2">
      <c r="A525" s="5" t="s">
        <v>40</v>
      </c>
      <c r="B525" s="5" t="s">
        <v>41</v>
      </c>
      <c r="D525" s="5" t="s">
        <v>1282</v>
      </c>
      <c r="E525" s="10" t="s">
        <v>345</v>
      </c>
      <c r="F525" s="5" t="s">
        <v>70</v>
      </c>
      <c r="G525" s="5" t="s">
        <v>464</v>
      </c>
      <c r="I525" s="11">
        <v>1</v>
      </c>
      <c r="J525" s="5" t="s">
        <v>45</v>
      </c>
      <c r="K525" s="10" t="s">
        <v>46</v>
      </c>
      <c r="L525" s="5" t="s">
        <v>47</v>
      </c>
      <c r="M525" s="5" t="s">
        <v>65</v>
      </c>
      <c r="N525" s="5" t="s">
        <v>66</v>
      </c>
      <c r="O525" s="12"/>
      <c r="S525" s="13">
        <v>16298</v>
      </c>
      <c r="U525" s="13">
        <v>16298</v>
      </c>
      <c r="AC525" s="10" t="s">
        <v>1283</v>
      </c>
      <c r="AD525" s="5" t="s">
        <v>1273</v>
      </c>
      <c r="AE525" s="5" t="s">
        <v>63</v>
      </c>
    </row>
    <row r="526" spans="1:31" ht="10" customHeight="1" x14ac:dyDescent="0.2">
      <c r="A526" s="5" t="s">
        <v>40</v>
      </c>
      <c r="B526" s="5" t="s">
        <v>41</v>
      </c>
      <c r="D526" s="5" t="s">
        <v>1284</v>
      </c>
      <c r="E526" s="10" t="s">
        <v>345</v>
      </c>
      <c r="F526" s="5" t="s">
        <v>70</v>
      </c>
      <c r="G526" s="5" t="s">
        <v>464</v>
      </c>
      <c r="I526" s="11">
        <v>1</v>
      </c>
      <c r="J526" s="5" t="s">
        <v>45</v>
      </c>
      <c r="K526" s="10" t="s">
        <v>46</v>
      </c>
      <c r="L526" s="5" t="s">
        <v>47</v>
      </c>
      <c r="M526" s="5" t="s">
        <v>65</v>
      </c>
      <c r="N526" s="5" t="s">
        <v>66</v>
      </c>
      <c r="O526" s="12"/>
      <c r="S526" s="13">
        <v>4199</v>
      </c>
      <c r="U526" s="13">
        <v>4199</v>
      </c>
      <c r="AC526" s="10" t="s">
        <v>1285</v>
      </c>
      <c r="AD526" s="5" t="s">
        <v>1286</v>
      </c>
      <c r="AE526" s="5" t="s">
        <v>63</v>
      </c>
    </row>
    <row r="527" spans="1:31" ht="10" customHeight="1" x14ac:dyDescent="0.2">
      <c r="A527" s="5" t="s">
        <v>40</v>
      </c>
      <c r="B527" s="5" t="s">
        <v>41</v>
      </c>
      <c r="D527" s="5" t="s">
        <v>1287</v>
      </c>
      <c r="E527" s="10" t="s">
        <v>345</v>
      </c>
      <c r="F527" s="5" t="s">
        <v>70</v>
      </c>
      <c r="G527" s="5" t="s">
        <v>464</v>
      </c>
      <c r="I527" s="11">
        <v>1</v>
      </c>
      <c r="J527" s="5" t="s">
        <v>45</v>
      </c>
      <c r="K527" s="10" t="s">
        <v>46</v>
      </c>
      <c r="L527" s="5" t="s">
        <v>47</v>
      </c>
      <c r="M527" s="5" t="s">
        <v>65</v>
      </c>
      <c r="N527" s="5" t="s">
        <v>66</v>
      </c>
      <c r="O527" s="12"/>
      <c r="S527" s="13">
        <v>52</v>
      </c>
      <c r="U527" s="13">
        <v>52</v>
      </c>
      <c r="AC527" s="10" t="s">
        <v>1288</v>
      </c>
      <c r="AD527" s="5" t="s">
        <v>1286</v>
      </c>
      <c r="AE527" s="5" t="s">
        <v>63</v>
      </c>
    </row>
    <row r="528" spans="1:31" ht="10" customHeight="1" x14ac:dyDescent="0.2">
      <c r="A528" s="5" t="s">
        <v>40</v>
      </c>
      <c r="B528" s="5" t="s">
        <v>41</v>
      </c>
      <c r="D528" s="5" t="s">
        <v>1289</v>
      </c>
      <c r="E528" s="10" t="s">
        <v>345</v>
      </c>
      <c r="F528" s="5" t="s">
        <v>70</v>
      </c>
      <c r="G528" s="5" t="s">
        <v>464</v>
      </c>
      <c r="I528" s="11">
        <v>1</v>
      </c>
      <c r="J528" s="5" t="s">
        <v>45</v>
      </c>
      <c r="K528" s="10" t="s">
        <v>46</v>
      </c>
      <c r="L528" s="5" t="s">
        <v>47</v>
      </c>
      <c r="M528" s="5" t="s">
        <v>65</v>
      </c>
      <c r="N528" s="5" t="s">
        <v>66</v>
      </c>
      <c r="O528" s="12"/>
      <c r="S528" s="13">
        <v>149</v>
      </c>
      <c r="U528" s="13">
        <v>149</v>
      </c>
      <c r="AC528" s="10" t="s">
        <v>1290</v>
      </c>
      <c r="AD528" s="5" t="s">
        <v>1286</v>
      </c>
      <c r="AE528" s="5" t="s">
        <v>63</v>
      </c>
    </row>
    <row r="529" spans="1:31" ht="10" customHeight="1" x14ac:dyDescent="0.2">
      <c r="A529" s="5" t="s">
        <v>40</v>
      </c>
      <c r="B529" s="5" t="s">
        <v>41</v>
      </c>
      <c r="D529" s="5" t="s">
        <v>1291</v>
      </c>
      <c r="E529" s="10" t="s">
        <v>345</v>
      </c>
      <c r="F529" s="5" t="s">
        <v>70</v>
      </c>
      <c r="G529" s="5" t="s">
        <v>464</v>
      </c>
      <c r="I529" s="11">
        <v>1</v>
      </c>
      <c r="J529" s="5" t="s">
        <v>45</v>
      </c>
      <c r="K529" s="10" t="s">
        <v>46</v>
      </c>
      <c r="L529" s="5" t="s">
        <v>47</v>
      </c>
      <c r="M529" s="5" t="s">
        <v>65</v>
      </c>
      <c r="N529" s="5" t="s">
        <v>66</v>
      </c>
      <c r="O529" s="12"/>
      <c r="S529" s="13">
        <v>496</v>
      </c>
      <c r="U529" s="13">
        <v>496</v>
      </c>
      <c r="AC529" s="10" t="s">
        <v>1292</v>
      </c>
      <c r="AD529" s="5" t="s">
        <v>1286</v>
      </c>
      <c r="AE529" s="5" t="s">
        <v>63</v>
      </c>
    </row>
    <row r="530" spans="1:31" ht="10" customHeight="1" x14ac:dyDescent="0.2">
      <c r="A530" s="5" t="s">
        <v>40</v>
      </c>
      <c r="B530" s="5" t="s">
        <v>41</v>
      </c>
      <c r="D530" s="5" t="s">
        <v>1293</v>
      </c>
      <c r="E530" s="10" t="s">
        <v>345</v>
      </c>
      <c r="F530" s="5" t="s">
        <v>70</v>
      </c>
      <c r="G530" s="5" t="s">
        <v>464</v>
      </c>
      <c r="I530" s="11">
        <v>1</v>
      </c>
      <c r="J530" s="5" t="s">
        <v>45</v>
      </c>
      <c r="K530" s="10" t="s">
        <v>46</v>
      </c>
      <c r="L530" s="5" t="s">
        <v>47</v>
      </c>
      <c r="M530" s="5" t="s">
        <v>65</v>
      </c>
      <c r="N530" s="5" t="s">
        <v>66</v>
      </c>
      <c r="O530" s="12"/>
      <c r="S530" s="13">
        <v>1769</v>
      </c>
      <c r="U530" s="13">
        <v>1769</v>
      </c>
      <c r="AC530" s="10" t="s">
        <v>1294</v>
      </c>
      <c r="AD530" s="5" t="s">
        <v>1286</v>
      </c>
      <c r="AE530" s="5" t="s">
        <v>63</v>
      </c>
    </row>
    <row r="531" spans="1:31" ht="10" customHeight="1" x14ac:dyDescent="0.2">
      <c r="A531" s="5" t="s">
        <v>40</v>
      </c>
      <c r="B531" s="5" t="s">
        <v>41</v>
      </c>
      <c r="D531" s="5" t="s">
        <v>1295</v>
      </c>
      <c r="E531" s="10" t="s">
        <v>345</v>
      </c>
      <c r="F531" s="5" t="s">
        <v>70</v>
      </c>
      <c r="G531" s="5" t="s">
        <v>464</v>
      </c>
      <c r="I531" s="11">
        <v>1</v>
      </c>
      <c r="J531" s="5" t="s">
        <v>45</v>
      </c>
      <c r="K531" s="10" t="s">
        <v>46</v>
      </c>
      <c r="L531" s="5" t="s">
        <v>47</v>
      </c>
      <c r="M531" s="5" t="s">
        <v>65</v>
      </c>
      <c r="N531" s="5" t="s">
        <v>66</v>
      </c>
      <c r="O531" s="12"/>
      <c r="S531" s="13">
        <v>835</v>
      </c>
      <c r="U531" s="13">
        <v>835</v>
      </c>
      <c r="AC531" s="10" t="s">
        <v>1296</v>
      </c>
      <c r="AD531" s="5" t="s">
        <v>1286</v>
      </c>
      <c r="AE531" s="5" t="s">
        <v>63</v>
      </c>
    </row>
    <row r="532" spans="1:31" ht="10" customHeight="1" x14ac:dyDescent="0.2">
      <c r="A532" s="5" t="s">
        <v>40</v>
      </c>
      <c r="B532" s="5" t="s">
        <v>41</v>
      </c>
      <c r="D532" s="5" t="s">
        <v>1297</v>
      </c>
      <c r="E532" s="10" t="s">
        <v>345</v>
      </c>
      <c r="F532" s="5" t="s">
        <v>70</v>
      </c>
      <c r="G532" s="5" t="s">
        <v>464</v>
      </c>
      <c r="I532" s="11">
        <v>1</v>
      </c>
      <c r="J532" s="5" t="s">
        <v>45</v>
      </c>
      <c r="K532" s="10" t="s">
        <v>46</v>
      </c>
      <c r="L532" s="5" t="s">
        <v>47</v>
      </c>
      <c r="M532" s="5" t="s">
        <v>65</v>
      </c>
      <c r="N532" s="5" t="s">
        <v>66</v>
      </c>
      <c r="O532" s="12"/>
      <c r="P532" s="13">
        <v>614701</v>
      </c>
      <c r="S532" s="13">
        <v>653837</v>
      </c>
      <c r="U532" s="13">
        <v>653837</v>
      </c>
      <c r="AC532" s="10" t="s">
        <v>1298</v>
      </c>
      <c r="AD532" s="5" t="s">
        <v>1299</v>
      </c>
      <c r="AE532" s="5" t="s">
        <v>63</v>
      </c>
    </row>
    <row r="533" spans="1:31" ht="10" customHeight="1" x14ac:dyDescent="0.2">
      <c r="A533" s="5" t="s">
        <v>40</v>
      </c>
      <c r="B533" s="5" t="s">
        <v>41</v>
      </c>
      <c r="D533" s="5" t="s">
        <v>1300</v>
      </c>
      <c r="E533" s="10" t="s">
        <v>345</v>
      </c>
      <c r="F533" s="5" t="s">
        <v>70</v>
      </c>
      <c r="G533" s="5" t="s">
        <v>464</v>
      </c>
      <c r="I533" s="11">
        <v>1</v>
      </c>
      <c r="J533" s="5" t="s">
        <v>45</v>
      </c>
      <c r="K533" s="10" t="s">
        <v>46</v>
      </c>
      <c r="L533" s="5" t="s">
        <v>47</v>
      </c>
      <c r="M533" s="5" t="s">
        <v>65</v>
      </c>
      <c r="N533" s="5" t="s">
        <v>66</v>
      </c>
      <c r="O533" s="12"/>
      <c r="P533" s="13">
        <v>4872</v>
      </c>
      <c r="S533" s="13">
        <v>37930</v>
      </c>
      <c r="U533" s="13">
        <v>37930</v>
      </c>
      <c r="AC533" s="10" t="s">
        <v>1301</v>
      </c>
      <c r="AD533" s="5" t="s">
        <v>1299</v>
      </c>
      <c r="AE533" s="5" t="s">
        <v>63</v>
      </c>
    </row>
    <row r="534" spans="1:31" ht="10" customHeight="1" x14ac:dyDescent="0.2">
      <c r="A534" s="5" t="s">
        <v>40</v>
      </c>
      <c r="B534" s="5" t="s">
        <v>41</v>
      </c>
      <c r="D534" s="5" t="s">
        <v>1302</v>
      </c>
      <c r="E534" s="10" t="s">
        <v>345</v>
      </c>
      <c r="F534" s="5" t="s">
        <v>70</v>
      </c>
      <c r="G534" s="5" t="s">
        <v>464</v>
      </c>
      <c r="I534" s="11">
        <v>1</v>
      </c>
      <c r="J534" s="5" t="s">
        <v>45</v>
      </c>
      <c r="K534" s="10" t="s">
        <v>46</v>
      </c>
      <c r="L534" s="5" t="s">
        <v>47</v>
      </c>
      <c r="M534" s="5" t="s">
        <v>65</v>
      </c>
      <c r="N534" s="5" t="s">
        <v>66</v>
      </c>
      <c r="O534" s="12"/>
      <c r="P534" s="13">
        <v>21543</v>
      </c>
      <c r="S534" s="13">
        <v>22835</v>
      </c>
      <c r="U534" s="13">
        <v>22835</v>
      </c>
      <c r="AC534" s="10" t="s">
        <v>1303</v>
      </c>
      <c r="AD534" s="5" t="s">
        <v>1299</v>
      </c>
      <c r="AE534" s="5" t="s">
        <v>63</v>
      </c>
    </row>
    <row r="535" spans="1:31" ht="10" customHeight="1" x14ac:dyDescent="0.2">
      <c r="A535" s="5" t="s">
        <v>40</v>
      </c>
      <c r="B535" s="5" t="s">
        <v>41</v>
      </c>
      <c r="D535" s="5" t="s">
        <v>1304</v>
      </c>
      <c r="E535" s="10" t="s">
        <v>345</v>
      </c>
      <c r="F535" s="5" t="s">
        <v>70</v>
      </c>
      <c r="G535" s="5" t="s">
        <v>464</v>
      </c>
      <c r="I535" s="11">
        <v>1</v>
      </c>
      <c r="J535" s="5" t="s">
        <v>45</v>
      </c>
      <c r="K535" s="10" t="s">
        <v>46</v>
      </c>
      <c r="L535" s="5" t="s">
        <v>47</v>
      </c>
      <c r="M535" s="5" t="s">
        <v>65</v>
      </c>
      <c r="N535" s="5" t="s">
        <v>66</v>
      </c>
      <c r="O535" s="12"/>
      <c r="P535" s="13">
        <v>2467</v>
      </c>
      <c r="S535" s="13">
        <v>291</v>
      </c>
      <c r="U535" s="13">
        <v>291</v>
      </c>
      <c r="AC535" s="10" t="s">
        <v>1305</v>
      </c>
      <c r="AD535" s="5" t="s">
        <v>1299</v>
      </c>
      <c r="AE535" s="5" t="s">
        <v>63</v>
      </c>
    </row>
    <row r="536" spans="1:31" ht="10" customHeight="1" x14ac:dyDescent="0.2">
      <c r="A536" s="5" t="s">
        <v>40</v>
      </c>
      <c r="B536" s="5" t="s">
        <v>41</v>
      </c>
      <c r="D536" s="5" t="s">
        <v>1306</v>
      </c>
      <c r="E536" s="10" t="s">
        <v>345</v>
      </c>
      <c r="F536" s="5" t="s">
        <v>70</v>
      </c>
      <c r="G536" s="5" t="s">
        <v>464</v>
      </c>
      <c r="I536" s="11">
        <v>1</v>
      </c>
      <c r="J536" s="5" t="s">
        <v>45</v>
      </c>
      <c r="K536" s="10" t="s">
        <v>46</v>
      </c>
      <c r="L536" s="5" t="s">
        <v>47</v>
      </c>
      <c r="M536" s="5" t="s">
        <v>65</v>
      </c>
      <c r="N536" s="5" t="s">
        <v>66</v>
      </c>
      <c r="O536" s="12"/>
      <c r="P536" s="13">
        <v>34847</v>
      </c>
      <c r="S536" s="13">
        <v>43346</v>
      </c>
      <c r="U536" s="13">
        <v>43346</v>
      </c>
      <c r="AC536" s="10" t="s">
        <v>1307</v>
      </c>
      <c r="AD536" s="5" t="s">
        <v>1299</v>
      </c>
      <c r="AE536" s="5" t="s">
        <v>63</v>
      </c>
    </row>
    <row r="537" spans="1:31" ht="10" customHeight="1" x14ac:dyDescent="0.2">
      <c r="A537" s="5" t="s">
        <v>40</v>
      </c>
      <c r="B537" s="5" t="s">
        <v>41</v>
      </c>
      <c r="D537" s="5" t="s">
        <v>1308</v>
      </c>
      <c r="E537" s="10" t="s">
        <v>345</v>
      </c>
      <c r="F537" s="5" t="s">
        <v>70</v>
      </c>
      <c r="G537" s="5" t="s">
        <v>464</v>
      </c>
      <c r="I537" s="11">
        <v>1</v>
      </c>
      <c r="J537" s="5" t="s">
        <v>45</v>
      </c>
      <c r="K537" s="10" t="s">
        <v>46</v>
      </c>
      <c r="L537" s="5" t="s">
        <v>47</v>
      </c>
      <c r="M537" s="5" t="s">
        <v>65</v>
      </c>
      <c r="N537" s="5" t="s">
        <v>66</v>
      </c>
      <c r="O537" s="12"/>
      <c r="P537" s="13">
        <v>44937</v>
      </c>
      <c r="S537" s="13">
        <v>38804</v>
      </c>
      <c r="U537" s="13">
        <v>38804</v>
      </c>
      <c r="AC537" s="10" t="s">
        <v>1309</v>
      </c>
      <c r="AD537" s="5" t="s">
        <v>1310</v>
      </c>
      <c r="AE537" s="5" t="s">
        <v>63</v>
      </c>
    </row>
    <row r="538" spans="1:31" ht="10" customHeight="1" x14ac:dyDescent="0.2">
      <c r="A538" s="5" t="s">
        <v>40</v>
      </c>
      <c r="B538" s="5" t="s">
        <v>41</v>
      </c>
      <c r="D538" s="5" t="s">
        <v>1311</v>
      </c>
      <c r="E538" s="10" t="s">
        <v>345</v>
      </c>
      <c r="F538" s="5" t="s">
        <v>70</v>
      </c>
      <c r="G538" s="5" t="s">
        <v>464</v>
      </c>
      <c r="I538" s="11">
        <v>1</v>
      </c>
      <c r="J538" s="5" t="s">
        <v>45</v>
      </c>
      <c r="K538" s="10" t="s">
        <v>46</v>
      </c>
      <c r="L538" s="5" t="s">
        <v>47</v>
      </c>
      <c r="M538" s="5" t="s">
        <v>65</v>
      </c>
      <c r="N538" s="5" t="s">
        <v>66</v>
      </c>
      <c r="O538" s="12"/>
      <c r="P538" s="13">
        <v>621</v>
      </c>
      <c r="S538" s="13">
        <v>138</v>
      </c>
      <c r="U538" s="13">
        <v>138</v>
      </c>
      <c r="AC538" s="10" t="s">
        <v>1312</v>
      </c>
      <c r="AD538" s="5" t="s">
        <v>1310</v>
      </c>
      <c r="AE538" s="5" t="s">
        <v>63</v>
      </c>
    </row>
    <row r="539" spans="1:31" ht="10" customHeight="1" x14ac:dyDescent="0.2">
      <c r="A539" s="5" t="s">
        <v>40</v>
      </c>
      <c r="B539" s="5" t="s">
        <v>41</v>
      </c>
      <c r="D539" s="5" t="s">
        <v>1313</v>
      </c>
      <c r="E539" s="10" t="s">
        <v>345</v>
      </c>
      <c r="F539" s="5" t="s">
        <v>70</v>
      </c>
      <c r="G539" s="5" t="s">
        <v>464</v>
      </c>
      <c r="I539" s="11">
        <v>1</v>
      </c>
      <c r="J539" s="5" t="s">
        <v>45</v>
      </c>
      <c r="K539" s="10" t="s">
        <v>46</v>
      </c>
      <c r="L539" s="5" t="s">
        <v>47</v>
      </c>
      <c r="M539" s="5" t="s">
        <v>65</v>
      </c>
      <c r="N539" s="5" t="s">
        <v>66</v>
      </c>
      <c r="O539" s="12"/>
      <c r="P539" s="13">
        <v>4682</v>
      </c>
      <c r="S539" s="13">
        <v>2094</v>
      </c>
      <c r="U539" s="13">
        <v>2094</v>
      </c>
      <c r="AC539" s="10" t="s">
        <v>1314</v>
      </c>
      <c r="AD539" s="5" t="s">
        <v>1310</v>
      </c>
      <c r="AE539" s="5" t="s">
        <v>63</v>
      </c>
    </row>
    <row r="540" spans="1:31" ht="10" customHeight="1" x14ac:dyDescent="0.2">
      <c r="A540" s="5" t="s">
        <v>40</v>
      </c>
      <c r="B540" s="5" t="s">
        <v>41</v>
      </c>
      <c r="D540" s="5" t="s">
        <v>1315</v>
      </c>
      <c r="E540" s="10" t="s">
        <v>345</v>
      </c>
      <c r="F540" s="5" t="s">
        <v>70</v>
      </c>
      <c r="G540" s="5" t="s">
        <v>464</v>
      </c>
      <c r="I540" s="11">
        <v>1</v>
      </c>
      <c r="J540" s="5" t="s">
        <v>45</v>
      </c>
      <c r="K540" s="10" t="s">
        <v>46</v>
      </c>
      <c r="L540" s="5" t="s">
        <v>47</v>
      </c>
      <c r="M540" s="5" t="s">
        <v>65</v>
      </c>
      <c r="N540" s="5" t="s">
        <v>66</v>
      </c>
      <c r="O540" s="12"/>
      <c r="P540" s="13">
        <v>7401</v>
      </c>
      <c r="S540" s="13">
        <v>7017</v>
      </c>
      <c r="U540" s="13">
        <v>7017</v>
      </c>
      <c r="AC540" s="10" t="s">
        <v>1316</v>
      </c>
      <c r="AD540" s="5" t="s">
        <v>1310</v>
      </c>
      <c r="AE540" s="5" t="s">
        <v>63</v>
      </c>
    </row>
    <row r="541" spans="1:31" ht="10" customHeight="1" x14ac:dyDescent="0.2">
      <c r="A541" s="5" t="s">
        <v>40</v>
      </c>
      <c r="B541" s="5" t="s">
        <v>41</v>
      </c>
      <c r="D541" s="5" t="s">
        <v>1317</v>
      </c>
      <c r="E541" s="10" t="s">
        <v>345</v>
      </c>
      <c r="F541" s="5" t="s">
        <v>70</v>
      </c>
      <c r="G541" s="5" t="s">
        <v>464</v>
      </c>
      <c r="I541" s="11">
        <v>1</v>
      </c>
      <c r="J541" s="5" t="s">
        <v>45</v>
      </c>
      <c r="K541" s="10" t="s">
        <v>46</v>
      </c>
      <c r="L541" s="5" t="s">
        <v>47</v>
      </c>
      <c r="M541" s="5" t="s">
        <v>65</v>
      </c>
      <c r="N541" s="5" t="s">
        <v>66</v>
      </c>
      <c r="O541" s="12"/>
      <c r="P541" s="13">
        <v>9878</v>
      </c>
      <c r="S541" s="13">
        <v>4603</v>
      </c>
      <c r="U541" s="13">
        <v>4603</v>
      </c>
      <c r="AC541" s="10" t="s">
        <v>1318</v>
      </c>
      <c r="AD541" s="5" t="s">
        <v>1310</v>
      </c>
      <c r="AE541" s="5" t="s">
        <v>63</v>
      </c>
    </row>
    <row r="542" spans="1:31" ht="10" customHeight="1" x14ac:dyDescent="0.2">
      <c r="A542" s="5" t="s">
        <v>40</v>
      </c>
      <c r="B542" s="5" t="s">
        <v>41</v>
      </c>
      <c r="D542" s="5" t="s">
        <v>1319</v>
      </c>
      <c r="E542" s="10" t="s">
        <v>345</v>
      </c>
      <c r="F542" s="5" t="s">
        <v>70</v>
      </c>
      <c r="G542" s="5" t="s">
        <v>464</v>
      </c>
      <c r="I542" s="11">
        <v>1</v>
      </c>
      <c r="J542" s="5" t="s">
        <v>45</v>
      </c>
      <c r="K542" s="10" t="s">
        <v>46</v>
      </c>
      <c r="L542" s="5" t="s">
        <v>47</v>
      </c>
      <c r="M542" s="5" t="s">
        <v>65</v>
      </c>
      <c r="N542" s="5" t="s">
        <v>66</v>
      </c>
      <c r="O542" s="12"/>
      <c r="P542" s="13">
        <v>9638</v>
      </c>
      <c r="S542" s="13">
        <v>7903</v>
      </c>
      <c r="U542" s="13">
        <v>7903</v>
      </c>
      <c r="AC542" s="10" t="s">
        <v>1320</v>
      </c>
      <c r="AD542" s="5" t="s">
        <v>1310</v>
      </c>
      <c r="AE542" s="5" t="s">
        <v>63</v>
      </c>
    </row>
    <row r="543" spans="1:31" ht="10" customHeight="1" x14ac:dyDescent="0.2">
      <c r="A543" s="5" t="s">
        <v>40</v>
      </c>
      <c r="B543" s="5" t="s">
        <v>41</v>
      </c>
      <c r="D543" s="5" t="s">
        <v>1321</v>
      </c>
      <c r="E543" s="10" t="s">
        <v>345</v>
      </c>
      <c r="F543" s="5" t="s">
        <v>70</v>
      </c>
      <c r="G543" s="5" t="s">
        <v>464</v>
      </c>
      <c r="I543" s="11">
        <v>1</v>
      </c>
      <c r="J543" s="5" t="s">
        <v>45</v>
      </c>
      <c r="K543" s="10" t="s">
        <v>46</v>
      </c>
      <c r="L543" s="5" t="s">
        <v>47</v>
      </c>
      <c r="M543" s="5" t="s">
        <v>65</v>
      </c>
      <c r="N543" s="5" t="s">
        <v>66</v>
      </c>
      <c r="O543" s="12"/>
      <c r="P543" s="13">
        <v>219245</v>
      </c>
      <c r="S543" s="13">
        <v>309152</v>
      </c>
      <c r="U543" s="13">
        <v>309152</v>
      </c>
      <c r="AC543" s="10" t="s">
        <v>1322</v>
      </c>
      <c r="AD543" s="5" t="s">
        <v>1323</v>
      </c>
      <c r="AE543" s="5" t="s">
        <v>63</v>
      </c>
    </row>
    <row r="544" spans="1:31" ht="10" customHeight="1" x14ac:dyDescent="0.2">
      <c r="A544" s="5" t="s">
        <v>40</v>
      </c>
      <c r="B544" s="5" t="s">
        <v>41</v>
      </c>
      <c r="D544" s="5" t="s">
        <v>1324</v>
      </c>
      <c r="E544" s="10" t="s">
        <v>345</v>
      </c>
      <c r="F544" s="5" t="s">
        <v>70</v>
      </c>
      <c r="G544" s="5" t="s">
        <v>464</v>
      </c>
      <c r="I544" s="11">
        <v>1</v>
      </c>
      <c r="J544" s="5" t="s">
        <v>45</v>
      </c>
      <c r="K544" s="10" t="s">
        <v>46</v>
      </c>
      <c r="L544" s="5" t="s">
        <v>47</v>
      </c>
      <c r="M544" s="5" t="s">
        <v>65</v>
      </c>
      <c r="N544" s="5" t="s">
        <v>66</v>
      </c>
      <c r="O544" s="12"/>
      <c r="P544" s="13">
        <v>4620</v>
      </c>
      <c r="S544" s="13">
        <v>31422</v>
      </c>
      <c r="U544" s="13">
        <v>31422</v>
      </c>
      <c r="AC544" s="10" t="s">
        <v>1325</v>
      </c>
      <c r="AD544" s="5" t="s">
        <v>1323</v>
      </c>
      <c r="AE544" s="5" t="s">
        <v>63</v>
      </c>
    </row>
    <row r="545" spans="1:33" ht="10" customHeight="1" x14ac:dyDescent="0.2">
      <c r="A545" s="5" t="s">
        <v>40</v>
      </c>
      <c r="B545" s="5" t="s">
        <v>41</v>
      </c>
      <c r="D545" s="5" t="s">
        <v>1326</v>
      </c>
      <c r="E545" s="10" t="s">
        <v>345</v>
      </c>
      <c r="F545" s="5" t="s">
        <v>70</v>
      </c>
      <c r="G545" s="5" t="s">
        <v>464</v>
      </c>
      <c r="I545" s="11">
        <v>1</v>
      </c>
      <c r="J545" s="5" t="s">
        <v>45</v>
      </c>
      <c r="K545" s="10" t="s">
        <v>46</v>
      </c>
      <c r="L545" s="5" t="s">
        <v>47</v>
      </c>
      <c r="M545" s="5" t="s">
        <v>65</v>
      </c>
      <c r="N545" s="5" t="s">
        <v>66</v>
      </c>
      <c r="O545" s="12"/>
      <c r="P545" s="13">
        <v>10464</v>
      </c>
      <c r="S545" s="13">
        <v>14300</v>
      </c>
      <c r="U545" s="13">
        <v>14300</v>
      </c>
      <c r="AC545" s="10" t="s">
        <v>1327</v>
      </c>
      <c r="AD545" s="5" t="s">
        <v>1323</v>
      </c>
      <c r="AE545" s="5" t="s">
        <v>63</v>
      </c>
    </row>
    <row r="546" spans="1:33" ht="10" customHeight="1" x14ac:dyDescent="0.2">
      <c r="A546" s="5" t="s">
        <v>40</v>
      </c>
      <c r="B546" s="5" t="s">
        <v>41</v>
      </c>
      <c r="D546" s="5" t="s">
        <v>1328</v>
      </c>
      <c r="E546" s="10" t="s">
        <v>345</v>
      </c>
      <c r="F546" s="5" t="s">
        <v>70</v>
      </c>
      <c r="G546" s="5" t="s">
        <v>464</v>
      </c>
      <c r="I546" s="11">
        <v>1</v>
      </c>
      <c r="J546" s="5" t="s">
        <v>45</v>
      </c>
      <c r="K546" s="10" t="s">
        <v>46</v>
      </c>
      <c r="L546" s="5" t="s">
        <v>47</v>
      </c>
      <c r="M546" s="5" t="s">
        <v>65</v>
      </c>
      <c r="N546" s="5" t="s">
        <v>66</v>
      </c>
      <c r="O546" s="12"/>
      <c r="P546" s="13">
        <v>5285</v>
      </c>
      <c r="S546" s="13">
        <v>1266</v>
      </c>
      <c r="U546" s="13">
        <v>1266</v>
      </c>
      <c r="AC546" s="10" t="s">
        <v>1329</v>
      </c>
      <c r="AD546" s="5" t="s">
        <v>1323</v>
      </c>
      <c r="AE546" s="5" t="s">
        <v>63</v>
      </c>
    </row>
    <row r="547" spans="1:33" ht="10" customHeight="1" x14ac:dyDescent="0.2">
      <c r="A547" s="5" t="s">
        <v>40</v>
      </c>
      <c r="B547" s="5" t="s">
        <v>41</v>
      </c>
      <c r="D547" s="5" t="s">
        <v>1330</v>
      </c>
      <c r="E547" s="10" t="s">
        <v>345</v>
      </c>
      <c r="F547" s="5" t="s">
        <v>70</v>
      </c>
      <c r="G547" s="5" t="s">
        <v>464</v>
      </c>
      <c r="I547" s="11">
        <v>1</v>
      </c>
      <c r="J547" s="5" t="s">
        <v>45</v>
      </c>
      <c r="K547" s="10" t="s">
        <v>46</v>
      </c>
      <c r="L547" s="5" t="s">
        <v>47</v>
      </c>
      <c r="M547" s="5" t="s">
        <v>65</v>
      </c>
      <c r="N547" s="5" t="s">
        <v>66</v>
      </c>
      <c r="O547" s="12"/>
      <c r="P547" s="13">
        <v>20468</v>
      </c>
      <c r="S547" s="13">
        <v>28950</v>
      </c>
      <c r="U547" s="13">
        <v>28950</v>
      </c>
      <c r="AC547" s="10" t="s">
        <v>1331</v>
      </c>
      <c r="AD547" s="5" t="s">
        <v>1323</v>
      </c>
      <c r="AE547" s="5" t="s">
        <v>63</v>
      </c>
    </row>
    <row r="548" spans="1:33" ht="10" customHeight="1" x14ac:dyDescent="0.2">
      <c r="A548" s="5" t="s">
        <v>40</v>
      </c>
      <c r="B548" s="5" t="s">
        <v>41</v>
      </c>
      <c r="D548" s="5" t="s">
        <v>1332</v>
      </c>
      <c r="E548" s="10" t="s">
        <v>345</v>
      </c>
      <c r="F548" s="5" t="s">
        <v>70</v>
      </c>
      <c r="G548" s="5" t="s">
        <v>464</v>
      </c>
      <c r="I548" s="11">
        <v>1</v>
      </c>
      <c r="J548" s="5" t="s">
        <v>45</v>
      </c>
      <c r="K548" s="10" t="s">
        <v>46</v>
      </c>
      <c r="L548" s="5" t="s">
        <v>47</v>
      </c>
      <c r="M548" s="5" t="s">
        <v>65</v>
      </c>
      <c r="N548" s="5" t="s">
        <v>66</v>
      </c>
      <c r="O548" s="12"/>
      <c r="P548" s="13">
        <v>15469</v>
      </c>
      <c r="S548" s="13">
        <v>18685</v>
      </c>
      <c r="U548" s="13">
        <v>18685</v>
      </c>
      <c r="AC548" s="10" t="s">
        <v>1333</v>
      </c>
      <c r="AD548" s="5" t="s">
        <v>1334</v>
      </c>
      <c r="AE548" s="5" t="s">
        <v>63</v>
      </c>
    </row>
    <row r="549" spans="1:33" ht="10" customHeight="1" x14ac:dyDescent="0.2">
      <c r="A549" s="5" t="s">
        <v>40</v>
      </c>
      <c r="B549" s="5" t="s">
        <v>41</v>
      </c>
      <c r="D549" s="5" t="s">
        <v>1335</v>
      </c>
      <c r="E549" s="10" t="s">
        <v>345</v>
      </c>
      <c r="F549" s="5" t="s">
        <v>70</v>
      </c>
      <c r="G549" s="5" t="s">
        <v>464</v>
      </c>
      <c r="I549" s="11">
        <v>1</v>
      </c>
      <c r="J549" s="5" t="s">
        <v>45</v>
      </c>
      <c r="K549" s="10" t="s">
        <v>46</v>
      </c>
      <c r="L549" s="5" t="s">
        <v>47</v>
      </c>
      <c r="M549" s="5" t="s">
        <v>65</v>
      </c>
      <c r="N549" s="5" t="s">
        <v>66</v>
      </c>
      <c r="O549" s="12"/>
      <c r="P549" s="13">
        <v>91</v>
      </c>
      <c r="S549" s="13">
        <v>139</v>
      </c>
      <c r="U549" s="13">
        <v>139</v>
      </c>
      <c r="AC549" s="10" t="s">
        <v>1336</v>
      </c>
      <c r="AD549" s="5" t="s">
        <v>1334</v>
      </c>
      <c r="AE549" s="5" t="s">
        <v>63</v>
      </c>
    </row>
    <row r="550" spans="1:33" ht="10" customHeight="1" x14ac:dyDescent="0.2">
      <c r="A550" s="5" t="s">
        <v>40</v>
      </c>
      <c r="B550" s="5" t="s">
        <v>41</v>
      </c>
      <c r="D550" s="5" t="s">
        <v>1337</v>
      </c>
      <c r="E550" s="10" t="s">
        <v>345</v>
      </c>
      <c r="F550" s="5" t="s">
        <v>70</v>
      </c>
      <c r="G550" s="5" t="s">
        <v>464</v>
      </c>
      <c r="I550" s="11">
        <v>1</v>
      </c>
      <c r="J550" s="5" t="s">
        <v>45</v>
      </c>
      <c r="K550" s="10" t="s">
        <v>46</v>
      </c>
      <c r="L550" s="5" t="s">
        <v>47</v>
      </c>
      <c r="M550" s="5" t="s">
        <v>65</v>
      </c>
      <c r="N550" s="5" t="s">
        <v>66</v>
      </c>
      <c r="O550" s="12"/>
      <c r="P550" s="13">
        <v>381</v>
      </c>
      <c r="S550" s="13">
        <v>408</v>
      </c>
      <c r="U550" s="13">
        <v>408</v>
      </c>
      <c r="AC550" s="10" t="s">
        <v>1338</v>
      </c>
      <c r="AD550" s="5" t="s">
        <v>1334</v>
      </c>
      <c r="AE550" s="5" t="s">
        <v>63</v>
      </c>
      <c r="AG550" s="5" t="s">
        <v>1339</v>
      </c>
    </row>
    <row r="551" spans="1:33" ht="10" customHeight="1" x14ac:dyDescent="0.2">
      <c r="A551" s="5" t="s">
        <v>40</v>
      </c>
      <c r="B551" s="5" t="s">
        <v>41</v>
      </c>
      <c r="D551" s="5" t="s">
        <v>1340</v>
      </c>
      <c r="E551" s="10" t="s">
        <v>345</v>
      </c>
      <c r="F551" s="5" t="s">
        <v>70</v>
      </c>
      <c r="G551" s="5" t="s">
        <v>464</v>
      </c>
      <c r="I551" s="11">
        <v>1</v>
      </c>
      <c r="J551" s="5" t="s">
        <v>45</v>
      </c>
      <c r="K551" s="10" t="s">
        <v>46</v>
      </c>
      <c r="L551" s="5" t="s">
        <v>47</v>
      </c>
      <c r="M551" s="5" t="s">
        <v>65</v>
      </c>
      <c r="N551" s="5" t="s">
        <v>66</v>
      </c>
      <c r="O551" s="12"/>
      <c r="P551" s="13">
        <v>944</v>
      </c>
      <c r="S551" s="13">
        <v>1346</v>
      </c>
      <c r="U551" s="13">
        <v>1346</v>
      </c>
      <c r="AC551" s="10" t="s">
        <v>1341</v>
      </c>
      <c r="AD551" s="5" t="s">
        <v>1334</v>
      </c>
      <c r="AE551" s="5" t="s">
        <v>63</v>
      </c>
    </row>
    <row r="552" spans="1:33" ht="10" customHeight="1" x14ac:dyDescent="0.2">
      <c r="A552" s="5" t="s">
        <v>40</v>
      </c>
      <c r="B552" s="5" t="s">
        <v>41</v>
      </c>
      <c r="D552" s="5" t="s">
        <v>1342</v>
      </c>
      <c r="E552" s="10" t="s">
        <v>345</v>
      </c>
      <c r="F552" s="5" t="s">
        <v>70</v>
      </c>
      <c r="G552" s="5" t="s">
        <v>464</v>
      </c>
      <c r="I552" s="11">
        <v>1</v>
      </c>
      <c r="J552" s="5" t="s">
        <v>45</v>
      </c>
      <c r="K552" s="10" t="s">
        <v>46</v>
      </c>
      <c r="L552" s="5" t="s">
        <v>47</v>
      </c>
      <c r="M552" s="5" t="s">
        <v>65</v>
      </c>
      <c r="N552" s="5" t="s">
        <v>66</v>
      </c>
      <c r="O552" s="12"/>
      <c r="P552" s="13">
        <v>739</v>
      </c>
      <c r="S552" s="13">
        <v>895</v>
      </c>
      <c r="U552" s="13">
        <v>895</v>
      </c>
      <c r="AC552" s="10" t="s">
        <v>1343</v>
      </c>
      <c r="AD552" s="5" t="s">
        <v>1334</v>
      </c>
      <c r="AE552" s="5" t="s">
        <v>63</v>
      </c>
    </row>
    <row r="553" spans="1:33" ht="10" customHeight="1" x14ac:dyDescent="0.2">
      <c r="A553" s="5" t="s">
        <v>40</v>
      </c>
      <c r="B553" s="5" t="s">
        <v>41</v>
      </c>
      <c r="D553" s="5" t="s">
        <v>1344</v>
      </c>
      <c r="E553" s="10" t="s">
        <v>345</v>
      </c>
      <c r="F553" s="5" t="s">
        <v>70</v>
      </c>
      <c r="G553" s="5" t="s">
        <v>464</v>
      </c>
      <c r="I553" s="11">
        <v>1</v>
      </c>
      <c r="J553" s="5" t="s">
        <v>45</v>
      </c>
      <c r="K553" s="10" t="s">
        <v>46</v>
      </c>
      <c r="L553" s="5" t="s">
        <v>47</v>
      </c>
      <c r="M553" s="5" t="s">
        <v>65</v>
      </c>
      <c r="N553" s="5" t="s">
        <v>66</v>
      </c>
      <c r="O553" s="12"/>
      <c r="P553" s="13">
        <v>1581</v>
      </c>
      <c r="S553" s="13">
        <v>1804</v>
      </c>
      <c r="U553" s="13">
        <v>1804</v>
      </c>
      <c r="AC553" s="10" t="s">
        <v>1345</v>
      </c>
      <c r="AD553" s="5" t="s">
        <v>1334</v>
      </c>
      <c r="AE553" s="5" t="s">
        <v>63</v>
      </c>
    </row>
    <row r="554" spans="1:33" ht="10" customHeight="1" x14ac:dyDescent="0.2">
      <c r="A554" s="5" t="s">
        <v>40</v>
      </c>
      <c r="B554" s="5" t="s">
        <v>41</v>
      </c>
      <c r="D554" s="5" t="s">
        <v>1346</v>
      </c>
      <c r="E554" s="10" t="s">
        <v>345</v>
      </c>
      <c r="F554" s="5" t="s">
        <v>70</v>
      </c>
      <c r="G554" s="5" t="s">
        <v>464</v>
      </c>
      <c r="I554" s="11">
        <v>1</v>
      </c>
      <c r="J554" s="5" t="s">
        <v>45</v>
      </c>
      <c r="K554" s="10" t="s">
        <v>46</v>
      </c>
      <c r="L554" s="5" t="s">
        <v>47</v>
      </c>
      <c r="M554" s="5" t="s">
        <v>65</v>
      </c>
      <c r="N554" s="5" t="s">
        <v>66</v>
      </c>
      <c r="O554" s="12"/>
      <c r="P554" s="13">
        <v>2558</v>
      </c>
      <c r="S554" s="13">
        <v>3278</v>
      </c>
      <c r="U554" s="13">
        <v>3278</v>
      </c>
      <c r="AC554" s="10" t="s">
        <v>1347</v>
      </c>
      <c r="AD554" s="5" t="s">
        <v>1348</v>
      </c>
      <c r="AE554" s="5" t="s">
        <v>63</v>
      </c>
    </row>
    <row r="555" spans="1:33" ht="10" customHeight="1" x14ac:dyDescent="0.2">
      <c r="A555" s="5" t="s">
        <v>40</v>
      </c>
      <c r="B555" s="5" t="s">
        <v>41</v>
      </c>
      <c r="D555" s="5" t="s">
        <v>1349</v>
      </c>
      <c r="E555" s="10" t="s">
        <v>345</v>
      </c>
      <c r="F555" s="5" t="s">
        <v>70</v>
      </c>
      <c r="G555" s="5" t="s">
        <v>464</v>
      </c>
      <c r="I555" s="11">
        <v>1</v>
      </c>
      <c r="J555" s="5" t="s">
        <v>45</v>
      </c>
      <c r="K555" s="10" t="s">
        <v>46</v>
      </c>
      <c r="L555" s="5" t="s">
        <v>47</v>
      </c>
      <c r="M555" s="5" t="s">
        <v>65</v>
      </c>
      <c r="N555" s="5" t="s">
        <v>66</v>
      </c>
      <c r="O555" s="12"/>
      <c r="P555" s="13">
        <v>114</v>
      </c>
      <c r="S555" s="13">
        <v>260</v>
      </c>
      <c r="U555" s="13">
        <v>260</v>
      </c>
      <c r="AC555" s="10" t="s">
        <v>1350</v>
      </c>
      <c r="AD555" s="5" t="s">
        <v>1348</v>
      </c>
      <c r="AE555" s="5" t="s">
        <v>63</v>
      </c>
    </row>
    <row r="556" spans="1:33" ht="10" customHeight="1" x14ac:dyDescent="0.2">
      <c r="A556" s="5" t="s">
        <v>40</v>
      </c>
      <c r="B556" s="5" t="s">
        <v>41</v>
      </c>
      <c r="D556" s="5" t="s">
        <v>1351</v>
      </c>
      <c r="E556" s="10" t="s">
        <v>345</v>
      </c>
      <c r="F556" s="5" t="s">
        <v>70</v>
      </c>
      <c r="G556" s="5" t="s">
        <v>464</v>
      </c>
      <c r="I556" s="11">
        <v>1</v>
      </c>
      <c r="J556" s="5" t="s">
        <v>45</v>
      </c>
      <c r="K556" s="10" t="s">
        <v>46</v>
      </c>
      <c r="L556" s="5" t="s">
        <v>47</v>
      </c>
      <c r="M556" s="5" t="s">
        <v>65</v>
      </c>
      <c r="N556" s="5" t="s">
        <v>66</v>
      </c>
      <c r="O556" s="12"/>
      <c r="P556" s="13">
        <v>231</v>
      </c>
      <c r="S556" s="13">
        <v>31</v>
      </c>
      <c r="U556" s="13">
        <v>31</v>
      </c>
      <c r="AC556" s="10" t="s">
        <v>1352</v>
      </c>
      <c r="AD556" s="5" t="s">
        <v>1348</v>
      </c>
      <c r="AE556" s="5" t="s">
        <v>63</v>
      </c>
    </row>
    <row r="557" spans="1:33" ht="10" customHeight="1" x14ac:dyDescent="0.2">
      <c r="A557" s="5" t="s">
        <v>40</v>
      </c>
      <c r="B557" s="5" t="s">
        <v>41</v>
      </c>
      <c r="D557" s="5" t="s">
        <v>1353</v>
      </c>
      <c r="E557" s="10" t="s">
        <v>345</v>
      </c>
      <c r="F557" s="5" t="s">
        <v>70</v>
      </c>
      <c r="G557" s="5" t="s">
        <v>464</v>
      </c>
      <c r="I557" s="11">
        <v>1</v>
      </c>
      <c r="J557" s="5" t="s">
        <v>45</v>
      </c>
      <c r="K557" s="10" t="s">
        <v>46</v>
      </c>
      <c r="L557" s="5" t="s">
        <v>47</v>
      </c>
      <c r="M557" s="5" t="s">
        <v>65</v>
      </c>
      <c r="N557" s="5" t="s">
        <v>66</v>
      </c>
      <c r="O557" s="12"/>
      <c r="S557" s="13">
        <v>106</v>
      </c>
      <c r="U557" s="13">
        <v>106</v>
      </c>
      <c r="AC557" s="10" t="s">
        <v>1354</v>
      </c>
      <c r="AD557" s="5" t="s">
        <v>1348</v>
      </c>
      <c r="AE557" s="5" t="s">
        <v>63</v>
      </c>
    </row>
    <row r="558" spans="1:33" ht="10" customHeight="1" x14ac:dyDescent="0.2">
      <c r="A558" s="5" t="s">
        <v>40</v>
      </c>
      <c r="B558" s="5" t="s">
        <v>41</v>
      </c>
      <c r="D558" s="5" t="s">
        <v>1355</v>
      </c>
      <c r="E558" s="10" t="s">
        <v>345</v>
      </c>
      <c r="F558" s="5" t="s">
        <v>70</v>
      </c>
      <c r="G558" s="5" t="s">
        <v>464</v>
      </c>
      <c r="I558" s="11">
        <v>1</v>
      </c>
      <c r="J558" s="5" t="s">
        <v>45</v>
      </c>
      <c r="K558" s="10" t="s">
        <v>46</v>
      </c>
      <c r="L558" s="5" t="s">
        <v>47</v>
      </c>
      <c r="M558" s="5" t="s">
        <v>65</v>
      </c>
      <c r="N558" s="5" t="s">
        <v>66</v>
      </c>
      <c r="O558" s="12"/>
      <c r="P558" s="13">
        <v>474</v>
      </c>
      <c r="S558" s="13">
        <v>647</v>
      </c>
      <c r="U558" s="13">
        <v>647</v>
      </c>
      <c r="AC558" s="10" t="s">
        <v>1356</v>
      </c>
      <c r="AD558" s="5" t="s">
        <v>1348</v>
      </c>
      <c r="AE558" s="5" t="s">
        <v>63</v>
      </c>
    </row>
    <row r="559" spans="1:33" ht="10" customHeight="1" x14ac:dyDescent="0.2">
      <c r="A559" s="5" t="s">
        <v>40</v>
      </c>
      <c r="B559" s="5" t="s">
        <v>41</v>
      </c>
      <c r="D559" s="5" t="s">
        <v>1357</v>
      </c>
      <c r="E559" s="10" t="s">
        <v>345</v>
      </c>
      <c r="F559" s="5" t="s">
        <v>70</v>
      </c>
      <c r="G559" s="5" t="s">
        <v>464</v>
      </c>
      <c r="I559" s="11">
        <v>1</v>
      </c>
      <c r="J559" s="5" t="s">
        <v>45</v>
      </c>
      <c r="K559" s="10" t="s">
        <v>46</v>
      </c>
      <c r="L559" s="5" t="s">
        <v>47</v>
      </c>
      <c r="M559" s="5" t="s">
        <v>65</v>
      </c>
      <c r="N559" s="5" t="s">
        <v>66</v>
      </c>
      <c r="O559" s="12"/>
      <c r="P559" s="13">
        <v>39800</v>
      </c>
      <c r="S559" s="13">
        <v>40644</v>
      </c>
      <c r="U559" s="13">
        <v>40644</v>
      </c>
      <c r="AC559" s="10" t="s">
        <v>1358</v>
      </c>
      <c r="AD559" s="5" t="s">
        <v>1359</v>
      </c>
      <c r="AE559" s="5" t="s">
        <v>63</v>
      </c>
    </row>
    <row r="560" spans="1:33" ht="10" customHeight="1" x14ac:dyDescent="0.2">
      <c r="A560" s="5" t="s">
        <v>40</v>
      </c>
      <c r="B560" s="5" t="s">
        <v>41</v>
      </c>
      <c r="D560" s="5" t="s">
        <v>1360</v>
      </c>
      <c r="E560" s="10" t="s">
        <v>345</v>
      </c>
      <c r="F560" s="5" t="s">
        <v>70</v>
      </c>
      <c r="G560" s="5" t="s">
        <v>464</v>
      </c>
      <c r="I560" s="11">
        <v>1</v>
      </c>
      <c r="J560" s="5" t="s">
        <v>45</v>
      </c>
      <c r="K560" s="10" t="s">
        <v>46</v>
      </c>
      <c r="L560" s="5" t="s">
        <v>47</v>
      </c>
      <c r="M560" s="5" t="s">
        <v>65</v>
      </c>
      <c r="N560" s="5" t="s">
        <v>66</v>
      </c>
      <c r="O560" s="12"/>
      <c r="P560" s="13">
        <v>269</v>
      </c>
      <c r="S560" s="13">
        <v>435</v>
      </c>
      <c r="U560" s="13">
        <v>435</v>
      </c>
      <c r="AC560" s="10" t="s">
        <v>1361</v>
      </c>
      <c r="AD560" s="5" t="s">
        <v>1359</v>
      </c>
      <c r="AE560" s="5" t="s">
        <v>63</v>
      </c>
    </row>
    <row r="561" spans="1:31" ht="10" customHeight="1" x14ac:dyDescent="0.2">
      <c r="A561" s="5" t="s">
        <v>40</v>
      </c>
      <c r="B561" s="5" t="s">
        <v>41</v>
      </c>
      <c r="D561" s="5" t="s">
        <v>1362</v>
      </c>
      <c r="E561" s="10" t="s">
        <v>345</v>
      </c>
      <c r="F561" s="5" t="s">
        <v>70</v>
      </c>
      <c r="G561" s="5" t="s">
        <v>464</v>
      </c>
      <c r="I561" s="11">
        <v>1</v>
      </c>
      <c r="J561" s="5" t="s">
        <v>45</v>
      </c>
      <c r="K561" s="10" t="s">
        <v>46</v>
      </c>
      <c r="L561" s="5" t="s">
        <v>47</v>
      </c>
      <c r="M561" s="5" t="s">
        <v>65</v>
      </c>
      <c r="N561" s="5" t="s">
        <v>66</v>
      </c>
      <c r="O561" s="12"/>
      <c r="P561" s="13">
        <v>1423</v>
      </c>
      <c r="S561" s="13">
        <v>1958</v>
      </c>
      <c r="U561" s="13">
        <v>1958</v>
      </c>
      <c r="AC561" s="10" t="s">
        <v>1363</v>
      </c>
      <c r="AD561" s="5" t="s">
        <v>1359</v>
      </c>
      <c r="AE561" s="5" t="s">
        <v>63</v>
      </c>
    </row>
    <row r="562" spans="1:31" ht="10" customHeight="1" x14ac:dyDescent="0.2">
      <c r="A562" s="5" t="s">
        <v>40</v>
      </c>
      <c r="B562" s="5" t="s">
        <v>41</v>
      </c>
      <c r="D562" s="5" t="s">
        <v>1364</v>
      </c>
      <c r="E562" s="10" t="s">
        <v>345</v>
      </c>
      <c r="F562" s="5" t="s">
        <v>70</v>
      </c>
      <c r="G562" s="5" t="s">
        <v>464</v>
      </c>
      <c r="I562" s="11">
        <v>1</v>
      </c>
      <c r="J562" s="5" t="s">
        <v>45</v>
      </c>
      <c r="K562" s="10" t="s">
        <v>46</v>
      </c>
      <c r="L562" s="5" t="s">
        <v>47</v>
      </c>
      <c r="M562" s="5" t="s">
        <v>65</v>
      </c>
      <c r="N562" s="5" t="s">
        <v>66</v>
      </c>
      <c r="O562" s="12"/>
      <c r="P562" s="13">
        <v>736</v>
      </c>
      <c r="S562" s="13">
        <v>816</v>
      </c>
      <c r="U562" s="13">
        <v>816</v>
      </c>
      <c r="AC562" s="10" t="s">
        <v>1365</v>
      </c>
      <c r="AD562" s="5" t="s">
        <v>1359</v>
      </c>
      <c r="AE562" s="5" t="s">
        <v>63</v>
      </c>
    </row>
    <row r="563" spans="1:31" ht="10" customHeight="1" x14ac:dyDescent="0.2">
      <c r="A563" s="5" t="s">
        <v>40</v>
      </c>
      <c r="B563" s="5" t="s">
        <v>41</v>
      </c>
      <c r="D563" s="5" t="s">
        <v>1366</v>
      </c>
      <c r="E563" s="10" t="s">
        <v>345</v>
      </c>
      <c r="F563" s="5" t="s">
        <v>70</v>
      </c>
      <c r="G563" s="5" t="s">
        <v>464</v>
      </c>
      <c r="I563" s="11">
        <v>1</v>
      </c>
      <c r="J563" s="5" t="s">
        <v>45</v>
      </c>
      <c r="K563" s="10" t="s">
        <v>46</v>
      </c>
      <c r="L563" s="5" t="s">
        <v>47</v>
      </c>
      <c r="M563" s="5" t="s">
        <v>65</v>
      </c>
      <c r="N563" s="5" t="s">
        <v>66</v>
      </c>
      <c r="O563" s="12"/>
      <c r="P563" s="13">
        <v>373</v>
      </c>
      <c r="S563" s="13">
        <v>773</v>
      </c>
      <c r="U563" s="13">
        <v>773</v>
      </c>
      <c r="AC563" s="10" t="s">
        <v>1367</v>
      </c>
      <c r="AD563" s="5" t="s">
        <v>1359</v>
      </c>
      <c r="AE563" s="5" t="s">
        <v>63</v>
      </c>
    </row>
    <row r="564" spans="1:31" ht="10" customHeight="1" x14ac:dyDescent="0.2">
      <c r="A564" s="5" t="s">
        <v>40</v>
      </c>
      <c r="B564" s="5" t="s">
        <v>41</v>
      </c>
      <c r="D564" s="5" t="s">
        <v>1368</v>
      </c>
      <c r="E564" s="10" t="s">
        <v>345</v>
      </c>
      <c r="F564" s="5" t="s">
        <v>70</v>
      </c>
      <c r="G564" s="5" t="s">
        <v>464</v>
      </c>
      <c r="I564" s="11">
        <v>1</v>
      </c>
      <c r="J564" s="5" t="s">
        <v>45</v>
      </c>
      <c r="K564" s="10" t="s">
        <v>46</v>
      </c>
      <c r="L564" s="5" t="s">
        <v>47</v>
      </c>
      <c r="M564" s="5" t="s">
        <v>65</v>
      </c>
      <c r="N564" s="5" t="s">
        <v>66</v>
      </c>
      <c r="O564" s="12"/>
      <c r="P564" s="13">
        <v>1736</v>
      </c>
      <c r="S564" s="13">
        <v>1897</v>
      </c>
      <c r="U564" s="13">
        <v>1897</v>
      </c>
      <c r="AC564" s="10" t="s">
        <v>1369</v>
      </c>
      <c r="AD564" s="5" t="s">
        <v>1359</v>
      </c>
      <c r="AE564" s="5" t="s">
        <v>63</v>
      </c>
    </row>
    <row r="565" spans="1:31" ht="10" customHeight="1" x14ac:dyDescent="0.2">
      <c r="A565" s="5" t="s">
        <v>40</v>
      </c>
      <c r="B565" s="5" t="s">
        <v>41</v>
      </c>
      <c r="D565" s="5" t="s">
        <v>1370</v>
      </c>
      <c r="E565" s="10" t="s">
        <v>345</v>
      </c>
      <c r="F565" s="5" t="s">
        <v>70</v>
      </c>
      <c r="G565" s="5" t="s">
        <v>464</v>
      </c>
      <c r="I565" s="11">
        <v>1</v>
      </c>
      <c r="J565" s="5" t="s">
        <v>45</v>
      </c>
      <c r="K565" s="10" t="s">
        <v>46</v>
      </c>
      <c r="L565" s="5" t="s">
        <v>47</v>
      </c>
      <c r="M565" s="5" t="s">
        <v>65</v>
      </c>
      <c r="N565" s="5" t="s">
        <v>66</v>
      </c>
      <c r="O565" s="12"/>
      <c r="P565" s="13">
        <v>2614</v>
      </c>
      <c r="S565" s="13">
        <v>2854</v>
      </c>
      <c r="U565" s="13">
        <v>2854</v>
      </c>
      <c r="AC565" s="10" t="s">
        <v>1371</v>
      </c>
      <c r="AD565" s="5" t="s">
        <v>1372</v>
      </c>
      <c r="AE565" s="5" t="s">
        <v>63</v>
      </c>
    </row>
    <row r="566" spans="1:31" ht="10" customHeight="1" x14ac:dyDescent="0.2">
      <c r="A566" s="5" t="s">
        <v>40</v>
      </c>
      <c r="B566" s="5" t="s">
        <v>41</v>
      </c>
      <c r="D566" s="5" t="s">
        <v>1373</v>
      </c>
      <c r="E566" s="10" t="s">
        <v>345</v>
      </c>
      <c r="F566" s="5" t="s">
        <v>70</v>
      </c>
      <c r="G566" s="5" t="s">
        <v>464</v>
      </c>
      <c r="I566" s="11">
        <v>1</v>
      </c>
      <c r="J566" s="5" t="s">
        <v>45</v>
      </c>
      <c r="K566" s="10" t="s">
        <v>46</v>
      </c>
      <c r="L566" s="5" t="s">
        <v>47</v>
      </c>
      <c r="M566" s="5" t="s">
        <v>65</v>
      </c>
      <c r="N566" s="5" t="s">
        <v>66</v>
      </c>
      <c r="O566" s="12"/>
      <c r="S566" s="13">
        <v>471</v>
      </c>
      <c r="U566" s="13">
        <v>471</v>
      </c>
      <c r="AC566" s="10" t="s">
        <v>1374</v>
      </c>
      <c r="AD566" s="5" t="s">
        <v>1372</v>
      </c>
      <c r="AE566" s="5" t="s">
        <v>63</v>
      </c>
    </row>
    <row r="567" spans="1:31" ht="10" customHeight="1" x14ac:dyDescent="0.2">
      <c r="A567" s="5" t="s">
        <v>40</v>
      </c>
      <c r="B567" s="5" t="s">
        <v>41</v>
      </c>
      <c r="D567" s="5" t="s">
        <v>1375</v>
      </c>
      <c r="E567" s="10" t="s">
        <v>345</v>
      </c>
      <c r="F567" s="5" t="s">
        <v>70</v>
      </c>
      <c r="G567" s="5" t="s">
        <v>464</v>
      </c>
      <c r="I567" s="11">
        <v>1</v>
      </c>
      <c r="J567" s="5" t="s">
        <v>45</v>
      </c>
      <c r="K567" s="10" t="s">
        <v>46</v>
      </c>
      <c r="L567" s="5" t="s">
        <v>47</v>
      </c>
      <c r="M567" s="5" t="s">
        <v>65</v>
      </c>
      <c r="N567" s="5" t="s">
        <v>66</v>
      </c>
      <c r="O567" s="12"/>
      <c r="P567" s="13">
        <v>1053</v>
      </c>
      <c r="S567" s="13">
        <v>378</v>
      </c>
      <c r="U567" s="13">
        <v>378</v>
      </c>
      <c r="AC567" s="10" t="s">
        <v>1376</v>
      </c>
      <c r="AD567" s="5" t="s">
        <v>1372</v>
      </c>
      <c r="AE567" s="5" t="s">
        <v>63</v>
      </c>
    </row>
    <row r="568" spans="1:31" ht="10" customHeight="1" x14ac:dyDescent="0.2">
      <c r="A568" s="5" t="s">
        <v>40</v>
      </c>
      <c r="B568" s="5" t="s">
        <v>41</v>
      </c>
      <c r="D568" s="5" t="s">
        <v>1377</v>
      </c>
      <c r="E568" s="10" t="s">
        <v>345</v>
      </c>
      <c r="F568" s="5" t="s">
        <v>70</v>
      </c>
      <c r="G568" s="5" t="s">
        <v>464</v>
      </c>
      <c r="I568" s="11">
        <v>1</v>
      </c>
      <c r="J568" s="5" t="s">
        <v>45</v>
      </c>
      <c r="K568" s="10" t="s">
        <v>46</v>
      </c>
      <c r="L568" s="5" t="s">
        <v>47</v>
      </c>
      <c r="M568" s="5" t="s">
        <v>65</v>
      </c>
      <c r="N568" s="5" t="s">
        <v>66</v>
      </c>
      <c r="O568" s="12"/>
      <c r="P568" s="13">
        <v>653</v>
      </c>
      <c r="S568" s="13">
        <v>825</v>
      </c>
      <c r="U568" s="13">
        <v>825</v>
      </c>
      <c r="AC568" s="10" t="s">
        <v>1378</v>
      </c>
      <c r="AD568" s="5" t="s">
        <v>1372</v>
      </c>
      <c r="AE568" s="5" t="s">
        <v>63</v>
      </c>
    </row>
    <row r="569" spans="1:31" ht="10" customHeight="1" x14ac:dyDescent="0.2">
      <c r="A569" s="5" t="s">
        <v>40</v>
      </c>
      <c r="B569" s="5" t="s">
        <v>41</v>
      </c>
      <c r="D569" s="5" t="s">
        <v>1379</v>
      </c>
      <c r="E569" s="10" t="s">
        <v>345</v>
      </c>
      <c r="F569" s="5" t="s">
        <v>70</v>
      </c>
      <c r="G569" s="5" t="s">
        <v>464</v>
      </c>
      <c r="I569" s="11">
        <v>1</v>
      </c>
      <c r="J569" s="5" t="s">
        <v>45</v>
      </c>
      <c r="K569" s="10" t="s">
        <v>46</v>
      </c>
      <c r="L569" s="5" t="s">
        <v>47</v>
      </c>
      <c r="M569" s="5" t="s">
        <v>65</v>
      </c>
      <c r="N569" s="5" t="s">
        <v>66</v>
      </c>
      <c r="O569" s="12"/>
      <c r="P569" s="13">
        <v>1036</v>
      </c>
      <c r="S569" s="13">
        <v>4129</v>
      </c>
      <c r="U569" s="13">
        <v>4129</v>
      </c>
      <c r="AC569" s="10" t="s">
        <v>1380</v>
      </c>
      <c r="AD569" s="5" t="s">
        <v>1372</v>
      </c>
      <c r="AE569" s="5" t="s">
        <v>63</v>
      </c>
    </row>
    <row r="570" spans="1:31" ht="10" customHeight="1" x14ac:dyDescent="0.2">
      <c r="A570" s="5" t="s">
        <v>40</v>
      </c>
      <c r="B570" s="5" t="s">
        <v>41</v>
      </c>
      <c r="D570" s="5" t="s">
        <v>1381</v>
      </c>
      <c r="E570" s="10" t="s">
        <v>345</v>
      </c>
      <c r="F570" s="5" t="s">
        <v>70</v>
      </c>
      <c r="G570" s="5" t="s">
        <v>464</v>
      </c>
      <c r="I570" s="11">
        <v>1</v>
      </c>
      <c r="J570" s="5" t="s">
        <v>45</v>
      </c>
      <c r="K570" s="10" t="s">
        <v>46</v>
      </c>
      <c r="L570" s="5" t="s">
        <v>47</v>
      </c>
      <c r="M570" s="5" t="s">
        <v>65</v>
      </c>
      <c r="N570" s="5" t="s">
        <v>66</v>
      </c>
      <c r="O570" s="12"/>
      <c r="P570" s="13">
        <v>12184</v>
      </c>
      <c r="S570" s="13">
        <v>15385</v>
      </c>
      <c r="U570" s="13">
        <v>15385</v>
      </c>
      <c r="AC570" s="10" t="s">
        <v>1382</v>
      </c>
      <c r="AD570" s="5" t="s">
        <v>1383</v>
      </c>
      <c r="AE570" s="5" t="s">
        <v>63</v>
      </c>
    </row>
    <row r="571" spans="1:31" ht="10" customHeight="1" x14ac:dyDescent="0.2">
      <c r="A571" s="5" t="s">
        <v>40</v>
      </c>
      <c r="B571" s="5" t="s">
        <v>41</v>
      </c>
      <c r="D571" s="5" t="s">
        <v>1384</v>
      </c>
      <c r="E571" s="10" t="s">
        <v>345</v>
      </c>
      <c r="F571" s="5" t="s">
        <v>70</v>
      </c>
      <c r="G571" s="5" t="s">
        <v>464</v>
      </c>
      <c r="I571" s="11">
        <v>1</v>
      </c>
      <c r="J571" s="5" t="s">
        <v>45</v>
      </c>
      <c r="K571" s="10" t="s">
        <v>46</v>
      </c>
      <c r="L571" s="5" t="s">
        <v>47</v>
      </c>
      <c r="M571" s="5" t="s">
        <v>65</v>
      </c>
      <c r="N571" s="5" t="s">
        <v>66</v>
      </c>
      <c r="O571" s="12"/>
      <c r="P571" s="13">
        <v>13</v>
      </c>
      <c r="S571" s="13">
        <v>400</v>
      </c>
      <c r="U571" s="13">
        <v>400</v>
      </c>
      <c r="AC571" s="10" t="s">
        <v>1385</v>
      </c>
      <c r="AD571" s="5" t="s">
        <v>1383</v>
      </c>
      <c r="AE571" s="5" t="s">
        <v>63</v>
      </c>
    </row>
    <row r="572" spans="1:31" ht="10" customHeight="1" x14ac:dyDescent="0.2">
      <c r="A572" s="5" t="s">
        <v>40</v>
      </c>
      <c r="B572" s="5" t="s">
        <v>41</v>
      </c>
      <c r="D572" s="5" t="s">
        <v>1386</v>
      </c>
      <c r="E572" s="10" t="s">
        <v>345</v>
      </c>
      <c r="F572" s="5" t="s">
        <v>70</v>
      </c>
      <c r="G572" s="5" t="s">
        <v>464</v>
      </c>
      <c r="I572" s="11">
        <v>1</v>
      </c>
      <c r="J572" s="5" t="s">
        <v>45</v>
      </c>
      <c r="K572" s="10" t="s">
        <v>46</v>
      </c>
      <c r="L572" s="5" t="s">
        <v>47</v>
      </c>
      <c r="M572" s="5" t="s">
        <v>65</v>
      </c>
      <c r="N572" s="5" t="s">
        <v>66</v>
      </c>
      <c r="O572" s="12"/>
      <c r="S572" s="13">
        <v>134</v>
      </c>
      <c r="U572" s="13">
        <v>134</v>
      </c>
      <c r="AC572" s="10" t="s">
        <v>1387</v>
      </c>
      <c r="AD572" s="5" t="s">
        <v>1383</v>
      </c>
      <c r="AE572" s="5" t="s">
        <v>63</v>
      </c>
    </row>
    <row r="573" spans="1:31" ht="10" customHeight="1" x14ac:dyDescent="0.2">
      <c r="A573" s="5" t="s">
        <v>40</v>
      </c>
      <c r="B573" s="5" t="s">
        <v>41</v>
      </c>
      <c r="D573" s="5" t="s">
        <v>1388</v>
      </c>
      <c r="E573" s="10" t="s">
        <v>345</v>
      </c>
      <c r="F573" s="5" t="s">
        <v>70</v>
      </c>
      <c r="G573" s="5" t="s">
        <v>464</v>
      </c>
      <c r="I573" s="11">
        <v>1</v>
      </c>
      <c r="J573" s="5" t="s">
        <v>45</v>
      </c>
      <c r="K573" s="10" t="s">
        <v>46</v>
      </c>
      <c r="L573" s="5" t="s">
        <v>47</v>
      </c>
      <c r="M573" s="5" t="s">
        <v>65</v>
      </c>
      <c r="N573" s="5" t="s">
        <v>66</v>
      </c>
      <c r="O573" s="12"/>
      <c r="P573" s="13">
        <v>2248</v>
      </c>
      <c r="S573" s="13">
        <v>1102</v>
      </c>
      <c r="U573" s="13">
        <v>1102</v>
      </c>
      <c r="AC573" s="10" t="s">
        <v>1389</v>
      </c>
      <c r="AD573" s="5" t="s">
        <v>1383</v>
      </c>
      <c r="AE573" s="5" t="s">
        <v>63</v>
      </c>
    </row>
    <row r="574" spans="1:31" ht="10" customHeight="1" x14ac:dyDescent="0.2">
      <c r="A574" s="5" t="s">
        <v>40</v>
      </c>
      <c r="B574" s="5" t="s">
        <v>41</v>
      </c>
      <c r="D574" s="5" t="s">
        <v>1390</v>
      </c>
      <c r="E574" s="10" t="s">
        <v>345</v>
      </c>
      <c r="F574" s="5" t="s">
        <v>70</v>
      </c>
      <c r="G574" s="5" t="s">
        <v>464</v>
      </c>
      <c r="I574" s="11">
        <v>1</v>
      </c>
      <c r="J574" s="5" t="s">
        <v>45</v>
      </c>
      <c r="K574" s="10" t="s">
        <v>46</v>
      </c>
      <c r="L574" s="5" t="s">
        <v>47</v>
      </c>
      <c r="M574" s="5" t="s">
        <v>65</v>
      </c>
      <c r="N574" s="5" t="s">
        <v>66</v>
      </c>
      <c r="O574" s="12"/>
      <c r="P574" s="13">
        <v>429</v>
      </c>
      <c r="S574" s="13">
        <v>231</v>
      </c>
      <c r="U574" s="13">
        <v>231</v>
      </c>
      <c r="AC574" s="10" t="s">
        <v>1391</v>
      </c>
      <c r="AD574" s="5" t="s">
        <v>1383</v>
      </c>
      <c r="AE574" s="5" t="s">
        <v>63</v>
      </c>
    </row>
    <row r="575" spans="1:31" ht="10" customHeight="1" x14ac:dyDescent="0.2">
      <c r="A575" s="5" t="s">
        <v>40</v>
      </c>
      <c r="B575" s="5" t="s">
        <v>41</v>
      </c>
      <c r="D575" s="5" t="s">
        <v>1392</v>
      </c>
      <c r="E575" s="10" t="s">
        <v>345</v>
      </c>
      <c r="F575" s="5" t="s">
        <v>70</v>
      </c>
      <c r="G575" s="5" t="s">
        <v>464</v>
      </c>
      <c r="I575" s="11">
        <v>1</v>
      </c>
      <c r="J575" s="5" t="s">
        <v>45</v>
      </c>
      <c r="K575" s="10" t="s">
        <v>46</v>
      </c>
      <c r="L575" s="5" t="s">
        <v>47</v>
      </c>
      <c r="M575" s="5" t="s">
        <v>65</v>
      </c>
      <c r="N575" s="5" t="s">
        <v>66</v>
      </c>
      <c r="O575" s="12"/>
      <c r="P575" s="13">
        <v>1228</v>
      </c>
      <c r="S575" s="13">
        <v>1332</v>
      </c>
      <c r="U575" s="13">
        <v>1332</v>
      </c>
      <c r="AC575" s="10" t="s">
        <v>1393</v>
      </c>
      <c r="AD575" s="5" t="s">
        <v>1383</v>
      </c>
      <c r="AE575" s="5" t="s">
        <v>63</v>
      </c>
    </row>
    <row r="576" spans="1:31" ht="10" customHeight="1" x14ac:dyDescent="0.2">
      <c r="A576" s="5" t="s">
        <v>40</v>
      </c>
      <c r="B576" s="5" t="s">
        <v>41</v>
      </c>
      <c r="D576" s="5" t="s">
        <v>1394</v>
      </c>
      <c r="E576" s="10" t="s">
        <v>345</v>
      </c>
      <c r="F576" s="5" t="s">
        <v>70</v>
      </c>
      <c r="G576" s="5" t="s">
        <v>464</v>
      </c>
      <c r="I576" s="11">
        <v>1</v>
      </c>
      <c r="J576" s="5" t="s">
        <v>45</v>
      </c>
      <c r="K576" s="10" t="s">
        <v>46</v>
      </c>
      <c r="L576" s="5" t="s">
        <v>47</v>
      </c>
      <c r="M576" s="5" t="s">
        <v>65</v>
      </c>
      <c r="N576" s="5" t="s">
        <v>66</v>
      </c>
      <c r="O576" s="12"/>
      <c r="P576" s="13">
        <v>4505</v>
      </c>
      <c r="S576" s="13">
        <v>4883</v>
      </c>
      <c r="U576" s="13">
        <v>4883</v>
      </c>
      <c r="AC576" s="10" t="s">
        <v>1395</v>
      </c>
      <c r="AD576" s="5" t="s">
        <v>1396</v>
      </c>
      <c r="AE576" s="5" t="s">
        <v>63</v>
      </c>
    </row>
    <row r="577" spans="1:33" ht="10" customHeight="1" x14ac:dyDescent="0.2">
      <c r="A577" s="5" t="s">
        <v>40</v>
      </c>
      <c r="B577" s="5" t="s">
        <v>41</v>
      </c>
      <c r="D577" s="5" t="s">
        <v>1397</v>
      </c>
      <c r="E577" s="10" t="s">
        <v>345</v>
      </c>
      <c r="F577" s="5" t="s">
        <v>70</v>
      </c>
      <c r="G577" s="5" t="s">
        <v>464</v>
      </c>
      <c r="I577" s="11">
        <v>1</v>
      </c>
      <c r="J577" s="5" t="s">
        <v>45</v>
      </c>
      <c r="K577" s="10" t="s">
        <v>46</v>
      </c>
      <c r="L577" s="5" t="s">
        <v>47</v>
      </c>
      <c r="M577" s="5" t="s">
        <v>65</v>
      </c>
      <c r="N577" s="5" t="s">
        <v>66</v>
      </c>
      <c r="O577" s="12"/>
      <c r="P577" s="13">
        <v>634</v>
      </c>
      <c r="S577" s="13">
        <v>221</v>
      </c>
      <c r="U577" s="13">
        <v>221</v>
      </c>
      <c r="AC577" s="10" t="s">
        <v>1398</v>
      </c>
      <c r="AD577" s="5" t="s">
        <v>1396</v>
      </c>
      <c r="AE577" s="5" t="s">
        <v>63</v>
      </c>
      <c r="AG577" s="5" t="s">
        <v>1399</v>
      </c>
    </row>
    <row r="578" spans="1:33" ht="10" customHeight="1" x14ac:dyDescent="0.2">
      <c r="A578" s="5" t="s">
        <v>40</v>
      </c>
      <c r="B578" s="5" t="s">
        <v>41</v>
      </c>
      <c r="D578" s="5" t="s">
        <v>1400</v>
      </c>
      <c r="E578" s="10" t="s">
        <v>345</v>
      </c>
      <c r="F578" s="5" t="s">
        <v>70</v>
      </c>
      <c r="G578" s="5" t="s">
        <v>464</v>
      </c>
      <c r="I578" s="11">
        <v>1</v>
      </c>
      <c r="J578" s="5" t="s">
        <v>45</v>
      </c>
      <c r="K578" s="10" t="s">
        <v>46</v>
      </c>
      <c r="L578" s="5" t="s">
        <v>47</v>
      </c>
      <c r="M578" s="5" t="s">
        <v>65</v>
      </c>
      <c r="N578" s="5" t="s">
        <v>66</v>
      </c>
      <c r="O578" s="12"/>
      <c r="P578" s="13">
        <v>443</v>
      </c>
      <c r="S578" s="13">
        <v>1315</v>
      </c>
      <c r="U578" s="13">
        <v>1315</v>
      </c>
      <c r="AC578" s="10" t="s">
        <v>1401</v>
      </c>
      <c r="AD578" s="5" t="s">
        <v>1396</v>
      </c>
      <c r="AE578" s="5" t="s">
        <v>63</v>
      </c>
    </row>
    <row r="579" spans="1:33" ht="10" customHeight="1" x14ac:dyDescent="0.2">
      <c r="A579" s="5" t="s">
        <v>40</v>
      </c>
      <c r="B579" s="5" t="s">
        <v>41</v>
      </c>
      <c r="D579" s="5" t="s">
        <v>1402</v>
      </c>
      <c r="E579" s="10" t="s">
        <v>345</v>
      </c>
      <c r="F579" s="5" t="s">
        <v>70</v>
      </c>
      <c r="G579" s="5" t="s">
        <v>464</v>
      </c>
      <c r="I579" s="11">
        <v>1</v>
      </c>
      <c r="J579" s="5" t="s">
        <v>45</v>
      </c>
      <c r="K579" s="10" t="s">
        <v>46</v>
      </c>
      <c r="L579" s="5" t="s">
        <v>47</v>
      </c>
      <c r="M579" s="5" t="s">
        <v>65</v>
      </c>
      <c r="N579" s="5" t="s">
        <v>66</v>
      </c>
      <c r="O579" s="12"/>
      <c r="P579" s="13">
        <v>573</v>
      </c>
      <c r="S579" s="13">
        <v>764</v>
      </c>
      <c r="U579" s="13">
        <v>764</v>
      </c>
      <c r="AC579" s="10" t="s">
        <v>1403</v>
      </c>
      <c r="AD579" s="5" t="s">
        <v>1396</v>
      </c>
      <c r="AE579" s="5" t="s">
        <v>63</v>
      </c>
    </row>
    <row r="580" spans="1:33" ht="10" customHeight="1" x14ac:dyDescent="0.2">
      <c r="A580" s="5" t="s">
        <v>40</v>
      </c>
      <c r="B580" s="5" t="s">
        <v>41</v>
      </c>
      <c r="D580" s="5" t="s">
        <v>1404</v>
      </c>
      <c r="E580" s="10" t="s">
        <v>345</v>
      </c>
      <c r="F580" s="5" t="s">
        <v>70</v>
      </c>
      <c r="G580" s="5" t="s">
        <v>464</v>
      </c>
      <c r="I580" s="11">
        <v>1</v>
      </c>
      <c r="J580" s="5" t="s">
        <v>45</v>
      </c>
      <c r="K580" s="10" t="s">
        <v>46</v>
      </c>
      <c r="L580" s="5" t="s">
        <v>47</v>
      </c>
      <c r="M580" s="5" t="s">
        <v>65</v>
      </c>
      <c r="N580" s="5" t="s">
        <v>66</v>
      </c>
      <c r="O580" s="12"/>
      <c r="P580" s="13">
        <v>1539</v>
      </c>
      <c r="S580" s="13">
        <v>1473</v>
      </c>
      <c r="U580" s="13">
        <v>1473</v>
      </c>
      <c r="AC580" s="10" t="s">
        <v>1405</v>
      </c>
      <c r="AD580" s="5" t="s">
        <v>1396</v>
      </c>
      <c r="AE580" s="5" t="s">
        <v>63</v>
      </c>
    </row>
    <row r="581" spans="1:33" ht="10" customHeight="1" x14ac:dyDescent="0.2">
      <c r="A581" s="5" t="s">
        <v>40</v>
      </c>
      <c r="B581" s="5" t="s">
        <v>41</v>
      </c>
      <c r="D581" s="5" t="s">
        <v>1406</v>
      </c>
      <c r="E581" s="10" t="s">
        <v>345</v>
      </c>
      <c r="F581" s="5" t="s">
        <v>70</v>
      </c>
      <c r="G581" s="5" t="s">
        <v>464</v>
      </c>
      <c r="I581" s="11">
        <v>1</v>
      </c>
      <c r="J581" s="5" t="s">
        <v>45</v>
      </c>
      <c r="K581" s="10" t="s">
        <v>46</v>
      </c>
      <c r="L581" s="5" t="s">
        <v>47</v>
      </c>
      <c r="M581" s="5" t="s">
        <v>65</v>
      </c>
      <c r="N581" s="5" t="s">
        <v>66</v>
      </c>
      <c r="O581" s="12"/>
      <c r="S581" s="13">
        <v>8115</v>
      </c>
      <c r="U581" s="13">
        <v>8115</v>
      </c>
      <c r="AC581" s="10" t="s">
        <v>1407</v>
      </c>
      <c r="AD581" s="5" t="s">
        <v>1408</v>
      </c>
      <c r="AE581" s="5" t="s">
        <v>63</v>
      </c>
    </row>
    <row r="582" spans="1:33" ht="10" customHeight="1" x14ac:dyDescent="0.2">
      <c r="A582" s="5" t="s">
        <v>40</v>
      </c>
      <c r="B582" s="5" t="s">
        <v>41</v>
      </c>
      <c r="D582" s="5" t="s">
        <v>1409</v>
      </c>
      <c r="E582" s="10" t="s">
        <v>345</v>
      </c>
      <c r="F582" s="5" t="s">
        <v>70</v>
      </c>
      <c r="G582" s="5" t="s">
        <v>464</v>
      </c>
      <c r="I582" s="11">
        <v>1</v>
      </c>
      <c r="J582" s="5" t="s">
        <v>45</v>
      </c>
      <c r="K582" s="10" t="s">
        <v>46</v>
      </c>
      <c r="L582" s="5" t="s">
        <v>47</v>
      </c>
      <c r="M582" s="5" t="s">
        <v>65</v>
      </c>
      <c r="N582" s="5" t="s">
        <v>66</v>
      </c>
      <c r="O582" s="12"/>
      <c r="S582" s="13">
        <v>204</v>
      </c>
      <c r="U582" s="13">
        <v>204</v>
      </c>
      <c r="AC582" s="10" t="s">
        <v>1410</v>
      </c>
      <c r="AD582" s="5" t="s">
        <v>1408</v>
      </c>
      <c r="AE582" s="5" t="s">
        <v>63</v>
      </c>
    </row>
    <row r="583" spans="1:33" ht="10" customHeight="1" x14ac:dyDescent="0.2">
      <c r="A583" s="5" t="s">
        <v>40</v>
      </c>
      <c r="B583" s="5" t="s">
        <v>41</v>
      </c>
      <c r="D583" s="5" t="s">
        <v>1411</v>
      </c>
      <c r="E583" s="10" t="s">
        <v>345</v>
      </c>
      <c r="F583" s="5" t="s">
        <v>70</v>
      </c>
      <c r="G583" s="5" t="s">
        <v>464</v>
      </c>
      <c r="I583" s="11">
        <v>1</v>
      </c>
      <c r="J583" s="5" t="s">
        <v>45</v>
      </c>
      <c r="K583" s="10" t="s">
        <v>46</v>
      </c>
      <c r="L583" s="5" t="s">
        <v>47</v>
      </c>
      <c r="M583" s="5" t="s">
        <v>65</v>
      </c>
      <c r="N583" s="5" t="s">
        <v>66</v>
      </c>
      <c r="O583" s="12"/>
      <c r="S583" s="13">
        <v>45</v>
      </c>
      <c r="U583" s="13">
        <v>45</v>
      </c>
      <c r="AC583" s="10" t="s">
        <v>1412</v>
      </c>
      <c r="AD583" s="5" t="s">
        <v>1408</v>
      </c>
      <c r="AE583" s="5" t="s">
        <v>63</v>
      </c>
    </row>
    <row r="584" spans="1:33" ht="10" customHeight="1" x14ac:dyDescent="0.2">
      <c r="A584" s="5" t="s">
        <v>40</v>
      </c>
      <c r="B584" s="5" t="s">
        <v>41</v>
      </c>
      <c r="D584" s="5" t="s">
        <v>1413</v>
      </c>
      <c r="E584" s="10" t="s">
        <v>345</v>
      </c>
      <c r="F584" s="5" t="s">
        <v>70</v>
      </c>
      <c r="G584" s="5" t="s">
        <v>464</v>
      </c>
      <c r="I584" s="11">
        <v>1</v>
      </c>
      <c r="J584" s="5" t="s">
        <v>45</v>
      </c>
      <c r="K584" s="10" t="s">
        <v>46</v>
      </c>
      <c r="L584" s="5" t="s">
        <v>47</v>
      </c>
      <c r="M584" s="5" t="s">
        <v>65</v>
      </c>
      <c r="N584" s="5" t="s">
        <v>66</v>
      </c>
      <c r="O584" s="12"/>
      <c r="S584" s="13">
        <v>473</v>
      </c>
      <c r="U584" s="13">
        <v>473</v>
      </c>
      <c r="AC584" s="10" t="s">
        <v>1414</v>
      </c>
      <c r="AD584" s="5" t="s">
        <v>1408</v>
      </c>
      <c r="AE584" s="5" t="s">
        <v>63</v>
      </c>
    </row>
    <row r="585" spans="1:33" ht="10" customHeight="1" x14ac:dyDescent="0.2">
      <c r="A585" s="5" t="s">
        <v>40</v>
      </c>
      <c r="B585" s="5" t="s">
        <v>41</v>
      </c>
      <c r="D585" s="5" t="s">
        <v>1415</v>
      </c>
      <c r="E585" s="10" t="s">
        <v>345</v>
      </c>
      <c r="F585" s="5" t="s">
        <v>70</v>
      </c>
      <c r="G585" s="5" t="s">
        <v>464</v>
      </c>
      <c r="I585" s="11">
        <v>1</v>
      </c>
      <c r="J585" s="5" t="s">
        <v>45</v>
      </c>
      <c r="K585" s="10" t="s">
        <v>46</v>
      </c>
      <c r="L585" s="5" t="s">
        <v>47</v>
      </c>
      <c r="M585" s="5" t="s">
        <v>65</v>
      </c>
      <c r="N585" s="5" t="s">
        <v>66</v>
      </c>
      <c r="O585" s="12"/>
      <c r="S585" s="13">
        <v>3145</v>
      </c>
      <c r="U585" s="13">
        <v>3145</v>
      </c>
      <c r="AC585" s="10" t="s">
        <v>1416</v>
      </c>
      <c r="AD585" s="5" t="s">
        <v>1417</v>
      </c>
      <c r="AE585" s="5" t="s">
        <v>63</v>
      </c>
    </row>
    <row r="586" spans="1:33" ht="10" customHeight="1" x14ac:dyDescent="0.2">
      <c r="A586" s="5" t="s">
        <v>40</v>
      </c>
      <c r="B586" s="5" t="s">
        <v>41</v>
      </c>
      <c r="D586" s="5" t="s">
        <v>1418</v>
      </c>
      <c r="E586" s="10" t="s">
        <v>345</v>
      </c>
      <c r="F586" s="5" t="s">
        <v>70</v>
      </c>
      <c r="G586" s="5" t="s">
        <v>464</v>
      </c>
      <c r="I586" s="11">
        <v>1</v>
      </c>
      <c r="J586" s="5" t="s">
        <v>45</v>
      </c>
      <c r="K586" s="10" t="s">
        <v>46</v>
      </c>
      <c r="L586" s="5" t="s">
        <v>47</v>
      </c>
      <c r="M586" s="5" t="s">
        <v>65</v>
      </c>
      <c r="N586" s="5" t="s">
        <v>66</v>
      </c>
      <c r="O586" s="12"/>
      <c r="S586" s="13">
        <v>397</v>
      </c>
      <c r="U586" s="13">
        <v>397</v>
      </c>
      <c r="AC586" s="10" t="s">
        <v>1419</v>
      </c>
      <c r="AD586" s="5" t="s">
        <v>1417</v>
      </c>
      <c r="AE586" s="5" t="s">
        <v>63</v>
      </c>
    </row>
    <row r="587" spans="1:33" ht="10" customHeight="1" x14ac:dyDescent="0.2">
      <c r="A587" s="5" t="s">
        <v>40</v>
      </c>
      <c r="B587" s="5" t="s">
        <v>41</v>
      </c>
      <c r="D587" s="5" t="s">
        <v>1420</v>
      </c>
      <c r="E587" s="10" t="s">
        <v>345</v>
      </c>
      <c r="F587" s="5" t="s">
        <v>70</v>
      </c>
      <c r="G587" s="5" t="s">
        <v>464</v>
      </c>
      <c r="I587" s="11">
        <v>1</v>
      </c>
      <c r="J587" s="5" t="s">
        <v>45</v>
      </c>
      <c r="K587" s="10" t="s">
        <v>46</v>
      </c>
      <c r="L587" s="5" t="s">
        <v>47</v>
      </c>
      <c r="M587" s="5" t="s">
        <v>65</v>
      </c>
      <c r="N587" s="5" t="s">
        <v>66</v>
      </c>
      <c r="O587" s="12"/>
      <c r="S587" s="13">
        <v>291</v>
      </c>
      <c r="U587" s="13">
        <v>291</v>
      </c>
      <c r="AC587" s="10" t="s">
        <v>1421</v>
      </c>
      <c r="AD587" s="5" t="s">
        <v>1417</v>
      </c>
      <c r="AE587" s="5" t="s">
        <v>63</v>
      </c>
    </row>
    <row r="588" spans="1:33" ht="10" customHeight="1" x14ac:dyDescent="0.2">
      <c r="A588" s="5" t="s">
        <v>40</v>
      </c>
      <c r="B588" s="5" t="s">
        <v>41</v>
      </c>
      <c r="D588" s="5" t="s">
        <v>1422</v>
      </c>
      <c r="E588" s="10" t="s">
        <v>345</v>
      </c>
      <c r="F588" s="5" t="s">
        <v>70</v>
      </c>
      <c r="G588" s="5" t="s">
        <v>464</v>
      </c>
      <c r="I588" s="11">
        <v>1</v>
      </c>
      <c r="J588" s="5" t="s">
        <v>45</v>
      </c>
      <c r="K588" s="10" t="s">
        <v>46</v>
      </c>
      <c r="L588" s="5" t="s">
        <v>47</v>
      </c>
      <c r="M588" s="5" t="s">
        <v>65</v>
      </c>
      <c r="N588" s="5" t="s">
        <v>66</v>
      </c>
      <c r="O588" s="12"/>
      <c r="S588" s="13">
        <v>730</v>
      </c>
      <c r="U588" s="13">
        <v>730</v>
      </c>
      <c r="AC588" s="10" t="s">
        <v>1423</v>
      </c>
      <c r="AD588" s="5" t="s">
        <v>1417</v>
      </c>
      <c r="AE588" s="5" t="s">
        <v>63</v>
      </c>
    </row>
    <row r="589" spans="1:33" ht="10" customHeight="1" x14ac:dyDescent="0.2">
      <c r="A589" s="5" t="s">
        <v>40</v>
      </c>
      <c r="B589" s="5" t="s">
        <v>41</v>
      </c>
      <c r="D589" s="5" t="s">
        <v>1424</v>
      </c>
      <c r="E589" s="10" t="s">
        <v>345</v>
      </c>
      <c r="F589" s="5" t="s">
        <v>70</v>
      </c>
      <c r="G589" s="5" t="s">
        <v>464</v>
      </c>
      <c r="I589" s="11">
        <v>1</v>
      </c>
      <c r="J589" s="5" t="s">
        <v>45</v>
      </c>
      <c r="K589" s="10" t="s">
        <v>46</v>
      </c>
      <c r="L589" s="5" t="s">
        <v>47</v>
      </c>
      <c r="M589" s="5" t="s">
        <v>65</v>
      </c>
      <c r="N589" s="5" t="s">
        <v>66</v>
      </c>
      <c r="O589" s="12"/>
      <c r="S589" s="13">
        <v>960</v>
      </c>
      <c r="U589" s="13">
        <v>960</v>
      </c>
      <c r="AC589" s="10" t="s">
        <v>1425</v>
      </c>
      <c r="AD589" s="5" t="s">
        <v>1417</v>
      </c>
      <c r="AE589" s="5" t="s">
        <v>63</v>
      </c>
    </row>
    <row r="590" spans="1:33" ht="10" customHeight="1" x14ac:dyDescent="0.2">
      <c r="A590" s="5" t="s">
        <v>40</v>
      </c>
      <c r="B590" s="5" t="s">
        <v>41</v>
      </c>
      <c r="D590" s="5" t="s">
        <v>1426</v>
      </c>
      <c r="E590" s="10" t="s">
        <v>345</v>
      </c>
      <c r="F590" s="5" t="s">
        <v>70</v>
      </c>
      <c r="G590" s="5" t="s">
        <v>464</v>
      </c>
      <c r="I590" s="11">
        <v>1</v>
      </c>
      <c r="J590" s="5" t="s">
        <v>45</v>
      </c>
      <c r="K590" s="10" t="s">
        <v>46</v>
      </c>
      <c r="L590" s="5" t="s">
        <v>47</v>
      </c>
      <c r="M590" s="5" t="s">
        <v>65</v>
      </c>
      <c r="N590" s="5" t="s">
        <v>66</v>
      </c>
      <c r="O590" s="12"/>
      <c r="S590" s="13">
        <v>32500</v>
      </c>
      <c r="U590" s="13">
        <v>32500</v>
      </c>
      <c r="AC590" s="10" t="s">
        <v>1427</v>
      </c>
      <c r="AD590" s="5" t="s">
        <v>1428</v>
      </c>
      <c r="AE590" s="5" t="s">
        <v>63</v>
      </c>
    </row>
    <row r="591" spans="1:33" ht="10" customHeight="1" x14ac:dyDescent="0.2">
      <c r="A591" s="5" t="s">
        <v>40</v>
      </c>
      <c r="B591" s="5" t="s">
        <v>41</v>
      </c>
      <c r="D591" s="5" t="s">
        <v>1429</v>
      </c>
      <c r="E591" s="10" t="s">
        <v>345</v>
      </c>
      <c r="F591" s="5" t="s">
        <v>70</v>
      </c>
      <c r="G591" s="5" t="s">
        <v>464</v>
      </c>
      <c r="I591" s="11">
        <v>1</v>
      </c>
      <c r="J591" s="5" t="s">
        <v>45</v>
      </c>
      <c r="K591" s="10" t="s">
        <v>46</v>
      </c>
      <c r="L591" s="5" t="s">
        <v>47</v>
      </c>
      <c r="M591" s="5" t="s">
        <v>65</v>
      </c>
      <c r="N591" s="5" t="s">
        <v>66</v>
      </c>
      <c r="O591" s="12"/>
      <c r="S591" s="13">
        <v>13600</v>
      </c>
      <c r="U591" s="13">
        <v>13600</v>
      </c>
      <c r="AC591" s="10" t="s">
        <v>1430</v>
      </c>
      <c r="AD591" s="5" t="s">
        <v>1428</v>
      </c>
      <c r="AE591" s="5" t="s">
        <v>63</v>
      </c>
    </row>
    <row r="592" spans="1:33" ht="10" customHeight="1" x14ac:dyDescent="0.2">
      <c r="A592" s="5" t="s">
        <v>40</v>
      </c>
      <c r="B592" s="5" t="s">
        <v>41</v>
      </c>
      <c r="D592" s="5" t="s">
        <v>1431</v>
      </c>
      <c r="E592" s="10" t="s">
        <v>53</v>
      </c>
      <c r="F592" s="5" t="s">
        <v>1432</v>
      </c>
      <c r="I592" s="11">
        <v>1</v>
      </c>
      <c r="J592" s="5" t="s">
        <v>60</v>
      </c>
      <c r="K592" s="10" t="s">
        <v>46</v>
      </c>
      <c r="L592" s="5" t="s">
        <v>47</v>
      </c>
      <c r="M592" s="5" t="s">
        <v>65</v>
      </c>
      <c r="N592" s="5" t="s">
        <v>66</v>
      </c>
      <c r="O592" s="12"/>
      <c r="S592" s="13">
        <v>336112</v>
      </c>
      <c r="U592" s="13">
        <v>336112</v>
      </c>
      <c r="AC592" s="10" t="s">
        <v>1433</v>
      </c>
      <c r="AD592" s="5" t="s">
        <v>77</v>
      </c>
      <c r="AE592" s="5" t="s">
        <v>63</v>
      </c>
      <c r="AG592" s="5" t="s">
        <v>1434</v>
      </c>
    </row>
    <row r="593" spans="1:33" ht="10" customHeight="1" x14ac:dyDescent="0.2">
      <c r="A593" s="5" t="s">
        <v>40</v>
      </c>
      <c r="B593" s="5" t="s">
        <v>41</v>
      </c>
      <c r="D593" s="5" t="s">
        <v>1435</v>
      </c>
      <c r="E593" s="10" t="s">
        <v>53</v>
      </c>
      <c r="F593" s="5" t="s">
        <v>1432</v>
      </c>
      <c r="I593" s="11">
        <v>1</v>
      </c>
      <c r="J593" s="5" t="s">
        <v>60</v>
      </c>
      <c r="K593" s="10" t="s">
        <v>46</v>
      </c>
      <c r="L593" s="5" t="s">
        <v>47</v>
      </c>
      <c r="M593" s="5" t="s">
        <v>65</v>
      </c>
      <c r="N593" s="5" t="s">
        <v>66</v>
      </c>
      <c r="O593" s="12"/>
      <c r="S593" s="13">
        <v>273500</v>
      </c>
      <c r="U593" s="13">
        <v>273500</v>
      </c>
      <c r="AC593" s="10" t="s">
        <v>1436</v>
      </c>
      <c r="AD593" s="5" t="s">
        <v>77</v>
      </c>
      <c r="AE593" s="5" t="s">
        <v>63</v>
      </c>
      <c r="AG593" s="5" t="s">
        <v>360</v>
      </c>
    </row>
    <row r="594" spans="1:33" ht="10" customHeight="1" x14ac:dyDescent="0.2">
      <c r="A594" s="5" t="s">
        <v>40</v>
      </c>
      <c r="B594" s="5" t="s">
        <v>41</v>
      </c>
      <c r="D594" s="5" t="s">
        <v>1437</v>
      </c>
      <c r="E594" s="10" t="s">
        <v>53</v>
      </c>
      <c r="F594" s="5" t="s">
        <v>1432</v>
      </c>
      <c r="I594" s="11">
        <v>1</v>
      </c>
      <c r="J594" s="5" t="s">
        <v>60</v>
      </c>
      <c r="K594" s="10" t="s">
        <v>46</v>
      </c>
      <c r="L594" s="5" t="s">
        <v>47</v>
      </c>
      <c r="M594" s="5" t="s">
        <v>65</v>
      </c>
      <c r="N594" s="5" t="s">
        <v>66</v>
      </c>
      <c r="O594" s="12"/>
      <c r="S594" s="13">
        <v>2426</v>
      </c>
      <c r="U594" s="13">
        <v>2426</v>
      </c>
      <c r="AC594" s="10" t="s">
        <v>1438</v>
      </c>
      <c r="AD594" s="5" t="s">
        <v>77</v>
      </c>
      <c r="AE594" s="5" t="s">
        <v>63</v>
      </c>
      <c r="AG594" s="5" t="s">
        <v>366</v>
      </c>
    </row>
    <row r="595" spans="1:33" ht="10" customHeight="1" x14ac:dyDescent="0.2">
      <c r="A595" s="5" t="s">
        <v>40</v>
      </c>
      <c r="B595" s="5" t="s">
        <v>41</v>
      </c>
      <c r="D595" s="5" t="s">
        <v>1439</v>
      </c>
      <c r="E595" s="10" t="s">
        <v>53</v>
      </c>
      <c r="F595" s="5" t="s">
        <v>1432</v>
      </c>
      <c r="I595" s="11">
        <v>1</v>
      </c>
      <c r="J595" s="5" t="s">
        <v>60</v>
      </c>
      <c r="K595" s="10" t="s">
        <v>46</v>
      </c>
      <c r="L595" s="5" t="s">
        <v>47</v>
      </c>
      <c r="M595" s="5" t="s">
        <v>65</v>
      </c>
      <c r="N595" s="5" t="s">
        <v>66</v>
      </c>
      <c r="O595" s="12"/>
      <c r="P595" s="13">
        <v>0</v>
      </c>
      <c r="AC595" s="10" t="s">
        <v>1440</v>
      </c>
      <c r="AD595" s="5" t="s">
        <v>77</v>
      </c>
      <c r="AE595" s="5" t="s">
        <v>63</v>
      </c>
    </row>
    <row r="596" spans="1:33" ht="10" customHeight="1" x14ac:dyDescent="0.2">
      <c r="A596" s="5" t="s">
        <v>40</v>
      </c>
      <c r="B596" s="5" t="s">
        <v>41</v>
      </c>
      <c r="D596" s="5" t="s">
        <v>1441</v>
      </c>
      <c r="E596" s="10" t="s">
        <v>53</v>
      </c>
      <c r="F596" s="5" t="s">
        <v>1432</v>
      </c>
      <c r="I596" s="11">
        <v>1</v>
      </c>
      <c r="J596" s="5" t="s">
        <v>60</v>
      </c>
      <c r="K596" s="10" t="s">
        <v>46</v>
      </c>
      <c r="L596" s="5" t="s">
        <v>47</v>
      </c>
      <c r="M596" s="5" t="s">
        <v>65</v>
      </c>
      <c r="N596" s="5" t="s">
        <v>66</v>
      </c>
      <c r="O596" s="12"/>
      <c r="P596" s="13">
        <v>0</v>
      </c>
      <c r="AC596" s="10" t="s">
        <v>1442</v>
      </c>
      <c r="AD596" s="5" t="s">
        <v>77</v>
      </c>
      <c r="AE596" s="5" t="s">
        <v>63</v>
      </c>
    </row>
    <row r="597" spans="1:33" ht="10" customHeight="1" x14ac:dyDescent="0.2">
      <c r="A597" s="5" t="s">
        <v>40</v>
      </c>
      <c r="B597" s="5" t="s">
        <v>41</v>
      </c>
      <c r="D597" s="5" t="s">
        <v>1443</v>
      </c>
      <c r="E597" s="10" t="s">
        <v>53</v>
      </c>
      <c r="F597" s="5" t="s">
        <v>1432</v>
      </c>
      <c r="I597" s="11">
        <v>1</v>
      </c>
      <c r="J597" s="5" t="s">
        <v>60</v>
      </c>
      <c r="K597" s="10" t="s">
        <v>46</v>
      </c>
      <c r="L597" s="5" t="s">
        <v>47</v>
      </c>
      <c r="M597" s="5" t="s">
        <v>65</v>
      </c>
      <c r="N597" s="5" t="s">
        <v>66</v>
      </c>
      <c r="O597" s="12"/>
      <c r="P597" s="13">
        <v>0</v>
      </c>
      <c r="AC597" s="10" t="s">
        <v>1444</v>
      </c>
      <c r="AD597" s="5" t="s">
        <v>1445</v>
      </c>
      <c r="AE597" s="5" t="s">
        <v>63</v>
      </c>
    </row>
    <row r="598" spans="1:33" ht="10" customHeight="1" x14ac:dyDescent="0.2">
      <c r="A598" s="5" t="s">
        <v>40</v>
      </c>
      <c r="B598" s="5" t="s">
        <v>41</v>
      </c>
      <c r="D598" s="5" t="s">
        <v>1446</v>
      </c>
      <c r="E598" s="10" t="s">
        <v>53</v>
      </c>
      <c r="F598" s="5" t="s">
        <v>1432</v>
      </c>
      <c r="I598" s="11">
        <v>1</v>
      </c>
      <c r="J598" s="5" t="s">
        <v>60</v>
      </c>
      <c r="K598" s="10" t="s">
        <v>46</v>
      </c>
      <c r="L598" s="5" t="s">
        <v>47</v>
      </c>
      <c r="M598" s="5" t="s">
        <v>65</v>
      </c>
      <c r="N598" s="5" t="s">
        <v>66</v>
      </c>
      <c r="O598" s="12"/>
      <c r="P598" s="13">
        <v>0</v>
      </c>
      <c r="AC598" s="10" t="s">
        <v>1447</v>
      </c>
      <c r="AD598" s="5" t="s">
        <v>1445</v>
      </c>
      <c r="AE598" s="5" t="s">
        <v>63</v>
      </c>
    </row>
    <row r="599" spans="1:33" ht="10" customHeight="1" x14ac:dyDescent="0.2">
      <c r="A599" s="5" t="s">
        <v>40</v>
      </c>
      <c r="B599" s="5" t="s">
        <v>41</v>
      </c>
      <c r="D599" s="5" t="s">
        <v>1448</v>
      </c>
      <c r="E599" s="10" t="s">
        <v>345</v>
      </c>
      <c r="F599" s="5" t="s">
        <v>1449</v>
      </c>
      <c r="G599" s="5" t="s">
        <v>346</v>
      </c>
      <c r="H599" s="5" t="s">
        <v>175</v>
      </c>
      <c r="I599" s="11">
        <v>1</v>
      </c>
      <c r="J599" s="5" t="s">
        <v>45</v>
      </c>
      <c r="K599" s="10" t="s">
        <v>46</v>
      </c>
      <c r="L599" s="5" t="s">
        <v>47</v>
      </c>
      <c r="M599" s="5" t="s">
        <v>65</v>
      </c>
      <c r="N599" s="5" t="s">
        <v>66</v>
      </c>
      <c r="O599" s="12"/>
      <c r="AC599" s="10" t="s">
        <v>1450</v>
      </c>
      <c r="AD599" s="5" t="s">
        <v>1451</v>
      </c>
      <c r="AE599" s="5" t="s">
        <v>78</v>
      </c>
      <c r="AG599" s="5" t="s">
        <v>175</v>
      </c>
    </row>
    <row r="600" spans="1:33" ht="10" customHeight="1" x14ac:dyDescent="0.2">
      <c r="A600" s="5" t="s">
        <v>40</v>
      </c>
      <c r="B600" s="5" t="s">
        <v>41</v>
      </c>
      <c r="D600" s="5" t="s">
        <v>1452</v>
      </c>
      <c r="E600" s="10" t="s">
        <v>345</v>
      </c>
      <c r="F600" s="5" t="s">
        <v>1449</v>
      </c>
      <c r="G600" s="5" t="s">
        <v>346</v>
      </c>
      <c r="H600" s="5" t="s">
        <v>354</v>
      </c>
      <c r="I600" s="11">
        <v>1</v>
      </c>
      <c r="J600" s="5" t="s">
        <v>45</v>
      </c>
      <c r="K600" s="10" t="s">
        <v>46</v>
      </c>
      <c r="L600" s="5" t="s">
        <v>47</v>
      </c>
      <c r="M600" s="5" t="s">
        <v>65</v>
      </c>
      <c r="N600" s="5" t="s">
        <v>66</v>
      </c>
      <c r="O600" s="12"/>
      <c r="AC600" s="10" t="s">
        <v>1453</v>
      </c>
      <c r="AD600" s="5" t="s">
        <v>1451</v>
      </c>
      <c r="AE600" s="5" t="s">
        <v>78</v>
      </c>
      <c r="AG600" s="5" t="s">
        <v>354</v>
      </c>
    </row>
    <row r="601" spans="1:33" ht="10" customHeight="1" x14ac:dyDescent="0.2">
      <c r="A601" s="5" t="s">
        <v>40</v>
      </c>
      <c r="B601" s="5" t="s">
        <v>41</v>
      </c>
      <c r="D601" s="5" t="s">
        <v>1454</v>
      </c>
      <c r="E601" s="10" t="s">
        <v>345</v>
      </c>
      <c r="F601" s="5" t="s">
        <v>1449</v>
      </c>
      <c r="G601" s="5" t="s">
        <v>346</v>
      </c>
      <c r="H601" s="5" t="s">
        <v>357</v>
      </c>
      <c r="I601" s="11">
        <v>1</v>
      </c>
      <c r="J601" s="5" t="s">
        <v>45</v>
      </c>
      <c r="K601" s="10" t="s">
        <v>46</v>
      </c>
      <c r="L601" s="5" t="s">
        <v>47</v>
      </c>
      <c r="M601" s="5" t="s">
        <v>65</v>
      </c>
      <c r="N601" s="5" t="s">
        <v>66</v>
      </c>
      <c r="O601" s="12"/>
      <c r="AC601" s="10" t="s">
        <v>1455</v>
      </c>
      <c r="AD601" s="5" t="s">
        <v>1451</v>
      </c>
      <c r="AE601" s="5" t="s">
        <v>78</v>
      </c>
    </row>
    <row r="602" spans="1:33" ht="10" customHeight="1" x14ac:dyDescent="0.2">
      <c r="A602" s="5" t="s">
        <v>40</v>
      </c>
      <c r="B602" s="5" t="s">
        <v>41</v>
      </c>
      <c r="D602" s="5" t="s">
        <v>1456</v>
      </c>
      <c r="E602" s="10" t="s">
        <v>345</v>
      </c>
      <c r="F602" s="5" t="s">
        <v>1449</v>
      </c>
      <c r="G602" s="5" t="s">
        <v>346</v>
      </c>
      <c r="H602" s="5" t="s">
        <v>360</v>
      </c>
      <c r="I602" s="11">
        <v>1</v>
      </c>
      <c r="J602" s="5" t="s">
        <v>45</v>
      </c>
      <c r="K602" s="10" t="s">
        <v>46</v>
      </c>
      <c r="L602" s="5" t="s">
        <v>47</v>
      </c>
      <c r="M602" s="5" t="s">
        <v>65</v>
      </c>
      <c r="N602" s="5" t="s">
        <v>66</v>
      </c>
      <c r="O602" s="12"/>
      <c r="AC602" s="10" t="s">
        <v>1457</v>
      </c>
      <c r="AD602" s="5" t="s">
        <v>1451</v>
      </c>
      <c r="AE602" s="5" t="s">
        <v>78</v>
      </c>
      <c r="AG602" s="5" t="s">
        <v>360</v>
      </c>
    </row>
    <row r="603" spans="1:33" ht="10" customHeight="1" x14ac:dyDescent="0.2">
      <c r="A603" s="5" t="s">
        <v>40</v>
      </c>
      <c r="B603" s="5" t="s">
        <v>41</v>
      </c>
      <c r="D603" s="5" t="s">
        <v>1458</v>
      </c>
      <c r="E603" s="10" t="s">
        <v>345</v>
      </c>
      <c r="F603" s="5" t="s">
        <v>1449</v>
      </c>
      <c r="G603" s="5" t="s">
        <v>346</v>
      </c>
      <c r="H603" s="5" t="s">
        <v>363</v>
      </c>
      <c r="I603" s="11">
        <v>1</v>
      </c>
      <c r="J603" s="5" t="s">
        <v>45</v>
      </c>
      <c r="K603" s="10" t="s">
        <v>46</v>
      </c>
      <c r="L603" s="5" t="s">
        <v>47</v>
      </c>
      <c r="M603" s="5" t="s">
        <v>65</v>
      </c>
      <c r="N603" s="5" t="s">
        <v>66</v>
      </c>
      <c r="O603" s="12"/>
      <c r="AC603" s="10" t="s">
        <v>1459</v>
      </c>
      <c r="AD603" s="5" t="s">
        <v>1451</v>
      </c>
      <c r="AE603" s="5" t="s">
        <v>78</v>
      </c>
    </row>
    <row r="604" spans="1:33" ht="10" customHeight="1" x14ac:dyDescent="0.2">
      <c r="A604" s="5" t="s">
        <v>40</v>
      </c>
      <c r="B604" s="5" t="s">
        <v>41</v>
      </c>
      <c r="D604" s="5" t="s">
        <v>1460</v>
      </c>
      <c r="E604" s="10" t="s">
        <v>345</v>
      </c>
      <c r="F604" s="5" t="s">
        <v>1449</v>
      </c>
      <c r="G604" s="5" t="s">
        <v>346</v>
      </c>
      <c r="H604" s="5" t="s">
        <v>366</v>
      </c>
      <c r="I604" s="11">
        <v>1</v>
      </c>
      <c r="J604" s="5" t="s">
        <v>45</v>
      </c>
      <c r="K604" s="10" t="s">
        <v>46</v>
      </c>
      <c r="L604" s="5" t="s">
        <v>47</v>
      </c>
      <c r="M604" s="5" t="s">
        <v>65</v>
      </c>
      <c r="N604" s="5" t="s">
        <v>66</v>
      </c>
      <c r="O604" s="12"/>
      <c r="AC604" s="10" t="s">
        <v>1461</v>
      </c>
      <c r="AD604" s="5" t="s">
        <v>1451</v>
      </c>
      <c r="AE604" s="5" t="s">
        <v>78</v>
      </c>
    </row>
    <row r="605" spans="1:33" ht="10" customHeight="1" x14ac:dyDescent="0.2">
      <c r="A605" s="5" t="s">
        <v>40</v>
      </c>
      <c r="B605" s="5" t="s">
        <v>41</v>
      </c>
      <c r="D605" s="5" t="s">
        <v>1462</v>
      </c>
      <c r="E605" s="10" t="s">
        <v>345</v>
      </c>
      <c r="F605" s="5" t="s">
        <v>1449</v>
      </c>
      <c r="G605" s="5" t="s">
        <v>346</v>
      </c>
      <c r="H605" s="5" t="s">
        <v>369</v>
      </c>
      <c r="I605" s="11">
        <v>1</v>
      </c>
      <c r="J605" s="5" t="s">
        <v>45</v>
      </c>
      <c r="K605" s="10" t="s">
        <v>46</v>
      </c>
      <c r="L605" s="5" t="s">
        <v>47</v>
      </c>
      <c r="M605" s="5" t="s">
        <v>65</v>
      </c>
      <c r="N605" s="5" t="s">
        <v>66</v>
      </c>
      <c r="O605" s="12"/>
      <c r="AC605" s="10" t="s">
        <v>1463</v>
      </c>
      <c r="AD605" s="5" t="s">
        <v>1451</v>
      </c>
      <c r="AE605" s="5" t="s">
        <v>78</v>
      </c>
    </row>
    <row r="606" spans="1:33" ht="10" customHeight="1" x14ac:dyDescent="0.2">
      <c r="A606" s="5" t="s">
        <v>40</v>
      </c>
      <c r="B606" s="5" t="s">
        <v>41</v>
      </c>
      <c r="D606" s="5" t="s">
        <v>1464</v>
      </c>
      <c r="E606" s="10" t="s">
        <v>345</v>
      </c>
      <c r="F606" s="5" t="s">
        <v>1449</v>
      </c>
      <c r="G606" s="5" t="s">
        <v>373</v>
      </c>
      <c r="H606" s="5" t="s">
        <v>357</v>
      </c>
      <c r="I606" s="11">
        <v>1</v>
      </c>
      <c r="J606" s="5" t="s">
        <v>45</v>
      </c>
      <c r="K606" s="10" t="s">
        <v>46</v>
      </c>
      <c r="L606" s="5" t="s">
        <v>47</v>
      </c>
      <c r="M606" s="5" t="s">
        <v>65</v>
      </c>
      <c r="N606" s="5" t="s">
        <v>66</v>
      </c>
      <c r="O606" s="12"/>
      <c r="S606" s="13">
        <v>28122</v>
      </c>
      <c r="U606" s="13">
        <v>28122</v>
      </c>
      <c r="AC606" s="10" t="s">
        <v>1465</v>
      </c>
      <c r="AD606" s="5" t="s">
        <v>1466</v>
      </c>
      <c r="AE606" s="5" t="s">
        <v>78</v>
      </c>
      <c r="AG606" s="5" t="s">
        <v>858</v>
      </c>
    </row>
    <row r="607" spans="1:33" ht="10" customHeight="1" x14ac:dyDescent="0.2">
      <c r="A607" s="5" t="s">
        <v>40</v>
      </c>
      <c r="B607" s="5" t="s">
        <v>41</v>
      </c>
      <c r="D607" s="5" t="s">
        <v>1467</v>
      </c>
      <c r="E607" s="10" t="s">
        <v>345</v>
      </c>
      <c r="F607" s="5" t="s">
        <v>1449</v>
      </c>
      <c r="G607" s="5" t="s">
        <v>373</v>
      </c>
      <c r="H607" s="5" t="s">
        <v>357</v>
      </c>
      <c r="I607" s="11">
        <v>1</v>
      </c>
      <c r="J607" s="5" t="s">
        <v>45</v>
      </c>
      <c r="K607" s="10" t="s">
        <v>46</v>
      </c>
      <c r="L607" s="5" t="s">
        <v>47</v>
      </c>
      <c r="M607" s="5" t="s">
        <v>65</v>
      </c>
      <c r="N607" s="5" t="s">
        <v>66</v>
      </c>
      <c r="O607" s="12"/>
      <c r="S607" s="13">
        <v>8695</v>
      </c>
      <c r="U607" s="13">
        <v>8695</v>
      </c>
      <c r="AC607" s="10" t="s">
        <v>1468</v>
      </c>
      <c r="AD607" s="5" t="s">
        <v>1466</v>
      </c>
      <c r="AE607" s="5" t="s">
        <v>78</v>
      </c>
      <c r="AG607" s="5" t="s">
        <v>861</v>
      </c>
    </row>
    <row r="608" spans="1:33" ht="10" customHeight="1" x14ac:dyDescent="0.2">
      <c r="A608" s="5" t="s">
        <v>40</v>
      </c>
      <c r="B608" s="5" t="s">
        <v>41</v>
      </c>
      <c r="D608" s="5" t="s">
        <v>1469</v>
      </c>
      <c r="E608" s="10" t="s">
        <v>345</v>
      </c>
      <c r="F608" s="5" t="s">
        <v>1449</v>
      </c>
      <c r="G608" s="5" t="s">
        <v>373</v>
      </c>
      <c r="H608" s="5" t="s">
        <v>357</v>
      </c>
      <c r="I608" s="11">
        <v>1</v>
      </c>
      <c r="J608" s="5" t="s">
        <v>45</v>
      </c>
      <c r="K608" s="10" t="s">
        <v>46</v>
      </c>
      <c r="L608" s="5" t="s">
        <v>47</v>
      </c>
      <c r="M608" s="5" t="s">
        <v>65</v>
      </c>
      <c r="N608" s="5" t="s">
        <v>66</v>
      </c>
      <c r="O608" s="12"/>
      <c r="S608" s="13">
        <v>10146</v>
      </c>
      <c r="U608" s="13">
        <v>10146</v>
      </c>
      <c r="AC608" s="10" t="s">
        <v>1470</v>
      </c>
      <c r="AD608" s="5" t="s">
        <v>1466</v>
      </c>
      <c r="AE608" s="5" t="s">
        <v>78</v>
      </c>
    </row>
    <row r="609" spans="1:33" ht="10" customHeight="1" x14ac:dyDescent="0.2">
      <c r="A609" s="5" t="s">
        <v>40</v>
      </c>
      <c r="B609" s="5" t="s">
        <v>41</v>
      </c>
      <c r="D609" s="5" t="s">
        <v>1471</v>
      </c>
      <c r="E609" s="10" t="s">
        <v>345</v>
      </c>
      <c r="F609" s="5" t="s">
        <v>1449</v>
      </c>
      <c r="G609" s="5" t="s">
        <v>373</v>
      </c>
      <c r="H609" s="5" t="s">
        <v>357</v>
      </c>
      <c r="I609" s="11">
        <v>1</v>
      </c>
      <c r="J609" s="5" t="s">
        <v>45</v>
      </c>
      <c r="K609" s="10" t="s">
        <v>46</v>
      </c>
      <c r="L609" s="5" t="s">
        <v>47</v>
      </c>
      <c r="M609" s="5" t="s">
        <v>65</v>
      </c>
      <c r="N609" s="5" t="s">
        <v>66</v>
      </c>
      <c r="O609" s="12"/>
      <c r="S609" s="13">
        <v>8912</v>
      </c>
      <c r="U609" s="13">
        <v>8912</v>
      </c>
      <c r="AC609" s="10" t="s">
        <v>1472</v>
      </c>
      <c r="AD609" s="5" t="s">
        <v>1466</v>
      </c>
      <c r="AE609" s="5" t="s">
        <v>78</v>
      </c>
      <c r="AG609" s="5" t="s">
        <v>866</v>
      </c>
    </row>
    <row r="610" spans="1:33" ht="10" customHeight="1" x14ac:dyDescent="0.2">
      <c r="A610" s="5" t="s">
        <v>40</v>
      </c>
      <c r="B610" s="5" t="s">
        <v>41</v>
      </c>
      <c r="D610" s="5" t="s">
        <v>1473</v>
      </c>
      <c r="E610" s="10" t="s">
        <v>345</v>
      </c>
      <c r="F610" s="5" t="s">
        <v>1449</v>
      </c>
      <c r="G610" s="5" t="s">
        <v>373</v>
      </c>
      <c r="H610" s="5" t="s">
        <v>357</v>
      </c>
      <c r="I610" s="11">
        <v>1</v>
      </c>
      <c r="J610" s="5" t="s">
        <v>45</v>
      </c>
      <c r="K610" s="10" t="s">
        <v>46</v>
      </c>
      <c r="L610" s="5" t="s">
        <v>47</v>
      </c>
      <c r="M610" s="5" t="s">
        <v>65</v>
      </c>
      <c r="N610" s="5" t="s">
        <v>66</v>
      </c>
      <c r="O610" s="12"/>
      <c r="S610" s="13">
        <v>14549</v>
      </c>
      <c r="U610" s="13">
        <v>14549</v>
      </c>
      <c r="X610" s="13">
        <v>1622935</v>
      </c>
      <c r="Y610" s="13">
        <v>1622935</v>
      </c>
      <c r="AC610" s="10" t="s">
        <v>1474</v>
      </c>
      <c r="AD610" s="5" t="s">
        <v>1466</v>
      </c>
      <c r="AE610" s="5" t="s">
        <v>78</v>
      </c>
      <c r="AG610" s="5" t="s">
        <v>869</v>
      </c>
    </row>
    <row r="611" spans="1:33" ht="10" customHeight="1" x14ac:dyDescent="0.2">
      <c r="A611" s="5" t="s">
        <v>40</v>
      </c>
      <c r="B611" s="5" t="s">
        <v>41</v>
      </c>
      <c r="D611" s="5" t="s">
        <v>1475</v>
      </c>
      <c r="E611" s="10" t="s">
        <v>345</v>
      </c>
      <c r="F611" s="5" t="s">
        <v>1449</v>
      </c>
      <c r="G611" s="5" t="s">
        <v>373</v>
      </c>
      <c r="H611" s="5" t="s">
        <v>357</v>
      </c>
      <c r="I611" s="11">
        <v>1</v>
      </c>
      <c r="J611" s="5" t="s">
        <v>45</v>
      </c>
      <c r="K611" s="10" t="s">
        <v>46</v>
      </c>
      <c r="L611" s="5" t="s">
        <v>47</v>
      </c>
      <c r="M611" s="5" t="s">
        <v>65</v>
      </c>
      <c r="N611" s="5" t="s">
        <v>66</v>
      </c>
      <c r="O611" s="12"/>
      <c r="S611" s="13">
        <v>40499</v>
      </c>
      <c r="U611" s="13">
        <v>40499</v>
      </c>
      <c r="AC611" s="10" t="s">
        <v>1476</v>
      </c>
      <c r="AD611" s="5" t="s">
        <v>1466</v>
      </c>
      <c r="AE611" s="5" t="s">
        <v>78</v>
      </c>
      <c r="AG611" s="5" t="s">
        <v>872</v>
      </c>
    </row>
    <row r="612" spans="1:33" ht="10" customHeight="1" x14ac:dyDescent="0.2">
      <c r="A612" s="5" t="s">
        <v>40</v>
      </c>
      <c r="B612" s="5" t="s">
        <v>41</v>
      </c>
      <c r="D612" s="5" t="s">
        <v>1477</v>
      </c>
      <c r="E612" s="10" t="s">
        <v>345</v>
      </c>
      <c r="F612" s="5" t="s">
        <v>1449</v>
      </c>
      <c r="G612" s="5" t="s">
        <v>373</v>
      </c>
      <c r="H612" s="5" t="s">
        <v>357</v>
      </c>
      <c r="I612" s="11">
        <v>1</v>
      </c>
      <c r="J612" s="5" t="s">
        <v>45</v>
      </c>
      <c r="K612" s="10" t="s">
        <v>46</v>
      </c>
      <c r="L612" s="5" t="s">
        <v>47</v>
      </c>
      <c r="M612" s="5" t="s">
        <v>65</v>
      </c>
      <c r="N612" s="5" t="s">
        <v>66</v>
      </c>
      <c r="O612" s="12"/>
      <c r="S612" s="13">
        <v>5521</v>
      </c>
      <c r="U612" s="13">
        <v>5521</v>
      </c>
      <c r="AC612" s="10" t="s">
        <v>1478</v>
      </c>
      <c r="AD612" s="5" t="s">
        <v>1466</v>
      </c>
      <c r="AE612" s="5" t="s">
        <v>78</v>
      </c>
      <c r="AG612" s="5" t="s">
        <v>875</v>
      </c>
    </row>
    <row r="613" spans="1:33" ht="10" customHeight="1" x14ac:dyDescent="0.2">
      <c r="A613" s="5" t="s">
        <v>40</v>
      </c>
      <c r="B613" s="5" t="s">
        <v>41</v>
      </c>
      <c r="D613" s="5" t="s">
        <v>1479</v>
      </c>
      <c r="E613" s="10" t="s">
        <v>345</v>
      </c>
      <c r="F613" s="5" t="s">
        <v>1449</v>
      </c>
      <c r="G613" s="5" t="s">
        <v>373</v>
      </c>
      <c r="H613" s="5" t="s">
        <v>357</v>
      </c>
      <c r="I613" s="11">
        <v>1</v>
      </c>
      <c r="J613" s="5" t="s">
        <v>45</v>
      </c>
      <c r="K613" s="10" t="s">
        <v>46</v>
      </c>
      <c r="L613" s="5" t="s">
        <v>47</v>
      </c>
      <c r="M613" s="5" t="s">
        <v>65</v>
      </c>
      <c r="N613" s="5" t="s">
        <v>66</v>
      </c>
      <c r="O613" s="12"/>
      <c r="S613" s="13">
        <v>31556</v>
      </c>
      <c r="U613" s="13">
        <v>31556</v>
      </c>
      <c r="AC613" s="10" t="s">
        <v>1480</v>
      </c>
      <c r="AD613" s="5" t="s">
        <v>1466</v>
      </c>
      <c r="AE613" s="5" t="s">
        <v>78</v>
      </c>
      <c r="AG613" s="5" t="s">
        <v>878</v>
      </c>
    </row>
    <row r="614" spans="1:33" ht="10" customHeight="1" x14ac:dyDescent="0.2">
      <c r="A614" s="5" t="s">
        <v>40</v>
      </c>
      <c r="B614" s="5" t="s">
        <v>41</v>
      </c>
      <c r="D614" s="5" t="s">
        <v>1481</v>
      </c>
      <c r="E614" s="10" t="s">
        <v>345</v>
      </c>
      <c r="F614" s="5" t="s">
        <v>1449</v>
      </c>
      <c r="G614" s="5" t="s">
        <v>373</v>
      </c>
      <c r="H614" s="5" t="s">
        <v>357</v>
      </c>
      <c r="I614" s="11">
        <v>1</v>
      </c>
      <c r="J614" s="5" t="s">
        <v>45</v>
      </c>
      <c r="K614" s="10" t="s">
        <v>46</v>
      </c>
      <c r="L614" s="5" t="s">
        <v>47</v>
      </c>
      <c r="M614" s="5" t="s">
        <v>65</v>
      </c>
      <c r="N614" s="5" t="s">
        <v>66</v>
      </c>
      <c r="O614" s="12"/>
      <c r="S614" s="13">
        <v>163100</v>
      </c>
      <c r="U614" s="13">
        <v>163100</v>
      </c>
      <c r="AC614" s="10" t="s">
        <v>1482</v>
      </c>
      <c r="AD614" s="5" t="s">
        <v>1466</v>
      </c>
      <c r="AE614" s="5" t="s">
        <v>78</v>
      </c>
      <c r="AG614" s="5" t="s">
        <v>1483</v>
      </c>
    </row>
    <row r="615" spans="1:33" ht="10" customHeight="1" x14ac:dyDescent="0.2">
      <c r="A615" s="5" t="s">
        <v>40</v>
      </c>
      <c r="B615" s="5" t="s">
        <v>41</v>
      </c>
      <c r="D615" s="5" t="s">
        <v>1484</v>
      </c>
      <c r="E615" s="10" t="s">
        <v>345</v>
      </c>
      <c r="F615" s="5" t="s">
        <v>1449</v>
      </c>
      <c r="G615" s="5" t="s">
        <v>373</v>
      </c>
      <c r="H615" s="5" t="s">
        <v>357</v>
      </c>
      <c r="I615" s="11">
        <v>1</v>
      </c>
      <c r="J615" s="5" t="s">
        <v>45</v>
      </c>
      <c r="K615" s="10" t="s">
        <v>46</v>
      </c>
      <c r="L615" s="5" t="s">
        <v>47</v>
      </c>
      <c r="M615" s="5" t="s">
        <v>65</v>
      </c>
      <c r="N615" s="5" t="s">
        <v>66</v>
      </c>
      <c r="O615" s="12"/>
      <c r="S615" s="13">
        <v>19101</v>
      </c>
      <c r="U615" s="13">
        <v>19101</v>
      </c>
      <c r="AC615" s="10" t="s">
        <v>1485</v>
      </c>
      <c r="AD615" s="5" t="s">
        <v>1466</v>
      </c>
      <c r="AE615" s="5" t="s">
        <v>78</v>
      </c>
      <c r="AG615" s="5" t="s">
        <v>1486</v>
      </c>
    </row>
    <row r="616" spans="1:33" ht="10" customHeight="1" x14ac:dyDescent="0.2">
      <c r="A616" s="5" t="s">
        <v>40</v>
      </c>
      <c r="B616" s="5" t="s">
        <v>41</v>
      </c>
      <c r="D616" s="5" t="s">
        <v>1487</v>
      </c>
      <c r="E616" s="10" t="s">
        <v>345</v>
      </c>
      <c r="F616" s="5" t="s">
        <v>1449</v>
      </c>
      <c r="G616" s="5" t="s">
        <v>373</v>
      </c>
      <c r="H616" s="5" t="s">
        <v>357</v>
      </c>
      <c r="I616" s="11">
        <v>1</v>
      </c>
      <c r="J616" s="5" t="s">
        <v>45</v>
      </c>
      <c r="K616" s="10" t="s">
        <v>46</v>
      </c>
      <c r="L616" s="5" t="s">
        <v>47</v>
      </c>
      <c r="M616" s="5" t="s">
        <v>65</v>
      </c>
      <c r="N616" s="5" t="s">
        <v>66</v>
      </c>
      <c r="O616" s="12"/>
      <c r="S616" s="13">
        <v>7067</v>
      </c>
      <c r="U616" s="13">
        <v>7067</v>
      </c>
      <c r="AC616" s="10" t="s">
        <v>1488</v>
      </c>
      <c r="AD616" s="5" t="s">
        <v>1466</v>
      </c>
      <c r="AE616" s="5" t="s">
        <v>78</v>
      </c>
      <c r="AG616" s="5" t="s">
        <v>1489</v>
      </c>
    </row>
    <row r="617" spans="1:33" ht="10" customHeight="1" x14ac:dyDescent="0.2">
      <c r="A617" s="5" t="s">
        <v>40</v>
      </c>
      <c r="B617" s="5" t="s">
        <v>41</v>
      </c>
      <c r="D617" s="5" t="s">
        <v>1490</v>
      </c>
      <c r="E617" s="10" t="s">
        <v>345</v>
      </c>
      <c r="F617" s="5" t="s">
        <v>1449</v>
      </c>
      <c r="G617" s="5" t="s">
        <v>373</v>
      </c>
      <c r="H617" s="5" t="s">
        <v>357</v>
      </c>
      <c r="I617" s="11">
        <v>1</v>
      </c>
      <c r="J617" s="5" t="s">
        <v>45</v>
      </c>
      <c r="K617" s="10" t="s">
        <v>46</v>
      </c>
      <c r="L617" s="5" t="s">
        <v>47</v>
      </c>
      <c r="M617" s="5" t="s">
        <v>65</v>
      </c>
      <c r="N617" s="5" t="s">
        <v>66</v>
      </c>
      <c r="O617" s="12"/>
      <c r="S617" s="13">
        <v>13482</v>
      </c>
      <c r="U617" s="13">
        <v>13482</v>
      </c>
      <c r="AC617" s="10" t="s">
        <v>1491</v>
      </c>
      <c r="AD617" s="5" t="s">
        <v>1466</v>
      </c>
      <c r="AE617" s="5" t="s">
        <v>78</v>
      </c>
      <c r="AG617" s="5" t="s">
        <v>889</v>
      </c>
    </row>
    <row r="618" spans="1:33" ht="10" customHeight="1" x14ac:dyDescent="0.2">
      <c r="A618" s="5" t="s">
        <v>40</v>
      </c>
      <c r="B618" s="5" t="s">
        <v>41</v>
      </c>
      <c r="D618" s="5" t="s">
        <v>1492</v>
      </c>
      <c r="E618" s="10" t="s">
        <v>345</v>
      </c>
      <c r="F618" s="5" t="s">
        <v>1449</v>
      </c>
      <c r="G618" s="5" t="s">
        <v>373</v>
      </c>
      <c r="H618" s="5" t="s">
        <v>357</v>
      </c>
      <c r="I618" s="11">
        <v>1</v>
      </c>
      <c r="J618" s="5" t="s">
        <v>45</v>
      </c>
      <c r="K618" s="10" t="s">
        <v>46</v>
      </c>
      <c r="L618" s="5" t="s">
        <v>47</v>
      </c>
      <c r="M618" s="5" t="s">
        <v>65</v>
      </c>
      <c r="N618" s="5" t="s">
        <v>66</v>
      </c>
      <c r="O618" s="12"/>
      <c r="S618" s="13">
        <v>8232</v>
      </c>
      <c r="U618" s="13">
        <v>8232</v>
      </c>
      <c r="AC618" s="10" t="s">
        <v>1493</v>
      </c>
      <c r="AD618" s="5" t="s">
        <v>1466</v>
      </c>
      <c r="AE618" s="5" t="s">
        <v>78</v>
      </c>
      <c r="AG618" s="5" t="s">
        <v>895</v>
      </c>
    </row>
    <row r="619" spans="1:33" ht="10" customHeight="1" x14ac:dyDescent="0.2">
      <c r="A619" s="5" t="s">
        <v>40</v>
      </c>
      <c r="B619" s="5" t="s">
        <v>41</v>
      </c>
      <c r="D619" s="5" t="s">
        <v>1494</v>
      </c>
      <c r="E619" s="10" t="s">
        <v>345</v>
      </c>
      <c r="F619" s="5" t="s">
        <v>1449</v>
      </c>
      <c r="G619" s="5" t="s">
        <v>373</v>
      </c>
      <c r="H619" s="5" t="s">
        <v>357</v>
      </c>
      <c r="I619" s="11">
        <v>1</v>
      </c>
      <c r="J619" s="5" t="s">
        <v>45</v>
      </c>
      <c r="K619" s="10" t="s">
        <v>46</v>
      </c>
      <c r="L619" s="5" t="s">
        <v>47</v>
      </c>
      <c r="M619" s="5" t="s">
        <v>65</v>
      </c>
      <c r="N619" s="5" t="s">
        <v>66</v>
      </c>
      <c r="O619" s="12"/>
      <c r="S619" s="13">
        <v>8076</v>
      </c>
      <c r="U619" s="13">
        <v>8076</v>
      </c>
      <c r="AC619" s="10" t="s">
        <v>1495</v>
      </c>
      <c r="AD619" s="5" t="s">
        <v>1466</v>
      </c>
      <c r="AE619" s="5" t="s">
        <v>78</v>
      </c>
      <c r="AG619" s="5" t="s">
        <v>1496</v>
      </c>
    </row>
    <row r="620" spans="1:33" ht="10" customHeight="1" x14ac:dyDescent="0.2">
      <c r="A620" s="5" t="s">
        <v>40</v>
      </c>
      <c r="B620" s="5" t="s">
        <v>41</v>
      </c>
      <c r="D620" s="5" t="s">
        <v>1497</v>
      </c>
      <c r="E620" s="10" t="s">
        <v>345</v>
      </c>
      <c r="F620" s="5" t="s">
        <v>1449</v>
      </c>
      <c r="G620" s="5" t="s">
        <v>373</v>
      </c>
      <c r="H620" s="5" t="s">
        <v>357</v>
      </c>
      <c r="I620" s="11">
        <v>1</v>
      </c>
      <c r="J620" s="5" t="s">
        <v>45</v>
      </c>
      <c r="K620" s="10" t="s">
        <v>46</v>
      </c>
      <c r="L620" s="5" t="s">
        <v>47</v>
      </c>
      <c r="M620" s="5" t="s">
        <v>65</v>
      </c>
      <c r="N620" s="5" t="s">
        <v>66</v>
      </c>
      <c r="O620" s="12"/>
      <c r="S620" s="13">
        <v>8426</v>
      </c>
      <c r="U620" s="13">
        <v>8426</v>
      </c>
      <c r="AC620" s="10" t="s">
        <v>1498</v>
      </c>
      <c r="AD620" s="5" t="s">
        <v>1466</v>
      </c>
      <c r="AE620" s="5" t="s">
        <v>78</v>
      </c>
      <c r="AG620" s="5" t="s">
        <v>898</v>
      </c>
    </row>
    <row r="621" spans="1:33" ht="10" customHeight="1" x14ac:dyDescent="0.2">
      <c r="A621" s="5" t="s">
        <v>40</v>
      </c>
      <c r="B621" s="5" t="s">
        <v>41</v>
      </c>
      <c r="D621" s="5" t="s">
        <v>1499</v>
      </c>
      <c r="E621" s="10" t="s">
        <v>345</v>
      </c>
      <c r="F621" s="5" t="s">
        <v>1449</v>
      </c>
      <c r="G621" s="5" t="s">
        <v>373</v>
      </c>
      <c r="H621" s="5" t="s">
        <v>357</v>
      </c>
      <c r="I621" s="11">
        <v>1</v>
      </c>
      <c r="J621" s="5" t="s">
        <v>45</v>
      </c>
      <c r="K621" s="10" t="s">
        <v>46</v>
      </c>
      <c r="L621" s="5" t="s">
        <v>47</v>
      </c>
      <c r="M621" s="5" t="s">
        <v>65</v>
      </c>
      <c r="N621" s="5" t="s">
        <v>66</v>
      </c>
      <c r="O621" s="12"/>
      <c r="S621" s="13">
        <v>20000</v>
      </c>
      <c r="U621" s="13">
        <v>20000</v>
      </c>
      <c r="AC621" s="10" t="s">
        <v>1500</v>
      </c>
      <c r="AD621" s="5" t="s">
        <v>1466</v>
      </c>
      <c r="AE621" s="5" t="s">
        <v>78</v>
      </c>
      <c r="AG621" s="5" t="s">
        <v>1501</v>
      </c>
    </row>
    <row r="622" spans="1:33" ht="10" customHeight="1" x14ac:dyDescent="0.2">
      <c r="A622" s="5" t="s">
        <v>40</v>
      </c>
      <c r="B622" s="5" t="s">
        <v>41</v>
      </c>
      <c r="D622" s="5" t="s">
        <v>1502</v>
      </c>
      <c r="E622" s="10" t="s">
        <v>345</v>
      </c>
      <c r="F622" s="5" t="s">
        <v>1449</v>
      </c>
      <c r="G622" s="5" t="s">
        <v>373</v>
      </c>
      <c r="H622" s="5" t="s">
        <v>357</v>
      </c>
      <c r="I622" s="11">
        <v>1</v>
      </c>
      <c r="J622" s="5" t="s">
        <v>45</v>
      </c>
      <c r="K622" s="10" t="s">
        <v>46</v>
      </c>
      <c r="L622" s="5" t="s">
        <v>47</v>
      </c>
      <c r="M622" s="5" t="s">
        <v>65</v>
      </c>
      <c r="N622" s="5" t="s">
        <v>66</v>
      </c>
      <c r="O622" s="12"/>
      <c r="S622" s="13">
        <v>7500</v>
      </c>
      <c r="U622" s="13">
        <v>7500</v>
      </c>
      <c r="AC622" s="10" t="s">
        <v>1503</v>
      </c>
      <c r="AD622" s="5" t="s">
        <v>1466</v>
      </c>
      <c r="AE622" s="5" t="s">
        <v>78</v>
      </c>
      <c r="AG622" s="5" t="s">
        <v>907</v>
      </c>
    </row>
    <row r="623" spans="1:33" ht="10" customHeight="1" x14ac:dyDescent="0.2">
      <c r="A623" s="5" t="s">
        <v>40</v>
      </c>
      <c r="B623" s="5" t="s">
        <v>41</v>
      </c>
      <c r="D623" s="5" t="s">
        <v>1504</v>
      </c>
      <c r="E623" s="10" t="s">
        <v>345</v>
      </c>
      <c r="F623" s="5" t="s">
        <v>1449</v>
      </c>
      <c r="G623" s="5" t="s">
        <v>373</v>
      </c>
      <c r="H623" s="5" t="s">
        <v>357</v>
      </c>
      <c r="I623" s="11">
        <v>1</v>
      </c>
      <c r="J623" s="5" t="s">
        <v>45</v>
      </c>
      <c r="K623" s="10" t="s">
        <v>46</v>
      </c>
      <c r="L623" s="5" t="s">
        <v>47</v>
      </c>
      <c r="M623" s="5" t="s">
        <v>65</v>
      </c>
      <c r="N623" s="5" t="s">
        <v>66</v>
      </c>
      <c r="O623" s="12"/>
      <c r="S623" s="13">
        <v>3597</v>
      </c>
      <c r="U623" s="13">
        <v>3597</v>
      </c>
      <c r="AC623" s="10" t="s">
        <v>1505</v>
      </c>
      <c r="AD623" s="5" t="s">
        <v>1466</v>
      </c>
      <c r="AE623" s="5" t="s">
        <v>78</v>
      </c>
      <c r="AG623" s="5" t="s">
        <v>910</v>
      </c>
    </row>
    <row r="624" spans="1:33" ht="10" customHeight="1" x14ac:dyDescent="0.2">
      <c r="A624" s="5" t="s">
        <v>40</v>
      </c>
      <c r="B624" s="5" t="s">
        <v>41</v>
      </c>
      <c r="D624" s="5" t="s">
        <v>1506</v>
      </c>
      <c r="E624" s="10" t="s">
        <v>345</v>
      </c>
      <c r="F624" s="5" t="s">
        <v>1449</v>
      </c>
      <c r="G624" s="5" t="s">
        <v>373</v>
      </c>
      <c r="H624" s="5" t="s">
        <v>357</v>
      </c>
      <c r="I624" s="11">
        <v>1</v>
      </c>
      <c r="J624" s="5" t="s">
        <v>45</v>
      </c>
      <c r="K624" s="10" t="s">
        <v>46</v>
      </c>
      <c r="L624" s="5" t="s">
        <v>47</v>
      </c>
      <c r="M624" s="5" t="s">
        <v>65</v>
      </c>
      <c r="N624" s="5" t="s">
        <v>66</v>
      </c>
      <c r="O624" s="12"/>
      <c r="S624" s="13">
        <v>2626</v>
      </c>
      <c r="U624" s="13">
        <v>2626</v>
      </c>
      <c r="AC624" s="10" t="s">
        <v>1507</v>
      </c>
      <c r="AD624" s="5" t="s">
        <v>1466</v>
      </c>
      <c r="AE624" s="5" t="s">
        <v>78</v>
      </c>
      <c r="AG624" s="5" t="s">
        <v>913</v>
      </c>
    </row>
    <row r="625" spans="1:33" ht="10" customHeight="1" x14ac:dyDescent="0.2">
      <c r="A625" s="5" t="s">
        <v>40</v>
      </c>
      <c r="B625" s="5" t="s">
        <v>41</v>
      </c>
      <c r="D625" s="5" t="s">
        <v>1508</v>
      </c>
      <c r="E625" s="10" t="s">
        <v>345</v>
      </c>
      <c r="F625" s="5" t="s">
        <v>1449</v>
      </c>
      <c r="G625" s="5" t="s">
        <v>373</v>
      </c>
      <c r="H625" s="5" t="s">
        <v>357</v>
      </c>
      <c r="I625" s="11">
        <v>1</v>
      </c>
      <c r="J625" s="5" t="s">
        <v>45</v>
      </c>
      <c r="K625" s="10" t="s">
        <v>46</v>
      </c>
      <c r="L625" s="5" t="s">
        <v>47</v>
      </c>
      <c r="M625" s="5" t="s">
        <v>65</v>
      </c>
      <c r="N625" s="5" t="s">
        <v>66</v>
      </c>
      <c r="O625" s="12"/>
      <c r="S625" s="13">
        <v>1747</v>
      </c>
      <c r="U625" s="13">
        <v>1747</v>
      </c>
      <c r="AC625" s="10" t="s">
        <v>1509</v>
      </c>
      <c r="AD625" s="5" t="s">
        <v>1466</v>
      </c>
      <c r="AE625" s="5" t="s">
        <v>78</v>
      </c>
      <c r="AG625" s="5" t="s">
        <v>1510</v>
      </c>
    </row>
    <row r="626" spans="1:33" ht="10" customHeight="1" x14ac:dyDescent="0.2">
      <c r="A626" s="5" t="s">
        <v>40</v>
      </c>
      <c r="B626" s="5" t="s">
        <v>41</v>
      </c>
      <c r="D626" s="5" t="s">
        <v>1511</v>
      </c>
      <c r="E626" s="10" t="s">
        <v>345</v>
      </c>
      <c r="F626" s="5" t="s">
        <v>1449</v>
      </c>
      <c r="G626" s="5" t="s">
        <v>373</v>
      </c>
      <c r="H626" s="5" t="s">
        <v>357</v>
      </c>
      <c r="I626" s="11">
        <v>1</v>
      </c>
      <c r="J626" s="5" t="s">
        <v>45</v>
      </c>
      <c r="K626" s="10" t="s">
        <v>46</v>
      </c>
      <c r="L626" s="5" t="s">
        <v>47</v>
      </c>
      <c r="M626" s="5" t="s">
        <v>65</v>
      </c>
      <c r="N626" s="5" t="s">
        <v>66</v>
      </c>
      <c r="O626" s="12"/>
      <c r="S626" s="13">
        <v>7779</v>
      </c>
      <c r="U626" s="13">
        <v>7779</v>
      </c>
      <c r="AC626" s="10" t="s">
        <v>1512</v>
      </c>
      <c r="AD626" s="5" t="s">
        <v>1466</v>
      </c>
      <c r="AE626" s="5" t="s">
        <v>78</v>
      </c>
      <c r="AG626" s="5" t="s">
        <v>918</v>
      </c>
    </row>
    <row r="627" spans="1:33" ht="10" customHeight="1" x14ac:dyDescent="0.2">
      <c r="A627" s="5" t="s">
        <v>40</v>
      </c>
      <c r="B627" s="5" t="s">
        <v>41</v>
      </c>
      <c r="D627" s="5" t="s">
        <v>1513</v>
      </c>
      <c r="E627" s="10" t="s">
        <v>345</v>
      </c>
      <c r="F627" s="5" t="s">
        <v>1449</v>
      </c>
      <c r="G627" s="5" t="s">
        <v>373</v>
      </c>
      <c r="H627" s="5" t="s">
        <v>357</v>
      </c>
      <c r="I627" s="11">
        <v>1</v>
      </c>
      <c r="J627" s="5" t="s">
        <v>45</v>
      </c>
      <c r="K627" s="10" t="s">
        <v>46</v>
      </c>
      <c r="L627" s="5" t="s">
        <v>47</v>
      </c>
      <c r="M627" s="5" t="s">
        <v>65</v>
      </c>
      <c r="N627" s="5" t="s">
        <v>66</v>
      </c>
      <c r="O627" s="12"/>
      <c r="S627" s="13">
        <v>3469</v>
      </c>
      <c r="U627" s="13">
        <v>3469</v>
      </c>
      <c r="AC627" s="10" t="s">
        <v>1514</v>
      </c>
      <c r="AD627" s="5" t="s">
        <v>1466</v>
      </c>
      <c r="AE627" s="5" t="s">
        <v>78</v>
      </c>
      <c r="AG627" s="5" t="s">
        <v>921</v>
      </c>
    </row>
    <row r="628" spans="1:33" ht="10" customHeight="1" x14ac:dyDescent="0.2">
      <c r="A628" s="5" t="s">
        <v>40</v>
      </c>
      <c r="B628" s="5" t="s">
        <v>41</v>
      </c>
      <c r="D628" s="5" t="s">
        <v>1515</v>
      </c>
      <c r="E628" s="10" t="s">
        <v>345</v>
      </c>
      <c r="F628" s="5" t="s">
        <v>1449</v>
      </c>
      <c r="G628" s="5" t="s">
        <v>373</v>
      </c>
      <c r="H628" s="5" t="s">
        <v>357</v>
      </c>
      <c r="I628" s="11">
        <v>1</v>
      </c>
      <c r="J628" s="5" t="s">
        <v>45</v>
      </c>
      <c r="K628" s="10" t="s">
        <v>46</v>
      </c>
      <c r="L628" s="5" t="s">
        <v>47</v>
      </c>
      <c r="M628" s="5" t="s">
        <v>65</v>
      </c>
      <c r="N628" s="5" t="s">
        <v>66</v>
      </c>
      <c r="O628" s="12"/>
      <c r="S628" s="13">
        <v>21186</v>
      </c>
      <c r="U628" s="13">
        <v>21186</v>
      </c>
      <c r="AC628" s="10" t="s">
        <v>1516</v>
      </c>
      <c r="AD628" s="5" t="s">
        <v>1466</v>
      </c>
      <c r="AE628" s="5" t="s">
        <v>78</v>
      </c>
      <c r="AG628" s="5" t="s">
        <v>927</v>
      </c>
    </row>
    <row r="629" spans="1:33" ht="10" customHeight="1" x14ac:dyDescent="0.2">
      <c r="A629" s="5" t="s">
        <v>40</v>
      </c>
      <c r="B629" s="5" t="s">
        <v>41</v>
      </c>
      <c r="D629" s="5" t="s">
        <v>1517</v>
      </c>
      <c r="E629" s="10" t="s">
        <v>345</v>
      </c>
      <c r="F629" s="5" t="s">
        <v>1449</v>
      </c>
      <c r="G629" s="5" t="s">
        <v>373</v>
      </c>
      <c r="H629" s="5" t="s">
        <v>357</v>
      </c>
      <c r="I629" s="11">
        <v>1</v>
      </c>
      <c r="J629" s="5" t="s">
        <v>45</v>
      </c>
      <c r="K629" s="10" t="s">
        <v>46</v>
      </c>
      <c r="L629" s="5" t="s">
        <v>47</v>
      </c>
      <c r="M629" s="5" t="s">
        <v>65</v>
      </c>
      <c r="N629" s="5" t="s">
        <v>66</v>
      </c>
      <c r="O629" s="12"/>
      <c r="S629" s="13">
        <v>8657</v>
      </c>
      <c r="U629" s="13">
        <v>8657</v>
      </c>
      <c r="AC629" s="10" t="s">
        <v>1518</v>
      </c>
      <c r="AD629" s="5" t="s">
        <v>1466</v>
      </c>
      <c r="AE629" s="5" t="s">
        <v>78</v>
      </c>
      <c r="AG629" s="5" t="s">
        <v>930</v>
      </c>
    </row>
    <row r="630" spans="1:33" ht="10" customHeight="1" x14ac:dyDescent="0.2">
      <c r="A630" s="5" t="s">
        <v>40</v>
      </c>
      <c r="B630" s="5" t="s">
        <v>41</v>
      </c>
      <c r="D630" s="5" t="s">
        <v>1519</v>
      </c>
      <c r="E630" s="10" t="s">
        <v>345</v>
      </c>
      <c r="F630" s="5" t="s">
        <v>1449</v>
      </c>
      <c r="G630" s="5" t="s">
        <v>373</v>
      </c>
      <c r="H630" s="5" t="s">
        <v>357</v>
      </c>
      <c r="I630" s="11">
        <v>1</v>
      </c>
      <c r="J630" s="5" t="s">
        <v>45</v>
      </c>
      <c r="K630" s="10" t="s">
        <v>46</v>
      </c>
      <c r="L630" s="5" t="s">
        <v>47</v>
      </c>
      <c r="M630" s="5" t="s">
        <v>65</v>
      </c>
      <c r="N630" s="5" t="s">
        <v>66</v>
      </c>
      <c r="O630" s="12"/>
      <c r="S630" s="13">
        <v>2634</v>
      </c>
      <c r="U630" s="13">
        <v>2634</v>
      </c>
      <c r="AC630" s="10" t="s">
        <v>1520</v>
      </c>
      <c r="AD630" s="5" t="s">
        <v>1466</v>
      </c>
      <c r="AE630" s="5" t="s">
        <v>78</v>
      </c>
      <c r="AG630" s="5" t="s">
        <v>1521</v>
      </c>
    </row>
    <row r="631" spans="1:33" ht="10" customHeight="1" x14ac:dyDescent="0.2">
      <c r="A631" s="5" t="s">
        <v>40</v>
      </c>
      <c r="B631" s="5" t="s">
        <v>41</v>
      </c>
      <c r="D631" s="5" t="s">
        <v>1522</v>
      </c>
      <c r="E631" s="10" t="s">
        <v>345</v>
      </c>
      <c r="F631" s="5" t="s">
        <v>1449</v>
      </c>
      <c r="G631" s="5" t="s">
        <v>373</v>
      </c>
      <c r="H631" s="5" t="s">
        <v>357</v>
      </c>
      <c r="I631" s="11">
        <v>1</v>
      </c>
      <c r="J631" s="5" t="s">
        <v>45</v>
      </c>
      <c r="K631" s="10" t="s">
        <v>46</v>
      </c>
      <c r="L631" s="5" t="s">
        <v>47</v>
      </c>
      <c r="M631" s="5" t="s">
        <v>65</v>
      </c>
      <c r="N631" s="5" t="s">
        <v>66</v>
      </c>
      <c r="O631" s="12"/>
      <c r="S631" s="13">
        <v>2027</v>
      </c>
      <c r="U631" s="13">
        <v>2027</v>
      </c>
      <c r="AC631" s="10" t="s">
        <v>1523</v>
      </c>
      <c r="AD631" s="5" t="s">
        <v>1466</v>
      </c>
      <c r="AE631" s="5" t="s">
        <v>78</v>
      </c>
      <c r="AG631" s="5" t="s">
        <v>1524</v>
      </c>
    </row>
    <row r="632" spans="1:33" ht="10" customHeight="1" x14ac:dyDescent="0.2">
      <c r="A632" s="5" t="s">
        <v>40</v>
      </c>
      <c r="B632" s="5" t="s">
        <v>41</v>
      </c>
      <c r="D632" s="5" t="s">
        <v>1525</v>
      </c>
      <c r="E632" s="10" t="s">
        <v>345</v>
      </c>
      <c r="F632" s="5" t="s">
        <v>1449</v>
      </c>
      <c r="G632" s="5" t="s">
        <v>373</v>
      </c>
      <c r="H632" s="5" t="s">
        <v>357</v>
      </c>
      <c r="I632" s="11">
        <v>1</v>
      </c>
      <c r="J632" s="5" t="s">
        <v>45</v>
      </c>
      <c r="K632" s="10" t="s">
        <v>46</v>
      </c>
      <c r="L632" s="5" t="s">
        <v>47</v>
      </c>
      <c r="M632" s="5" t="s">
        <v>65</v>
      </c>
      <c r="N632" s="5" t="s">
        <v>66</v>
      </c>
      <c r="O632" s="12"/>
      <c r="S632" s="13">
        <v>1536</v>
      </c>
      <c r="U632" s="13">
        <v>1536</v>
      </c>
      <c r="AC632" s="10" t="s">
        <v>1526</v>
      </c>
      <c r="AD632" s="5" t="s">
        <v>1466</v>
      </c>
      <c r="AE632" s="5" t="s">
        <v>78</v>
      </c>
      <c r="AG632" s="5" t="s">
        <v>1527</v>
      </c>
    </row>
    <row r="633" spans="1:33" ht="10" customHeight="1" x14ac:dyDescent="0.2">
      <c r="A633" s="5" t="s">
        <v>40</v>
      </c>
      <c r="B633" s="5" t="s">
        <v>41</v>
      </c>
      <c r="D633" s="5" t="s">
        <v>1528</v>
      </c>
      <c r="E633" s="10" t="s">
        <v>345</v>
      </c>
      <c r="F633" s="5" t="s">
        <v>1449</v>
      </c>
      <c r="G633" s="5" t="s">
        <v>373</v>
      </c>
      <c r="H633" s="5" t="s">
        <v>357</v>
      </c>
      <c r="I633" s="11">
        <v>1</v>
      </c>
      <c r="J633" s="5" t="s">
        <v>45</v>
      </c>
      <c r="K633" s="10" t="s">
        <v>46</v>
      </c>
      <c r="L633" s="5" t="s">
        <v>47</v>
      </c>
      <c r="M633" s="5" t="s">
        <v>65</v>
      </c>
      <c r="N633" s="5" t="s">
        <v>66</v>
      </c>
      <c r="O633" s="12"/>
      <c r="S633" s="13">
        <v>2514</v>
      </c>
      <c r="U633" s="13">
        <v>2514</v>
      </c>
      <c r="AC633" s="10" t="s">
        <v>1529</v>
      </c>
      <c r="AD633" s="5" t="s">
        <v>1466</v>
      </c>
      <c r="AE633" s="5" t="s">
        <v>78</v>
      </c>
      <c r="AG633" s="5" t="s">
        <v>1530</v>
      </c>
    </row>
    <row r="634" spans="1:33" ht="10" customHeight="1" x14ac:dyDescent="0.2">
      <c r="A634" s="5" t="s">
        <v>40</v>
      </c>
      <c r="B634" s="5" t="s">
        <v>41</v>
      </c>
      <c r="D634" s="5" t="s">
        <v>1531</v>
      </c>
      <c r="E634" s="10" t="s">
        <v>345</v>
      </c>
      <c r="F634" s="5" t="s">
        <v>1449</v>
      </c>
      <c r="G634" s="5" t="s">
        <v>373</v>
      </c>
      <c r="H634" s="5" t="s">
        <v>357</v>
      </c>
      <c r="I634" s="11">
        <v>1</v>
      </c>
      <c r="J634" s="5" t="s">
        <v>45</v>
      </c>
      <c r="K634" s="10" t="s">
        <v>46</v>
      </c>
      <c r="L634" s="5" t="s">
        <v>47</v>
      </c>
      <c r="M634" s="5" t="s">
        <v>65</v>
      </c>
      <c r="N634" s="5" t="s">
        <v>66</v>
      </c>
      <c r="O634" s="12"/>
      <c r="S634" s="13">
        <v>26795</v>
      </c>
      <c r="U634" s="13">
        <v>26795</v>
      </c>
      <c r="AC634" s="10" t="s">
        <v>1532</v>
      </c>
      <c r="AD634" s="5" t="s">
        <v>1466</v>
      </c>
      <c r="AE634" s="5" t="s">
        <v>78</v>
      </c>
      <c r="AG634" s="5" t="s">
        <v>947</v>
      </c>
    </row>
    <row r="635" spans="1:33" ht="10" customHeight="1" x14ac:dyDescent="0.2">
      <c r="A635" s="5" t="s">
        <v>40</v>
      </c>
      <c r="B635" s="5" t="s">
        <v>41</v>
      </c>
      <c r="D635" s="5" t="s">
        <v>1533</v>
      </c>
      <c r="E635" s="10" t="s">
        <v>345</v>
      </c>
      <c r="F635" s="5" t="s">
        <v>1449</v>
      </c>
      <c r="G635" s="5" t="s">
        <v>373</v>
      </c>
      <c r="H635" s="5" t="s">
        <v>357</v>
      </c>
      <c r="I635" s="11">
        <v>1</v>
      </c>
      <c r="J635" s="5" t="s">
        <v>45</v>
      </c>
      <c r="K635" s="10" t="s">
        <v>46</v>
      </c>
      <c r="L635" s="5" t="s">
        <v>47</v>
      </c>
      <c r="M635" s="5" t="s">
        <v>65</v>
      </c>
      <c r="N635" s="5" t="s">
        <v>66</v>
      </c>
      <c r="O635" s="12"/>
      <c r="S635" s="13">
        <v>4771</v>
      </c>
      <c r="U635" s="13">
        <v>4771</v>
      </c>
      <c r="AC635" s="10" t="s">
        <v>1534</v>
      </c>
      <c r="AD635" s="5" t="s">
        <v>1466</v>
      </c>
      <c r="AE635" s="5" t="s">
        <v>78</v>
      </c>
      <c r="AG635" s="5" t="s">
        <v>1535</v>
      </c>
    </row>
    <row r="636" spans="1:33" ht="10" customHeight="1" x14ac:dyDescent="0.2">
      <c r="A636" s="5" t="s">
        <v>40</v>
      </c>
      <c r="B636" s="5" t="s">
        <v>41</v>
      </c>
      <c r="D636" s="5" t="s">
        <v>1536</v>
      </c>
      <c r="E636" s="10" t="s">
        <v>345</v>
      </c>
      <c r="F636" s="5" t="s">
        <v>1449</v>
      </c>
      <c r="G636" s="5" t="s">
        <v>373</v>
      </c>
      <c r="H636" s="5" t="s">
        <v>357</v>
      </c>
      <c r="I636" s="11">
        <v>1</v>
      </c>
      <c r="J636" s="5" t="s">
        <v>45</v>
      </c>
      <c r="K636" s="10" t="s">
        <v>46</v>
      </c>
      <c r="L636" s="5" t="s">
        <v>47</v>
      </c>
      <c r="M636" s="5" t="s">
        <v>65</v>
      </c>
      <c r="N636" s="5" t="s">
        <v>66</v>
      </c>
      <c r="O636" s="12"/>
      <c r="S636" s="13">
        <v>2727</v>
      </c>
      <c r="U636" s="13">
        <v>2727</v>
      </c>
      <c r="AC636" s="10" t="s">
        <v>1537</v>
      </c>
      <c r="AD636" s="5" t="s">
        <v>1538</v>
      </c>
      <c r="AE636" s="5" t="s">
        <v>78</v>
      </c>
      <c r="AG636" s="5" t="s">
        <v>955</v>
      </c>
    </row>
    <row r="637" spans="1:33" ht="10" customHeight="1" x14ac:dyDescent="0.2">
      <c r="A637" s="5" t="s">
        <v>40</v>
      </c>
      <c r="B637" s="5" t="s">
        <v>41</v>
      </c>
      <c r="D637" s="5" t="s">
        <v>1539</v>
      </c>
      <c r="E637" s="10" t="s">
        <v>345</v>
      </c>
      <c r="F637" s="5" t="s">
        <v>1449</v>
      </c>
      <c r="G637" s="5" t="s">
        <v>373</v>
      </c>
      <c r="H637" s="5" t="s">
        <v>357</v>
      </c>
      <c r="I637" s="11">
        <v>1</v>
      </c>
      <c r="J637" s="5" t="s">
        <v>45</v>
      </c>
      <c r="K637" s="10" t="s">
        <v>46</v>
      </c>
      <c r="L637" s="5" t="s">
        <v>47</v>
      </c>
      <c r="M637" s="5" t="s">
        <v>65</v>
      </c>
      <c r="N637" s="5" t="s">
        <v>66</v>
      </c>
      <c r="O637" s="12"/>
      <c r="S637" s="13">
        <v>3478</v>
      </c>
      <c r="U637" s="13">
        <v>3478</v>
      </c>
      <c r="AC637" s="10" t="s">
        <v>1540</v>
      </c>
      <c r="AD637" s="5" t="s">
        <v>1538</v>
      </c>
      <c r="AE637" s="5" t="s">
        <v>78</v>
      </c>
      <c r="AG637" s="5" t="s">
        <v>958</v>
      </c>
    </row>
    <row r="638" spans="1:33" ht="10" customHeight="1" x14ac:dyDescent="0.2">
      <c r="A638" s="5" t="s">
        <v>40</v>
      </c>
      <c r="B638" s="5" t="s">
        <v>41</v>
      </c>
      <c r="D638" s="5" t="s">
        <v>1541</v>
      </c>
      <c r="E638" s="10" t="s">
        <v>345</v>
      </c>
      <c r="F638" s="5" t="s">
        <v>1449</v>
      </c>
      <c r="G638" s="5" t="s">
        <v>373</v>
      </c>
      <c r="H638" s="5" t="s">
        <v>357</v>
      </c>
      <c r="I638" s="11">
        <v>1</v>
      </c>
      <c r="J638" s="5" t="s">
        <v>45</v>
      </c>
      <c r="K638" s="10" t="s">
        <v>46</v>
      </c>
      <c r="L638" s="5" t="s">
        <v>47</v>
      </c>
      <c r="M638" s="5" t="s">
        <v>65</v>
      </c>
      <c r="N638" s="5" t="s">
        <v>66</v>
      </c>
      <c r="O638" s="12"/>
      <c r="S638" s="13">
        <v>4689</v>
      </c>
      <c r="U638" s="13">
        <v>4689</v>
      </c>
      <c r="AC638" s="10" t="s">
        <v>1542</v>
      </c>
      <c r="AD638" s="5" t="s">
        <v>1538</v>
      </c>
      <c r="AE638" s="5" t="s">
        <v>78</v>
      </c>
      <c r="AG638" s="5" t="s">
        <v>964</v>
      </c>
    </row>
    <row r="639" spans="1:33" ht="10" customHeight="1" x14ac:dyDescent="0.2">
      <c r="A639" s="5" t="s">
        <v>40</v>
      </c>
      <c r="B639" s="5" t="s">
        <v>41</v>
      </c>
      <c r="D639" s="5" t="s">
        <v>1543</v>
      </c>
      <c r="E639" s="10" t="s">
        <v>345</v>
      </c>
      <c r="F639" s="5" t="s">
        <v>1449</v>
      </c>
      <c r="G639" s="5" t="s">
        <v>373</v>
      </c>
      <c r="H639" s="5" t="s">
        <v>357</v>
      </c>
      <c r="I639" s="11">
        <v>1</v>
      </c>
      <c r="J639" s="5" t="s">
        <v>45</v>
      </c>
      <c r="K639" s="10" t="s">
        <v>46</v>
      </c>
      <c r="L639" s="5" t="s">
        <v>47</v>
      </c>
      <c r="M639" s="5" t="s">
        <v>65</v>
      </c>
      <c r="N639" s="5" t="s">
        <v>66</v>
      </c>
      <c r="O639" s="12"/>
      <c r="S639" s="13">
        <v>4210</v>
      </c>
      <c r="U639" s="13">
        <v>4210</v>
      </c>
      <c r="AC639" s="10" t="s">
        <v>1544</v>
      </c>
      <c r="AD639" s="5" t="s">
        <v>1538</v>
      </c>
      <c r="AE639" s="5" t="s">
        <v>78</v>
      </c>
      <c r="AG639" s="5" t="s">
        <v>967</v>
      </c>
    </row>
    <row r="640" spans="1:33" ht="10" customHeight="1" x14ac:dyDescent="0.2">
      <c r="A640" s="5" t="s">
        <v>40</v>
      </c>
      <c r="B640" s="5" t="s">
        <v>41</v>
      </c>
      <c r="D640" s="5" t="s">
        <v>1545</v>
      </c>
      <c r="E640" s="10" t="s">
        <v>345</v>
      </c>
      <c r="F640" s="5" t="s">
        <v>1449</v>
      </c>
      <c r="G640" s="5" t="s">
        <v>373</v>
      </c>
      <c r="H640" s="5" t="s">
        <v>357</v>
      </c>
      <c r="I640" s="11">
        <v>1</v>
      </c>
      <c r="J640" s="5" t="s">
        <v>45</v>
      </c>
      <c r="K640" s="10" t="s">
        <v>46</v>
      </c>
      <c r="L640" s="5" t="s">
        <v>47</v>
      </c>
      <c r="M640" s="5" t="s">
        <v>65</v>
      </c>
      <c r="N640" s="5" t="s">
        <v>66</v>
      </c>
      <c r="O640" s="12"/>
      <c r="S640" s="13">
        <v>21081</v>
      </c>
      <c r="U640" s="13">
        <v>21081</v>
      </c>
      <c r="AC640" s="10" t="s">
        <v>1546</v>
      </c>
      <c r="AD640" s="5" t="s">
        <v>1538</v>
      </c>
      <c r="AE640" s="5" t="s">
        <v>78</v>
      </c>
      <c r="AG640" s="5" t="s">
        <v>970</v>
      </c>
    </row>
    <row r="641" spans="1:33" ht="10" customHeight="1" x14ac:dyDescent="0.2">
      <c r="A641" s="5" t="s">
        <v>40</v>
      </c>
      <c r="B641" s="5" t="s">
        <v>41</v>
      </c>
      <c r="D641" s="5" t="s">
        <v>1547</v>
      </c>
      <c r="E641" s="10" t="s">
        <v>345</v>
      </c>
      <c r="F641" s="5" t="s">
        <v>1449</v>
      </c>
      <c r="G641" s="5" t="s">
        <v>373</v>
      </c>
      <c r="H641" s="5" t="s">
        <v>357</v>
      </c>
      <c r="I641" s="11">
        <v>1</v>
      </c>
      <c r="J641" s="5" t="s">
        <v>45</v>
      </c>
      <c r="K641" s="10" t="s">
        <v>46</v>
      </c>
      <c r="L641" s="5" t="s">
        <v>47</v>
      </c>
      <c r="M641" s="5" t="s">
        <v>65</v>
      </c>
      <c r="N641" s="5" t="s">
        <v>66</v>
      </c>
      <c r="O641" s="12"/>
      <c r="S641" s="13">
        <v>1491</v>
      </c>
      <c r="U641" s="13">
        <v>1491</v>
      </c>
      <c r="AC641" s="10" t="s">
        <v>1548</v>
      </c>
      <c r="AD641" s="5" t="s">
        <v>1538</v>
      </c>
      <c r="AE641" s="5" t="s">
        <v>78</v>
      </c>
      <c r="AG641" s="5" t="s">
        <v>1549</v>
      </c>
    </row>
    <row r="642" spans="1:33" ht="10" customHeight="1" x14ac:dyDescent="0.2">
      <c r="A642" s="5" t="s">
        <v>40</v>
      </c>
      <c r="B642" s="5" t="s">
        <v>41</v>
      </c>
      <c r="D642" s="5" t="s">
        <v>1550</v>
      </c>
      <c r="E642" s="10" t="s">
        <v>345</v>
      </c>
      <c r="F642" s="5" t="s">
        <v>1449</v>
      </c>
      <c r="G642" s="5" t="s">
        <v>373</v>
      </c>
      <c r="H642" s="5" t="s">
        <v>357</v>
      </c>
      <c r="I642" s="11">
        <v>1</v>
      </c>
      <c r="J642" s="5" t="s">
        <v>45</v>
      </c>
      <c r="K642" s="10" t="s">
        <v>46</v>
      </c>
      <c r="L642" s="5" t="s">
        <v>47</v>
      </c>
      <c r="M642" s="5" t="s">
        <v>65</v>
      </c>
      <c r="N642" s="5" t="s">
        <v>66</v>
      </c>
      <c r="O642" s="12"/>
      <c r="S642" s="13">
        <v>3516</v>
      </c>
      <c r="U642" s="13">
        <v>3516</v>
      </c>
      <c r="AC642" s="10" t="s">
        <v>1551</v>
      </c>
      <c r="AD642" s="5" t="s">
        <v>1538</v>
      </c>
      <c r="AE642" s="5" t="s">
        <v>78</v>
      </c>
      <c r="AG642" s="5" t="s">
        <v>975</v>
      </c>
    </row>
    <row r="643" spans="1:33" ht="10" customHeight="1" x14ac:dyDescent="0.2">
      <c r="A643" s="5" t="s">
        <v>40</v>
      </c>
      <c r="B643" s="5" t="s">
        <v>41</v>
      </c>
      <c r="D643" s="5" t="s">
        <v>1552</v>
      </c>
      <c r="E643" s="10" t="s">
        <v>345</v>
      </c>
      <c r="F643" s="5" t="s">
        <v>1449</v>
      </c>
      <c r="G643" s="5" t="s">
        <v>373</v>
      </c>
      <c r="H643" s="5" t="s">
        <v>357</v>
      </c>
      <c r="I643" s="11">
        <v>1</v>
      </c>
      <c r="J643" s="5" t="s">
        <v>45</v>
      </c>
      <c r="K643" s="10" t="s">
        <v>46</v>
      </c>
      <c r="L643" s="5" t="s">
        <v>47</v>
      </c>
      <c r="M643" s="5" t="s">
        <v>65</v>
      </c>
      <c r="N643" s="5" t="s">
        <v>66</v>
      </c>
      <c r="O643" s="12"/>
      <c r="S643" s="13">
        <v>7900</v>
      </c>
      <c r="U643" s="13">
        <v>7900</v>
      </c>
      <c r="AC643" s="10" t="s">
        <v>1553</v>
      </c>
      <c r="AD643" s="5" t="s">
        <v>1538</v>
      </c>
      <c r="AE643" s="5" t="s">
        <v>78</v>
      </c>
      <c r="AG643" s="5" t="s">
        <v>1554</v>
      </c>
    </row>
    <row r="644" spans="1:33" ht="10" customHeight="1" x14ac:dyDescent="0.2">
      <c r="A644" s="5" t="s">
        <v>40</v>
      </c>
      <c r="B644" s="5" t="s">
        <v>41</v>
      </c>
      <c r="D644" s="5" t="s">
        <v>1555</v>
      </c>
      <c r="E644" s="10" t="s">
        <v>345</v>
      </c>
      <c r="F644" s="5" t="s">
        <v>1449</v>
      </c>
      <c r="G644" s="5" t="s">
        <v>373</v>
      </c>
      <c r="H644" s="5" t="s">
        <v>357</v>
      </c>
      <c r="I644" s="11">
        <v>1</v>
      </c>
      <c r="J644" s="5" t="s">
        <v>45</v>
      </c>
      <c r="K644" s="10" t="s">
        <v>46</v>
      </c>
      <c r="L644" s="5" t="s">
        <v>47</v>
      </c>
      <c r="M644" s="5" t="s">
        <v>65</v>
      </c>
      <c r="N644" s="5" t="s">
        <v>66</v>
      </c>
      <c r="O644" s="12"/>
      <c r="S644" s="13">
        <v>2400</v>
      </c>
      <c r="U644" s="13">
        <v>2400</v>
      </c>
      <c r="AC644" s="10" t="s">
        <v>1556</v>
      </c>
      <c r="AD644" s="5" t="s">
        <v>1538</v>
      </c>
      <c r="AE644" s="5" t="s">
        <v>78</v>
      </c>
      <c r="AG644" s="5" t="s">
        <v>981</v>
      </c>
    </row>
    <row r="645" spans="1:33" ht="10" customHeight="1" x14ac:dyDescent="0.2">
      <c r="A645" s="5" t="s">
        <v>40</v>
      </c>
      <c r="B645" s="5" t="s">
        <v>41</v>
      </c>
      <c r="D645" s="5" t="s">
        <v>1557</v>
      </c>
      <c r="E645" s="10" t="s">
        <v>345</v>
      </c>
      <c r="F645" s="5" t="s">
        <v>1449</v>
      </c>
      <c r="G645" s="5" t="s">
        <v>373</v>
      </c>
      <c r="H645" s="5" t="s">
        <v>357</v>
      </c>
      <c r="I645" s="11">
        <v>1</v>
      </c>
      <c r="J645" s="5" t="s">
        <v>45</v>
      </c>
      <c r="K645" s="10" t="s">
        <v>46</v>
      </c>
      <c r="L645" s="5" t="s">
        <v>47</v>
      </c>
      <c r="M645" s="5" t="s">
        <v>65</v>
      </c>
      <c r="N645" s="5" t="s">
        <v>66</v>
      </c>
      <c r="O645" s="12"/>
      <c r="S645" s="13">
        <v>1204</v>
      </c>
      <c r="U645" s="13">
        <v>1204</v>
      </c>
      <c r="AC645" s="10" t="s">
        <v>1558</v>
      </c>
      <c r="AD645" s="5" t="s">
        <v>1538</v>
      </c>
      <c r="AE645" s="5" t="s">
        <v>78</v>
      </c>
      <c r="AG645" s="5" t="s">
        <v>984</v>
      </c>
    </row>
    <row r="646" spans="1:33" ht="10" customHeight="1" x14ac:dyDescent="0.2">
      <c r="A646" s="5" t="s">
        <v>40</v>
      </c>
      <c r="B646" s="5" t="s">
        <v>41</v>
      </c>
      <c r="D646" s="5" t="s">
        <v>1559</v>
      </c>
      <c r="E646" s="10" t="s">
        <v>345</v>
      </c>
      <c r="F646" s="5" t="s">
        <v>1449</v>
      </c>
      <c r="G646" s="5" t="s">
        <v>373</v>
      </c>
      <c r="H646" s="5" t="s">
        <v>357</v>
      </c>
      <c r="I646" s="11">
        <v>1</v>
      </c>
      <c r="J646" s="5" t="s">
        <v>45</v>
      </c>
      <c r="K646" s="10" t="s">
        <v>46</v>
      </c>
      <c r="L646" s="5" t="s">
        <v>47</v>
      </c>
      <c r="M646" s="5" t="s">
        <v>65</v>
      </c>
      <c r="N646" s="5" t="s">
        <v>66</v>
      </c>
      <c r="O646" s="12"/>
      <c r="S646" s="13">
        <v>2077</v>
      </c>
      <c r="U646" s="13">
        <v>2077</v>
      </c>
      <c r="AC646" s="10" t="s">
        <v>1560</v>
      </c>
      <c r="AD646" s="5" t="s">
        <v>1538</v>
      </c>
      <c r="AE646" s="5" t="s">
        <v>78</v>
      </c>
      <c r="AG646" s="5" t="s">
        <v>987</v>
      </c>
    </row>
    <row r="647" spans="1:33" ht="10" customHeight="1" x14ac:dyDescent="0.2">
      <c r="A647" s="5" t="s">
        <v>40</v>
      </c>
      <c r="B647" s="5" t="s">
        <v>41</v>
      </c>
      <c r="D647" s="5" t="s">
        <v>1561</v>
      </c>
      <c r="E647" s="10" t="s">
        <v>345</v>
      </c>
      <c r="F647" s="5" t="s">
        <v>1449</v>
      </c>
      <c r="G647" s="5" t="s">
        <v>373</v>
      </c>
      <c r="H647" s="5" t="s">
        <v>357</v>
      </c>
      <c r="I647" s="11">
        <v>1</v>
      </c>
      <c r="J647" s="5" t="s">
        <v>45</v>
      </c>
      <c r="K647" s="10" t="s">
        <v>46</v>
      </c>
      <c r="L647" s="5" t="s">
        <v>47</v>
      </c>
      <c r="M647" s="5" t="s">
        <v>65</v>
      </c>
      <c r="N647" s="5" t="s">
        <v>66</v>
      </c>
      <c r="O647" s="12"/>
      <c r="S647" s="13">
        <v>4347</v>
      </c>
      <c r="U647" s="13">
        <v>4347</v>
      </c>
      <c r="AC647" s="10" t="s">
        <v>1562</v>
      </c>
      <c r="AD647" s="5" t="s">
        <v>1538</v>
      </c>
      <c r="AE647" s="5" t="s">
        <v>78</v>
      </c>
      <c r="AG647" s="5" t="s">
        <v>992</v>
      </c>
    </row>
    <row r="648" spans="1:33" ht="10" customHeight="1" x14ac:dyDescent="0.2">
      <c r="A648" s="5" t="s">
        <v>40</v>
      </c>
      <c r="B648" s="5" t="s">
        <v>41</v>
      </c>
      <c r="D648" s="5" t="s">
        <v>1563</v>
      </c>
      <c r="E648" s="10" t="s">
        <v>345</v>
      </c>
      <c r="F648" s="5" t="s">
        <v>1449</v>
      </c>
      <c r="G648" s="5" t="s">
        <v>373</v>
      </c>
      <c r="H648" s="5" t="s">
        <v>357</v>
      </c>
      <c r="I648" s="11">
        <v>1</v>
      </c>
      <c r="J648" s="5" t="s">
        <v>45</v>
      </c>
      <c r="K648" s="10" t="s">
        <v>46</v>
      </c>
      <c r="L648" s="5" t="s">
        <v>47</v>
      </c>
      <c r="M648" s="5" t="s">
        <v>65</v>
      </c>
      <c r="N648" s="5" t="s">
        <v>66</v>
      </c>
      <c r="O648" s="12"/>
      <c r="S648" s="13">
        <v>13115</v>
      </c>
      <c r="U648" s="13">
        <v>13115</v>
      </c>
      <c r="AC648" s="10" t="s">
        <v>1564</v>
      </c>
      <c r="AD648" s="5" t="s">
        <v>1538</v>
      </c>
      <c r="AE648" s="5" t="s">
        <v>78</v>
      </c>
      <c r="AG648" s="5" t="s">
        <v>997</v>
      </c>
    </row>
    <row r="649" spans="1:33" ht="10" customHeight="1" x14ac:dyDescent="0.2">
      <c r="A649" s="5" t="s">
        <v>40</v>
      </c>
      <c r="B649" s="5" t="s">
        <v>41</v>
      </c>
      <c r="D649" s="5" t="s">
        <v>1565</v>
      </c>
      <c r="E649" s="10" t="s">
        <v>345</v>
      </c>
      <c r="F649" s="5" t="s">
        <v>1449</v>
      </c>
      <c r="G649" s="5" t="s">
        <v>373</v>
      </c>
      <c r="H649" s="5" t="s">
        <v>363</v>
      </c>
      <c r="I649" s="11">
        <v>1</v>
      </c>
      <c r="J649" s="5" t="s">
        <v>45</v>
      </c>
      <c r="K649" s="10" t="s">
        <v>46</v>
      </c>
      <c r="L649" s="5" t="s">
        <v>47</v>
      </c>
      <c r="M649" s="5" t="s">
        <v>65</v>
      </c>
      <c r="N649" s="5" t="s">
        <v>66</v>
      </c>
      <c r="O649" s="12"/>
      <c r="S649" s="13">
        <v>8093</v>
      </c>
      <c r="U649" s="13">
        <v>8093</v>
      </c>
      <c r="AC649" s="10" t="s">
        <v>1566</v>
      </c>
      <c r="AD649" s="5" t="s">
        <v>1567</v>
      </c>
      <c r="AE649" s="5" t="s">
        <v>78</v>
      </c>
      <c r="AG649" s="5" t="s">
        <v>1006</v>
      </c>
    </row>
    <row r="650" spans="1:33" ht="10" customHeight="1" x14ac:dyDescent="0.2">
      <c r="A650" s="5" t="s">
        <v>40</v>
      </c>
      <c r="B650" s="5" t="s">
        <v>41</v>
      </c>
      <c r="D650" s="5" t="s">
        <v>1568</v>
      </c>
      <c r="E650" s="10" t="s">
        <v>345</v>
      </c>
      <c r="F650" s="5" t="s">
        <v>1449</v>
      </c>
      <c r="G650" s="5" t="s">
        <v>373</v>
      </c>
      <c r="H650" s="5" t="s">
        <v>363</v>
      </c>
      <c r="I650" s="11">
        <v>1</v>
      </c>
      <c r="J650" s="5" t="s">
        <v>45</v>
      </c>
      <c r="K650" s="10" t="s">
        <v>46</v>
      </c>
      <c r="L650" s="5" t="s">
        <v>47</v>
      </c>
      <c r="M650" s="5" t="s">
        <v>65</v>
      </c>
      <c r="N650" s="5" t="s">
        <v>66</v>
      </c>
      <c r="O650" s="12"/>
      <c r="S650" s="13">
        <v>2130</v>
      </c>
      <c r="U650" s="13">
        <v>2130</v>
      </c>
      <c r="AC650" s="10" t="s">
        <v>1569</v>
      </c>
      <c r="AD650" s="5" t="s">
        <v>1567</v>
      </c>
      <c r="AE650" s="5" t="s">
        <v>78</v>
      </c>
      <c r="AG650" s="5" t="s">
        <v>1009</v>
      </c>
    </row>
    <row r="651" spans="1:33" ht="10" customHeight="1" x14ac:dyDescent="0.2">
      <c r="A651" s="5" t="s">
        <v>40</v>
      </c>
      <c r="B651" s="5" t="s">
        <v>41</v>
      </c>
      <c r="D651" s="5" t="s">
        <v>1570</v>
      </c>
      <c r="E651" s="10" t="s">
        <v>345</v>
      </c>
      <c r="F651" s="5" t="s">
        <v>1449</v>
      </c>
      <c r="G651" s="5" t="s">
        <v>373</v>
      </c>
      <c r="H651" s="5" t="s">
        <v>363</v>
      </c>
      <c r="I651" s="11">
        <v>1</v>
      </c>
      <c r="J651" s="5" t="s">
        <v>45</v>
      </c>
      <c r="K651" s="10" t="s">
        <v>46</v>
      </c>
      <c r="L651" s="5" t="s">
        <v>47</v>
      </c>
      <c r="M651" s="5" t="s">
        <v>65</v>
      </c>
      <c r="N651" s="5" t="s">
        <v>66</v>
      </c>
      <c r="O651" s="12"/>
      <c r="S651" s="13">
        <v>616</v>
      </c>
      <c r="U651" s="13">
        <v>616</v>
      </c>
      <c r="AC651" s="10" t="s">
        <v>1571</v>
      </c>
      <c r="AD651" s="5" t="s">
        <v>1567</v>
      </c>
      <c r="AE651" s="5" t="s">
        <v>78</v>
      </c>
      <c r="AG651" s="5" t="s">
        <v>1012</v>
      </c>
    </row>
    <row r="652" spans="1:33" ht="10" customHeight="1" x14ac:dyDescent="0.2">
      <c r="A652" s="5" t="s">
        <v>40</v>
      </c>
      <c r="B652" s="5" t="s">
        <v>41</v>
      </c>
      <c r="D652" s="5" t="s">
        <v>1572</v>
      </c>
      <c r="E652" s="10" t="s">
        <v>345</v>
      </c>
      <c r="F652" s="5" t="s">
        <v>1449</v>
      </c>
      <c r="G652" s="5" t="s">
        <v>373</v>
      </c>
      <c r="H652" s="5" t="s">
        <v>363</v>
      </c>
      <c r="I652" s="11">
        <v>1</v>
      </c>
      <c r="J652" s="5" t="s">
        <v>45</v>
      </c>
      <c r="K652" s="10" t="s">
        <v>46</v>
      </c>
      <c r="L652" s="5" t="s">
        <v>47</v>
      </c>
      <c r="M652" s="5" t="s">
        <v>65</v>
      </c>
      <c r="N652" s="5" t="s">
        <v>66</v>
      </c>
      <c r="O652" s="12"/>
      <c r="S652" s="13">
        <v>820</v>
      </c>
      <c r="U652" s="13">
        <v>820</v>
      </c>
      <c r="AC652" s="10" t="s">
        <v>1573</v>
      </c>
      <c r="AD652" s="5" t="s">
        <v>1567</v>
      </c>
      <c r="AE652" s="5" t="s">
        <v>78</v>
      </c>
      <c r="AG652" s="5" t="s">
        <v>1015</v>
      </c>
    </row>
    <row r="653" spans="1:33" ht="10" customHeight="1" x14ac:dyDescent="0.2">
      <c r="A653" s="5" t="s">
        <v>40</v>
      </c>
      <c r="B653" s="5" t="s">
        <v>41</v>
      </c>
      <c r="D653" s="5" t="s">
        <v>1574</v>
      </c>
      <c r="E653" s="10" t="s">
        <v>345</v>
      </c>
      <c r="F653" s="5" t="s">
        <v>1449</v>
      </c>
      <c r="G653" s="5" t="s">
        <v>373</v>
      </c>
      <c r="H653" s="5" t="s">
        <v>363</v>
      </c>
      <c r="I653" s="11">
        <v>1</v>
      </c>
      <c r="J653" s="5" t="s">
        <v>45</v>
      </c>
      <c r="K653" s="10" t="s">
        <v>46</v>
      </c>
      <c r="L653" s="5" t="s">
        <v>47</v>
      </c>
      <c r="M653" s="5" t="s">
        <v>65</v>
      </c>
      <c r="N653" s="5" t="s">
        <v>66</v>
      </c>
      <c r="O653" s="12"/>
      <c r="S653" s="13">
        <v>3597</v>
      </c>
      <c r="U653" s="13">
        <v>3597</v>
      </c>
      <c r="AC653" s="10" t="s">
        <v>1575</v>
      </c>
      <c r="AD653" s="5" t="s">
        <v>1567</v>
      </c>
      <c r="AE653" s="5" t="s">
        <v>78</v>
      </c>
      <c r="AG653" s="5" t="s">
        <v>1018</v>
      </c>
    </row>
    <row r="654" spans="1:33" ht="10" customHeight="1" x14ac:dyDescent="0.2">
      <c r="A654" s="5" t="s">
        <v>40</v>
      </c>
      <c r="B654" s="5" t="s">
        <v>41</v>
      </c>
      <c r="D654" s="5" t="s">
        <v>1576</v>
      </c>
      <c r="E654" s="10" t="s">
        <v>345</v>
      </c>
      <c r="F654" s="5" t="s">
        <v>1449</v>
      </c>
      <c r="G654" s="5" t="s">
        <v>373</v>
      </c>
      <c r="H654" s="5" t="s">
        <v>366</v>
      </c>
      <c r="I654" s="11">
        <v>1</v>
      </c>
      <c r="J654" s="5" t="s">
        <v>45</v>
      </c>
      <c r="K654" s="10" t="s">
        <v>46</v>
      </c>
      <c r="L654" s="5" t="s">
        <v>47</v>
      </c>
      <c r="M654" s="5" t="s">
        <v>65</v>
      </c>
      <c r="N654" s="5" t="s">
        <v>66</v>
      </c>
      <c r="O654" s="12"/>
      <c r="S654" s="13">
        <v>1191529</v>
      </c>
      <c r="U654" s="13">
        <v>1191529</v>
      </c>
      <c r="AC654" s="10" t="s">
        <v>1577</v>
      </c>
      <c r="AD654" s="5" t="s">
        <v>1578</v>
      </c>
      <c r="AE654" s="5" t="s">
        <v>78</v>
      </c>
      <c r="AG654" s="5" t="s">
        <v>1022</v>
      </c>
    </row>
    <row r="655" spans="1:33" ht="10" customHeight="1" x14ac:dyDescent="0.2">
      <c r="A655" s="5" t="s">
        <v>40</v>
      </c>
      <c r="B655" s="5" t="s">
        <v>41</v>
      </c>
      <c r="D655" s="5" t="s">
        <v>1579</v>
      </c>
      <c r="E655" s="10" t="s">
        <v>345</v>
      </c>
      <c r="F655" s="5" t="s">
        <v>1449</v>
      </c>
      <c r="G655" s="5" t="s">
        <v>373</v>
      </c>
      <c r="H655" s="5" t="s">
        <v>366</v>
      </c>
      <c r="I655" s="11">
        <v>1</v>
      </c>
      <c r="J655" s="5" t="s">
        <v>45</v>
      </c>
      <c r="K655" s="10" t="s">
        <v>46</v>
      </c>
      <c r="L655" s="5" t="s">
        <v>47</v>
      </c>
      <c r="M655" s="5" t="s">
        <v>65</v>
      </c>
      <c r="N655" s="5" t="s">
        <v>66</v>
      </c>
      <c r="O655" s="12"/>
      <c r="S655" s="13">
        <v>75378</v>
      </c>
      <c r="U655" s="13">
        <v>75378</v>
      </c>
      <c r="AC655" s="10" t="s">
        <v>1580</v>
      </c>
      <c r="AD655" s="5" t="s">
        <v>1578</v>
      </c>
      <c r="AE655" s="5" t="s">
        <v>78</v>
      </c>
      <c r="AG655" s="5" t="s">
        <v>1025</v>
      </c>
    </row>
    <row r="656" spans="1:33" ht="10" customHeight="1" x14ac:dyDescent="0.2">
      <c r="A656" s="5" t="s">
        <v>40</v>
      </c>
      <c r="B656" s="5" t="s">
        <v>41</v>
      </c>
      <c r="D656" s="5" t="s">
        <v>1581</v>
      </c>
      <c r="E656" s="10" t="s">
        <v>345</v>
      </c>
      <c r="F656" s="5" t="s">
        <v>1449</v>
      </c>
      <c r="G656" s="5" t="s">
        <v>373</v>
      </c>
      <c r="H656" s="5" t="s">
        <v>366</v>
      </c>
      <c r="I656" s="11">
        <v>1</v>
      </c>
      <c r="J656" s="5" t="s">
        <v>45</v>
      </c>
      <c r="K656" s="10" t="s">
        <v>46</v>
      </c>
      <c r="L656" s="5" t="s">
        <v>47</v>
      </c>
      <c r="M656" s="5" t="s">
        <v>65</v>
      </c>
      <c r="N656" s="5" t="s">
        <v>66</v>
      </c>
      <c r="O656" s="12"/>
      <c r="S656" s="13">
        <v>596110</v>
      </c>
      <c r="U656" s="13">
        <v>596110</v>
      </c>
      <c r="AC656" s="10" t="s">
        <v>1582</v>
      </c>
      <c r="AD656" s="5" t="s">
        <v>1578</v>
      </c>
      <c r="AE656" s="5" t="s">
        <v>78</v>
      </c>
      <c r="AG656" s="5" t="s">
        <v>1028</v>
      </c>
    </row>
    <row r="657" spans="1:33" ht="10" customHeight="1" x14ac:dyDescent="0.2">
      <c r="A657" s="5" t="s">
        <v>40</v>
      </c>
      <c r="B657" s="5" t="s">
        <v>41</v>
      </c>
      <c r="D657" s="5" t="s">
        <v>1583</v>
      </c>
      <c r="E657" s="10" t="s">
        <v>345</v>
      </c>
      <c r="F657" s="5" t="s">
        <v>1449</v>
      </c>
      <c r="G657" s="5" t="s">
        <v>373</v>
      </c>
      <c r="H657" s="5" t="s">
        <v>366</v>
      </c>
      <c r="I657" s="11">
        <v>1</v>
      </c>
      <c r="J657" s="5" t="s">
        <v>45</v>
      </c>
      <c r="K657" s="10" t="s">
        <v>46</v>
      </c>
      <c r="L657" s="5" t="s">
        <v>47</v>
      </c>
      <c r="M657" s="5" t="s">
        <v>65</v>
      </c>
      <c r="N657" s="5" t="s">
        <v>66</v>
      </c>
      <c r="O657" s="12"/>
      <c r="S657" s="13">
        <v>28343</v>
      </c>
      <c r="U657" s="13">
        <v>28343</v>
      </c>
      <c r="AC657" s="10" t="s">
        <v>1584</v>
      </c>
      <c r="AD657" s="5" t="s">
        <v>1578</v>
      </c>
      <c r="AE657" s="5" t="s">
        <v>78</v>
      </c>
    </row>
    <row r="658" spans="1:33" ht="10" customHeight="1" x14ac:dyDescent="0.2">
      <c r="A658" s="5" t="s">
        <v>40</v>
      </c>
      <c r="B658" s="5" t="s">
        <v>41</v>
      </c>
      <c r="D658" s="5" t="s">
        <v>1585</v>
      </c>
      <c r="E658" s="10" t="s">
        <v>345</v>
      </c>
      <c r="F658" s="5" t="s">
        <v>1449</v>
      </c>
      <c r="G658" s="5" t="s">
        <v>373</v>
      </c>
      <c r="H658" s="5" t="s">
        <v>366</v>
      </c>
      <c r="I658" s="11">
        <v>1</v>
      </c>
      <c r="J658" s="5" t="s">
        <v>45</v>
      </c>
      <c r="K658" s="10" t="s">
        <v>46</v>
      </c>
      <c r="L658" s="5" t="s">
        <v>47</v>
      </c>
      <c r="M658" s="5" t="s">
        <v>65</v>
      </c>
      <c r="N658" s="5" t="s">
        <v>66</v>
      </c>
      <c r="O658" s="12"/>
      <c r="S658" s="13">
        <v>3684</v>
      </c>
      <c r="U658" s="13">
        <v>3684</v>
      </c>
      <c r="AC658" s="10" t="s">
        <v>1586</v>
      </c>
      <c r="AD658" s="5" t="s">
        <v>1578</v>
      </c>
      <c r="AE658" s="5" t="s">
        <v>78</v>
      </c>
      <c r="AG658" s="5" t="s">
        <v>1033</v>
      </c>
    </row>
    <row r="659" spans="1:33" ht="10" customHeight="1" x14ac:dyDescent="0.2">
      <c r="A659" s="5" t="s">
        <v>40</v>
      </c>
      <c r="B659" s="5" t="s">
        <v>41</v>
      </c>
      <c r="D659" s="5" t="s">
        <v>1587</v>
      </c>
      <c r="E659" s="10" t="s">
        <v>345</v>
      </c>
      <c r="F659" s="5" t="s">
        <v>1449</v>
      </c>
      <c r="G659" s="5" t="s">
        <v>373</v>
      </c>
      <c r="H659" s="5" t="s">
        <v>366</v>
      </c>
      <c r="I659" s="11">
        <v>1</v>
      </c>
      <c r="J659" s="5" t="s">
        <v>45</v>
      </c>
      <c r="K659" s="10" t="s">
        <v>46</v>
      </c>
      <c r="L659" s="5" t="s">
        <v>47</v>
      </c>
      <c r="M659" s="5" t="s">
        <v>65</v>
      </c>
      <c r="N659" s="5" t="s">
        <v>66</v>
      </c>
      <c r="O659" s="12"/>
      <c r="S659" s="13">
        <v>45849</v>
      </c>
      <c r="U659" s="13">
        <v>45849</v>
      </c>
      <c r="AC659" s="10" t="s">
        <v>1588</v>
      </c>
      <c r="AD659" s="5" t="s">
        <v>1578</v>
      </c>
      <c r="AE659" s="5" t="s">
        <v>78</v>
      </c>
      <c r="AG659" s="5" t="s">
        <v>1036</v>
      </c>
    </row>
    <row r="660" spans="1:33" ht="10" customHeight="1" x14ac:dyDescent="0.2">
      <c r="A660" s="5" t="s">
        <v>40</v>
      </c>
      <c r="B660" s="5" t="s">
        <v>41</v>
      </c>
      <c r="D660" s="5" t="s">
        <v>1589</v>
      </c>
      <c r="E660" s="10" t="s">
        <v>345</v>
      </c>
      <c r="F660" s="5" t="s">
        <v>1449</v>
      </c>
      <c r="G660" s="5" t="s">
        <v>373</v>
      </c>
      <c r="H660" s="5" t="s">
        <v>366</v>
      </c>
      <c r="I660" s="11">
        <v>1</v>
      </c>
      <c r="J660" s="5" t="s">
        <v>45</v>
      </c>
      <c r="K660" s="10" t="s">
        <v>46</v>
      </c>
      <c r="L660" s="5" t="s">
        <v>47</v>
      </c>
      <c r="M660" s="5" t="s">
        <v>65</v>
      </c>
      <c r="N660" s="5" t="s">
        <v>66</v>
      </c>
      <c r="O660" s="12"/>
      <c r="S660" s="13">
        <v>8772</v>
      </c>
      <c r="U660" s="13">
        <v>8772</v>
      </c>
      <c r="AC660" s="10" t="s">
        <v>1590</v>
      </c>
      <c r="AD660" s="5" t="s">
        <v>1578</v>
      </c>
      <c r="AE660" s="5" t="s">
        <v>78</v>
      </c>
      <c r="AG660" s="5" t="s">
        <v>1039</v>
      </c>
    </row>
    <row r="661" spans="1:33" ht="10" customHeight="1" x14ac:dyDescent="0.2">
      <c r="A661" s="5" t="s">
        <v>40</v>
      </c>
      <c r="B661" s="5" t="s">
        <v>41</v>
      </c>
      <c r="D661" s="5" t="s">
        <v>1591</v>
      </c>
      <c r="E661" s="10" t="s">
        <v>345</v>
      </c>
      <c r="F661" s="5" t="s">
        <v>1449</v>
      </c>
      <c r="G661" s="5" t="s">
        <v>373</v>
      </c>
      <c r="H661" s="5" t="s">
        <v>366</v>
      </c>
      <c r="I661" s="11">
        <v>1</v>
      </c>
      <c r="J661" s="5" t="s">
        <v>45</v>
      </c>
      <c r="K661" s="10" t="s">
        <v>46</v>
      </c>
      <c r="L661" s="5" t="s">
        <v>47</v>
      </c>
      <c r="M661" s="5" t="s">
        <v>65</v>
      </c>
      <c r="N661" s="5" t="s">
        <v>66</v>
      </c>
      <c r="O661" s="12"/>
      <c r="S661" s="13">
        <v>22490</v>
      </c>
      <c r="U661" s="13">
        <v>22490</v>
      </c>
      <c r="AC661" s="10" t="s">
        <v>1592</v>
      </c>
      <c r="AD661" s="5" t="s">
        <v>1578</v>
      </c>
      <c r="AE661" s="5" t="s">
        <v>78</v>
      </c>
      <c r="AG661" s="5" t="s">
        <v>1593</v>
      </c>
    </row>
    <row r="662" spans="1:33" ht="10" customHeight="1" x14ac:dyDescent="0.2">
      <c r="A662" s="5" t="s">
        <v>40</v>
      </c>
      <c r="B662" s="5" t="s">
        <v>41</v>
      </c>
      <c r="D662" s="5" t="s">
        <v>1594</v>
      </c>
      <c r="E662" s="10" t="s">
        <v>345</v>
      </c>
      <c r="F662" s="5" t="s">
        <v>1449</v>
      </c>
      <c r="G662" s="5" t="s">
        <v>373</v>
      </c>
      <c r="H662" s="5" t="s">
        <v>366</v>
      </c>
      <c r="I662" s="11">
        <v>1</v>
      </c>
      <c r="J662" s="5" t="s">
        <v>45</v>
      </c>
      <c r="K662" s="10" t="s">
        <v>46</v>
      </c>
      <c r="L662" s="5" t="s">
        <v>47</v>
      </c>
      <c r="M662" s="5" t="s">
        <v>65</v>
      </c>
      <c r="N662" s="5" t="s">
        <v>66</v>
      </c>
      <c r="O662" s="12"/>
      <c r="S662" s="13">
        <v>8775</v>
      </c>
      <c r="U662" s="13">
        <v>8775</v>
      </c>
      <c r="AC662" s="10" t="s">
        <v>1595</v>
      </c>
      <c r="AD662" s="5" t="s">
        <v>1578</v>
      </c>
      <c r="AE662" s="5" t="s">
        <v>78</v>
      </c>
      <c r="AG662" s="5" t="s">
        <v>1596</v>
      </c>
    </row>
    <row r="663" spans="1:33" ht="10" customHeight="1" x14ac:dyDescent="0.2">
      <c r="A663" s="5" t="s">
        <v>40</v>
      </c>
      <c r="B663" s="5" t="s">
        <v>41</v>
      </c>
      <c r="D663" s="5" t="s">
        <v>1597</v>
      </c>
      <c r="E663" s="10" t="s">
        <v>345</v>
      </c>
      <c r="F663" s="5" t="s">
        <v>1449</v>
      </c>
      <c r="G663" s="5" t="s">
        <v>373</v>
      </c>
      <c r="H663" s="5" t="s">
        <v>366</v>
      </c>
      <c r="I663" s="11">
        <v>1</v>
      </c>
      <c r="J663" s="5" t="s">
        <v>45</v>
      </c>
      <c r="K663" s="10" t="s">
        <v>46</v>
      </c>
      <c r="L663" s="5" t="s">
        <v>47</v>
      </c>
      <c r="M663" s="5" t="s">
        <v>65</v>
      </c>
      <c r="N663" s="5" t="s">
        <v>66</v>
      </c>
      <c r="O663" s="12"/>
      <c r="S663" s="13">
        <v>9954</v>
      </c>
      <c r="U663" s="13">
        <v>9954</v>
      </c>
      <c r="AC663" s="10" t="s">
        <v>1598</v>
      </c>
      <c r="AD663" s="5" t="s">
        <v>1578</v>
      </c>
      <c r="AE663" s="5" t="s">
        <v>78</v>
      </c>
      <c r="AG663" s="5" t="s">
        <v>1047</v>
      </c>
    </row>
    <row r="664" spans="1:33" ht="10" customHeight="1" x14ac:dyDescent="0.2">
      <c r="A664" s="5" t="s">
        <v>40</v>
      </c>
      <c r="B664" s="5" t="s">
        <v>41</v>
      </c>
      <c r="D664" s="5" t="s">
        <v>1599</v>
      </c>
      <c r="E664" s="10" t="s">
        <v>345</v>
      </c>
      <c r="F664" s="5" t="s">
        <v>1449</v>
      </c>
      <c r="G664" s="5" t="s">
        <v>373</v>
      </c>
      <c r="H664" s="5" t="s">
        <v>366</v>
      </c>
      <c r="I664" s="11">
        <v>1</v>
      </c>
      <c r="J664" s="5" t="s">
        <v>45</v>
      </c>
      <c r="K664" s="10" t="s">
        <v>46</v>
      </c>
      <c r="L664" s="5" t="s">
        <v>47</v>
      </c>
      <c r="M664" s="5" t="s">
        <v>65</v>
      </c>
      <c r="N664" s="5" t="s">
        <v>66</v>
      </c>
      <c r="O664" s="12"/>
      <c r="S664" s="13">
        <v>6396</v>
      </c>
      <c r="U664" s="13">
        <v>6396</v>
      </c>
      <c r="AC664" s="10" t="s">
        <v>1600</v>
      </c>
      <c r="AD664" s="5" t="s">
        <v>1578</v>
      </c>
      <c r="AE664" s="5" t="s">
        <v>78</v>
      </c>
      <c r="AG664" s="5" t="s">
        <v>1050</v>
      </c>
    </row>
    <row r="665" spans="1:33" ht="10" customHeight="1" x14ac:dyDescent="0.2">
      <c r="A665" s="5" t="s">
        <v>40</v>
      </c>
      <c r="B665" s="5" t="s">
        <v>41</v>
      </c>
      <c r="D665" s="5" t="s">
        <v>1601</v>
      </c>
      <c r="E665" s="10" t="s">
        <v>345</v>
      </c>
      <c r="F665" s="5" t="s">
        <v>1449</v>
      </c>
      <c r="G665" s="5" t="s">
        <v>373</v>
      </c>
      <c r="H665" s="5" t="s">
        <v>366</v>
      </c>
      <c r="I665" s="11">
        <v>1</v>
      </c>
      <c r="J665" s="5" t="s">
        <v>45</v>
      </c>
      <c r="K665" s="10" t="s">
        <v>46</v>
      </c>
      <c r="L665" s="5" t="s">
        <v>47</v>
      </c>
      <c r="M665" s="5" t="s">
        <v>65</v>
      </c>
      <c r="N665" s="5" t="s">
        <v>66</v>
      </c>
      <c r="O665" s="12"/>
      <c r="S665" s="13">
        <v>46115</v>
      </c>
      <c r="U665" s="13">
        <v>46115</v>
      </c>
      <c r="AC665" s="10" t="s">
        <v>1602</v>
      </c>
      <c r="AD665" s="5" t="s">
        <v>1578</v>
      </c>
      <c r="AE665" s="5" t="s">
        <v>78</v>
      </c>
      <c r="AG665" s="5" t="s">
        <v>1053</v>
      </c>
    </row>
    <row r="666" spans="1:33" ht="10" customHeight="1" x14ac:dyDescent="0.2">
      <c r="A666" s="5" t="s">
        <v>40</v>
      </c>
      <c r="B666" s="5" t="s">
        <v>41</v>
      </c>
      <c r="D666" s="5" t="s">
        <v>1603</v>
      </c>
      <c r="E666" s="10" t="s">
        <v>345</v>
      </c>
      <c r="F666" s="5" t="s">
        <v>1449</v>
      </c>
      <c r="G666" s="5" t="s">
        <v>373</v>
      </c>
      <c r="H666" s="5" t="s">
        <v>366</v>
      </c>
      <c r="I666" s="11">
        <v>1</v>
      </c>
      <c r="J666" s="5" t="s">
        <v>45</v>
      </c>
      <c r="K666" s="10" t="s">
        <v>46</v>
      </c>
      <c r="L666" s="5" t="s">
        <v>47</v>
      </c>
      <c r="M666" s="5" t="s">
        <v>65</v>
      </c>
      <c r="N666" s="5" t="s">
        <v>66</v>
      </c>
      <c r="O666" s="12"/>
      <c r="S666" s="13">
        <v>3056</v>
      </c>
      <c r="U666" s="13">
        <v>3056</v>
      </c>
      <c r="AC666" s="10" t="s">
        <v>1604</v>
      </c>
      <c r="AD666" s="5" t="s">
        <v>1578</v>
      </c>
      <c r="AE666" s="5" t="s">
        <v>78</v>
      </c>
      <c r="AG666" s="5" t="s">
        <v>1056</v>
      </c>
    </row>
    <row r="667" spans="1:33" ht="10" customHeight="1" x14ac:dyDescent="0.2">
      <c r="A667" s="5" t="s">
        <v>40</v>
      </c>
      <c r="B667" s="5" t="s">
        <v>41</v>
      </c>
      <c r="D667" s="5" t="s">
        <v>1605</v>
      </c>
      <c r="E667" s="10" t="s">
        <v>345</v>
      </c>
      <c r="F667" s="5" t="s">
        <v>1449</v>
      </c>
      <c r="G667" s="5" t="s">
        <v>373</v>
      </c>
      <c r="H667" s="5" t="s">
        <v>366</v>
      </c>
      <c r="I667" s="11">
        <v>1</v>
      </c>
      <c r="J667" s="5" t="s">
        <v>45</v>
      </c>
      <c r="K667" s="10" t="s">
        <v>46</v>
      </c>
      <c r="L667" s="5" t="s">
        <v>47</v>
      </c>
      <c r="M667" s="5" t="s">
        <v>65</v>
      </c>
      <c r="N667" s="5" t="s">
        <v>66</v>
      </c>
      <c r="O667" s="12"/>
      <c r="S667" s="13">
        <v>2013</v>
      </c>
      <c r="U667" s="13">
        <v>2013</v>
      </c>
      <c r="AC667" s="10" t="s">
        <v>1606</v>
      </c>
      <c r="AD667" s="5" t="s">
        <v>1578</v>
      </c>
      <c r="AE667" s="5" t="s">
        <v>78</v>
      </c>
      <c r="AG667" s="5" t="s">
        <v>1059</v>
      </c>
    </row>
    <row r="668" spans="1:33" ht="10" customHeight="1" x14ac:dyDescent="0.2">
      <c r="A668" s="5" t="s">
        <v>40</v>
      </c>
      <c r="B668" s="5" t="s">
        <v>41</v>
      </c>
      <c r="D668" s="5" t="s">
        <v>1607</v>
      </c>
      <c r="E668" s="10" t="s">
        <v>345</v>
      </c>
      <c r="F668" s="5" t="s">
        <v>1449</v>
      </c>
      <c r="G668" s="5" t="s">
        <v>373</v>
      </c>
      <c r="H668" s="5" t="s">
        <v>366</v>
      </c>
      <c r="I668" s="11">
        <v>1</v>
      </c>
      <c r="J668" s="5" t="s">
        <v>45</v>
      </c>
      <c r="K668" s="10" t="s">
        <v>46</v>
      </c>
      <c r="L668" s="5" t="s">
        <v>47</v>
      </c>
      <c r="M668" s="5" t="s">
        <v>65</v>
      </c>
      <c r="N668" s="5" t="s">
        <v>66</v>
      </c>
      <c r="O668" s="12"/>
      <c r="S668" s="13">
        <v>1074</v>
      </c>
      <c r="U668" s="13">
        <v>1074</v>
      </c>
      <c r="AC668" s="10" t="s">
        <v>1608</v>
      </c>
      <c r="AD668" s="5" t="s">
        <v>1578</v>
      </c>
      <c r="AE668" s="5" t="s">
        <v>78</v>
      </c>
      <c r="AG668" s="5" t="s">
        <v>1062</v>
      </c>
    </row>
    <row r="669" spans="1:33" ht="10" customHeight="1" x14ac:dyDescent="0.2">
      <c r="A669" s="5" t="s">
        <v>40</v>
      </c>
      <c r="B669" s="5" t="s">
        <v>41</v>
      </c>
      <c r="D669" s="5" t="s">
        <v>1609</v>
      </c>
      <c r="E669" s="10" t="s">
        <v>345</v>
      </c>
      <c r="F669" s="5" t="s">
        <v>1449</v>
      </c>
      <c r="G669" s="5" t="s">
        <v>373</v>
      </c>
      <c r="H669" s="5" t="s">
        <v>366</v>
      </c>
      <c r="I669" s="11">
        <v>1</v>
      </c>
      <c r="J669" s="5" t="s">
        <v>45</v>
      </c>
      <c r="K669" s="10" t="s">
        <v>46</v>
      </c>
      <c r="L669" s="5" t="s">
        <v>47</v>
      </c>
      <c r="M669" s="5" t="s">
        <v>65</v>
      </c>
      <c r="N669" s="5" t="s">
        <v>66</v>
      </c>
      <c r="O669" s="12"/>
      <c r="S669" s="13">
        <v>1635</v>
      </c>
      <c r="U669" s="13">
        <v>1635</v>
      </c>
      <c r="AC669" s="10" t="s">
        <v>1610</v>
      </c>
      <c r="AD669" s="5" t="s">
        <v>1578</v>
      </c>
      <c r="AE669" s="5" t="s">
        <v>78</v>
      </c>
      <c r="AG669" s="5" t="s">
        <v>1069</v>
      </c>
    </row>
    <row r="670" spans="1:33" ht="10" customHeight="1" x14ac:dyDescent="0.2">
      <c r="A670" s="5" t="s">
        <v>40</v>
      </c>
      <c r="B670" s="5" t="s">
        <v>41</v>
      </c>
      <c r="D670" s="5" t="s">
        <v>1611</v>
      </c>
      <c r="E670" s="10" t="s">
        <v>345</v>
      </c>
      <c r="F670" s="5" t="s">
        <v>1449</v>
      </c>
      <c r="G670" s="5" t="s">
        <v>373</v>
      </c>
      <c r="H670" s="5" t="s">
        <v>366</v>
      </c>
      <c r="I670" s="11">
        <v>1</v>
      </c>
      <c r="J670" s="5" t="s">
        <v>45</v>
      </c>
      <c r="K670" s="10" t="s">
        <v>46</v>
      </c>
      <c r="L670" s="5" t="s">
        <v>47</v>
      </c>
      <c r="M670" s="5" t="s">
        <v>65</v>
      </c>
      <c r="N670" s="5" t="s">
        <v>66</v>
      </c>
      <c r="O670" s="12"/>
      <c r="S670" s="13">
        <v>1995</v>
      </c>
      <c r="U670" s="13">
        <v>1995</v>
      </c>
      <c r="AC670" s="10" t="s">
        <v>1612</v>
      </c>
      <c r="AD670" s="5" t="s">
        <v>1578</v>
      </c>
      <c r="AE670" s="5" t="s">
        <v>78</v>
      </c>
      <c r="AG670" s="5" t="s">
        <v>1072</v>
      </c>
    </row>
    <row r="671" spans="1:33" ht="10" customHeight="1" x14ac:dyDescent="0.2">
      <c r="A671" s="5" t="s">
        <v>40</v>
      </c>
      <c r="B671" s="5" t="s">
        <v>41</v>
      </c>
      <c r="D671" s="5" t="s">
        <v>1613</v>
      </c>
      <c r="E671" s="10" t="s">
        <v>345</v>
      </c>
      <c r="F671" s="5" t="s">
        <v>1449</v>
      </c>
      <c r="G671" s="5" t="s">
        <v>373</v>
      </c>
      <c r="H671" s="5" t="s">
        <v>366</v>
      </c>
      <c r="I671" s="11">
        <v>1</v>
      </c>
      <c r="J671" s="5" t="s">
        <v>45</v>
      </c>
      <c r="K671" s="10" t="s">
        <v>46</v>
      </c>
      <c r="L671" s="5" t="s">
        <v>47</v>
      </c>
      <c r="M671" s="5" t="s">
        <v>65</v>
      </c>
      <c r="N671" s="5" t="s">
        <v>66</v>
      </c>
      <c r="O671" s="12"/>
      <c r="S671" s="13">
        <v>4417</v>
      </c>
      <c r="U671" s="13">
        <v>4417</v>
      </c>
      <c r="AC671" s="10" t="s">
        <v>1614</v>
      </c>
      <c r="AD671" s="5" t="s">
        <v>1578</v>
      </c>
      <c r="AE671" s="5" t="s">
        <v>78</v>
      </c>
      <c r="AG671" s="5" t="s">
        <v>1075</v>
      </c>
    </row>
    <row r="672" spans="1:33" ht="10" customHeight="1" x14ac:dyDescent="0.2">
      <c r="A672" s="5" t="s">
        <v>40</v>
      </c>
      <c r="B672" s="5" t="s">
        <v>41</v>
      </c>
      <c r="D672" s="5" t="s">
        <v>1615</v>
      </c>
      <c r="E672" s="10" t="s">
        <v>345</v>
      </c>
      <c r="F672" s="5" t="s">
        <v>1449</v>
      </c>
      <c r="G672" s="5" t="s">
        <v>373</v>
      </c>
      <c r="H672" s="5" t="s">
        <v>366</v>
      </c>
      <c r="I672" s="11">
        <v>1</v>
      </c>
      <c r="J672" s="5" t="s">
        <v>45</v>
      </c>
      <c r="K672" s="10" t="s">
        <v>46</v>
      </c>
      <c r="L672" s="5" t="s">
        <v>47</v>
      </c>
      <c r="M672" s="5" t="s">
        <v>65</v>
      </c>
      <c r="N672" s="5" t="s">
        <v>66</v>
      </c>
      <c r="O672" s="12"/>
      <c r="S672" s="13">
        <v>1849</v>
      </c>
      <c r="U672" s="13">
        <v>1849</v>
      </c>
      <c r="AC672" s="10" t="s">
        <v>1616</v>
      </c>
      <c r="AD672" s="5" t="s">
        <v>1578</v>
      </c>
      <c r="AE672" s="5" t="s">
        <v>78</v>
      </c>
      <c r="AG672" s="5" t="s">
        <v>1078</v>
      </c>
    </row>
    <row r="673" spans="1:33" ht="10" customHeight="1" x14ac:dyDescent="0.2">
      <c r="A673" s="5" t="s">
        <v>40</v>
      </c>
      <c r="B673" s="5" t="s">
        <v>41</v>
      </c>
      <c r="D673" s="5" t="s">
        <v>1617</v>
      </c>
      <c r="E673" s="10" t="s">
        <v>345</v>
      </c>
      <c r="F673" s="5" t="s">
        <v>1449</v>
      </c>
      <c r="G673" s="5" t="s">
        <v>373</v>
      </c>
      <c r="H673" s="5" t="s">
        <v>366</v>
      </c>
      <c r="I673" s="11">
        <v>1</v>
      </c>
      <c r="J673" s="5" t="s">
        <v>45</v>
      </c>
      <c r="K673" s="10" t="s">
        <v>46</v>
      </c>
      <c r="L673" s="5" t="s">
        <v>47</v>
      </c>
      <c r="M673" s="5" t="s">
        <v>65</v>
      </c>
      <c r="N673" s="5" t="s">
        <v>66</v>
      </c>
      <c r="O673" s="12"/>
      <c r="S673" s="13">
        <v>4600</v>
      </c>
      <c r="U673" s="13">
        <v>4600</v>
      </c>
      <c r="AC673" s="10" t="s">
        <v>1618</v>
      </c>
      <c r="AD673" s="5" t="s">
        <v>1578</v>
      </c>
      <c r="AE673" s="5" t="s">
        <v>78</v>
      </c>
    </row>
    <row r="674" spans="1:33" ht="10" customHeight="1" x14ac:dyDescent="0.2">
      <c r="A674" s="5" t="s">
        <v>40</v>
      </c>
      <c r="B674" s="5" t="s">
        <v>41</v>
      </c>
      <c r="D674" s="5" t="s">
        <v>1619</v>
      </c>
      <c r="E674" s="10" t="s">
        <v>345</v>
      </c>
      <c r="F674" s="5" t="s">
        <v>1449</v>
      </c>
      <c r="G674" s="5" t="s">
        <v>373</v>
      </c>
      <c r="H674" s="5" t="s">
        <v>366</v>
      </c>
      <c r="I674" s="11">
        <v>1</v>
      </c>
      <c r="J674" s="5" t="s">
        <v>45</v>
      </c>
      <c r="K674" s="10" t="s">
        <v>46</v>
      </c>
      <c r="L674" s="5" t="s">
        <v>47</v>
      </c>
      <c r="M674" s="5" t="s">
        <v>65</v>
      </c>
      <c r="N674" s="5" t="s">
        <v>66</v>
      </c>
      <c r="O674" s="12"/>
      <c r="S674" s="13">
        <v>9166</v>
      </c>
      <c r="U674" s="13">
        <v>9166</v>
      </c>
      <c r="AC674" s="10" t="s">
        <v>1620</v>
      </c>
      <c r="AD674" s="5" t="s">
        <v>1578</v>
      </c>
      <c r="AE674" s="5" t="s">
        <v>78</v>
      </c>
      <c r="AG674" s="5" t="s">
        <v>1086</v>
      </c>
    </row>
    <row r="675" spans="1:33" ht="10" customHeight="1" x14ac:dyDescent="0.2">
      <c r="A675" s="5" t="s">
        <v>40</v>
      </c>
      <c r="B675" s="5" t="s">
        <v>41</v>
      </c>
      <c r="D675" s="5" t="s">
        <v>1621</v>
      </c>
      <c r="E675" s="10" t="s">
        <v>345</v>
      </c>
      <c r="F675" s="5" t="s">
        <v>1449</v>
      </c>
      <c r="G675" s="5" t="s">
        <v>464</v>
      </c>
      <c r="I675" s="11">
        <v>1</v>
      </c>
      <c r="J675" s="5" t="s">
        <v>45</v>
      </c>
      <c r="K675" s="10" t="s">
        <v>46</v>
      </c>
      <c r="L675" s="5" t="s">
        <v>47</v>
      </c>
      <c r="M675" s="5" t="s">
        <v>65</v>
      </c>
      <c r="N675" s="5" t="s">
        <v>66</v>
      </c>
      <c r="O675" s="12"/>
      <c r="S675" s="13">
        <v>17519</v>
      </c>
      <c r="U675" s="13">
        <v>17519</v>
      </c>
      <c r="AC675" s="10" t="s">
        <v>1622</v>
      </c>
      <c r="AD675" s="5" t="s">
        <v>1623</v>
      </c>
      <c r="AE675" s="5" t="s">
        <v>78</v>
      </c>
    </row>
    <row r="676" spans="1:33" ht="10" customHeight="1" x14ac:dyDescent="0.2">
      <c r="A676" s="5" t="s">
        <v>40</v>
      </c>
      <c r="B676" s="5" t="s">
        <v>41</v>
      </c>
      <c r="D676" s="5" t="s">
        <v>1624</v>
      </c>
      <c r="E676" s="10" t="s">
        <v>345</v>
      </c>
      <c r="F676" s="5" t="s">
        <v>1449</v>
      </c>
      <c r="G676" s="5" t="s">
        <v>464</v>
      </c>
      <c r="I676" s="11">
        <v>1</v>
      </c>
      <c r="J676" s="5" t="s">
        <v>45</v>
      </c>
      <c r="K676" s="10" t="s">
        <v>46</v>
      </c>
      <c r="L676" s="5" t="s">
        <v>47</v>
      </c>
      <c r="M676" s="5" t="s">
        <v>65</v>
      </c>
      <c r="N676" s="5" t="s">
        <v>66</v>
      </c>
      <c r="O676" s="12"/>
      <c r="S676" s="13">
        <v>451</v>
      </c>
      <c r="U676" s="13">
        <v>451</v>
      </c>
      <c r="AC676" s="10" t="s">
        <v>1625</v>
      </c>
      <c r="AD676" s="5" t="s">
        <v>1623</v>
      </c>
      <c r="AE676" s="5" t="s">
        <v>78</v>
      </c>
    </row>
    <row r="677" spans="1:33" ht="10" customHeight="1" x14ac:dyDescent="0.2">
      <c r="A677" s="5" t="s">
        <v>40</v>
      </c>
      <c r="B677" s="5" t="s">
        <v>41</v>
      </c>
      <c r="D677" s="5" t="s">
        <v>1626</v>
      </c>
      <c r="E677" s="10" t="s">
        <v>345</v>
      </c>
      <c r="F677" s="5" t="s">
        <v>1449</v>
      </c>
      <c r="G677" s="5" t="s">
        <v>464</v>
      </c>
      <c r="I677" s="11">
        <v>1</v>
      </c>
      <c r="J677" s="5" t="s">
        <v>45</v>
      </c>
      <c r="K677" s="10" t="s">
        <v>46</v>
      </c>
      <c r="L677" s="5" t="s">
        <v>47</v>
      </c>
      <c r="M677" s="5" t="s">
        <v>65</v>
      </c>
      <c r="N677" s="5" t="s">
        <v>66</v>
      </c>
      <c r="O677" s="12"/>
      <c r="S677" s="13">
        <v>976</v>
      </c>
      <c r="U677" s="13">
        <v>976</v>
      </c>
      <c r="AC677" s="10" t="s">
        <v>1627</v>
      </c>
      <c r="AD677" s="5" t="s">
        <v>1623</v>
      </c>
      <c r="AE677" s="5" t="s">
        <v>78</v>
      </c>
      <c r="AG677" s="5" t="s">
        <v>1628</v>
      </c>
    </row>
    <row r="678" spans="1:33" ht="10" customHeight="1" x14ac:dyDescent="0.2">
      <c r="A678" s="5" t="s">
        <v>40</v>
      </c>
      <c r="B678" s="5" t="s">
        <v>41</v>
      </c>
      <c r="D678" s="5" t="s">
        <v>1629</v>
      </c>
      <c r="E678" s="10" t="s">
        <v>345</v>
      </c>
      <c r="F678" s="5" t="s">
        <v>1449</v>
      </c>
      <c r="G678" s="5" t="s">
        <v>464</v>
      </c>
      <c r="I678" s="11">
        <v>1</v>
      </c>
      <c r="J678" s="5" t="s">
        <v>45</v>
      </c>
      <c r="K678" s="10" t="s">
        <v>46</v>
      </c>
      <c r="L678" s="5" t="s">
        <v>47</v>
      </c>
      <c r="M678" s="5" t="s">
        <v>65</v>
      </c>
      <c r="N678" s="5" t="s">
        <v>66</v>
      </c>
      <c r="O678" s="12"/>
      <c r="S678" s="13">
        <v>2103</v>
      </c>
      <c r="U678" s="13">
        <v>2103</v>
      </c>
      <c r="AC678" s="10" t="s">
        <v>1630</v>
      </c>
      <c r="AD678" s="5" t="s">
        <v>1623</v>
      </c>
      <c r="AE678" s="5" t="s">
        <v>78</v>
      </c>
    </row>
    <row r="679" spans="1:33" ht="10" customHeight="1" x14ac:dyDescent="0.2">
      <c r="A679" s="5" t="s">
        <v>40</v>
      </c>
      <c r="B679" s="5" t="s">
        <v>41</v>
      </c>
      <c r="D679" s="5" t="s">
        <v>1631</v>
      </c>
      <c r="E679" s="10" t="s">
        <v>345</v>
      </c>
      <c r="F679" s="5" t="s">
        <v>1449</v>
      </c>
      <c r="G679" s="5" t="s">
        <v>464</v>
      </c>
      <c r="I679" s="11">
        <v>1</v>
      </c>
      <c r="J679" s="5" t="s">
        <v>45</v>
      </c>
      <c r="K679" s="10" t="s">
        <v>46</v>
      </c>
      <c r="L679" s="5" t="s">
        <v>47</v>
      </c>
      <c r="M679" s="5" t="s">
        <v>65</v>
      </c>
      <c r="N679" s="5" t="s">
        <v>66</v>
      </c>
      <c r="O679" s="12"/>
      <c r="S679" s="13">
        <v>1468</v>
      </c>
      <c r="U679" s="13">
        <v>1468</v>
      </c>
      <c r="AC679" s="10" t="s">
        <v>1632</v>
      </c>
      <c r="AD679" s="5" t="s">
        <v>1623</v>
      </c>
      <c r="AE679" s="5" t="s">
        <v>78</v>
      </c>
    </row>
    <row r="680" spans="1:33" ht="10" customHeight="1" x14ac:dyDescent="0.2">
      <c r="A680" s="5" t="s">
        <v>40</v>
      </c>
      <c r="B680" s="5" t="s">
        <v>41</v>
      </c>
      <c r="D680" s="5" t="s">
        <v>1633</v>
      </c>
      <c r="E680" s="10" t="s">
        <v>345</v>
      </c>
      <c r="F680" s="5" t="s">
        <v>1449</v>
      </c>
      <c r="G680" s="5" t="s">
        <v>464</v>
      </c>
      <c r="I680" s="11">
        <v>1</v>
      </c>
      <c r="J680" s="5" t="s">
        <v>45</v>
      </c>
      <c r="K680" s="10" t="s">
        <v>46</v>
      </c>
      <c r="L680" s="5" t="s">
        <v>47</v>
      </c>
      <c r="M680" s="5" t="s">
        <v>65</v>
      </c>
      <c r="N680" s="5" t="s">
        <v>66</v>
      </c>
      <c r="O680" s="12"/>
      <c r="S680" s="13">
        <v>5605</v>
      </c>
      <c r="U680" s="13">
        <v>5605</v>
      </c>
      <c r="AC680" s="10" t="s">
        <v>1634</v>
      </c>
      <c r="AD680" s="5" t="s">
        <v>1623</v>
      </c>
      <c r="AE680" s="5" t="s">
        <v>78</v>
      </c>
      <c r="AG680" s="5" t="s">
        <v>371</v>
      </c>
    </row>
    <row r="681" spans="1:33" ht="10" customHeight="1" x14ac:dyDescent="0.2">
      <c r="A681" s="5" t="s">
        <v>40</v>
      </c>
      <c r="B681" s="5" t="s">
        <v>41</v>
      </c>
      <c r="D681" s="5" t="s">
        <v>1635</v>
      </c>
      <c r="E681" s="10" t="s">
        <v>345</v>
      </c>
      <c r="F681" s="5" t="s">
        <v>1449</v>
      </c>
      <c r="G681" s="5" t="s">
        <v>464</v>
      </c>
      <c r="I681" s="11">
        <v>1</v>
      </c>
      <c r="J681" s="5" t="s">
        <v>45</v>
      </c>
      <c r="K681" s="10" t="s">
        <v>46</v>
      </c>
      <c r="L681" s="5" t="s">
        <v>47</v>
      </c>
      <c r="M681" s="5" t="s">
        <v>65</v>
      </c>
      <c r="N681" s="5" t="s">
        <v>66</v>
      </c>
      <c r="O681" s="12"/>
      <c r="S681" s="13">
        <v>5847</v>
      </c>
      <c r="U681" s="13">
        <v>5847</v>
      </c>
      <c r="AC681" s="10" t="s">
        <v>1636</v>
      </c>
      <c r="AD681" s="5" t="s">
        <v>1637</v>
      </c>
      <c r="AE681" s="5" t="s">
        <v>78</v>
      </c>
    </row>
    <row r="682" spans="1:33" ht="10" customHeight="1" x14ac:dyDescent="0.2">
      <c r="A682" s="5" t="s">
        <v>40</v>
      </c>
      <c r="B682" s="5" t="s">
        <v>41</v>
      </c>
      <c r="D682" s="5" t="s">
        <v>1638</v>
      </c>
      <c r="E682" s="10" t="s">
        <v>345</v>
      </c>
      <c r="F682" s="5" t="s">
        <v>1449</v>
      </c>
      <c r="G682" s="5" t="s">
        <v>464</v>
      </c>
      <c r="I682" s="11">
        <v>1</v>
      </c>
      <c r="J682" s="5" t="s">
        <v>45</v>
      </c>
      <c r="K682" s="10" t="s">
        <v>46</v>
      </c>
      <c r="L682" s="5" t="s">
        <v>47</v>
      </c>
      <c r="M682" s="5" t="s">
        <v>65</v>
      </c>
      <c r="N682" s="5" t="s">
        <v>66</v>
      </c>
      <c r="O682" s="12"/>
      <c r="S682" s="13">
        <v>500</v>
      </c>
      <c r="U682" s="13">
        <v>500</v>
      </c>
      <c r="AC682" s="10" t="s">
        <v>1639</v>
      </c>
      <c r="AD682" s="5" t="s">
        <v>1637</v>
      </c>
      <c r="AE682" s="5" t="s">
        <v>78</v>
      </c>
      <c r="AG682" s="5" t="s">
        <v>1640</v>
      </c>
    </row>
    <row r="683" spans="1:33" ht="10" customHeight="1" x14ac:dyDescent="0.2">
      <c r="A683" s="5" t="s">
        <v>40</v>
      </c>
      <c r="B683" s="5" t="s">
        <v>41</v>
      </c>
      <c r="D683" s="5" t="s">
        <v>1641</v>
      </c>
      <c r="E683" s="10" t="s">
        <v>345</v>
      </c>
      <c r="F683" s="5" t="s">
        <v>1449</v>
      </c>
      <c r="G683" s="5" t="s">
        <v>464</v>
      </c>
      <c r="I683" s="11">
        <v>1</v>
      </c>
      <c r="J683" s="5" t="s">
        <v>45</v>
      </c>
      <c r="K683" s="10" t="s">
        <v>46</v>
      </c>
      <c r="L683" s="5" t="s">
        <v>47</v>
      </c>
      <c r="M683" s="5" t="s">
        <v>65</v>
      </c>
      <c r="N683" s="5" t="s">
        <v>66</v>
      </c>
      <c r="O683" s="12"/>
      <c r="S683" s="13">
        <v>520</v>
      </c>
      <c r="U683" s="13">
        <v>520</v>
      </c>
      <c r="AC683" s="10" t="s">
        <v>1642</v>
      </c>
      <c r="AD683" s="5" t="s">
        <v>1637</v>
      </c>
      <c r="AE683" s="5" t="s">
        <v>78</v>
      </c>
    </row>
    <row r="684" spans="1:33" ht="10" customHeight="1" x14ac:dyDescent="0.2">
      <c r="A684" s="5" t="s">
        <v>40</v>
      </c>
      <c r="B684" s="5" t="s">
        <v>41</v>
      </c>
      <c r="D684" s="5" t="s">
        <v>1643</v>
      </c>
      <c r="E684" s="10" t="s">
        <v>345</v>
      </c>
      <c r="F684" s="5" t="s">
        <v>1449</v>
      </c>
      <c r="G684" s="5" t="s">
        <v>464</v>
      </c>
      <c r="I684" s="11">
        <v>1</v>
      </c>
      <c r="J684" s="5" t="s">
        <v>45</v>
      </c>
      <c r="K684" s="10" t="s">
        <v>46</v>
      </c>
      <c r="L684" s="5" t="s">
        <v>47</v>
      </c>
      <c r="M684" s="5" t="s">
        <v>65</v>
      </c>
      <c r="N684" s="5" t="s">
        <v>66</v>
      </c>
      <c r="O684" s="12"/>
      <c r="S684" s="13">
        <v>734</v>
      </c>
      <c r="U684" s="13">
        <v>734</v>
      </c>
      <c r="AC684" s="10" t="s">
        <v>1644</v>
      </c>
      <c r="AD684" s="5" t="s">
        <v>1637</v>
      </c>
      <c r="AE684" s="5" t="s">
        <v>78</v>
      </c>
    </row>
    <row r="685" spans="1:33" ht="10" customHeight="1" x14ac:dyDescent="0.2">
      <c r="A685" s="5" t="s">
        <v>40</v>
      </c>
      <c r="B685" s="5" t="s">
        <v>41</v>
      </c>
      <c r="D685" s="5" t="s">
        <v>1645</v>
      </c>
      <c r="E685" s="10" t="s">
        <v>345</v>
      </c>
      <c r="F685" s="5" t="s">
        <v>1449</v>
      </c>
      <c r="G685" s="5" t="s">
        <v>464</v>
      </c>
      <c r="I685" s="11">
        <v>1</v>
      </c>
      <c r="J685" s="5" t="s">
        <v>45</v>
      </c>
      <c r="K685" s="10" t="s">
        <v>46</v>
      </c>
      <c r="L685" s="5" t="s">
        <v>47</v>
      </c>
      <c r="M685" s="5" t="s">
        <v>65</v>
      </c>
      <c r="N685" s="5" t="s">
        <v>66</v>
      </c>
      <c r="O685" s="12"/>
      <c r="S685" s="13">
        <v>1094</v>
      </c>
      <c r="U685" s="13">
        <v>1094</v>
      </c>
      <c r="AC685" s="10" t="s">
        <v>1646</v>
      </c>
      <c r="AD685" s="5" t="s">
        <v>1637</v>
      </c>
      <c r="AE685" s="5" t="s">
        <v>78</v>
      </c>
    </row>
    <row r="686" spans="1:33" ht="10" customHeight="1" x14ac:dyDescent="0.2">
      <c r="A686" s="5" t="s">
        <v>40</v>
      </c>
      <c r="B686" s="5" t="s">
        <v>41</v>
      </c>
      <c r="D686" s="5" t="s">
        <v>1647</v>
      </c>
      <c r="E686" s="10" t="s">
        <v>345</v>
      </c>
      <c r="F686" s="5" t="s">
        <v>1449</v>
      </c>
      <c r="G686" s="5" t="s">
        <v>464</v>
      </c>
      <c r="I686" s="11">
        <v>1</v>
      </c>
      <c r="J686" s="5" t="s">
        <v>45</v>
      </c>
      <c r="K686" s="10" t="s">
        <v>46</v>
      </c>
      <c r="L686" s="5" t="s">
        <v>47</v>
      </c>
      <c r="M686" s="5" t="s">
        <v>65</v>
      </c>
      <c r="N686" s="5" t="s">
        <v>66</v>
      </c>
      <c r="O686" s="12"/>
      <c r="S686" s="13">
        <v>8787</v>
      </c>
      <c r="U686" s="13">
        <v>8787</v>
      </c>
      <c r="AC686" s="10" t="s">
        <v>1648</v>
      </c>
      <c r="AD686" s="5" t="s">
        <v>1649</v>
      </c>
      <c r="AE686" s="5" t="s">
        <v>78</v>
      </c>
    </row>
    <row r="687" spans="1:33" ht="10" customHeight="1" x14ac:dyDescent="0.2">
      <c r="A687" s="5" t="s">
        <v>40</v>
      </c>
      <c r="B687" s="5" t="s">
        <v>41</v>
      </c>
      <c r="D687" s="5" t="s">
        <v>1650</v>
      </c>
      <c r="E687" s="10" t="s">
        <v>345</v>
      </c>
      <c r="F687" s="5" t="s">
        <v>1449</v>
      </c>
      <c r="G687" s="5" t="s">
        <v>464</v>
      </c>
      <c r="I687" s="11">
        <v>1</v>
      </c>
      <c r="J687" s="5" t="s">
        <v>45</v>
      </c>
      <c r="K687" s="10" t="s">
        <v>46</v>
      </c>
      <c r="L687" s="5" t="s">
        <v>47</v>
      </c>
      <c r="M687" s="5" t="s">
        <v>65</v>
      </c>
      <c r="N687" s="5" t="s">
        <v>66</v>
      </c>
      <c r="O687" s="12"/>
      <c r="S687" s="13">
        <v>60</v>
      </c>
      <c r="U687" s="13">
        <v>60</v>
      </c>
      <c r="AC687" s="10" t="s">
        <v>1651</v>
      </c>
      <c r="AD687" s="5" t="s">
        <v>1649</v>
      </c>
      <c r="AE687" s="5" t="s">
        <v>78</v>
      </c>
      <c r="AG687" s="5" t="s">
        <v>1652</v>
      </c>
    </row>
    <row r="688" spans="1:33" ht="10" customHeight="1" x14ac:dyDescent="0.2">
      <c r="A688" s="5" t="s">
        <v>40</v>
      </c>
      <c r="B688" s="5" t="s">
        <v>41</v>
      </c>
      <c r="D688" s="5" t="s">
        <v>1653</v>
      </c>
      <c r="E688" s="10" t="s">
        <v>345</v>
      </c>
      <c r="F688" s="5" t="s">
        <v>1449</v>
      </c>
      <c r="G688" s="5" t="s">
        <v>464</v>
      </c>
      <c r="I688" s="11">
        <v>1</v>
      </c>
      <c r="J688" s="5" t="s">
        <v>45</v>
      </c>
      <c r="K688" s="10" t="s">
        <v>46</v>
      </c>
      <c r="L688" s="5" t="s">
        <v>47</v>
      </c>
      <c r="M688" s="5" t="s">
        <v>65</v>
      </c>
      <c r="N688" s="5" t="s">
        <v>66</v>
      </c>
      <c r="O688" s="12"/>
      <c r="S688" s="13">
        <v>528</v>
      </c>
      <c r="U688" s="13">
        <v>528</v>
      </c>
      <c r="AC688" s="10" t="s">
        <v>1654</v>
      </c>
      <c r="AD688" s="5" t="s">
        <v>1649</v>
      </c>
      <c r="AE688" s="5" t="s">
        <v>78</v>
      </c>
    </row>
    <row r="689" spans="1:33" ht="10" customHeight="1" x14ac:dyDescent="0.2">
      <c r="A689" s="5" t="s">
        <v>40</v>
      </c>
      <c r="B689" s="5" t="s">
        <v>41</v>
      </c>
      <c r="D689" s="5" t="s">
        <v>1655</v>
      </c>
      <c r="E689" s="10" t="s">
        <v>345</v>
      </c>
      <c r="F689" s="5" t="s">
        <v>1449</v>
      </c>
      <c r="G689" s="5" t="s">
        <v>464</v>
      </c>
      <c r="I689" s="11">
        <v>1</v>
      </c>
      <c r="J689" s="5" t="s">
        <v>45</v>
      </c>
      <c r="K689" s="10" t="s">
        <v>46</v>
      </c>
      <c r="L689" s="5" t="s">
        <v>47</v>
      </c>
      <c r="M689" s="5" t="s">
        <v>65</v>
      </c>
      <c r="N689" s="5" t="s">
        <v>66</v>
      </c>
      <c r="O689" s="12"/>
      <c r="S689" s="13">
        <v>442</v>
      </c>
      <c r="U689" s="13">
        <v>442</v>
      </c>
      <c r="AC689" s="10" t="s">
        <v>1656</v>
      </c>
      <c r="AD689" s="5" t="s">
        <v>1649</v>
      </c>
      <c r="AE689" s="5" t="s">
        <v>78</v>
      </c>
    </row>
    <row r="690" spans="1:33" ht="10" customHeight="1" x14ac:dyDescent="0.2">
      <c r="A690" s="5" t="s">
        <v>40</v>
      </c>
      <c r="B690" s="5" t="s">
        <v>41</v>
      </c>
      <c r="D690" s="5" t="s">
        <v>1657</v>
      </c>
      <c r="E690" s="10" t="s">
        <v>345</v>
      </c>
      <c r="F690" s="5" t="s">
        <v>1449</v>
      </c>
      <c r="G690" s="5" t="s">
        <v>464</v>
      </c>
      <c r="I690" s="11">
        <v>1</v>
      </c>
      <c r="J690" s="5" t="s">
        <v>45</v>
      </c>
      <c r="K690" s="10" t="s">
        <v>46</v>
      </c>
      <c r="L690" s="5" t="s">
        <v>47</v>
      </c>
      <c r="M690" s="5" t="s">
        <v>65</v>
      </c>
      <c r="N690" s="5" t="s">
        <v>66</v>
      </c>
      <c r="O690" s="12"/>
      <c r="S690" s="13">
        <v>329</v>
      </c>
      <c r="U690" s="13">
        <v>329</v>
      </c>
      <c r="AC690" s="10" t="s">
        <v>1658</v>
      </c>
      <c r="AD690" s="5" t="s">
        <v>1649</v>
      </c>
      <c r="AE690" s="5" t="s">
        <v>78</v>
      </c>
    </row>
    <row r="691" spans="1:33" ht="10" customHeight="1" x14ac:dyDescent="0.2">
      <c r="A691" s="5" t="s">
        <v>40</v>
      </c>
      <c r="B691" s="5" t="s">
        <v>41</v>
      </c>
      <c r="D691" s="5" t="s">
        <v>1659</v>
      </c>
      <c r="E691" s="10" t="s">
        <v>345</v>
      </c>
      <c r="F691" s="5" t="s">
        <v>1449</v>
      </c>
      <c r="G691" s="5" t="s">
        <v>464</v>
      </c>
      <c r="I691" s="11">
        <v>1</v>
      </c>
      <c r="J691" s="5" t="s">
        <v>45</v>
      </c>
      <c r="K691" s="10" t="s">
        <v>46</v>
      </c>
      <c r="L691" s="5" t="s">
        <v>47</v>
      </c>
      <c r="M691" s="5" t="s">
        <v>65</v>
      </c>
      <c r="N691" s="5" t="s">
        <v>66</v>
      </c>
      <c r="O691" s="12"/>
      <c r="S691" s="13">
        <v>7382</v>
      </c>
      <c r="U691" s="13">
        <v>7382</v>
      </c>
      <c r="AC691" s="10" t="s">
        <v>1660</v>
      </c>
      <c r="AD691" s="5" t="s">
        <v>1661</v>
      </c>
      <c r="AE691" s="5" t="s">
        <v>78</v>
      </c>
    </row>
    <row r="692" spans="1:33" ht="10" customHeight="1" x14ac:dyDescent="0.2">
      <c r="A692" s="5" t="s">
        <v>40</v>
      </c>
      <c r="B692" s="5" t="s">
        <v>41</v>
      </c>
      <c r="D692" s="5" t="s">
        <v>1662</v>
      </c>
      <c r="E692" s="10" t="s">
        <v>345</v>
      </c>
      <c r="F692" s="5" t="s">
        <v>1449</v>
      </c>
      <c r="G692" s="5" t="s">
        <v>464</v>
      </c>
      <c r="I692" s="11">
        <v>1</v>
      </c>
      <c r="J692" s="5" t="s">
        <v>45</v>
      </c>
      <c r="K692" s="10" t="s">
        <v>46</v>
      </c>
      <c r="L692" s="5" t="s">
        <v>47</v>
      </c>
      <c r="M692" s="5" t="s">
        <v>65</v>
      </c>
      <c r="N692" s="5" t="s">
        <v>66</v>
      </c>
      <c r="O692" s="12"/>
      <c r="S692" s="13">
        <v>96</v>
      </c>
      <c r="U692" s="13">
        <v>96</v>
      </c>
      <c r="AC692" s="10" t="s">
        <v>1663</v>
      </c>
      <c r="AD692" s="5" t="s">
        <v>1661</v>
      </c>
      <c r="AE692" s="5" t="s">
        <v>78</v>
      </c>
    </row>
    <row r="693" spans="1:33" ht="10" customHeight="1" x14ac:dyDescent="0.2">
      <c r="A693" s="5" t="s">
        <v>40</v>
      </c>
      <c r="B693" s="5" t="s">
        <v>41</v>
      </c>
      <c r="D693" s="5" t="s">
        <v>1664</v>
      </c>
      <c r="E693" s="10" t="s">
        <v>345</v>
      </c>
      <c r="F693" s="5" t="s">
        <v>1449</v>
      </c>
      <c r="G693" s="5" t="s">
        <v>464</v>
      </c>
      <c r="I693" s="11">
        <v>1</v>
      </c>
      <c r="J693" s="5" t="s">
        <v>45</v>
      </c>
      <c r="K693" s="10" t="s">
        <v>46</v>
      </c>
      <c r="L693" s="5" t="s">
        <v>47</v>
      </c>
      <c r="M693" s="5" t="s">
        <v>65</v>
      </c>
      <c r="N693" s="5" t="s">
        <v>66</v>
      </c>
      <c r="O693" s="12"/>
      <c r="S693" s="13">
        <v>21</v>
      </c>
      <c r="U693" s="13">
        <v>21</v>
      </c>
      <c r="AC693" s="10" t="s">
        <v>1665</v>
      </c>
      <c r="AD693" s="5" t="s">
        <v>1661</v>
      </c>
      <c r="AE693" s="5" t="s">
        <v>78</v>
      </c>
    </row>
    <row r="694" spans="1:33" ht="10" customHeight="1" x14ac:dyDescent="0.2">
      <c r="A694" s="5" t="s">
        <v>40</v>
      </c>
      <c r="B694" s="5" t="s">
        <v>41</v>
      </c>
      <c r="D694" s="5" t="s">
        <v>1666</v>
      </c>
      <c r="E694" s="10" t="s">
        <v>345</v>
      </c>
      <c r="F694" s="5" t="s">
        <v>1449</v>
      </c>
      <c r="G694" s="5" t="s">
        <v>464</v>
      </c>
      <c r="I694" s="11">
        <v>1</v>
      </c>
      <c r="J694" s="5" t="s">
        <v>45</v>
      </c>
      <c r="K694" s="10" t="s">
        <v>46</v>
      </c>
      <c r="L694" s="5" t="s">
        <v>47</v>
      </c>
      <c r="M694" s="5" t="s">
        <v>65</v>
      </c>
      <c r="N694" s="5" t="s">
        <v>66</v>
      </c>
      <c r="O694" s="12"/>
      <c r="S694" s="13">
        <v>310</v>
      </c>
      <c r="U694" s="13">
        <v>310</v>
      </c>
      <c r="AC694" s="10" t="s">
        <v>1667</v>
      </c>
      <c r="AD694" s="5" t="s">
        <v>1661</v>
      </c>
      <c r="AE694" s="5" t="s">
        <v>78</v>
      </c>
      <c r="AG694" s="5" t="s">
        <v>1668</v>
      </c>
    </row>
    <row r="695" spans="1:33" ht="10" customHeight="1" x14ac:dyDescent="0.2">
      <c r="A695" s="5" t="s">
        <v>40</v>
      </c>
      <c r="B695" s="5" t="s">
        <v>41</v>
      </c>
      <c r="D695" s="5" t="s">
        <v>1669</v>
      </c>
      <c r="E695" s="10" t="s">
        <v>345</v>
      </c>
      <c r="F695" s="5" t="s">
        <v>1449</v>
      </c>
      <c r="G695" s="5" t="s">
        <v>464</v>
      </c>
      <c r="I695" s="11">
        <v>1</v>
      </c>
      <c r="J695" s="5" t="s">
        <v>45</v>
      </c>
      <c r="K695" s="10" t="s">
        <v>46</v>
      </c>
      <c r="L695" s="5" t="s">
        <v>47</v>
      </c>
      <c r="M695" s="5" t="s">
        <v>65</v>
      </c>
      <c r="N695" s="5" t="s">
        <v>66</v>
      </c>
      <c r="O695" s="12"/>
      <c r="S695" s="13">
        <v>241</v>
      </c>
      <c r="U695" s="13">
        <v>241</v>
      </c>
      <c r="AC695" s="10" t="s">
        <v>1670</v>
      </c>
      <c r="AD695" s="5" t="s">
        <v>1661</v>
      </c>
      <c r="AE695" s="5" t="s">
        <v>78</v>
      </c>
    </row>
    <row r="696" spans="1:33" ht="10" customHeight="1" x14ac:dyDescent="0.2">
      <c r="A696" s="5" t="s">
        <v>40</v>
      </c>
      <c r="B696" s="5" t="s">
        <v>41</v>
      </c>
      <c r="D696" s="5" t="s">
        <v>1671</v>
      </c>
      <c r="E696" s="10" t="s">
        <v>345</v>
      </c>
      <c r="F696" s="5" t="s">
        <v>1449</v>
      </c>
      <c r="G696" s="5" t="s">
        <v>464</v>
      </c>
      <c r="I696" s="11">
        <v>1</v>
      </c>
      <c r="J696" s="5" t="s">
        <v>45</v>
      </c>
      <c r="K696" s="10" t="s">
        <v>46</v>
      </c>
      <c r="L696" s="5" t="s">
        <v>47</v>
      </c>
      <c r="M696" s="5" t="s">
        <v>65</v>
      </c>
      <c r="N696" s="5" t="s">
        <v>66</v>
      </c>
      <c r="O696" s="12"/>
      <c r="S696" s="13">
        <v>203</v>
      </c>
      <c r="U696" s="13">
        <v>203</v>
      </c>
      <c r="AC696" s="10" t="s">
        <v>1672</v>
      </c>
      <c r="AD696" s="5" t="s">
        <v>1661</v>
      </c>
      <c r="AE696" s="5" t="s">
        <v>78</v>
      </c>
    </row>
    <row r="697" spans="1:33" ht="10" customHeight="1" x14ac:dyDescent="0.2">
      <c r="A697" s="5" t="s">
        <v>40</v>
      </c>
      <c r="B697" s="5" t="s">
        <v>41</v>
      </c>
      <c r="D697" s="5" t="s">
        <v>1673</v>
      </c>
      <c r="E697" s="10" t="s">
        <v>345</v>
      </c>
      <c r="F697" s="5" t="s">
        <v>1449</v>
      </c>
      <c r="G697" s="5" t="s">
        <v>464</v>
      </c>
      <c r="I697" s="11">
        <v>1</v>
      </c>
      <c r="J697" s="5" t="s">
        <v>45</v>
      </c>
      <c r="K697" s="10" t="s">
        <v>46</v>
      </c>
      <c r="L697" s="5" t="s">
        <v>47</v>
      </c>
      <c r="M697" s="5" t="s">
        <v>65</v>
      </c>
      <c r="N697" s="5" t="s">
        <v>66</v>
      </c>
      <c r="O697" s="12"/>
      <c r="S697" s="13">
        <v>659</v>
      </c>
      <c r="U697" s="13">
        <v>659</v>
      </c>
      <c r="AC697" s="10" t="s">
        <v>1674</v>
      </c>
      <c r="AD697" s="5" t="s">
        <v>1661</v>
      </c>
      <c r="AE697" s="5" t="s">
        <v>78</v>
      </c>
    </row>
    <row r="698" spans="1:33" ht="10" customHeight="1" x14ac:dyDescent="0.2">
      <c r="A698" s="5" t="s">
        <v>40</v>
      </c>
      <c r="B698" s="5" t="s">
        <v>41</v>
      </c>
      <c r="D698" s="5" t="s">
        <v>1675</v>
      </c>
      <c r="E698" s="10" t="s">
        <v>345</v>
      </c>
      <c r="F698" s="5" t="s">
        <v>1449</v>
      </c>
      <c r="G698" s="5" t="s">
        <v>464</v>
      </c>
      <c r="I698" s="11">
        <v>1</v>
      </c>
      <c r="J698" s="5" t="s">
        <v>45</v>
      </c>
      <c r="K698" s="10" t="s">
        <v>46</v>
      </c>
      <c r="L698" s="5" t="s">
        <v>47</v>
      </c>
      <c r="M698" s="5" t="s">
        <v>65</v>
      </c>
      <c r="N698" s="5" t="s">
        <v>66</v>
      </c>
      <c r="O698" s="12"/>
      <c r="S698" s="13">
        <v>12949</v>
      </c>
      <c r="U698" s="13">
        <v>12949</v>
      </c>
      <c r="AC698" s="10" t="s">
        <v>1676</v>
      </c>
      <c r="AD698" s="5" t="s">
        <v>1677</v>
      </c>
      <c r="AE698" s="5" t="s">
        <v>78</v>
      </c>
    </row>
    <row r="699" spans="1:33" ht="10" customHeight="1" x14ac:dyDescent="0.2">
      <c r="A699" s="5" t="s">
        <v>40</v>
      </c>
      <c r="B699" s="5" t="s">
        <v>41</v>
      </c>
      <c r="D699" s="5" t="s">
        <v>1678</v>
      </c>
      <c r="E699" s="10" t="s">
        <v>345</v>
      </c>
      <c r="F699" s="5" t="s">
        <v>1449</v>
      </c>
      <c r="G699" s="5" t="s">
        <v>464</v>
      </c>
      <c r="I699" s="11">
        <v>1</v>
      </c>
      <c r="J699" s="5" t="s">
        <v>45</v>
      </c>
      <c r="K699" s="10" t="s">
        <v>46</v>
      </c>
      <c r="L699" s="5" t="s">
        <v>47</v>
      </c>
      <c r="M699" s="5" t="s">
        <v>65</v>
      </c>
      <c r="N699" s="5" t="s">
        <v>66</v>
      </c>
      <c r="O699" s="12"/>
      <c r="S699" s="13">
        <v>520</v>
      </c>
      <c r="U699" s="13">
        <v>520</v>
      </c>
      <c r="AC699" s="10" t="s">
        <v>1679</v>
      </c>
      <c r="AD699" s="5" t="s">
        <v>1677</v>
      </c>
      <c r="AE699" s="5" t="s">
        <v>78</v>
      </c>
    </row>
    <row r="700" spans="1:33" ht="10" customHeight="1" x14ac:dyDescent="0.2">
      <c r="A700" s="5" t="s">
        <v>40</v>
      </c>
      <c r="B700" s="5" t="s">
        <v>41</v>
      </c>
      <c r="D700" s="5" t="s">
        <v>1680</v>
      </c>
      <c r="E700" s="10" t="s">
        <v>345</v>
      </c>
      <c r="F700" s="5" t="s">
        <v>1449</v>
      </c>
      <c r="G700" s="5" t="s">
        <v>464</v>
      </c>
      <c r="I700" s="11">
        <v>1</v>
      </c>
      <c r="J700" s="5" t="s">
        <v>45</v>
      </c>
      <c r="K700" s="10" t="s">
        <v>46</v>
      </c>
      <c r="L700" s="5" t="s">
        <v>47</v>
      </c>
      <c r="M700" s="5" t="s">
        <v>65</v>
      </c>
      <c r="N700" s="5" t="s">
        <v>66</v>
      </c>
      <c r="O700" s="12"/>
      <c r="S700" s="13">
        <v>640</v>
      </c>
      <c r="U700" s="13">
        <v>640</v>
      </c>
      <c r="AC700" s="10" t="s">
        <v>1681</v>
      </c>
      <c r="AD700" s="5" t="s">
        <v>1677</v>
      </c>
      <c r="AE700" s="5" t="s">
        <v>78</v>
      </c>
    </row>
    <row r="701" spans="1:33" ht="10" customHeight="1" x14ac:dyDescent="0.2">
      <c r="A701" s="5" t="s">
        <v>40</v>
      </c>
      <c r="B701" s="5" t="s">
        <v>41</v>
      </c>
      <c r="D701" s="5" t="s">
        <v>1682</v>
      </c>
      <c r="E701" s="10" t="s">
        <v>345</v>
      </c>
      <c r="F701" s="5" t="s">
        <v>1449</v>
      </c>
      <c r="G701" s="5" t="s">
        <v>464</v>
      </c>
      <c r="I701" s="11">
        <v>1</v>
      </c>
      <c r="J701" s="5" t="s">
        <v>45</v>
      </c>
      <c r="K701" s="10" t="s">
        <v>46</v>
      </c>
      <c r="L701" s="5" t="s">
        <v>47</v>
      </c>
      <c r="M701" s="5" t="s">
        <v>65</v>
      </c>
      <c r="N701" s="5" t="s">
        <v>66</v>
      </c>
      <c r="O701" s="12"/>
      <c r="S701" s="13">
        <v>440</v>
      </c>
      <c r="U701" s="13">
        <v>440</v>
      </c>
      <c r="AC701" s="10" t="s">
        <v>1683</v>
      </c>
      <c r="AD701" s="5" t="s">
        <v>1677</v>
      </c>
      <c r="AE701" s="5" t="s">
        <v>78</v>
      </c>
    </row>
    <row r="702" spans="1:33" ht="10" customHeight="1" x14ac:dyDescent="0.2">
      <c r="A702" s="5" t="s">
        <v>40</v>
      </c>
      <c r="B702" s="5" t="s">
        <v>41</v>
      </c>
      <c r="D702" s="5" t="s">
        <v>1684</v>
      </c>
      <c r="E702" s="10" t="s">
        <v>345</v>
      </c>
      <c r="F702" s="5" t="s">
        <v>1449</v>
      </c>
      <c r="G702" s="5" t="s">
        <v>464</v>
      </c>
      <c r="I702" s="11">
        <v>1</v>
      </c>
      <c r="J702" s="5" t="s">
        <v>45</v>
      </c>
      <c r="K702" s="10" t="s">
        <v>46</v>
      </c>
      <c r="L702" s="5" t="s">
        <v>47</v>
      </c>
      <c r="M702" s="5" t="s">
        <v>65</v>
      </c>
      <c r="N702" s="5" t="s">
        <v>66</v>
      </c>
      <c r="O702" s="12"/>
      <c r="S702" s="13">
        <v>15232</v>
      </c>
      <c r="U702" s="13">
        <v>15232</v>
      </c>
      <c r="AC702" s="10" t="s">
        <v>1685</v>
      </c>
      <c r="AD702" s="5" t="s">
        <v>1686</v>
      </c>
      <c r="AE702" s="5" t="s">
        <v>78</v>
      </c>
    </row>
    <row r="703" spans="1:33" ht="10" customHeight="1" x14ac:dyDescent="0.2">
      <c r="A703" s="5" t="s">
        <v>40</v>
      </c>
      <c r="B703" s="5" t="s">
        <v>41</v>
      </c>
      <c r="D703" s="5" t="s">
        <v>1687</v>
      </c>
      <c r="E703" s="10" t="s">
        <v>345</v>
      </c>
      <c r="F703" s="5" t="s">
        <v>1449</v>
      </c>
      <c r="G703" s="5" t="s">
        <v>464</v>
      </c>
      <c r="I703" s="11">
        <v>1</v>
      </c>
      <c r="J703" s="5" t="s">
        <v>45</v>
      </c>
      <c r="K703" s="10" t="s">
        <v>46</v>
      </c>
      <c r="L703" s="5" t="s">
        <v>47</v>
      </c>
      <c r="M703" s="5" t="s">
        <v>65</v>
      </c>
      <c r="N703" s="5" t="s">
        <v>66</v>
      </c>
      <c r="O703" s="12"/>
      <c r="S703" s="13">
        <v>685</v>
      </c>
      <c r="U703" s="13">
        <v>685</v>
      </c>
      <c r="AC703" s="10" t="s">
        <v>1688</v>
      </c>
      <c r="AD703" s="5" t="s">
        <v>1686</v>
      </c>
      <c r="AE703" s="5" t="s">
        <v>78</v>
      </c>
    </row>
    <row r="704" spans="1:33" ht="10" customHeight="1" x14ac:dyDescent="0.2">
      <c r="A704" s="5" t="s">
        <v>40</v>
      </c>
      <c r="B704" s="5" t="s">
        <v>41</v>
      </c>
      <c r="D704" s="5" t="s">
        <v>1689</v>
      </c>
      <c r="E704" s="10" t="s">
        <v>345</v>
      </c>
      <c r="F704" s="5" t="s">
        <v>1449</v>
      </c>
      <c r="G704" s="5" t="s">
        <v>464</v>
      </c>
      <c r="I704" s="11">
        <v>1</v>
      </c>
      <c r="J704" s="5" t="s">
        <v>45</v>
      </c>
      <c r="K704" s="10" t="s">
        <v>46</v>
      </c>
      <c r="L704" s="5" t="s">
        <v>47</v>
      </c>
      <c r="M704" s="5" t="s">
        <v>65</v>
      </c>
      <c r="N704" s="5" t="s">
        <v>66</v>
      </c>
      <c r="O704" s="12"/>
      <c r="S704" s="13">
        <v>523</v>
      </c>
      <c r="U704" s="13">
        <v>523</v>
      </c>
      <c r="AC704" s="10" t="s">
        <v>1690</v>
      </c>
      <c r="AD704" s="5" t="s">
        <v>1686</v>
      </c>
      <c r="AE704" s="5" t="s">
        <v>78</v>
      </c>
    </row>
    <row r="705" spans="1:33" ht="10" customHeight="1" x14ac:dyDescent="0.2">
      <c r="A705" s="5" t="s">
        <v>40</v>
      </c>
      <c r="B705" s="5" t="s">
        <v>41</v>
      </c>
      <c r="D705" s="5" t="s">
        <v>1691</v>
      </c>
      <c r="E705" s="10" t="s">
        <v>345</v>
      </c>
      <c r="F705" s="5" t="s">
        <v>1449</v>
      </c>
      <c r="G705" s="5" t="s">
        <v>464</v>
      </c>
      <c r="I705" s="11">
        <v>1</v>
      </c>
      <c r="J705" s="5" t="s">
        <v>45</v>
      </c>
      <c r="K705" s="10" t="s">
        <v>46</v>
      </c>
      <c r="L705" s="5" t="s">
        <v>47</v>
      </c>
      <c r="M705" s="5" t="s">
        <v>65</v>
      </c>
      <c r="N705" s="5" t="s">
        <v>66</v>
      </c>
      <c r="O705" s="12"/>
      <c r="S705" s="13">
        <v>4529</v>
      </c>
      <c r="U705" s="13">
        <v>4529</v>
      </c>
      <c r="AC705" s="10" t="s">
        <v>1692</v>
      </c>
      <c r="AD705" s="5" t="s">
        <v>1686</v>
      </c>
      <c r="AE705" s="5" t="s">
        <v>78</v>
      </c>
    </row>
    <row r="706" spans="1:33" ht="10" customHeight="1" x14ac:dyDescent="0.2">
      <c r="A706" s="5" t="s">
        <v>40</v>
      </c>
      <c r="B706" s="5" t="s">
        <v>41</v>
      </c>
      <c r="D706" s="5" t="s">
        <v>1693</v>
      </c>
      <c r="E706" s="10" t="s">
        <v>345</v>
      </c>
      <c r="F706" s="5" t="s">
        <v>1449</v>
      </c>
      <c r="G706" s="5" t="s">
        <v>464</v>
      </c>
      <c r="I706" s="11">
        <v>1</v>
      </c>
      <c r="J706" s="5" t="s">
        <v>45</v>
      </c>
      <c r="K706" s="10" t="s">
        <v>46</v>
      </c>
      <c r="L706" s="5" t="s">
        <v>47</v>
      </c>
      <c r="M706" s="5" t="s">
        <v>65</v>
      </c>
      <c r="N706" s="5" t="s">
        <v>66</v>
      </c>
      <c r="O706" s="12"/>
      <c r="S706" s="13">
        <v>1731</v>
      </c>
      <c r="U706" s="13">
        <v>1731</v>
      </c>
      <c r="AC706" s="10" t="s">
        <v>1694</v>
      </c>
      <c r="AD706" s="5" t="s">
        <v>1686</v>
      </c>
      <c r="AE706" s="5" t="s">
        <v>78</v>
      </c>
    </row>
    <row r="707" spans="1:33" ht="10" customHeight="1" x14ac:dyDescent="0.2">
      <c r="A707" s="5" t="s">
        <v>40</v>
      </c>
      <c r="B707" s="5" t="s">
        <v>41</v>
      </c>
      <c r="D707" s="5" t="s">
        <v>1695</v>
      </c>
      <c r="E707" s="10" t="s">
        <v>345</v>
      </c>
      <c r="F707" s="5" t="s">
        <v>1449</v>
      </c>
      <c r="G707" s="5" t="s">
        <v>464</v>
      </c>
      <c r="I707" s="11">
        <v>1</v>
      </c>
      <c r="J707" s="5" t="s">
        <v>45</v>
      </c>
      <c r="K707" s="10" t="s">
        <v>46</v>
      </c>
      <c r="L707" s="5" t="s">
        <v>47</v>
      </c>
      <c r="M707" s="5" t="s">
        <v>65</v>
      </c>
      <c r="N707" s="5" t="s">
        <v>66</v>
      </c>
      <c r="O707" s="12"/>
      <c r="S707" s="13">
        <v>17799</v>
      </c>
      <c r="U707" s="13">
        <v>17799</v>
      </c>
      <c r="AC707" s="10" t="s">
        <v>1696</v>
      </c>
      <c r="AD707" s="5" t="s">
        <v>1686</v>
      </c>
      <c r="AE707" s="5" t="s">
        <v>78</v>
      </c>
    </row>
    <row r="708" spans="1:33" ht="10" customHeight="1" x14ac:dyDescent="0.2">
      <c r="A708" s="5" t="s">
        <v>40</v>
      </c>
      <c r="B708" s="5" t="s">
        <v>41</v>
      </c>
      <c r="D708" s="5" t="s">
        <v>1697</v>
      </c>
      <c r="E708" s="10" t="s">
        <v>345</v>
      </c>
      <c r="F708" s="5" t="s">
        <v>1449</v>
      </c>
      <c r="G708" s="5" t="s">
        <v>464</v>
      </c>
      <c r="I708" s="11">
        <v>1</v>
      </c>
      <c r="J708" s="5" t="s">
        <v>45</v>
      </c>
      <c r="K708" s="10" t="s">
        <v>46</v>
      </c>
      <c r="L708" s="5" t="s">
        <v>47</v>
      </c>
      <c r="M708" s="5" t="s">
        <v>65</v>
      </c>
      <c r="N708" s="5" t="s">
        <v>66</v>
      </c>
      <c r="O708" s="12"/>
      <c r="S708" s="13">
        <v>3168</v>
      </c>
      <c r="U708" s="13">
        <v>3168</v>
      </c>
      <c r="AC708" s="10" t="s">
        <v>1698</v>
      </c>
      <c r="AD708" s="5" t="s">
        <v>1699</v>
      </c>
      <c r="AE708" s="5" t="s">
        <v>78</v>
      </c>
    </row>
    <row r="709" spans="1:33" ht="10" customHeight="1" x14ac:dyDescent="0.2">
      <c r="A709" s="5" t="s">
        <v>40</v>
      </c>
      <c r="B709" s="5" t="s">
        <v>41</v>
      </c>
      <c r="D709" s="5" t="s">
        <v>1700</v>
      </c>
      <c r="E709" s="10" t="s">
        <v>345</v>
      </c>
      <c r="F709" s="5" t="s">
        <v>1449</v>
      </c>
      <c r="G709" s="5" t="s">
        <v>464</v>
      </c>
      <c r="I709" s="11">
        <v>1</v>
      </c>
      <c r="J709" s="5" t="s">
        <v>45</v>
      </c>
      <c r="K709" s="10" t="s">
        <v>46</v>
      </c>
      <c r="L709" s="5" t="s">
        <v>47</v>
      </c>
      <c r="M709" s="5" t="s">
        <v>65</v>
      </c>
      <c r="N709" s="5" t="s">
        <v>66</v>
      </c>
      <c r="O709" s="12"/>
      <c r="S709" s="13">
        <v>72</v>
      </c>
      <c r="U709" s="13">
        <v>72</v>
      </c>
      <c r="AC709" s="10" t="s">
        <v>1701</v>
      </c>
      <c r="AD709" s="5" t="s">
        <v>1699</v>
      </c>
      <c r="AE709" s="5" t="s">
        <v>78</v>
      </c>
      <c r="AG709" s="5" t="s">
        <v>1702</v>
      </c>
    </row>
    <row r="710" spans="1:33" ht="10" customHeight="1" x14ac:dyDescent="0.2">
      <c r="A710" s="5" t="s">
        <v>40</v>
      </c>
      <c r="B710" s="5" t="s">
        <v>41</v>
      </c>
      <c r="D710" s="5" t="s">
        <v>1703</v>
      </c>
      <c r="E710" s="10" t="s">
        <v>345</v>
      </c>
      <c r="F710" s="5" t="s">
        <v>1449</v>
      </c>
      <c r="G710" s="5" t="s">
        <v>464</v>
      </c>
      <c r="I710" s="11">
        <v>1</v>
      </c>
      <c r="J710" s="5" t="s">
        <v>45</v>
      </c>
      <c r="K710" s="10" t="s">
        <v>46</v>
      </c>
      <c r="L710" s="5" t="s">
        <v>47</v>
      </c>
      <c r="M710" s="5" t="s">
        <v>65</v>
      </c>
      <c r="N710" s="5" t="s">
        <v>66</v>
      </c>
      <c r="O710" s="12"/>
      <c r="S710" s="13">
        <v>619</v>
      </c>
      <c r="U710" s="13">
        <v>619</v>
      </c>
      <c r="AC710" s="10" t="s">
        <v>1704</v>
      </c>
      <c r="AD710" s="5" t="s">
        <v>1699</v>
      </c>
      <c r="AE710" s="5" t="s">
        <v>78</v>
      </c>
    </row>
    <row r="711" spans="1:33" ht="10" customHeight="1" x14ac:dyDescent="0.2">
      <c r="A711" s="5" t="s">
        <v>40</v>
      </c>
      <c r="B711" s="5" t="s">
        <v>41</v>
      </c>
      <c r="D711" s="5" t="s">
        <v>1705</v>
      </c>
      <c r="E711" s="10" t="s">
        <v>345</v>
      </c>
      <c r="F711" s="5" t="s">
        <v>1449</v>
      </c>
      <c r="G711" s="5" t="s">
        <v>464</v>
      </c>
      <c r="I711" s="11">
        <v>1</v>
      </c>
      <c r="J711" s="5" t="s">
        <v>45</v>
      </c>
      <c r="K711" s="10" t="s">
        <v>46</v>
      </c>
      <c r="L711" s="5" t="s">
        <v>47</v>
      </c>
      <c r="M711" s="5" t="s">
        <v>65</v>
      </c>
      <c r="N711" s="5" t="s">
        <v>66</v>
      </c>
      <c r="O711" s="12"/>
      <c r="S711" s="13">
        <v>743</v>
      </c>
      <c r="U711" s="13">
        <v>743</v>
      </c>
      <c r="AC711" s="10" t="s">
        <v>1706</v>
      </c>
      <c r="AD711" s="5" t="s">
        <v>1699</v>
      </c>
      <c r="AE711" s="5" t="s">
        <v>78</v>
      </c>
    </row>
    <row r="712" spans="1:33" ht="10" customHeight="1" x14ac:dyDescent="0.2">
      <c r="A712" s="5" t="s">
        <v>40</v>
      </c>
      <c r="B712" s="5" t="s">
        <v>41</v>
      </c>
      <c r="D712" s="5" t="s">
        <v>1707</v>
      </c>
      <c r="E712" s="10" t="s">
        <v>345</v>
      </c>
      <c r="F712" s="5" t="s">
        <v>1449</v>
      </c>
      <c r="G712" s="5" t="s">
        <v>464</v>
      </c>
      <c r="I712" s="11">
        <v>1</v>
      </c>
      <c r="J712" s="5" t="s">
        <v>45</v>
      </c>
      <c r="K712" s="10" t="s">
        <v>46</v>
      </c>
      <c r="L712" s="5" t="s">
        <v>47</v>
      </c>
      <c r="M712" s="5" t="s">
        <v>65</v>
      </c>
      <c r="N712" s="5" t="s">
        <v>66</v>
      </c>
      <c r="O712" s="12"/>
      <c r="S712" s="13">
        <v>919</v>
      </c>
      <c r="U712" s="13">
        <v>919</v>
      </c>
      <c r="AC712" s="10" t="s">
        <v>1708</v>
      </c>
      <c r="AD712" s="5" t="s">
        <v>1699</v>
      </c>
      <c r="AE712" s="5" t="s">
        <v>78</v>
      </c>
    </row>
    <row r="713" spans="1:33" ht="10" customHeight="1" x14ac:dyDescent="0.2">
      <c r="A713" s="5" t="s">
        <v>40</v>
      </c>
      <c r="B713" s="5" t="s">
        <v>41</v>
      </c>
      <c r="D713" s="5" t="s">
        <v>1709</v>
      </c>
      <c r="E713" s="10" t="s">
        <v>345</v>
      </c>
      <c r="F713" s="5" t="s">
        <v>1449</v>
      </c>
      <c r="G713" s="5" t="s">
        <v>464</v>
      </c>
      <c r="I713" s="11">
        <v>1</v>
      </c>
      <c r="J713" s="5" t="s">
        <v>45</v>
      </c>
      <c r="K713" s="10" t="s">
        <v>46</v>
      </c>
      <c r="L713" s="5" t="s">
        <v>47</v>
      </c>
      <c r="M713" s="5" t="s">
        <v>65</v>
      </c>
      <c r="N713" s="5" t="s">
        <v>66</v>
      </c>
      <c r="O713" s="12"/>
      <c r="S713" s="13">
        <v>29786</v>
      </c>
      <c r="U713" s="13">
        <v>29786</v>
      </c>
      <c r="AC713" s="10" t="s">
        <v>1710</v>
      </c>
      <c r="AD713" s="5" t="s">
        <v>1711</v>
      </c>
      <c r="AE713" s="5" t="s">
        <v>78</v>
      </c>
    </row>
    <row r="714" spans="1:33" ht="10" customHeight="1" x14ac:dyDescent="0.2">
      <c r="A714" s="5" t="s">
        <v>40</v>
      </c>
      <c r="B714" s="5" t="s">
        <v>41</v>
      </c>
      <c r="D714" s="5" t="s">
        <v>1712</v>
      </c>
      <c r="E714" s="10" t="s">
        <v>345</v>
      </c>
      <c r="F714" s="5" t="s">
        <v>1449</v>
      </c>
      <c r="G714" s="5" t="s">
        <v>464</v>
      </c>
      <c r="I714" s="11">
        <v>1</v>
      </c>
      <c r="J714" s="5" t="s">
        <v>45</v>
      </c>
      <c r="K714" s="10" t="s">
        <v>46</v>
      </c>
      <c r="L714" s="5" t="s">
        <v>47</v>
      </c>
      <c r="M714" s="5" t="s">
        <v>65</v>
      </c>
      <c r="N714" s="5" t="s">
        <v>66</v>
      </c>
      <c r="O714" s="12"/>
      <c r="S714" s="13">
        <v>1027</v>
      </c>
      <c r="U714" s="13">
        <v>1027</v>
      </c>
      <c r="AC714" s="10" t="s">
        <v>1713</v>
      </c>
      <c r="AD714" s="5" t="s">
        <v>1711</v>
      </c>
      <c r="AE714" s="5" t="s">
        <v>78</v>
      </c>
    </row>
    <row r="715" spans="1:33" ht="10" customHeight="1" x14ac:dyDescent="0.2">
      <c r="A715" s="5" t="s">
        <v>40</v>
      </c>
      <c r="B715" s="5" t="s">
        <v>41</v>
      </c>
      <c r="D715" s="5" t="s">
        <v>1714</v>
      </c>
      <c r="E715" s="10" t="s">
        <v>345</v>
      </c>
      <c r="F715" s="5" t="s">
        <v>1449</v>
      </c>
      <c r="G715" s="5" t="s">
        <v>464</v>
      </c>
      <c r="I715" s="11">
        <v>1</v>
      </c>
      <c r="J715" s="5" t="s">
        <v>45</v>
      </c>
      <c r="K715" s="10" t="s">
        <v>46</v>
      </c>
      <c r="L715" s="5" t="s">
        <v>47</v>
      </c>
      <c r="M715" s="5" t="s">
        <v>65</v>
      </c>
      <c r="N715" s="5" t="s">
        <v>66</v>
      </c>
      <c r="O715" s="12"/>
      <c r="S715" s="13">
        <v>81</v>
      </c>
      <c r="U715" s="13">
        <v>81</v>
      </c>
      <c r="AC715" s="10" t="s">
        <v>1715</v>
      </c>
      <c r="AD715" s="5" t="s">
        <v>1711</v>
      </c>
      <c r="AE715" s="5" t="s">
        <v>78</v>
      </c>
    </row>
    <row r="716" spans="1:33" ht="10" customHeight="1" x14ac:dyDescent="0.2">
      <c r="A716" s="5" t="s">
        <v>40</v>
      </c>
      <c r="B716" s="5" t="s">
        <v>41</v>
      </c>
      <c r="D716" s="5" t="s">
        <v>1716</v>
      </c>
      <c r="E716" s="10" t="s">
        <v>345</v>
      </c>
      <c r="F716" s="5" t="s">
        <v>1449</v>
      </c>
      <c r="G716" s="5" t="s">
        <v>464</v>
      </c>
      <c r="I716" s="11">
        <v>1</v>
      </c>
      <c r="J716" s="5" t="s">
        <v>45</v>
      </c>
      <c r="K716" s="10" t="s">
        <v>46</v>
      </c>
      <c r="L716" s="5" t="s">
        <v>47</v>
      </c>
      <c r="M716" s="5" t="s">
        <v>65</v>
      </c>
      <c r="N716" s="5" t="s">
        <v>66</v>
      </c>
      <c r="O716" s="12"/>
      <c r="S716" s="13">
        <v>94</v>
      </c>
      <c r="U716" s="13">
        <v>94</v>
      </c>
      <c r="AC716" s="10" t="s">
        <v>1717</v>
      </c>
      <c r="AD716" s="5" t="s">
        <v>1711</v>
      </c>
      <c r="AE716" s="5" t="s">
        <v>78</v>
      </c>
    </row>
    <row r="717" spans="1:33" ht="10" customHeight="1" x14ac:dyDescent="0.2">
      <c r="A717" s="5" t="s">
        <v>40</v>
      </c>
      <c r="B717" s="5" t="s">
        <v>41</v>
      </c>
      <c r="D717" s="5" t="s">
        <v>1718</v>
      </c>
      <c r="E717" s="10" t="s">
        <v>345</v>
      </c>
      <c r="F717" s="5" t="s">
        <v>1449</v>
      </c>
      <c r="G717" s="5" t="s">
        <v>464</v>
      </c>
      <c r="I717" s="11">
        <v>1</v>
      </c>
      <c r="J717" s="5" t="s">
        <v>45</v>
      </c>
      <c r="K717" s="10" t="s">
        <v>46</v>
      </c>
      <c r="L717" s="5" t="s">
        <v>47</v>
      </c>
      <c r="M717" s="5" t="s">
        <v>65</v>
      </c>
      <c r="N717" s="5" t="s">
        <v>66</v>
      </c>
      <c r="O717" s="12"/>
      <c r="S717" s="13">
        <v>568</v>
      </c>
      <c r="U717" s="13">
        <v>568</v>
      </c>
      <c r="AC717" s="10" t="s">
        <v>1719</v>
      </c>
      <c r="AD717" s="5" t="s">
        <v>1711</v>
      </c>
      <c r="AE717" s="5" t="s">
        <v>78</v>
      </c>
    </row>
    <row r="718" spans="1:33" ht="10" customHeight="1" x14ac:dyDescent="0.2">
      <c r="A718" s="5" t="s">
        <v>40</v>
      </c>
      <c r="B718" s="5" t="s">
        <v>41</v>
      </c>
      <c r="D718" s="5" t="s">
        <v>1720</v>
      </c>
      <c r="E718" s="10" t="s">
        <v>345</v>
      </c>
      <c r="F718" s="5" t="s">
        <v>1449</v>
      </c>
      <c r="G718" s="5" t="s">
        <v>464</v>
      </c>
      <c r="I718" s="11">
        <v>1</v>
      </c>
      <c r="J718" s="5" t="s">
        <v>45</v>
      </c>
      <c r="K718" s="10" t="s">
        <v>46</v>
      </c>
      <c r="L718" s="5" t="s">
        <v>47</v>
      </c>
      <c r="M718" s="5" t="s">
        <v>65</v>
      </c>
      <c r="N718" s="5" t="s">
        <v>66</v>
      </c>
      <c r="O718" s="12"/>
      <c r="S718" s="13">
        <v>98616</v>
      </c>
      <c r="U718" s="13">
        <v>98616</v>
      </c>
      <c r="AC718" s="10" t="s">
        <v>1721</v>
      </c>
      <c r="AD718" s="5" t="s">
        <v>1722</v>
      </c>
      <c r="AE718" s="5" t="s">
        <v>78</v>
      </c>
    </row>
    <row r="719" spans="1:33" ht="10" customHeight="1" x14ac:dyDescent="0.2">
      <c r="A719" s="5" t="s">
        <v>40</v>
      </c>
      <c r="B719" s="5" t="s">
        <v>41</v>
      </c>
      <c r="D719" s="5" t="s">
        <v>1723</v>
      </c>
      <c r="E719" s="10" t="s">
        <v>345</v>
      </c>
      <c r="F719" s="5" t="s">
        <v>1449</v>
      </c>
      <c r="G719" s="5" t="s">
        <v>464</v>
      </c>
      <c r="I719" s="11">
        <v>1</v>
      </c>
      <c r="J719" s="5" t="s">
        <v>45</v>
      </c>
      <c r="K719" s="10" t="s">
        <v>46</v>
      </c>
      <c r="L719" s="5" t="s">
        <v>47</v>
      </c>
      <c r="M719" s="5" t="s">
        <v>65</v>
      </c>
      <c r="N719" s="5" t="s">
        <v>66</v>
      </c>
      <c r="O719" s="12"/>
      <c r="S719" s="13">
        <v>655</v>
      </c>
      <c r="U719" s="13">
        <v>655</v>
      </c>
      <c r="AC719" s="10" t="s">
        <v>1724</v>
      </c>
      <c r="AD719" s="5" t="s">
        <v>1722</v>
      </c>
      <c r="AE719" s="5" t="s">
        <v>78</v>
      </c>
    </row>
    <row r="720" spans="1:33" ht="10" customHeight="1" x14ac:dyDescent="0.2">
      <c r="A720" s="5" t="s">
        <v>40</v>
      </c>
      <c r="B720" s="5" t="s">
        <v>41</v>
      </c>
      <c r="D720" s="5" t="s">
        <v>1725</v>
      </c>
      <c r="E720" s="10" t="s">
        <v>345</v>
      </c>
      <c r="F720" s="5" t="s">
        <v>1449</v>
      </c>
      <c r="G720" s="5" t="s">
        <v>464</v>
      </c>
      <c r="I720" s="11">
        <v>1</v>
      </c>
      <c r="J720" s="5" t="s">
        <v>45</v>
      </c>
      <c r="K720" s="10" t="s">
        <v>46</v>
      </c>
      <c r="L720" s="5" t="s">
        <v>47</v>
      </c>
      <c r="M720" s="5" t="s">
        <v>65</v>
      </c>
      <c r="N720" s="5" t="s">
        <v>66</v>
      </c>
      <c r="O720" s="12"/>
      <c r="S720" s="13">
        <v>2688</v>
      </c>
      <c r="U720" s="13">
        <v>2688</v>
      </c>
      <c r="AC720" s="10" t="s">
        <v>1726</v>
      </c>
      <c r="AD720" s="5" t="s">
        <v>1722</v>
      </c>
      <c r="AE720" s="5" t="s">
        <v>78</v>
      </c>
    </row>
    <row r="721" spans="1:33" ht="10" customHeight="1" x14ac:dyDescent="0.2">
      <c r="A721" s="5" t="s">
        <v>40</v>
      </c>
      <c r="B721" s="5" t="s">
        <v>41</v>
      </c>
      <c r="D721" s="5" t="s">
        <v>1727</v>
      </c>
      <c r="E721" s="10" t="s">
        <v>345</v>
      </c>
      <c r="F721" s="5" t="s">
        <v>1449</v>
      </c>
      <c r="G721" s="5" t="s">
        <v>464</v>
      </c>
      <c r="I721" s="11">
        <v>1</v>
      </c>
      <c r="J721" s="5" t="s">
        <v>45</v>
      </c>
      <c r="K721" s="10" t="s">
        <v>46</v>
      </c>
      <c r="L721" s="5" t="s">
        <v>47</v>
      </c>
      <c r="M721" s="5" t="s">
        <v>65</v>
      </c>
      <c r="N721" s="5" t="s">
        <v>66</v>
      </c>
      <c r="O721" s="12"/>
      <c r="S721" s="13">
        <v>2022</v>
      </c>
      <c r="U721" s="13">
        <v>2022</v>
      </c>
      <c r="AC721" s="10" t="s">
        <v>1728</v>
      </c>
      <c r="AD721" s="5" t="s">
        <v>1722</v>
      </c>
      <c r="AE721" s="5" t="s">
        <v>78</v>
      </c>
    </row>
    <row r="722" spans="1:33" ht="10" customHeight="1" x14ac:dyDescent="0.2">
      <c r="A722" s="5" t="s">
        <v>40</v>
      </c>
      <c r="B722" s="5" t="s">
        <v>41</v>
      </c>
      <c r="D722" s="5" t="s">
        <v>1729</v>
      </c>
      <c r="E722" s="10" t="s">
        <v>345</v>
      </c>
      <c r="F722" s="5" t="s">
        <v>1449</v>
      </c>
      <c r="G722" s="5" t="s">
        <v>464</v>
      </c>
      <c r="I722" s="11">
        <v>1</v>
      </c>
      <c r="J722" s="5" t="s">
        <v>45</v>
      </c>
      <c r="K722" s="10" t="s">
        <v>46</v>
      </c>
      <c r="L722" s="5" t="s">
        <v>47</v>
      </c>
      <c r="M722" s="5" t="s">
        <v>65</v>
      </c>
      <c r="N722" s="5" t="s">
        <v>66</v>
      </c>
      <c r="O722" s="12"/>
      <c r="S722" s="13">
        <v>4089</v>
      </c>
      <c r="U722" s="13">
        <v>4089</v>
      </c>
      <c r="AC722" s="10" t="s">
        <v>1730</v>
      </c>
      <c r="AD722" s="5" t="s">
        <v>1722</v>
      </c>
      <c r="AE722" s="5" t="s">
        <v>78</v>
      </c>
    </row>
    <row r="723" spans="1:33" ht="10" customHeight="1" x14ac:dyDescent="0.2">
      <c r="A723" s="5" t="s">
        <v>40</v>
      </c>
      <c r="B723" s="5" t="s">
        <v>41</v>
      </c>
      <c r="D723" s="5" t="s">
        <v>1731</v>
      </c>
      <c r="E723" s="10" t="s">
        <v>345</v>
      </c>
      <c r="F723" s="5" t="s">
        <v>1449</v>
      </c>
      <c r="G723" s="5" t="s">
        <v>464</v>
      </c>
      <c r="I723" s="11">
        <v>1</v>
      </c>
      <c r="J723" s="5" t="s">
        <v>45</v>
      </c>
      <c r="K723" s="10" t="s">
        <v>46</v>
      </c>
      <c r="L723" s="5" t="s">
        <v>47</v>
      </c>
      <c r="M723" s="5" t="s">
        <v>65</v>
      </c>
      <c r="N723" s="5" t="s">
        <v>66</v>
      </c>
      <c r="O723" s="12"/>
      <c r="S723" s="13">
        <v>55030</v>
      </c>
      <c r="U723" s="13">
        <v>55030</v>
      </c>
      <c r="AC723" s="10" t="s">
        <v>1732</v>
      </c>
      <c r="AD723" s="5" t="s">
        <v>1722</v>
      </c>
      <c r="AE723" s="5" t="s">
        <v>78</v>
      </c>
    </row>
    <row r="724" spans="1:33" ht="10" customHeight="1" x14ac:dyDescent="0.2">
      <c r="A724" s="5" t="s">
        <v>40</v>
      </c>
      <c r="B724" s="5" t="s">
        <v>41</v>
      </c>
      <c r="D724" s="5" t="s">
        <v>1733</v>
      </c>
      <c r="E724" s="10" t="s">
        <v>345</v>
      </c>
      <c r="F724" s="5" t="s">
        <v>1449</v>
      </c>
      <c r="G724" s="5" t="s">
        <v>464</v>
      </c>
      <c r="I724" s="11">
        <v>1</v>
      </c>
      <c r="J724" s="5" t="s">
        <v>45</v>
      </c>
      <c r="K724" s="10" t="s">
        <v>46</v>
      </c>
      <c r="L724" s="5" t="s">
        <v>47</v>
      </c>
      <c r="M724" s="5" t="s">
        <v>65</v>
      </c>
      <c r="N724" s="5" t="s">
        <v>66</v>
      </c>
      <c r="O724" s="12"/>
      <c r="S724" s="13">
        <v>15998</v>
      </c>
      <c r="U724" s="13">
        <v>15998</v>
      </c>
      <c r="AC724" s="10" t="s">
        <v>1734</v>
      </c>
      <c r="AD724" s="5" t="s">
        <v>1735</v>
      </c>
      <c r="AE724" s="5" t="s">
        <v>78</v>
      </c>
    </row>
    <row r="725" spans="1:33" ht="10" customHeight="1" x14ac:dyDescent="0.2">
      <c r="A725" s="5" t="s">
        <v>40</v>
      </c>
      <c r="B725" s="5" t="s">
        <v>41</v>
      </c>
      <c r="D725" s="5" t="s">
        <v>1736</v>
      </c>
      <c r="E725" s="10" t="s">
        <v>345</v>
      </c>
      <c r="F725" s="5" t="s">
        <v>1449</v>
      </c>
      <c r="G725" s="5" t="s">
        <v>464</v>
      </c>
      <c r="I725" s="11">
        <v>1</v>
      </c>
      <c r="J725" s="5" t="s">
        <v>45</v>
      </c>
      <c r="K725" s="10" t="s">
        <v>46</v>
      </c>
      <c r="L725" s="5" t="s">
        <v>47</v>
      </c>
      <c r="M725" s="5" t="s">
        <v>65</v>
      </c>
      <c r="N725" s="5" t="s">
        <v>66</v>
      </c>
      <c r="O725" s="12"/>
      <c r="S725" s="13">
        <v>721</v>
      </c>
      <c r="U725" s="13">
        <v>721</v>
      </c>
      <c r="AC725" s="10" t="s">
        <v>1737</v>
      </c>
      <c r="AD725" s="5" t="s">
        <v>1735</v>
      </c>
      <c r="AE725" s="5" t="s">
        <v>78</v>
      </c>
    </row>
    <row r="726" spans="1:33" ht="10" customHeight="1" x14ac:dyDescent="0.2">
      <c r="A726" s="5" t="s">
        <v>40</v>
      </c>
      <c r="B726" s="5" t="s">
        <v>41</v>
      </c>
      <c r="D726" s="5" t="s">
        <v>1738</v>
      </c>
      <c r="E726" s="10" t="s">
        <v>345</v>
      </c>
      <c r="F726" s="5" t="s">
        <v>1449</v>
      </c>
      <c r="G726" s="5" t="s">
        <v>464</v>
      </c>
      <c r="I726" s="11">
        <v>1</v>
      </c>
      <c r="J726" s="5" t="s">
        <v>45</v>
      </c>
      <c r="K726" s="10" t="s">
        <v>46</v>
      </c>
      <c r="L726" s="5" t="s">
        <v>47</v>
      </c>
      <c r="M726" s="5" t="s">
        <v>65</v>
      </c>
      <c r="N726" s="5" t="s">
        <v>66</v>
      </c>
      <c r="O726" s="12"/>
      <c r="S726" s="13">
        <v>858</v>
      </c>
      <c r="U726" s="13">
        <v>858</v>
      </c>
      <c r="AC726" s="10" t="s">
        <v>1739</v>
      </c>
      <c r="AD726" s="5" t="s">
        <v>1735</v>
      </c>
      <c r="AE726" s="5" t="s">
        <v>78</v>
      </c>
    </row>
    <row r="727" spans="1:33" ht="10" customHeight="1" x14ac:dyDescent="0.2">
      <c r="A727" s="5" t="s">
        <v>40</v>
      </c>
      <c r="B727" s="5" t="s">
        <v>41</v>
      </c>
      <c r="D727" s="5" t="s">
        <v>1740</v>
      </c>
      <c r="E727" s="10" t="s">
        <v>345</v>
      </c>
      <c r="F727" s="5" t="s">
        <v>1449</v>
      </c>
      <c r="G727" s="5" t="s">
        <v>464</v>
      </c>
      <c r="I727" s="11">
        <v>1</v>
      </c>
      <c r="J727" s="5" t="s">
        <v>45</v>
      </c>
      <c r="K727" s="10" t="s">
        <v>46</v>
      </c>
      <c r="L727" s="5" t="s">
        <v>47</v>
      </c>
      <c r="M727" s="5" t="s">
        <v>65</v>
      </c>
      <c r="N727" s="5" t="s">
        <v>66</v>
      </c>
      <c r="O727" s="12"/>
      <c r="S727" s="13">
        <v>191</v>
      </c>
      <c r="U727" s="13">
        <v>191</v>
      </c>
      <c r="AC727" s="10" t="s">
        <v>1741</v>
      </c>
      <c r="AD727" s="5" t="s">
        <v>1735</v>
      </c>
      <c r="AE727" s="5" t="s">
        <v>78</v>
      </c>
    </row>
    <row r="728" spans="1:33" ht="10" customHeight="1" x14ac:dyDescent="0.2">
      <c r="A728" s="5" t="s">
        <v>40</v>
      </c>
      <c r="B728" s="5" t="s">
        <v>41</v>
      </c>
      <c r="D728" s="5" t="s">
        <v>1742</v>
      </c>
      <c r="E728" s="10" t="s">
        <v>345</v>
      </c>
      <c r="F728" s="5" t="s">
        <v>1449</v>
      </c>
      <c r="G728" s="5" t="s">
        <v>464</v>
      </c>
      <c r="I728" s="11">
        <v>1</v>
      </c>
      <c r="J728" s="5" t="s">
        <v>45</v>
      </c>
      <c r="K728" s="10" t="s">
        <v>46</v>
      </c>
      <c r="L728" s="5" t="s">
        <v>47</v>
      </c>
      <c r="M728" s="5" t="s">
        <v>65</v>
      </c>
      <c r="N728" s="5" t="s">
        <v>66</v>
      </c>
      <c r="O728" s="12"/>
      <c r="S728" s="13">
        <v>1333</v>
      </c>
      <c r="U728" s="13">
        <v>1333</v>
      </c>
      <c r="AC728" s="10" t="s">
        <v>1743</v>
      </c>
      <c r="AD728" s="5" t="s">
        <v>1735</v>
      </c>
      <c r="AE728" s="5" t="s">
        <v>78</v>
      </c>
    </row>
    <row r="729" spans="1:33" ht="10" customHeight="1" x14ac:dyDescent="0.2">
      <c r="A729" s="5" t="s">
        <v>40</v>
      </c>
      <c r="B729" s="5" t="s">
        <v>41</v>
      </c>
      <c r="D729" s="5" t="s">
        <v>1744</v>
      </c>
      <c r="E729" s="10" t="s">
        <v>345</v>
      </c>
      <c r="F729" s="5" t="s">
        <v>1449</v>
      </c>
      <c r="G729" s="5" t="s">
        <v>464</v>
      </c>
      <c r="I729" s="11">
        <v>1</v>
      </c>
      <c r="J729" s="5" t="s">
        <v>45</v>
      </c>
      <c r="K729" s="10" t="s">
        <v>46</v>
      </c>
      <c r="L729" s="5" t="s">
        <v>47</v>
      </c>
      <c r="M729" s="5" t="s">
        <v>65</v>
      </c>
      <c r="N729" s="5" t="s">
        <v>66</v>
      </c>
      <c r="O729" s="12"/>
      <c r="S729" s="13">
        <v>6014</v>
      </c>
      <c r="U729" s="13">
        <v>6014</v>
      </c>
      <c r="AC729" s="10" t="s">
        <v>1745</v>
      </c>
      <c r="AD729" s="5" t="s">
        <v>1746</v>
      </c>
      <c r="AE729" s="5" t="s">
        <v>78</v>
      </c>
    </row>
    <row r="730" spans="1:33" ht="10" customHeight="1" x14ac:dyDescent="0.2">
      <c r="A730" s="5" t="s">
        <v>40</v>
      </c>
      <c r="B730" s="5" t="s">
        <v>41</v>
      </c>
      <c r="D730" s="5" t="s">
        <v>1747</v>
      </c>
      <c r="E730" s="10" t="s">
        <v>345</v>
      </c>
      <c r="F730" s="5" t="s">
        <v>1449</v>
      </c>
      <c r="G730" s="5" t="s">
        <v>464</v>
      </c>
      <c r="I730" s="11">
        <v>1</v>
      </c>
      <c r="J730" s="5" t="s">
        <v>45</v>
      </c>
      <c r="K730" s="10" t="s">
        <v>46</v>
      </c>
      <c r="L730" s="5" t="s">
        <v>47</v>
      </c>
      <c r="M730" s="5" t="s">
        <v>65</v>
      </c>
      <c r="N730" s="5" t="s">
        <v>66</v>
      </c>
      <c r="O730" s="12"/>
      <c r="S730" s="13">
        <v>11</v>
      </c>
      <c r="U730" s="13">
        <v>11</v>
      </c>
      <c r="AC730" s="10" t="s">
        <v>1748</v>
      </c>
      <c r="AD730" s="5" t="s">
        <v>1746</v>
      </c>
      <c r="AE730" s="5" t="s">
        <v>78</v>
      </c>
    </row>
    <row r="731" spans="1:33" ht="10" customHeight="1" x14ac:dyDescent="0.2">
      <c r="A731" s="5" t="s">
        <v>40</v>
      </c>
      <c r="B731" s="5" t="s">
        <v>41</v>
      </c>
      <c r="D731" s="5" t="s">
        <v>1749</v>
      </c>
      <c r="E731" s="10" t="s">
        <v>345</v>
      </c>
      <c r="F731" s="5" t="s">
        <v>1449</v>
      </c>
      <c r="G731" s="5" t="s">
        <v>464</v>
      </c>
      <c r="I731" s="11">
        <v>1</v>
      </c>
      <c r="J731" s="5" t="s">
        <v>45</v>
      </c>
      <c r="K731" s="10" t="s">
        <v>46</v>
      </c>
      <c r="L731" s="5" t="s">
        <v>47</v>
      </c>
      <c r="M731" s="5" t="s">
        <v>65</v>
      </c>
      <c r="N731" s="5" t="s">
        <v>66</v>
      </c>
      <c r="O731" s="12"/>
      <c r="S731" s="13">
        <v>375</v>
      </c>
      <c r="U731" s="13">
        <v>375</v>
      </c>
      <c r="AC731" s="10" t="s">
        <v>1750</v>
      </c>
      <c r="AD731" s="5" t="s">
        <v>1746</v>
      </c>
      <c r="AE731" s="5" t="s">
        <v>78</v>
      </c>
    </row>
    <row r="732" spans="1:33" ht="10" customHeight="1" x14ac:dyDescent="0.2">
      <c r="A732" s="5" t="s">
        <v>40</v>
      </c>
      <c r="B732" s="5" t="s">
        <v>41</v>
      </c>
      <c r="D732" s="5" t="s">
        <v>1751</v>
      </c>
      <c r="E732" s="10" t="s">
        <v>345</v>
      </c>
      <c r="F732" s="5" t="s">
        <v>1449</v>
      </c>
      <c r="G732" s="5" t="s">
        <v>464</v>
      </c>
      <c r="I732" s="11">
        <v>1</v>
      </c>
      <c r="J732" s="5" t="s">
        <v>45</v>
      </c>
      <c r="K732" s="10" t="s">
        <v>46</v>
      </c>
      <c r="L732" s="5" t="s">
        <v>47</v>
      </c>
      <c r="M732" s="5" t="s">
        <v>65</v>
      </c>
      <c r="N732" s="5" t="s">
        <v>66</v>
      </c>
      <c r="O732" s="12"/>
      <c r="S732" s="13">
        <v>439</v>
      </c>
      <c r="U732" s="13">
        <v>439</v>
      </c>
      <c r="AC732" s="10" t="s">
        <v>1752</v>
      </c>
      <c r="AD732" s="5" t="s">
        <v>1746</v>
      </c>
      <c r="AE732" s="5" t="s">
        <v>78</v>
      </c>
    </row>
    <row r="733" spans="1:33" ht="10" customHeight="1" x14ac:dyDescent="0.2">
      <c r="A733" s="5" t="s">
        <v>40</v>
      </c>
      <c r="B733" s="5" t="s">
        <v>41</v>
      </c>
      <c r="D733" s="5" t="s">
        <v>1753</v>
      </c>
      <c r="E733" s="10" t="s">
        <v>345</v>
      </c>
      <c r="F733" s="5" t="s">
        <v>1449</v>
      </c>
      <c r="G733" s="5" t="s">
        <v>464</v>
      </c>
      <c r="I733" s="11">
        <v>1</v>
      </c>
      <c r="J733" s="5" t="s">
        <v>45</v>
      </c>
      <c r="K733" s="10" t="s">
        <v>46</v>
      </c>
      <c r="L733" s="5" t="s">
        <v>47</v>
      </c>
      <c r="M733" s="5" t="s">
        <v>65</v>
      </c>
      <c r="N733" s="5" t="s">
        <v>66</v>
      </c>
      <c r="O733" s="12"/>
      <c r="S733" s="13">
        <v>228</v>
      </c>
      <c r="U733" s="13">
        <v>228</v>
      </c>
      <c r="AC733" s="10" t="s">
        <v>1754</v>
      </c>
      <c r="AD733" s="5" t="s">
        <v>1746</v>
      </c>
      <c r="AE733" s="5" t="s">
        <v>78</v>
      </c>
    </row>
    <row r="734" spans="1:33" ht="10" customHeight="1" x14ac:dyDescent="0.2">
      <c r="A734" s="5" t="s">
        <v>40</v>
      </c>
      <c r="B734" s="5" t="s">
        <v>41</v>
      </c>
      <c r="D734" s="5" t="s">
        <v>1755</v>
      </c>
      <c r="E734" s="10" t="s">
        <v>345</v>
      </c>
      <c r="F734" s="5" t="s">
        <v>1449</v>
      </c>
      <c r="G734" s="5" t="s">
        <v>464</v>
      </c>
      <c r="I734" s="11">
        <v>1</v>
      </c>
      <c r="J734" s="5" t="s">
        <v>45</v>
      </c>
      <c r="K734" s="10" t="s">
        <v>46</v>
      </c>
      <c r="L734" s="5" t="s">
        <v>47</v>
      </c>
      <c r="M734" s="5" t="s">
        <v>65</v>
      </c>
      <c r="N734" s="5" t="s">
        <v>66</v>
      </c>
      <c r="O734" s="12"/>
      <c r="S734" s="13">
        <v>9661</v>
      </c>
      <c r="U734" s="13">
        <v>9661</v>
      </c>
      <c r="AC734" s="10" t="s">
        <v>1756</v>
      </c>
      <c r="AD734" s="5" t="s">
        <v>1757</v>
      </c>
      <c r="AE734" s="5" t="s">
        <v>78</v>
      </c>
    </row>
    <row r="735" spans="1:33" ht="10" customHeight="1" x14ac:dyDescent="0.2">
      <c r="A735" s="5" t="s">
        <v>40</v>
      </c>
      <c r="B735" s="5" t="s">
        <v>41</v>
      </c>
      <c r="D735" s="5" t="s">
        <v>1758</v>
      </c>
      <c r="E735" s="10" t="s">
        <v>345</v>
      </c>
      <c r="F735" s="5" t="s">
        <v>1449</v>
      </c>
      <c r="G735" s="5" t="s">
        <v>464</v>
      </c>
      <c r="I735" s="11">
        <v>1</v>
      </c>
      <c r="J735" s="5" t="s">
        <v>45</v>
      </c>
      <c r="K735" s="10" t="s">
        <v>46</v>
      </c>
      <c r="L735" s="5" t="s">
        <v>47</v>
      </c>
      <c r="M735" s="5" t="s">
        <v>65</v>
      </c>
      <c r="N735" s="5" t="s">
        <v>66</v>
      </c>
      <c r="O735" s="12"/>
      <c r="S735" s="13">
        <v>76</v>
      </c>
      <c r="U735" s="13">
        <v>76</v>
      </c>
      <c r="AC735" s="10" t="s">
        <v>1759</v>
      </c>
      <c r="AD735" s="5" t="s">
        <v>1757</v>
      </c>
      <c r="AE735" s="5" t="s">
        <v>78</v>
      </c>
      <c r="AG735" s="5" t="s">
        <v>1760</v>
      </c>
    </row>
    <row r="736" spans="1:33" ht="10" customHeight="1" x14ac:dyDescent="0.2">
      <c r="A736" s="5" t="s">
        <v>40</v>
      </c>
      <c r="B736" s="5" t="s">
        <v>41</v>
      </c>
      <c r="D736" s="5" t="s">
        <v>1761</v>
      </c>
      <c r="E736" s="10" t="s">
        <v>345</v>
      </c>
      <c r="F736" s="5" t="s">
        <v>1449</v>
      </c>
      <c r="G736" s="5" t="s">
        <v>464</v>
      </c>
      <c r="I736" s="11">
        <v>1</v>
      </c>
      <c r="J736" s="5" t="s">
        <v>45</v>
      </c>
      <c r="K736" s="10" t="s">
        <v>46</v>
      </c>
      <c r="L736" s="5" t="s">
        <v>47</v>
      </c>
      <c r="M736" s="5" t="s">
        <v>65</v>
      </c>
      <c r="N736" s="5" t="s">
        <v>66</v>
      </c>
      <c r="O736" s="12"/>
      <c r="S736" s="13">
        <v>802</v>
      </c>
      <c r="U736" s="13">
        <v>802</v>
      </c>
      <c r="AC736" s="10" t="s">
        <v>1762</v>
      </c>
      <c r="AD736" s="5" t="s">
        <v>1757</v>
      </c>
      <c r="AE736" s="5" t="s">
        <v>78</v>
      </c>
    </row>
    <row r="737" spans="1:33" ht="10" customHeight="1" x14ac:dyDescent="0.2">
      <c r="A737" s="5" t="s">
        <v>40</v>
      </c>
      <c r="B737" s="5" t="s">
        <v>41</v>
      </c>
      <c r="D737" s="5" t="s">
        <v>1763</v>
      </c>
      <c r="E737" s="10" t="s">
        <v>345</v>
      </c>
      <c r="F737" s="5" t="s">
        <v>1449</v>
      </c>
      <c r="G737" s="5" t="s">
        <v>464</v>
      </c>
      <c r="I737" s="11">
        <v>1</v>
      </c>
      <c r="J737" s="5" t="s">
        <v>45</v>
      </c>
      <c r="K737" s="10" t="s">
        <v>46</v>
      </c>
      <c r="L737" s="5" t="s">
        <v>47</v>
      </c>
      <c r="M737" s="5" t="s">
        <v>65</v>
      </c>
      <c r="N737" s="5" t="s">
        <v>66</v>
      </c>
      <c r="O737" s="12"/>
      <c r="S737" s="13">
        <v>529</v>
      </c>
      <c r="U737" s="13">
        <v>529</v>
      </c>
      <c r="AC737" s="10" t="s">
        <v>1764</v>
      </c>
      <c r="AD737" s="5" t="s">
        <v>1757</v>
      </c>
      <c r="AE737" s="5" t="s">
        <v>78</v>
      </c>
    </row>
    <row r="738" spans="1:33" ht="10" customHeight="1" x14ac:dyDescent="0.2">
      <c r="A738" s="5" t="s">
        <v>40</v>
      </c>
      <c r="B738" s="5" t="s">
        <v>41</v>
      </c>
      <c r="D738" s="5" t="s">
        <v>1765</v>
      </c>
      <c r="E738" s="10" t="s">
        <v>345</v>
      </c>
      <c r="F738" s="5" t="s">
        <v>1449</v>
      </c>
      <c r="G738" s="5" t="s">
        <v>464</v>
      </c>
      <c r="I738" s="11">
        <v>1</v>
      </c>
      <c r="J738" s="5" t="s">
        <v>45</v>
      </c>
      <c r="K738" s="10" t="s">
        <v>46</v>
      </c>
      <c r="L738" s="5" t="s">
        <v>47</v>
      </c>
      <c r="M738" s="5" t="s">
        <v>65</v>
      </c>
      <c r="N738" s="5" t="s">
        <v>66</v>
      </c>
      <c r="O738" s="12"/>
      <c r="S738" s="13">
        <v>2414</v>
      </c>
      <c r="U738" s="13">
        <v>2414</v>
      </c>
      <c r="AC738" s="10" t="s">
        <v>1766</v>
      </c>
      <c r="AD738" s="5" t="s">
        <v>1757</v>
      </c>
      <c r="AE738" s="5" t="s">
        <v>78</v>
      </c>
    </row>
    <row r="739" spans="1:33" ht="10" customHeight="1" x14ac:dyDescent="0.2">
      <c r="A739" s="5" t="s">
        <v>40</v>
      </c>
      <c r="B739" s="5" t="s">
        <v>41</v>
      </c>
      <c r="D739" s="5" t="s">
        <v>1767</v>
      </c>
      <c r="E739" s="10" t="s">
        <v>345</v>
      </c>
      <c r="F739" s="5" t="s">
        <v>1449</v>
      </c>
      <c r="G739" s="5" t="s">
        <v>464</v>
      </c>
      <c r="I739" s="11">
        <v>1</v>
      </c>
      <c r="J739" s="5" t="s">
        <v>45</v>
      </c>
      <c r="K739" s="10" t="s">
        <v>46</v>
      </c>
      <c r="L739" s="5" t="s">
        <v>47</v>
      </c>
      <c r="M739" s="5" t="s">
        <v>65</v>
      </c>
      <c r="N739" s="5" t="s">
        <v>66</v>
      </c>
      <c r="O739" s="12"/>
      <c r="S739" s="13">
        <v>7970</v>
      </c>
      <c r="U739" s="13">
        <v>7970</v>
      </c>
      <c r="AC739" s="10" t="s">
        <v>1768</v>
      </c>
      <c r="AD739" s="5" t="s">
        <v>1769</v>
      </c>
      <c r="AE739" s="5" t="s">
        <v>78</v>
      </c>
    </row>
    <row r="740" spans="1:33" ht="10" customHeight="1" x14ac:dyDescent="0.2">
      <c r="A740" s="5" t="s">
        <v>40</v>
      </c>
      <c r="B740" s="5" t="s">
        <v>41</v>
      </c>
      <c r="D740" s="5" t="s">
        <v>1770</v>
      </c>
      <c r="E740" s="10" t="s">
        <v>345</v>
      </c>
      <c r="F740" s="5" t="s">
        <v>1449</v>
      </c>
      <c r="G740" s="5" t="s">
        <v>464</v>
      </c>
      <c r="I740" s="11">
        <v>1</v>
      </c>
      <c r="J740" s="5" t="s">
        <v>45</v>
      </c>
      <c r="K740" s="10" t="s">
        <v>46</v>
      </c>
      <c r="L740" s="5" t="s">
        <v>47</v>
      </c>
      <c r="M740" s="5" t="s">
        <v>65</v>
      </c>
      <c r="N740" s="5" t="s">
        <v>66</v>
      </c>
      <c r="O740" s="12"/>
      <c r="S740" s="13">
        <v>68</v>
      </c>
      <c r="U740" s="13">
        <v>68</v>
      </c>
      <c r="AC740" s="10" t="s">
        <v>1771</v>
      </c>
      <c r="AD740" s="5" t="s">
        <v>1769</v>
      </c>
      <c r="AE740" s="5" t="s">
        <v>78</v>
      </c>
    </row>
    <row r="741" spans="1:33" ht="10" customHeight="1" x14ac:dyDescent="0.2">
      <c r="A741" s="5" t="s">
        <v>40</v>
      </c>
      <c r="B741" s="5" t="s">
        <v>41</v>
      </c>
      <c r="D741" s="5" t="s">
        <v>1772</v>
      </c>
      <c r="E741" s="10" t="s">
        <v>345</v>
      </c>
      <c r="F741" s="5" t="s">
        <v>1449</v>
      </c>
      <c r="G741" s="5" t="s">
        <v>464</v>
      </c>
      <c r="I741" s="11">
        <v>1</v>
      </c>
      <c r="J741" s="5" t="s">
        <v>45</v>
      </c>
      <c r="K741" s="10" t="s">
        <v>46</v>
      </c>
      <c r="L741" s="5" t="s">
        <v>47</v>
      </c>
      <c r="M741" s="5" t="s">
        <v>65</v>
      </c>
      <c r="N741" s="5" t="s">
        <v>66</v>
      </c>
      <c r="O741" s="12"/>
      <c r="S741" s="13">
        <v>69</v>
      </c>
      <c r="U741" s="13">
        <v>69</v>
      </c>
      <c r="AC741" s="10" t="s">
        <v>1773</v>
      </c>
      <c r="AD741" s="5" t="s">
        <v>1769</v>
      </c>
      <c r="AE741" s="5" t="s">
        <v>78</v>
      </c>
    </row>
    <row r="742" spans="1:33" ht="10" customHeight="1" x14ac:dyDescent="0.2">
      <c r="A742" s="5" t="s">
        <v>40</v>
      </c>
      <c r="B742" s="5" t="s">
        <v>41</v>
      </c>
      <c r="D742" s="5" t="s">
        <v>1774</v>
      </c>
      <c r="E742" s="10" t="s">
        <v>345</v>
      </c>
      <c r="F742" s="5" t="s">
        <v>1449</v>
      </c>
      <c r="G742" s="5" t="s">
        <v>464</v>
      </c>
      <c r="I742" s="11">
        <v>1</v>
      </c>
      <c r="J742" s="5" t="s">
        <v>45</v>
      </c>
      <c r="K742" s="10" t="s">
        <v>46</v>
      </c>
      <c r="L742" s="5" t="s">
        <v>47</v>
      </c>
      <c r="M742" s="5" t="s">
        <v>65</v>
      </c>
      <c r="N742" s="5" t="s">
        <v>66</v>
      </c>
      <c r="O742" s="12"/>
      <c r="S742" s="13">
        <v>125</v>
      </c>
      <c r="U742" s="13">
        <v>125</v>
      </c>
      <c r="AC742" s="10" t="s">
        <v>1775</v>
      </c>
      <c r="AD742" s="5" t="s">
        <v>1769</v>
      </c>
      <c r="AE742" s="5" t="s">
        <v>78</v>
      </c>
    </row>
    <row r="743" spans="1:33" ht="10" customHeight="1" x14ac:dyDescent="0.2">
      <c r="A743" s="5" t="s">
        <v>40</v>
      </c>
      <c r="B743" s="5" t="s">
        <v>41</v>
      </c>
      <c r="D743" s="5" t="s">
        <v>1776</v>
      </c>
      <c r="E743" s="10" t="s">
        <v>345</v>
      </c>
      <c r="F743" s="5" t="s">
        <v>1449</v>
      </c>
      <c r="G743" s="5" t="s">
        <v>464</v>
      </c>
      <c r="I743" s="11">
        <v>1</v>
      </c>
      <c r="J743" s="5" t="s">
        <v>45</v>
      </c>
      <c r="K743" s="10" t="s">
        <v>46</v>
      </c>
      <c r="L743" s="5" t="s">
        <v>47</v>
      </c>
      <c r="M743" s="5" t="s">
        <v>65</v>
      </c>
      <c r="N743" s="5" t="s">
        <v>66</v>
      </c>
      <c r="O743" s="12"/>
      <c r="S743" s="13">
        <v>5846</v>
      </c>
      <c r="U743" s="13">
        <v>5846</v>
      </c>
      <c r="AC743" s="10" t="s">
        <v>1777</v>
      </c>
      <c r="AD743" s="5" t="s">
        <v>1778</v>
      </c>
      <c r="AE743" s="5" t="s">
        <v>78</v>
      </c>
    </row>
    <row r="744" spans="1:33" ht="10" customHeight="1" x14ac:dyDescent="0.2">
      <c r="A744" s="5" t="s">
        <v>40</v>
      </c>
      <c r="B744" s="5" t="s">
        <v>41</v>
      </c>
      <c r="D744" s="5" t="s">
        <v>1779</v>
      </c>
      <c r="E744" s="10" t="s">
        <v>345</v>
      </c>
      <c r="F744" s="5" t="s">
        <v>1449</v>
      </c>
      <c r="G744" s="5" t="s">
        <v>464</v>
      </c>
      <c r="I744" s="11">
        <v>1</v>
      </c>
      <c r="J744" s="5" t="s">
        <v>45</v>
      </c>
      <c r="K744" s="10" t="s">
        <v>46</v>
      </c>
      <c r="L744" s="5" t="s">
        <v>47</v>
      </c>
      <c r="M744" s="5" t="s">
        <v>65</v>
      </c>
      <c r="N744" s="5" t="s">
        <v>66</v>
      </c>
      <c r="O744" s="12"/>
      <c r="S744" s="13">
        <v>364</v>
      </c>
      <c r="U744" s="13">
        <v>364</v>
      </c>
      <c r="AC744" s="10" t="s">
        <v>1780</v>
      </c>
      <c r="AD744" s="5" t="s">
        <v>1778</v>
      </c>
      <c r="AE744" s="5" t="s">
        <v>78</v>
      </c>
      <c r="AG744" s="5" t="s">
        <v>1781</v>
      </c>
    </row>
    <row r="745" spans="1:33" ht="10" customHeight="1" x14ac:dyDescent="0.2">
      <c r="A745" s="5" t="s">
        <v>40</v>
      </c>
      <c r="B745" s="5" t="s">
        <v>41</v>
      </c>
      <c r="D745" s="5" t="s">
        <v>1782</v>
      </c>
      <c r="E745" s="10" t="s">
        <v>345</v>
      </c>
      <c r="F745" s="5" t="s">
        <v>1449</v>
      </c>
      <c r="G745" s="5" t="s">
        <v>464</v>
      </c>
      <c r="I745" s="11">
        <v>1</v>
      </c>
      <c r="J745" s="5" t="s">
        <v>45</v>
      </c>
      <c r="K745" s="10" t="s">
        <v>46</v>
      </c>
      <c r="L745" s="5" t="s">
        <v>47</v>
      </c>
      <c r="M745" s="5" t="s">
        <v>65</v>
      </c>
      <c r="N745" s="5" t="s">
        <v>66</v>
      </c>
      <c r="O745" s="12"/>
      <c r="S745" s="13">
        <v>889</v>
      </c>
      <c r="U745" s="13">
        <v>889</v>
      </c>
      <c r="AC745" s="10" t="s">
        <v>1783</v>
      </c>
      <c r="AD745" s="5" t="s">
        <v>1778</v>
      </c>
      <c r="AE745" s="5" t="s">
        <v>78</v>
      </c>
    </row>
    <row r="746" spans="1:33" ht="10" customHeight="1" x14ac:dyDescent="0.2">
      <c r="A746" s="5" t="s">
        <v>40</v>
      </c>
      <c r="B746" s="5" t="s">
        <v>41</v>
      </c>
      <c r="D746" s="5" t="s">
        <v>1784</v>
      </c>
      <c r="E746" s="10" t="s">
        <v>345</v>
      </c>
      <c r="F746" s="5" t="s">
        <v>1449</v>
      </c>
      <c r="G746" s="5" t="s">
        <v>464</v>
      </c>
      <c r="I746" s="11">
        <v>1</v>
      </c>
      <c r="J746" s="5" t="s">
        <v>45</v>
      </c>
      <c r="K746" s="10" t="s">
        <v>46</v>
      </c>
      <c r="L746" s="5" t="s">
        <v>47</v>
      </c>
      <c r="M746" s="5" t="s">
        <v>65</v>
      </c>
      <c r="N746" s="5" t="s">
        <v>66</v>
      </c>
      <c r="O746" s="12"/>
      <c r="S746" s="13">
        <v>233</v>
      </c>
      <c r="U746" s="13">
        <v>233</v>
      </c>
      <c r="AC746" s="10" t="s">
        <v>1785</v>
      </c>
      <c r="AD746" s="5" t="s">
        <v>1778</v>
      </c>
      <c r="AE746" s="5" t="s">
        <v>78</v>
      </c>
    </row>
    <row r="747" spans="1:33" ht="10" customHeight="1" x14ac:dyDescent="0.2">
      <c r="A747" s="5" t="s">
        <v>40</v>
      </c>
      <c r="B747" s="5" t="s">
        <v>41</v>
      </c>
      <c r="D747" s="5" t="s">
        <v>1786</v>
      </c>
      <c r="E747" s="10" t="s">
        <v>345</v>
      </c>
      <c r="F747" s="5" t="s">
        <v>1449</v>
      </c>
      <c r="G747" s="5" t="s">
        <v>464</v>
      </c>
      <c r="I747" s="11">
        <v>1</v>
      </c>
      <c r="J747" s="5" t="s">
        <v>45</v>
      </c>
      <c r="K747" s="10" t="s">
        <v>46</v>
      </c>
      <c r="L747" s="5" t="s">
        <v>47</v>
      </c>
      <c r="M747" s="5" t="s">
        <v>65</v>
      </c>
      <c r="N747" s="5" t="s">
        <v>66</v>
      </c>
      <c r="O747" s="12"/>
      <c r="S747" s="13">
        <v>744</v>
      </c>
      <c r="U747" s="13">
        <v>744</v>
      </c>
      <c r="AC747" s="10" t="s">
        <v>1787</v>
      </c>
      <c r="AD747" s="5" t="s">
        <v>1778</v>
      </c>
      <c r="AE747" s="5" t="s">
        <v>78</v>
      </c>
    </row>
    <row r="748" spans="1:33" ht="10" customHeight="1" x14ac:dyDescent="0.2">
      <c r="A748" s="5" t="s">
        <v>40</v>
      </c>
      <c r="B748" s="5" t="s">
        <v>41</v>
      </c>
      <c r="D748" s="5" t="s">
        <v>1788</v>
      </c>
      <c r="E748" s="10" t="s">
        <v>345</v>
      </c>
      <c r="F748" s="5" t="s">
        <v>1449</v>
      </c>
      <c r="G748" s="5" t="s">
        <v>464</v>
      </c>
      <c r="I748" s="11">
        <v>1</v>
      </c>
      <c r="J748" s="5" t="s">
        <v>45</v>
      </c>
      <c r="K748" s="10" t="s">
        <v>46</v>
      </c>
      <c r="L748" s="5" t="s">
        <v>47</v>
      </c>
      <c r="M748" s="5" t="s">
        <v>65</v>
      </c>
      <c r="N748" s="5" t="s">
        <v>66</v>
      </c>
      <c r="O748" s="12"/>
      <c r="S748" s="13">
        <v>6416</v>
      </c>
      <c r="U748" s="13">
        <v>6416</v>
      </c>
      <c r="AC748" s="10" t="s">
        <v>1789</v>
      </c>
      <c r="AD748" s="5" t="s">
        <v>1790</v>
      </c>
      <c r="AE748" s="5" t="s">
        <v>78</v>
      </c>
    </row>
    <row r="749" spans="1:33" ht="10" customHeight="1" x14ac:dyDescent="0.2">
      <c r="A749" s="5" t="s">
        <v>40</v>
      </c>
      <c r="B749" s="5" t="s">
        <v>41</v>
      </c>
      <c r="D749" s="5" t="s">
        <v>1791</v>
      </c>
      <c r="E749" s="10" t="s">
        <v>345</v>
      </c>
      <c r="F749" s="5" t="s">
        <v>1449</v>
      </c>
      <c r="G749" s="5" t="s">
        <v>464</v>
      </c>
      <c r="I749" s="11">
        <v>1</v>
      </c>
      <c r="J749" s="5" t="s">
        <v>45</v>
      </c>
      <c r="K749" s="10" t="s">
        <v>46</v>
      </c>
      <c r="L749" s="5" t="s">
        <v>47</v>
      </c>
      <c r="M749" s="5" t="s">
        <v>65</v>
      </c>
      <c r="N749" s="5" t="s">
        <v>66</v>
      </c>
      <c r="O749" s="12"/>
      <c r="S749" s="13">
        <v>858</v>
      </c>
      <c r="U749" s="13">
        <v>858</v>
      </c>
      <c r="AC749" s="10" t="s">
        <v>1792</v>
      </c>
      <c r="AD749" s="5" t="s">
        <v>1790</v>
      </c>
      <c r="AE749" s="5" t="s">
        <v>78</v>
      </c>
      <c r="AG749" s="5" t="s">
        <v>1793</v>
      </c>
    </row>
    <row r="750" spans="1:33" ht="10" customHeight="1" x14ac:dyDescent="0.2">
      <c r="A750" s="5" t="s">
        <v>40</v>
      </c>
      <c r="B750" s="5" t="s">
        <v>41</v>
      </c>
      <c r="D750" s="5" t="s">
        <v>1794</v>
      </c>
      <c r="E750" s="10" t="s">
        <v>345</v>
      </c>
      <c r="F750" s="5" t="s">
        <v>1449</v>
      </c>
      <c r="G750" s="5" t="s">
        <v>464</v>
      </c>
      <c r="I750" s="11">
        <v>1</v>
      </c>
      <c r="J750" s="5" t="s">
        <v>45</v>
      </c>
      <c r="K750" s="10" t="s">
        <v>46</v>
      </c>
      <c r="L750" s="5" t="s">
        <v>47</v>
      </c>
      <c r="M750" s="5" t="s">
        <v>65</v>
      </c>
      <c r="N750" s="5" t="s">
        <v>66</v>
      </c>
      <c r="O750" s="12"/>
      <c r="S750" s="13">
        <v>250</v>
      </c>
      <c r="U750" s="13">
        <v>250</v>
      </c>
      <c r="AC750" s="10" t="s">
        <v>1795</v>
      </c>
      <c r="AD750" s="5" t="s">
        <v>1790</v>
      </c>
      <c r="AE750" s="5" t="s">
        <v>78</v>
      </c>
    </row>
    <row r="751" spans="1:33" ht="10" customHeight="1" x14ac:dyDescent="0.2">
      <c r="A751" s="5" t="s">
        <v>40</v>
      </c>
      <c r="B751" s="5" t="s">
        <v>41</v>
      </c>
      <c r="D751" s="5" t="s">
        <v>1796</v>
      </c>
      <c r="E751" s="10" t="s">
        <v>345</v>
      </c>
      <c r="F751" s="5" t="s">
        <v>1449</v>
      </c>
      <c r="G751" s="5" t="s">
        <v>464</v>
      </c>
      <c r="I751" s="11">
        <v>1</v>
      </c>
      <c r="J751" s="5" t="s">
        <v>45</v>
      </c>
      <c r="K751" s="10" t="s">
        <v>46</v>
      </c>
      <c r="L751" s="5" t="s">
        <v>47</v>
      </c>
      <c r="M751" s="5" t="s">
        <v>65</v>
      </c>
      <c r="N751" s="5" t="s">
        <v>66</v>
      </c>
      <c r="O751" s="12"/>
      <c r="S751" s="13">
        <v>259</v>
      </c>
      <c r="U751" s="13">
        <v>259</v>
      </c>
      <c r="AC751" s="10" t="s">
        <v>1797</v>
      </c>
      <c r="AD751" s="5" t="s">
        <v>1790</v>
      </c>
      <c r="AE751" s="5" t="s">
        <v>78</v>
      </c>
    </row>
    <row r="752" spans="1:33" ht="10" customHeight="1" x14ac:dyDescent="0.2">
      <c r="A752" s="5" t="s">
        <v>40</v>
      </c>
      <c r="B752" s="5" t="s">
        <v>41</v>
      </c>
      <c r="D752" s="5" t="s">
        <v>1798</v>
      </c>
      <c r="E752" s="10" t="s">
        <v>345</v>
      </c>
      <c r="F752" s="5" t="s">
        <v>1449</v>
      </c>
      <c r="G752" s="5" t="s">
        <v>464</v>
      </c>
      <c r="I752" s="11">
        <v>1</v>
      </c>
      <c r="J752" s="5" t="s">
        <v>45</v>
      </c>
      <c r="K752" s="10" t="s">
        <v>46</v>
      </c>
      <c r="L752" s="5" t="s">
        <v>47</v>
      </c>
      <c r="M752" s="5" t="s">
        <v>65</v>
      </c>
      <c r="N752" s="5" t="s">
        <v>66</v>
      </c>
      <c r="O752" s="12"/>
      <c r="S752" s="13">
        <v>643</v>
      </c>
      <c r="U752" s="13">
        <v>643</v>
      </c>
      <c r="AC752" s="10" t="s">
        <v>1799</v>
      </c>
      <c r="AD752" s="5" t="s">
        <v>1790</v>
      </c>
      <c r="AE752" s="5" t="s">
        <v>78</v>
      </c>
    </row>
    <row r="753" spans="1:33" ht="10" customHeight="1" x14ac:dyDescent="0.2">
      <c r="A753" s="5" t="s">
        <v>40</v>
      </c>
      <c r="B753" s="5" t="s">
        <v>41</v>
      </c>
      <c r="D753" s="5" t="s">
        <v>1800</v>
      </c>
      <c r="E753" s="10" t="s">
        <v>345</v>
      </c>
      <c r="F753" s="5" t="s">
        <v>1449</v>
      </c>
      <c r="G753" s="5" t="s">
        <v>464</v>
      </c>
      <c r="I753" s="11">
        <v>1</v>
      </c>
      <c r="J753" s="5" t="s">
        <v>45</v>
      </c>
      <c r="K753" s="10" t="s">
        <v>46</v>
      </c>
      <c r="L753" s="5" t="s">
        <v>47</v>
      </c>
      <c r="M753" s="5" t="s">
        <v>65</v>
      </c>
      <c r="N753" s="5" t="s">
        <v>66</v>
      </c>
      <c r="O753" s="12"/>
      <c r="S753" s="13">
        <v>3785</v>
      </c>
      <c r="U753" s="13">
        <v>3785</v>
      </c>
      <c r="AC753" s="10" t="s">
        <v>1801</v>
      </c>
      <c r="AD753" s="5" t="s">
        <v>1802</v>
      </c>
      <c r="AE753" s="5" t="s">
        <v>78</v>
      </c>
    </row>
    <row r="754" spans="1:33" ht="10" customHeight="1" x14ac:dyDescent="0.2">
      <c r="A754" s="5" t="s">
        <v>40</v>
      </c>
      <c r="B754" s="5" t="s">
        <v>41</v>
      </c>
      <c r="D754" s="5" t="s">
        <v>1803</v>
      </c>
      <c r="E754" s="10" t="s">
        <v>345</v>
      </c>
      <c r="F754" s="5" t="s">
        <v>1449</v>
      </c>
      <c r="G754" s="5" t="s">
        <v>464</v>
      </c>
      <c r="I754" s="11">
        <v>1</v>
      </c>
      <c r="J754" s="5" t="s">
        <v>45</v>
      </c>
      <c r="K754" s="10" t="s">
        <v>46</v>
      </c>
      <c r="L754" s="5" t="s">
        <v>47</v>
      </c>
      <c r="M754" s="5" t="s">
        <v>65</v>
      </c>
      <c r="N754" s="5" t="s">
        <v>66</v>
      </c>
      <c r="O754" s="12"/>
      <c r="S754" s="13">
        <v>79</v>
      </c>
      <c r="U754" s="13">
        <v>79</v>
      </c>
      <c r="AC754" s="10" t="s">
        <v>1804</v>
      </c>
      <c r="AD754" s="5" t="s">
        <v>1802</v>
      </c>
      <c r="AE754" s="5" t="s">
        <v>78</v>
      </c>
    </row>
    <row r="755" spans="1:33" ht="10" customHeight="1" x14ac:dyDescent="0.2">
      <c r="A755" s="5" t="s">
        <v>40</v>
      </c>
      <c r="B755" s="5" t="s">
        <v>41</v>
      </c>
      <c r="D755" s="5" t="s">
        <v>1805</v>
      </c>
      <c r="E755" s="10" t="s">
        <v>345</v>
      </c>
      <c r="F755" s="5" t="s">
        <v>1449</v>
      </c>
      <c r="G755" s="5" t="s">
        <v>464</v>
      </c>
      <c r="I755" s="11">
        <v>1</v>
      </c>
      <c r="J755" s="5" t="s">
        <v>45</v>
      </c>
      <c r="K755" s="10" t="s">
        <v>46</v>
      </c>
      <c r="L755" s="5" t="s">
        <v>47</v>
      </c>
      <c r="M755" s="5" t="s">
        <v>65</v>
      </c>
      <c r="N755" s="5" t="s">
        <v>66</v>
      </c>
      <c r="O755" s="12"/>
      <c r="S755" s="13">
        <v>82</v>
      </c>
      <c r="U755" s="13">
        <v>82</v>
      </c>
      <c r="AC755" s="10" t="s">
        <v>1806</v>
      </c>
      <c r="AD755" s="5" t="s">
        <v>1802</v>
      </c>
      <c r="AE755" s="5" t="s">
        <v>78</v>
      </c>
      <c r="AG755" s="5" t="s">
        <v>1807</v>
      </c>
    </row>
    <row r="756" spans="1:33" ht="10" customHeight="1" x14ac:dyDescent="0.2">
      <c r="A756" s="5" t="s">
        <v>40</v>
      </c>
      <c r="B756" s="5" t="s">
        <v>41</v>
      </c>
      <c r="D756" s="5" t="s">
        <v>1808</v>
      </c>
      <c r="E756" s="10" t="s">
        <v>345</v>
      </c>
      <c r="F756" s="5" t="s">
        <v>1449</v>
      </c>
      <c r="G756" s="5" t="s">
        <v>464</v>
      </c>
      <c r="I756" s="11">
        <v>1</v>
      </c>
      <c r="J756" s="5" t="s">
        <v>45</v>
      </c>
      <c r="K756" s="10" t="s">
        <v>46</v>
      </c>
      <c r="L756" s="5" t="s">
        <v>47</v>
      </c>
      <c r="M756" s="5" t="s">
        <v>65</v>
      </c>
      <c r="N756" s="5" t="s">
        <v>66</v>
      </c>
      <c r="O756" s="12"/>
      <c r="S756" s="13">
        <v>655</v>
      </c>
      <c r="U756" s="13">
        <v>655</v>
      </c>
      <c r="AC756" s="10" t="s">
        <v>1809</v>
      </c>
      <c r="AD756" s="5" t="s">
        <v>1802</v>
      </c>
      <c r="AE756" s="5" t="s">
        <v>78</v>
      </c>
    </row>
    <row r="757" spans="1:33" ht="10" customHeight="1" x14ac:dyDescent="0.2">
      <c r="A757" s="5" t="s">
        <v>40</v>
      </c>
      <c r="B757" s="5" t="s">
        <v>41</v>
      </c>
      <c r="D757" s="5" t="s">
        <v>1810</v>
      </c>
      <c r="E757" s="10" t="s">
        <v>345</v>
      </c>
      <c r="F757" s="5" t="s">
        <v>1449</v>
      </c>
      <c r="G757" s="5" t="s">
        <v>464</v>
      </c>
      <c r="I757" s="11">
        <v>1</v>
      </c>
      <c r="J757" s="5" t="s">
        <v>45</v>
      </c>
      <c r="K757" s="10" t="s">
        <v>46</v>
      </c>
      <c r="L757" s="5" t="s">
        <v>47</v>
      </c>
      <c r="M757" s="5" t="s">
        <v>65</v>
      </c>
      <c r="N757" s="5" t="s">
        <v>66</v>
      </c>
      <c r="O757" s="12"/>
      <c r="S757" s="13">
        <v>3491</v>
      </c>
      <c r="U757" s="13">
        <v>3491</v>
      </c>
      <c r="AC757" s="10" t="s">
        <v>1811</v>
      </c>
      <c r="AD757" s="5" t="s">
        <v>1802</v>
      </c>
      <c r="AE757" s="5" t="s">
        <v>78</v>
      </c>
    </row>
    <row r="758" spans="1:33" ht="10" customHeight="1" x14ac:dyDescent="0.2">
      <c r="A758" s="5" t="s">
        <v>40</v>
      </c>
      <c r="B758" s="5" t="s">
        <v>41</v>
      </c>
      <c r="D758" s="5" t="s">
        <v>1812</v>
      </c>
      <c r="E758" s="10" t="s">
        <v>345</v>
      </c>
      <c r="F758" s="5" t="s">
        <v>1449</v>
      </c>
      <c r="G758" s="5" t="s">
        <v>464</v>
      </c>
      <c r="I758" s="11">
        <v>1</v>
      </c>
      <c r="J758" s="5" t="s">
        <v>45</v>
      </c>
      <c r="K758" s="10" t="s">
        <v>46</v>
      </c>
      <c r="L758" s="5" t="s">
        <v>47</v>
      </c>
      <c r="M758" s="5" t="s">
        <v>65</v>
      </c>
      <c r="N758" s="5" t="s">
        <v>66</v>
      </c>
      <c r="O758" s="12"/>
      <c r="S758" s="13">
        <v>11908</v>
      </c>
      <c r="U758" s="13">
        <v>11908</v>
      </c>
      <c r="AC758" s="10" t="s">
        <v>1813</v>
      </c>
      <c r="AD758" s="5" t="s">
        <v>1802</v>
      </c>
      <c r="AE758" s="5" t="s">
        <v>78</v>
      </c>
    </row>
    <row r="759" spans="1:33" ht="10" customHeight="1" x14ac:dyDescent="0.2">
      <c r="A759" s="5" t="s">
        <v>40</v>
      </c>
      <c r="B759" s="5" t="s">
        <v>41</v>
      </c>
      <c r="D759" s="5" t="s">
        <v>1814</v>
      </c>
      <c r="E759" s="10" t="s">
        <v>345</v>
      </c>
      <c r="F759" s="5" t="s">
        <v>1449</v>
      </c>
      <c r="G759" s="5" t="s">
        <v>464</v>
      </c>
      <c r="I759" s="11">
        <v>1</v>
      </c>
      <c r="J759" s="5" t="s">
        <v>45</v>
      </c>
      <c r="K759" s="10" t="s">
        <v>46</v>
      </c>
      <c r="L759" s="5" t="s">
        <v>47</v>
      </c>
      <c r="M759" s="5" t="s">
        <v>65</v>
      </c>
      <c r="N759" s="5" t="s">
        <v>66</v>
      </c>
      <c r="O759" s="12"/>
      <c r="S759" s="13">
        <v>4199</v>
      </c>
      <c r="U759" s="13">
        <v>4199</v>
      </c>
      <c r="AC759" s="10" t="s">
        <v>1815</v>
      </c>
      <c r="AD759" s="5" t="s">
        <v>1816</v>
      </c>
      <c r="AE759" s="5" t="s">
        <v>78</v>
      </c>
    </row>
    <row r="760" spans="1:33" ht="10" customHeight="1" x14ac:dyDescent="0.2">
      <c r="A760" s="5" t="s">
        <v>40</v>
      </c>
      <c r="B760" s="5" t="s">
        <v>41</v>
      </c>
      <c r="D760" s="5" t="s">
        <v>1817</v>
      </c>
      <c r="E760" s="10" t="s">
        <v>345</v>
      </c>
      <c r="F760" s="5" t="s">
        <v>1449</v>
      </c>
      <c r="G760" s="5" t="s">
        <v>464</v>
      </c>
      <c r="I760" s="11">
        <v>1</v>
      </c>
      <c r="J760" s="5" t="s">
        <v>45</v>
      </c>
      <c r="K760" s="10" t="s">
        <v>46</v>
      </c>
      <c r="L760" s="5" t="s">
        <v>47</v>
      </c>
      <c r="M760" s="5" t="s">
        <v>65</v>
      </c>
      <c r="N760" s="5" t="s">
        <v>66</v>
      </c>
      <c r="O760" s="12"/>
      <c r="S760" s="13">
        <v>52</v>
      </c>
      <c r="U760" s="13">
        <v>52</v>
      </c>
      <c r="AC760" s="10" t="s">
        <v>1818</v>
      </c>
      <c r="AD760" s="5" t="s">
        <v>1816</v>
      </c>
      <c r="AE760" s="5" t="s">
        <v>78</v>
      </c>
    </row>
    <row r="761" spans="1:33" ht="10" customHeight="1" x14ac:dyDescent="0.2">
      <c r="A761" s="5" t="s">
        <v>40</v>
      </c>
      <c r="B761" s="5" t="s">
        <v>41</v>
      </c>
      <c r="D761" s="5" t="s">
        <v>1819</v>
      </c>
      <c r="E761" s="10" t="s">
        <v>345</v>
      </c>
      <c r="F761" s="5" t="s">
        <v>1449</v>
      </c>
      <c r="G761" s="5" t="s">
        <v>464</v>
      </c>
      <c r="I761" s="11">
        <v>1</v>
      </c>
      <c r="J761" s="5" t="s">
        <v>45</v>
      </c>
      <c r="K761" s="10" t="s">
        <v>46</v>
      </c>
      <c r="L761" s="5" t="s">
        <v>47</v>
      </c>
      <c r="M761" s="5" t="s">
        <v>65</v>
      </c>
      <c r="N761" s="5" t="s">
        <v>66</v>
      </c>
      <c r="O761" s="12"/>
      <c r="S761" s="13">
        <v>149</v>
      </c>
      <c r="U761" s="13">
        <v>149</v>
      </c>
      <c r="AC761" s="10" t="s">
        <v>1820</v>
      </c>
      <c r="AD761" s="5" t="s">
        <v>1816</v>
      </c>
      <c r="AE761" s="5" t="s">
        <v>78</v>
      </c>
    </row>
    <row r="762" spans="1:33" ht="10" customHeight="1" x14ac:dyDescent="0.2">
      <c r="A762" s="5" t="s">
        <v>40</v>
      </c>
      <c r="B762" s="5" t="s">
        <v>41</v>
      </c>
      <c r="D762" s="5" t="s">
        <v>1821</v>
      </c>
      <c r="E762" s="10" t="s">
        <v>345</v>
      </c>
      <c r="F762" s="5" t="s">
        <v>1449</v>
      </c>
      <c r="G762" s="5" t="s">
        <v>464</v>
      </c>
      <c r="I762" s="11">
        <v>1</v>
      </c>
      <c r="J762" s="5" t="s">
        <v>45</v>
      </c>
      <c r="K762" s="10" t="s">
        <v>46</v>
      </c>
      <c r="L762" s="5" t="s">
        <v>47</v>
      </c>
      <c r="M762" s="5" t="s">
        <v>65</v>
      </c>
      <c r="N762" s="5" t="s">
        <v>66</v>
      </c>
      <c r="O762" s="12"/>
      <c r="S762" s="13">
        <v>496</v>
      </c>
      <c r="U762" s="13">
        <v>496</v>
      </c>
      <c r="AC762" s="10" t="s">
        <v>1822</v>
      </c>
      <c r="AD762" s="5" t="s">
        <v>1816</v>
      </c>
      <c r="AE762" s="5" t="s">
        <v>78</v>
      </c>
    </row>
    <row r="763" spans="1:33" ht="10" customHeight="1" x14ac:dyDescent="0.2">
      <c r="A763" s="5" t="s">
        <v>40</v>
      </c>
      <c r="B763" s="5" t="s">
        <v>41</v>
      </c>
      <c r="D763" s="5" t="s">
        <v>1823</v>
      </c>
      <c r="E763" s="10" t="s">
        <v>345</v>
      </c>
      <c r="F763" s="5" t="s">
        <v>1449</v>
      </c>
      <c r="G763" s="5" t="s">
        <v>464</v>
      </c>
      <c r="I763" s="11">
        <v>1</v>
      </c>
      <c r="J763" s="5" t="s">
        <v>45</v>
      </c>
      <c r="K763" s="10" t="s">
        <v>46</v>
      </c>
      <c r="L763" s="5" t="s">
        <v>47</v>
      </c>
      <c r="M763" s="5" t="s">
        <v>65</v>
      </c>
      <c r="N763" s="5" t="s">
        <v>66</v>
      </c>
      <c r="O763" s="12"/>
      <c r="S763" s="13">
        <v>1769</v>
      </c>
      <c r="U763" s="13">
        <v>1769</v>
      </c>
      <c r="AC763" s="10" t="s">
        <v>1824</v>
      </c>
      <c r="AD763" s="5" t="s">
        <v>1816</v>
      </c>
      <c r="AE763" s="5" t="s">
        <v>78</v>
      </c>
    </row>
    <row r="764" spans="1:33" ht="10" customHeight="1" x14ac:dyDescent="0.2">
      <c r="A764" s="5" t="s">
        <v>40</v>
      </c>
      <c r="B764" s="5" t="s">
        <v>41</v>
      </c>
      <c r="D764" s="5" t="s">
        <v>1825</v>
      </c>
      <c r="E764" s="10" t="s">
        <v>345</v>
      </c>
      <c r="F764" s="5" t="s">
        <v>1449</v>
      </c>
      <c r="G764" s="5" t="s">
        <v>464</v>
      </c>
      <c r="I764" s="11">
        <v>1</v>
      </c>
      <c r="J764" s="5" t="s">
        <v>45</v>
      </c>
      <c r="K764" s="10" t="s">
        <v>46</v>
      </c>
      <c r="L764" s="5" t="s">
        <v>47</v>
      </c>
      <c r="M764" s="5" t="s">
        <v>65</v>
      </c>
      <c r="N764" s="5" t="s">
        <v>66</v>
      </c>
      <c r="O764" s="12"/>
      <c r="S764" s="13">
        <v>835</v>
      </c>
      <c r="U764" s="13">
        <v>835</v>
      </c>
      <c r="AC764" s="10" t="s">
        <v>1826</v>
      </c>
      <c r="AD764" s="5" t="s">
        <v>1816</v>
      </c>
      <c r="AE764" s="5" t="s">
        <v>78</v>
      </c>
    </row>
    <row r="765" spans="1:33" ht="10" customHeight="1" x14ac:dyDescent="0.2">
      <c r="A765" s="5" t="s">
        <v>40</v>
      </c>
      <c r="B765" s="5" t="s">
        <v>41</v>
      </c>
      <c r="D765" s="5" t="s">
        <v>1827</v>
      </c>
      <c r="E765" s="10" t="s">
        <v>345</v>
      </c>
      <c r="F765" s="5" t="s">
        <v>1449</v>
      </c>
      <c r="G765" s="5" t="s">
        <v>464</v>
      </c>
      <c r="I765" s="11">
        <v>1</v>
      </c>
      <c r="J765" s="5" t="s">
        <v>45</v>
      </c>
      <c r="K765" s="10" t="s">
        <v>46</v>
      </c>
      <c r="L765" s="5" t="s">
        <v>47</v>
      </c>
      <c r="M765" s="5" t="s">
        <v>65</v>
      </c>
      <c r="N765" s="5" t="s">
        <v>66</v>
      </c>
      <c r="O765" s="12"/>
      <c r="S765" s="13">
        <v>1130077</v>
      </c>
      <c r="U765" s="13">
        <v>1130077</v>
      </c>
      <c r="AC765" s="10" t="s">
        <v>1828</v>
      </c>
      <c r="AD765" s="5" t="s">
        <v>1829</v>
      </c>
      <c r="AE765" s="5" t="s">
        <v>78</v>
      </c>
    </row>
    <row r="766" spans="1:33" ht="10" customHeight="1" x14ac:dyDescent="0.2">
      <c r="A766" s="5" t="s">
        <v>40</v>
      </c>
      <c r="B766" s="5" t="s">
        <v>41</v>
      </c>
      <c r="D766" s="5" t="s">
        <v>1830</v>
      </c>
      <c r="E766" s="10" t="s">
        <v>345</v>
      </c>
      <c r="F766" s="5" t="s">
        <v>1449</v>
      </c>
      <c r="G766" s="5" t="s">
        <v>464</v>
      </c>
      <c r="I766" s="11">
        <v>1</v>
      </c>
      <c r="J766" s="5" t="s">
        <v>45</v>
      </c>
      <c r="K766" s="10" t="s">
        <v>46</v>
      </c>
      <c r="L766" s="5" t="s">
        <v>47</v>
      </c>
      <c r="M766" s="5" t="s">
        <v>65</v>
      </c>
      <c r="N766" s="5" t="s">
        <v>66</v>
      </c>
      <c r="O766" s="12"/>
      <c r="S766" s="13">
        <v>6437</v>
      </c>
      <c r="U766" s="13">
        <v>6437</v>
      </c>
      <c r="AC766" s="10" t="s">
        <v>1831</v>
      </c>
      <c r="AD766" s="5" t="s">
        <v>1829</v>
      </c>
      <c r="AE766" s="5" t="s">
        <v>78</v>
      </c>
      <c r="AG766" s="5" t="s">
        <v>1832</v>
      </c>
    </row>
    <row r="767" spans="1:33" ht="10" customHeight="1" x14ac:dyDescent="0.2">
      <c r="A767" s="5" t="s">
        <v>40</v>
      </c>
      <c r="B767" s="5" t="s">
        <v>41</v>
      </c>
      <c r="D767" s="5" t="s">
        <v>1833</v>
      </c>
      <c r="E767" s="10" t="s">
        <v>345</v>
      </c>
      <c r="F767" s="5" t="s">
        <v>1449</v>
      </c>
      <c r="G767" s="5" t="s">
        <v>464</v>
      </c>
      <c r="I767" s="11">
        <v>1</v>
      </c>
      <c r="J767" s="5" t="s">
        <v>45</v>
      </c>
      <c r="K767" s="10" t="s">
        <v>46</v>
      </c>
      <c r="L767" s="5" t="s">
        <v>47</v>
      </c>
      <c r="M767" s="5" t="s">
        <v>65</v>
      </c>
      <c r="N767" s="5" t="s">
        <v>66</v>
      </c>
      <c r="O767" s="12"/>
      <c r="S767" s="13">
        <v>17291</v>
      </c>
      <c r="U767" s="13">
        <v>17291</v>
      </c>
      <c r="AC767" s="10" t="s">
        <v>1834</v>
      </c>
      <c r="AD767" s="5" t="s">
        <v>1829</v>
      </c>
      <c r="AE767" s="5" t="s">
        <v>78</v>
      </c>
    </row>
    <row r="768" spans="1:33" ht="10" customHeight="1" x14ac:dyDescent="0.2">
      <c r="A768" s="5" t="s">
        <v>40</v>
      </c>
      <c r="B768" s="5" t="s">
        <v>41</v>
      </c>
      <c r="D768" s="5" t="s">
        <v>1835</v>
      </c>
      <c r="E768" s="10" t="s">
        <v>345</v>
      </c>
      <c r="F768" s="5" t="s">
        <v>1449</v>
      </c>
      <c r="G768" s="5" t="s">
        <v>464</v>
      </c>
      <c r="I768" s="11">
        <v>1</v>
      </c>
      <c r="J768" s="5" t="s">
        <v>45</v>
      </c>
      <c r="K768" s="10" t="s">
        <v>46</v>
      </c>
      <c r="L768" s="5" t="s">
        <v>47</v>
      </c>
      <c r="M768" s="5" t="s">
        <v>65</v>
      </c>
      <c r="N768" s="5" t="s">
        <v>66</v>
      </c>
      <c r="O768" s="12"/>
      <c r="S768" s="13">
        <v>532</v>
      </c>
      <c r="U768" s="13">
        <v>532</v>
      </c>
      <c r="AC768" s="10" t="s">
        <v>1836</v>
      </c>
      <c r="AD768" s="5" t="s">
        <v>1829</v>
      </c>
      <c r="AE768" s="5" t="s">
        <v>78</v>
      </c>
    </row>
    <row r="769" spans="1:33" ht="10" customHeight="1" x14ac:dyDescent="0.2">
      <c r="A769" s="5" t="s">
        <v>40</v>
      </c>
      <c r="B769" s="5" t="s">
        <v>41</v>
      </c>
      <c r="D769" s="5" t="s">
        <v>1837</v>
      </c>
      <c r="E769" s="10" t="s">
        <v>345</v>
      </c>
      <c r="F769" s="5" t="s">
        <v>1449</v>
      </c>
      <c r="G769" s="5" t="s">
        <v>464</v>
      </c>
      <c r="I769" s="11">
        <v>1</v>
      </c>
      <c r="J769" s="5" t="s">
        <v>45</v>
      </c>
      <c r="K769" s="10" t="s">
        <v>46</v>
      </c>
      <c r="L769" s="5" t="s">
        <v>47</v>
      </c>
      <c r="M769" s="5" t="s">
        <v>65</v>
      </c>
      <c r="N769" s="5" t="s">
        <v>66</v>
      </c>
      <c r="O769" s="12"/>
      <c r="S769" s="13">
        <v>37192</v>
      </c>
      <c r="U769" s="13">
        <v>37192</v>
      </c>
      <c r="AC769" s="10" t="s">
        <v>1838</v>
      </c>
      <c r="AD769" s="5" t="s">
        <v>1829</v>
      </c>
      <c r="AE769" s="5" t="s">
        <v>78</v>
      </c>
    </row>
    <row r="770" spans="1:33" ht="10" customHeight="1" x14ac:dyDescent="0.2">
      <c r="A770" s="5" t="s">
        <v>40</v>
      </c>
      <c r="B770" s="5" t="s">
        <v>41</v>
      </c>
      <c r="D770" s="5" t="s">
        <v>1839</v>
      </c>
      <c r="E770" s="10" t="s">
        <v>345</v>
      </c>
      <c r="F770" s="5" t="s">
        <v>1449</v>
      </c>
      <c r="G770" s="5" t="s">
        <v>464</v>
      </c>
      <c r="I770" s="11">
        <v>1</v>
      </c>
      <c r="J770" s="5" t="s">
        <v>45</v>
      </c>
      <c r="K770" s="10" t="s">
        <v>46</v>
      </c>
      <c r="L770" s="5" t="s">
        <v>47</v>
      </c>
      <c r="M770" s="5" t="s">
        <v>65</v>
      </c>
      <c r="N770" s="5" t="s">
        <v>66</v>
      </c>
      <c r="O770" s="12"/>
      <c r="S770" s="13">
        <v>53710</v>
      </c>
      <c r="U770" s="13">
        <v>53710</v>
      </c>
      <c r="AC770" s="10" t="s">
        <v>1840</v>
      </c>
      <c r="AD770" s="5" t="s">
        <v>1841</v>
      </c>
      <c r="AE770" s="5" t="s">
        <v>78</v>
      </c>
    </row>
    <row r="771" spans="1:33" ht="10" customHeight="1" x14ac:dyDescent="0.2">
      <c r="A771" s="5" t="s">
        <v>40</v>
      </c>
      <c r="B771" s="5" t="s">
        <v>41</v>
      </c>
      <c r="D771" s="5" t="s">
        <v>1842</v>
      </c>
      <c r="E771" s="10" t="s">
        <v>345</v>
      </c>
      <c r="F771" s="5" t="s">
        <v>1449</v>
      </c>
      <c r="G771" s="5" t="s">
        <v>464</v>
      </c>
      <c r="I771" s="11">
        <v>1</v>
      </c>
      <c r="J771" s="5" t="s">
        <v>45</v>
      </c>
      <c r="K771" s="10" t="s">
        <v>46</v>
      </c>
      <c r="L771" s="5" t="s">
        <v>47</v>
      </c>
      <c r="M771" s="5" t="s">
        <v>65</v>
      </c>
      <c r="N771" s="5" t="s">
        <v>66</v>
      </c>
      <c r="O771" s="12"/>
      <c r="S771" s="13">
        <v>193</v>
      </c>
      <c r="U771" s="13">
        <v>193</v>
      </c>
      <c r="AC771" s="10" t="s">
        <v>1843</v>
      </c>
      <c r="AD771" s="5" t="s">
        <v>1841</v>
      </c>
      <c r="AE771" s="5" t="s">
        <v>78</v>
      </c>
    </row>
    <row r="772" spans="1:33" ht="10" customHeight="1" x14ac:dyDescent="0.2">
      <c r="A772" s="5" t="s">
        <v>40</v>
      </c>
      <c r="B772" s="5" t="s">
        <v>41</v>
      </c>
      <c r="D772" s="5" t="s">
        <v>1844</v>
      </c>
      <c r="E772" s="10" t="s">
        <v>345</v>
      </c>
      <c r="F772" s="5" t="s">
        <v>1449</v>
      </c>
      <c r="G772" s="5" t="s">
        <v>464</v>
      </c>
      <c r="I772" s="11">
        <v>1</v>
      </c>
      <c r="J772" s="5" t="s">
        <v>45</v>
      </c>
      <c r="K772" s="10" t="s">
        <v>46</v>
      </c>
      <c r="L772" s="5" t="s">
        <v>47</v>
      </c>
      <c r="M772" s="5" t="s">
        <v>65</v>
      </c>
      <c r="N772" s="5" t="s">
        <v>66</v>
      </c>
      <c r="O772" s="12"/>
      <c r="S772" s="13">
        <v>1439</v>
      </c>
      <c r="U772" s="13">
        <v>1439</v>
      </c>
      <c r="AC772" s="10" t="s">
        <v>1845</v>
      </c>
      <c r="AD772" s="5" t="s">
        <v>1841</v>
      </c>
      <c r="AE772" s="5" t="s">
        <v>78</v>
      </c>
      <c r="AG772" s="5" t="s">
        <v>1846</v>
      </c>
    </row>
    <row r="773" spans="1:33" ht="10" customHeight="1" x14ac:dyDescent="0.2">
      <c r="A773" s="5" t="s">
        <v>40</v>
      </c>
      <c r="B773" s="5" t="s">
        <v>41</v>
      </c>
      <c r="D773" s="5" t="s">
        <v>1847</v>
      </c>
      <c r="E773" s="10" t="s">
        <v>345</v>
      </c>
      <c r="F773" s="5" t="s">
        <v>1449</v>
      </c>
      <c r="G773" s="5" t="s">
        <v>464</v>
      </c>
      <c r="I773" s="11">
        <v>1</v>
      </c>
      <c r="J773" s="5" t="s">
        <v>45</v>
      </c>
      <c r="K773" s="10" t="s">
        <v>46</v>
      </c>
      <c r="L773" s="5" t="s">
        <v>47</v>
      </c>
      <c r="M773" s="5" t="s">
        <v>65</v>
      </c>
      <c r="N773" s="5" t="s">
        <v>66</v>
      </c>
      <c r="O773" s="12"/>
      <c r="S773" s="13">
        <v>8745</v>
      </c>
      <c r="U773" s="13">
        <v>8745</v>
      </c>
      <c r="AC773" s="10" t="s">
        <v>1848</v>
      </c>
      <c r="AD773" s="5" t="s">
        <v>1841</v>
      </c>
      <c r="AE773" s="5" t="s">
        <v>78</v>
      </c>
    </row>
    <row r="774" spans="1:33" ht="10" customHeight="1" x14ac:dyDescent="0.2">
      <c r="A774" s="5" t="s">
        <v>40</v>
      </c>
      <c r="B774" s="5" t="s">
        <v>41</v>
      </c>
      <c r="D774" s="5" t="s">
        <v>1849</v>
      </c>
      <c r="E774" s="10" t="s">
        <v>345</v>
      </c>
      <c r="F774" s="5" t="s">
        <v>1449</v>
      </c>
      <c r="G774" s="5" t="s">
        <v>464</v>
      </c>
      <c r="I774" s="11">
        <v>1</v>
      </c>
      <c r="J774" s="5" t="s">
        <v>45</v>
      </c>
      <c r="K774" s="10" t="s">
        <v>46</v>
      </c>
      <c r="L774" s="5" t="s">
        <v>47</v>
      </c>
      <c r="M774" s="5" t="s">
        <v>65</v>
      </c>
      <c r="N774" s="5" t="s">
        <v>66</v>
      </c>
      <c r="O774" s="12"/>
      <c r="S774" s="13">
        <v>5114</v>
      </c>
      <c r="U774" s="13">
        <v>5114</v>
      </c>
      <c r="AC774" s="10" t="s">
        <v>1850</v>
      </c>
      <c r="AD774" s="5" t="s">
        <v>1841</v>
      </c>
      <c r="AE774" s="5" t="s">
        <v>78</v>
      </c>
    </row>
    <row r="775" spans="1:33" ht="10" customHeight="1" x14ac:dyDescent="0.2">
      <c r="A775" s="5" t="s">
        <v>40</v>
      </c>
      <c r="B775" s="5" t="s">
        <v>41</v>
      </c>
      <c r="D775" s="5" t="s">
        <v>1851</v>
      </c>
      <c r="E775" s="10" t="s">
        <v>345</v>
      </c>
      <c r="F775" s="5" t="s">
        <v>1449</v>
      </c>
      <c r="G775" s="5" t="s">
        <v>464</v>
      </c>
      <c r="I775" s="11">
        <v>1</v>
      </c>
      <c r="J775" s="5" t="s">
        <v>45</v>
      </c>
      <c r="K775" s="10" t="s">
        <v>46</v>
      </c>
      <c r="L775" s="5" t="s">
        <v>47</v>
      </c>
      <c r="M775" s="5" t="s">
        <v>65</v>
      </c>
      <c r="N775" s="5" t="s">
        <v>66</v>
      </c>
      <c r="O775" s="12"/>
      <c r="S775" s="13">
        <v>6177</v>
      </c>
      <c r="U775" s="13">
        <v>6177</v>
      </c>
      <c r="AC775" s="10" t="s">
        <v>1852</v>
      </c>
      <c r="AD775" s="5" t="s">
        <v>1841</v>
      </c>
      <c r="AE775" s="5" t="s">
        <v>78</v>
      </c>
    </row>
    <row r="776" spans="1:33" ht="10" customHeight="1" x14ac:dyDescent="0.2">
      <c r="A776" s="5" t="s">
        <v>40</v>
      </c>
      <c r="B776" s="5" t="s">
        <v>41</v>
      </c>
      <c r="D776" s="5" t="s">
        <v>1853</v>
      </c>
      <c r="E776" s="10" t="s">
        <v>345</v>
      </c>
      <c r="F776" s="5" t="s">
        <v>1449</v>
      </c>
      <c r="G776" s="5" t="s">
        <v>464</v>
      </c>
      <c r="I776" s="11">
        <v>1</v>
      </c>
      <c r="J776" s="5" t="s">
        <v>45</v>
      </c>
      <c r="K776" s="10" t="s">
        <v>46</v>
      </c>
      <c r="L776" s="5" t="s">
        <v>47</v>
      </c>
      <c r="M776" s="5" t="s">
        <v>65</v>
      </c>
      <c r="N776" s="5" t="s">
        <v>66</v>
      </c>
      <c r="O776" s="12"/>
      <c r="S776" s="13">
        <v>551603</v>
      </c>
      <c r="U776" s="13">
        <v>551603</v>
      </c>
      <c r="AC776" s="10" t="s">
        <v>1854</v>
      </c>
      <c r="AD776" s="5" t="s">
        <v>1855</v>
      </c>
      <c r="AE776" s="5" t="s">
        <v>78</v>
      </c>
    </row>
    <row r="777" spans="1:33" ht="10" customHeight="1" x14ac:dyDescent="0.2">
      <c r="A777" s="5" t="s">
        <v>40</v>
      </c>
      <c r="B777" s="5" t="s">
        <v>41</v>
      </c>
      <c r="D777" s="5" t="s">
        <v>1856</v>
      </c>
      <c r="E777" s="10" t="s">
        <v>345</v>
      </c>
      <c r="F777" s="5" t="s">
        <v>1449</v>
      </c>
      <c r="G777" s="5" t="s">
        <v>464</v>
      </c>
      <c r="I777" s="11">
        <v>1</v>
      </c>
      <c r="J777" s="5" t="s">
        <v>45</v>
      </c>
      <c r="K777" s="10" t="s">
        <v>46</v>
      </c>
      <c r="L777" s="5" t="s">
        <v>47</v>
      </c>
      <c r="M777" s="5" t="s">
        <v>65</v>
      </c>
      <c r="N777" s="5" t="s">
        <v>66</v>
      </c>
      <c r="O777" s="12"/>
      <c r="S777" s="13">
        <v>200</v>
      </c>
      <c r="U777" s="13">
        <v>200</v>
      </c>
      <c r="AC777" s="10" t="s">
        <v>1857</v>
      </c>
      <c r="AD777" s="5" t="s">
        <v>1855</v>
      </c>
      <c r="AE777" s="5" t="s">
        <v>78</v>
      </c>
    </row>
    <row r="778" spans="1:33" ht="10" customHeight="1" x14ac:dyDescent="0.2">
      <c r="A778" s="5" t="s">
        <v>40</v>
      </c>
      <c r="B778" s="5" t="s">
        <v>41</v>
      </c>
      <c r="D778" s="5" t="s">
        <v>1858</v>
      </c>
      <c r="E778" s="10" t="s">
        <v>345</v>
      </c>
      <c r="F778" s="5" t="s">
        <v>1449</v>
      </c>
      <c r="G778" s="5" t="s">
        <v>464</v>
      </c>
      <c r="I778" s="11">
        <v>1</v>
      </c>
      <c r="J778" s="5" t="s">
        <v>45</v>
      </c>
      <c r="K778" s="10" t="s">
        <v>46</v>
      </c>
      <c r="L778" s="5" t="s">
        <v>47</v>
      </c>
      <c r="M778" s="5" t="s">
        <v>65</v>
      </c>
      <c r="N778" s="5" t="s">
        <v>66</v>
      </c>
      <c r="O778" s="12"/>
      <c r="S778" s="13">
        <v>13108</v>
      </c>
      <c r="U778" s="13">
        <v>13108</v>
      </c>
      <c r="AC778" s="10" t="s">
        <v>1859</v>
      </c>
      <c r="AD778" s="5" t="s">
        <v>1855</v>
      </c>
      <c r="AE778" s="5" t="s">
        <v>78</v>
      </c>
    </row>
    <row r="779" spans="1:33" ht="10" customHeight="1" x14ac:dyDescent="0.2">
      <c r="A779" s="5" t="s">
        <v>40</v>
      </c>
      <c r="B779" s="5" t="s">
        <v>41</v>
      </c>
      <c r="D779" s="5" t="s">
        <v>1860</v>
      </c>
      <c r="E779" s="10" t="s">
        <v>345</v>
      </c>
      <c r="F779" s="5" t="s">
        <v>1449</v>
      </c>
      <c r="G779" s="5" t="s">
        <v>464</v>
      </c>
      <c r="I779" s="11">
        <v>1</v>
      </c>
      <c r="J779" s="5" t="s">
        <v>45</v>
      </c>
      <c r="K779" s="10" t="s">
        <v>46</v>
      </c>
      <c r="L779" s="5" t="s">
        <v>47</v>
      </c>
      <c r="M779" s="5" t="s">
        <v>65</v>
      </c>
      <c r="N779" s="5" t="s">
        <v>66</v>
      </c>
      <c r="O779" s="12"/>
      <c r="S779" s="13">
        <v>488</v>
      </c>
      <c r="U779" s="13">
        <v>488</v>
      </c>
      <c r="AC779" s="10" t="s">
        <v>1861</v>
      </c>
      <c r="AD779" s="5" t="s">
        <v>1855</v>
      </c>
      <c r="AE779" s="5" t="s">
        <v>78</v>
      </c>
    </row>
    <row r="780" spans="1:33" ht="10" customHeight="1" x14ac:dyDescent="0.2">
      <c r="A780" s="5" t="s">
        <v>40</v>
      </c>
      <c r="B780" s="5" t="s">
        <v>41</v>
      </c>
      <c r="D780" s="5" t="s">
        <v>1862</v>
      </c>
      <c r="E780" s="10" t="s">
        <v>345</v>
      </c>
      <c r="F780" s="5" t="s">
        <v>1449</v>
      </c>
      <c r="G780" s="5" t="s">
        <v>464</v>
      </c>
      <c r="I780" s="11">
        <v>1</v>
      </c>
      <c r="J780" s="5" t="s">
        <v>45</v>
      </c>
      <c r="K780" s="10" t="s">
        <v>46</v>
      </c>
      <c r="L780" s="5" t="s">
        <v>47</v>
      </c>
      <c r="M780" s="5" t="s">
        <v>65</v>
      </c>
      <c r="N780" s="5" t="s">
        <v>66</v>
      </c>
      <c r="O780" s="12"/>
      <c r="S780" s="13">
        <v>30711</v>
      </c>
      <c r="U780" s="13">
        <v>30711</v>
      </c>
      <c r="AC780" s="10" t="s">
        <v>1863</v>
      </c>
      <c r="AD780" s="5" t="s">
        <v>1855</v>
      </c>
      <c r="AE780" s="5" t="s">
        <v>78</v>
      </c>
    </row>
    <row r="781" spans="1:33" ht="10" customHeight="1" x14ac:dyDescent="0.2">
      <c r="A781" s="5" t="s">
        <v>40</v>
      </c>
      <c r="B781" s="5" t="s">
        <v>41</v>
      </c>
      <c r="D781" s="5" t="s">
        <v>1864</v>
      </c>
      <c r="E781" s="10" t="s">
        <v>345</v>
      </c>
      <c r="F781" s="5" t="s">
        <v>1449</v>
      </c>
      <c r="G781" s="5" t="s">
        <v>464</v>
      </c>
      <c r="I781" s="11">
        <v>1</v>
      </c>
      <c r="J781" s="5" t="s">
        <v>45</v>
      </c>
      <c r="K781" s="10" t="s">
        <v>46</v>
      </c>
      <c r="L781" s="5" t="s">
        <v>47</v>
      </c>
      <c r="M781" s="5" t="s">
        <v>65</v>
      </c>
      <c r="N781" s="5" t="s">
        <v>66</v>
      </c>
      <c r="O781" s="12"/>
      <c r="S781" s="13">
        <v>22657</v>
      </c>
      <c r="U781" s="13">
        <v>22657</v>
      </c>
      <c r="AC781" s="10" t="s">
        <v>1865</v>
      </c>
      <c r="AD781" s="5" t="s">
        <v>1866</v>
      </c>
      <c r="AE781" s="5" t="s">
        <v>78</v>
      </c>
    </row>
    <row r="782" spans="1:33" ht="10" customHeight="1" x14ac:dyDescent="0.2">
      <c r="A782" s="5" t="s">
        <v>40</v>
      </c>
      <c r="B782" s="5" t="s">
        <v>41</v>
      </c>
      <c r="D782" s="5" t="s">
        <v>1867</v>
      </c>
      <c r="E782" s="10" t="s">
        <v>345</v>
      </c>
      <c r="F782" s="5" t="s">
        <v>1449</v>
      </c>
      <c r="G782" s="5" t="s">
        <v>464</v>
      </c>
      <c r="I782" s="11">
        <v>1</v>
      </c>
      <c r="J782" s="5" t="s">
        <v>45</v>
      </c>
      <c r="K782" s="10" t="s">
        <v>46</v>
      </c>
      <c r="L782" s="5" t="s">
        <v>47</v>
      </c>
      <c r="M782" s="5" t="s">
        <v>65</v>
      </c>
      <c r="N782" s="5" t="s">
        <v>66</v>
      </c>
      <c r="O782" s="12"/>
      <c r="S782" s="13">
        <v>278</v>
      </c>
      <c r="U782" s="13">
        <v>278</v>
      </c>
      <c r="AC782" s="10" t="s">
        <v>1868</v>
      </c>
      <c r="AD782" s="5" t="s">
        <v>1866</v>
      </c>
      <c r="AE782" s="5" t="s">
        <v>78</v>
      </c>
    </row>
    <row r="783" spans="1:33" ht="10" customHeight="1" x14ac:dyDescent="0.2">
      <c r="A783" s="5" t="s">
        <v>40</v>
      </c>
      <c r="B783" s="5" t="s">
        <v>41</v>
      </c>
      <c r="D783" s="5" t="s">
        <v>1869</v>
      </c>
      <c r="E783" s="10" t="s">
        <v>345</v>
      </c>
      <c r="F783" s="5" t="s">
        <v>1449</v>
      </c>
      <c r="G783" s="5" t="s">
        <v>464</v>
      </c>
      <c r="I783" s="11">
        <v>1</v>
      </c>
      <c r="J783" s="5" t="s">
        <v>45</v>
      </c>
      <c r="K783" s="10" t="s">
        <v>46</v>
      </c>
      <c r="L783" s="5" t="s">
        <v>47</v>
      </c>
      <c r="M783" s="5" t="s">
        <v>65</v>
      </c>
      <c r="N783" s="5" t="s">
        <v>66</v>
      </c>
      <c r="O783" s="12"/>
      <c r="S783" s="13">
        <v>485</v>
      </c>
      <c r="U783" s="13">
        <v>485</v>
      </c>
      <c r="AC783" s="10" t="s">
        <v>1870</v>
      </c>
      <c r="AD783" s="5" t="s">
        <v>1866</v>
      </c>
      <c r="AE783" s="5" t="s">
        <v>78</v>
      </c>
      <c r="AG783" s="5" t="s">
        <v>1339</v>
      </c>
    </row>
    <row r="784" spans="1:33" ht="10" customHeight="1" x14ac:dyDescent="0.2">
      <c r="A784" s="5" t="s">
        <v>40</v>
      </c>
      <c r="B784" s="5" t="s">
        <v>41</v>
      </c>
      <c r="D784" s="5" t="s">
        <v>1871</v>
      </c>
      <c r="E784" s="10" t="s">
        <v>345</v>
      </c>
      <c r="F784" s="5" t="s">
        <v>1449</v>
      </c>
      <c r="G784" s="5" t="s">
        <v>464</v>
      </c>
      <c r="I784" s="11">
        <v>1</v>
      </c>
      <c r="J784" s="5" t="s">
        <v>45</v>
      </c>
      <c r="K784" s="10" t="s">
        <v>46</v>
      </c>
      <c r="L784" s="5" t="s">
        <v>47</v>
      </c>
      <c r="M784" s="5" t="s">
        <v>65</v>
      </c>
      <c r="N784" s="5" t="s">
        <v>66</v>
      </c>
      <c r="O784" s="12"/>
      <c r="S784" s="13">
        <v>1768</v>
      </c>
      <c r="U784" s="13">
        <v>1768</v>
      </c>
      <c r="AC784" s="10" t="s">
        <v>1872</v>
      </c>
      <c r="AD784" s="5" t="s">
        <v>1866</v>
      </c>
      <c r="AE784" s="5" t="s">
        <v>78</v>
      </c>
    </row>
    <row r="785" spans="1:33" ht="10" customHeight="1" x14ac:dyDescent="0.2">
      <c r="A785" s="5" t="s">
        <v>40</v>
      </c>
      <c r="B785" s="5" t="s">
        <v>41</v>
      </c>
      <c r="D785" s="5" t="s">
        <v>1873</v>
      </c>
      <c r="E785" s="10" t="s">
        <v>345</v>
      </c>
      <c r="F785" s="5" t="s">
        <v>1449</v>
      </c>
      <c r="G785" s="5" t="s">
        <v>464</v>
      </c>
      <c r="I785" s="11">
        <v>1</v>
      </c>
      <c r="J785" s="5" t="s">
        <v>45</v>
      </c>
      <c r="K785" s="10" t="s">
        <v>46</v>
      </c>
      <c r="L785" s="5" t="s">
        <v>47</v>
      </c>
      <c r="M785" s="5" t="s">
        <v>65</v>
      </c>
      <c r="N785" s="5" t="s">
        <v>66</v>
      </c>
      <c r="O785" s="12"/>
      <c r="S785" s="13">
        <v>988</v>
      </c>
      <c r="U785" s="13">
        <v>988</v>
      </c>
      <c r="AC785" s="10" t="s">
        <v>1874</v>
      </c>
      <c r="AD785" s="5" t="s">
        <v>1866</v>
      </c>
      <c r="AE785" s="5" t="s">
        <v>78</v>
      </c>
    </row>
    <row r="786" spans="1:33" ht="10" customHeight="1" x14ac:dyDescent="0.2">
      <c r="A786" s="5" t="s">
        <v>40</v>
      </c>
      <c r="B786" s="5" t="s">
        <v>41</v>
      </c>
      <c r="D786" s="5" t="s">
        <v>1875</v>
      </c>
      <c r="E786" s="10" t="s">
        <v>345</v>
      </c>
      <c r="F786" s="5" t="s">
        <v>1449</v>
      </c>
      <c r="G786" s="5" t="s">
        <v>464</v>
      </c>
      <c r="I786" s="11">
        <v>1</v>
      </c>
      <c r="J786" s="5" t="s">
        <v>45</v>
      </c>
      <c r="K786" s="10" t="s">
        <v>46</v>
      </c>
      <c r="L786" s="5" t="s">
        <v>47</v>
      </c>
      <c r="M786" s="5" t="s">
        <v>65</v>
      </c>
      <c r="N786" s="5" t="s">
        <v>66</v>
      </c>
      <c r="O786" s="12"/>
      <c r="S786" s="13">
        <v>2167</v>
      </c>
      <c r="U786" s="13">
        <v>2167</v>
      </c>
      <c r="AC786" s="10" t="s">
        <v>1876</v>
      </c>
      <c r="AD786" s="5" t="s">
        <v>1866</v>
      </c>
      <c r="AE786" s="5" t="s">
        <v>78</v>
      </c>
    </row>
    <row r="787" spans="1:33" ht="10" customHeight="1" x14ac:dyDescent="0.2">
      <c r="A787" s="5" t="s">
        <v>40</v>
      </c>
      <c r="B787" s="5" t="s">
        <v>41</v>
      </c>
      <c r="D787" s="5" t="s">
        <v>1877</v>
      </c>
      <c r="E787" s="10" t="s">
        <v>345</v>
      </c>
      <c r="F787" s="5" t="s">
        <v>1449</v>
      </c>
      <c r="G787" s="5" t="s">
        <v>464</v>
      </c>
      <c r="I787" s="11">
        <v>1</v>
      </c>
      <c r="J787" s="5" t="s">
        <v>45</v>
      </c>
      <c r="K787" s="10" t="s">
        <v>46</v>
      </c>
      <c r="L787" s="5" t="s">
        <v>47</v>
      </c>
      <c r="M787" s="5" t="s">
        <v>65</v>
      </c>
      <c r="N787" s="5" t="s">
        <v>66</v>
      </c>
      <c r="O787" s="12"/>
      <c r="S787" s="13">
        <v>3100</v>
      </c>
      <c r="U787" s="13">
        <v>3100</v>
      </c>
      <c r="AC787" s="10" t="s">
        <v>1878</v>
      </c>
      <c r="AD787" s="5" t="s">
        <v>1879</v>
      </c>
      <c r="AE787" s="5" t="s">
        <v>78</v>
      </c>
    </row>
    <row r="788" spans="1:33" ht="10" customHeight="1" x14ac:dyDescent="0.2">
      <c r="A788" s="5" t="s">
        <v>40</v>
      </c>
      <c r="B788" s="5" t="s">
        <v>41</v>
      </c>
      <c r="D788" s="5" t="s">
        <v>1880</v>
      </c>
      <c r="E788" s="10" t="s">
        <v>345</v>
      </c>
      <c r="F788" s="5" t="s">
        <v>1449</v>
      </c>
      <c r="G788" s="5" t="s">
        <v>464</v>
      </c>
      <c r="I788" s="11">
        <v>1</v>
      </c>
      <c r="J788" s="5" t="s">
        <v>45</v>
      </c>
      <c r="K788" s="10" t="s">
        <v>46</v>
      </c>
      <c r="L788" s="5" t="s">
        <v>47</v>
      </c>
      <c r="M788" s="5" t="s">
        <v>65</v>
      </c>
      <c r="N788" s="5" t="s">
        <v>66</v>
      </c>
      <c r="O788" s="12"/>
      <c r="S788" s="13">
        <v>220</v>
      </c>
      <c r="U788" s="13">
        <v>220</v>
      </c>
      <c r="AC788" s="10" t="s">
        <v>1881</v>
      </c>
      <c r="AD788" s="5" t="s">
        <v>1879</v>
      </c>
      <c r="AE788" s="5" t="s">
        <v>78</v>
      </c>
      <c r="AG788" s="5" t="s">
        <v>1882</v>
      </c>
    </row>
    <row r="789" spans="1:33" ht="10" customHeight="1" x14ac:dyDescent="0.2">
      <c r="A789" s="5" t="s">
        <v>40</v>
      </c>
      <c r="B789" s="5" t="s">
        <v>41</v>
      </c>
      <c r="D789" s="5" t="s">
        <v>1883</v>
      </c>
      <c r="E789" s="10" t="s">
        <v>345</v>
      </c>
      <c r="F789" s="5" t="s">
        <v>1449</v>
      </c>
      <c r="G789" s="5" t="s">
        <v>464</v>
      </c>
      <c r="I789" s="11">
        <v>1</v>
      </c>
      <c r="J789" s="5" t="s">
        <v>45</v>
      </c>
      <c r="K789" s="10" t="s">
        <v>46</v>
      </c>
      <c r="L789" s="5" t="s">
        <v>47</v>
      </c>
      <c r="M789" s="5" t="s">
        <v>65</v>
      </c>
      <c r="N789" s="5" t="s">
        <v>66</v>
      </c>
      <c r="O789" s="12"/>
      <c r="S789" s="13">
        <v>93</v>
      </c>
      <c r="U789" s="13">
        <v>93</v>
      </c>
      <c r="AC789" s="10" t="s">
        <v>1884</v>
      </c>
      <c r="AD789" s="5" t="s">
        <v>1879</v>
      </c>
      <c r="AE789" s="5" t="s">
        <v>78</v>
      </c>
    </row>
    <row r="790" spans="1:33" ht="10" customHeight="1" x14ac:dyDescent="0.2">
      <c r="A790" s="5" t="s">
        <v>40</v>
      </c>
      <c r="B790" s="5" t="s">
        <v>41</v>
      </c>
      <c r="D790" s="5" t="s">
        <v>1885</v>
      </c>
      <c r="E790" s="10" t="s">
        <v>345</v>
      </c>
      <c r="F790" s="5" t="s">
        <v>1449</v>
      </c>
      <c r="G790" s="5" t="s">
        <v>464</v>
      </c>
      <c r="I790" s="11">
        <v>1</v>
      </c>
      <c r="J790" s="5" t="s">
        <v>45</v>
      </c>
      <c r="K790" s="10" t="s">
        <v>46</v>
      </c>
      <c r="L790" s="5" t="s">
        <v>47</v>
      </c>
      <c r="M790" s="5" t="s">
        <v>65</v>
      </c>
      <c r="N790" s="5" t="s">
        <v>66</v>
      </c>
      <c r="O790" s="12"/>
      <c r="S790" s="13">
        <v>271</v>
      </c>
      <c r="U790" s="13">
        <v>271</v>
      </c>
      <c r="AC790" s="10" t="s">
        <v>1886</v>
      </c>
      <c r="AD790" s="5" t="s">
        <v>1879</v>
      </c>
      <c r="AE790" s="5" t="s">
        <v>78</v>
      </c>
    </row>
    <row r="791" spans="1:33" ht="10" customHeight="1" x14ac:dyDescent="0.2">
      <c r="A791" s="5" t="s">
        <v>40</v>
      </c>
      <c r="B791" s="5" t="s">
        <v>41</v>
      </c>
      <c r="D791" s="5" t="s">
        <v>1887</v>
      </c>
      <c r="E791" s="10" t="s">
        <v>345</v>
      </c>
      <c r="F791" s="5" t="s">
        <v>1449</v>
      </c>
      <c r="G791" s="5" t="s">
        <v>464</v>
      </c>
      <c r="I791" s="11">
        <v>1</v>
      </c>
      <c r="J791" s="5" t="s">
        <v>45</v>
      </c>
      <c r="K791" s="10" t="s">
        <v>46</v>
      </c>
      <c r="L791" s="5" t="s">
        <v>47</v>
      </c>
      <c r="M791" s="5" t="s">
        <v>65</v>
      </c>
      <c r="N791" s="5" t="s">
        <v>66</v>
      </c>
      <c r="O791" s="12"/>
      <c r="S791" s="13">
        <v>40165</v>
      </c>
      <c r="U791" s="13">
        <v>40165</v>
      </c>
      <c r="AC791" s="10" t="s">
        <v>1888</v>
      </c>
      <c r="AD791" s="5" t="s">
        <v>1889</v>
      </c>
      <c r="AE791" s="5" t="s">
        <v>78</v>
      </c>
    </row>
    <row r="792" spans="1:33" ht="10" customHeight="1" x14ac:dyDescent="0.2">
      <c r="A792" s="5" t="s">
        <v>40</v>
      </c>
      <c r="B792" s="5" t="s">
        <v>41</v>
      </c>
      <c r="D792" s="5" t="s">
        <v>1890</v>
      </c>
      <c r="E792" s="10" t="s">
        <v>345</v>
      </c>
      <c r="F792" s="5" t="s">
        <v>1449</v>
      </c>
      <c r="G792" s="5" t="s">
        <v>464</v>
      </c>
      <c r="I792" s="11">
        <v>1</v>
      </c>
      <c r="J792" s="5" t="s">
        <v>45</v>
      </c>
      <c r="K792" s="10" t="s">
        <v>46</v>
      </c>
      <c r="L792" s="5" t="s">
        <v>47</v>
      </c>
      <c r="M792" s="5" t="s">
        <v>65</v>
      </c>
      <c r="N792" s="5" t="s">
        <v>66</v>
      </c>
      <c r="O792" s="12"/>
      <c r="S792" s="13">
        <v>432</v>
      </c>
      <c r="U792" s="13">
        <v>432</v>
      </c>
      <c r="AC792" s="10" t="s">
        <v>1891</v>
      </c>
      <c r="AD792" s="5" t="s">
        <v>1889</v>
      </c>
      <c r="AE792" s="5" t="s">
        <v>78</v>
      </c>
    </row>
    <row r="793" spans="1:33" ht="10" customHeight="1" x14ac:dyDescent="0.2">
      <c r="A793" s="5" t="s">
        <v>40</v>
      </c>
      <c r="B793" s="5" t="s">
        <v>41</v>
      </c>
      <c r="D793" s="5" t="s">
        <v>1892</v>
      </c>
      <c r="E793" s="10" t="s">
        <v>345</v>
      </c>
      <c r="F793" s="5" t="s">
        <v>1449</v>
      </c>
      <c r="G793" s="5" t="s">
        <v>464</v>
      </c>
      <c r="I793" s="11">
        <v>1</v>
      </c>
      <c r="J793" s="5" t="s">
        <v>45</v>
      </c>
      <c r="K793" s="10" t="s">
        <v>46</v>
      </c>
      <c r="L793" s="5" t="s">
        <v>47</v>
      </c>
      <c r="M793" s="5" t="s">
        <v>65</v>
      </c>
      <c r="N793" s="5" t="s">
        <v>66</v>
      </c>
      <c r="O793" s="12"/>
      <c r="S793" s="13">
        <v>1788</v>
      </c>
      <c r="U793" s="13">
        <v>1788</v>
      </c>
      <c r="AC793" s="10" t="s">
        <v>1893</v>
      </c>
      <c r="AD793" s="5" t="s">
        <v>1889</v>
      </c>
      <c r="AE793" s="5" t="s">
        <v>78</v>
      </c>
      <c r="AG793" s="5" t="s">
        <v>1894</v>
      </c>
    </row>
    <row r="794" spans="1:33" ht="10" customHeight="1" x14ac:dyDescent="0.2">
      <c r="A794" s="5" t="s">
        <v>40</v>
      </c>
      <c r="B794" s="5" t="s">
        <v>41</v>
      </c>
      <c r="D794" s="5" t="s">
        <v>1895</v>
      </c>
      <c r="E794" s="10" t="s">
        <v>345</v>
      </c>
      <c r="F794" s="5" t="s">
        <v>1449</v>
      </c>
      <c r="G794" s="5" t="s">
        <v>464</v>
      </c>
      <c r="I794" s="11">
        <v>1</v>
      </c>
      <c r="J794" s="5" t="s">
        <v>45</v>
      </c>
      <c r="K794" s="10" t="s">
        <v>46</v>
      </c>
      <c r="L794" s="5" t="s">
        <v>47</v>
      </c>
      <c r="M794" s="5" t="s">
        <v>65</v>
      </c>
      <c r="N794" s="5" t="s">
        <v>66</v>
      </c>
      <c r="O794" s="12"/>
      <c r="S794" s="13">
        <v>811</v>
      </c>
      <c r="U794" s="13">
        <v>811</v>
      </c>
      <c r="AC794" s="10" t="s">
        <v>1896</v>
      </c>
      <c r="AD794" s="5" t="s">
        <v>1889</v>
      </c>
      <c r="AE794" s="5" t="s">
        <v>78</v>
      </c>
    </row>
    <row r="795" spans="1:33" ht="10" customHeight="1" x14ac:dyDescent="0.2">
      <c r="A795" s="5" t="s">
        <v>40</v>
      </c>
      <c r="B795" s="5" t="s">
        <v>41</v>
      </c>
      <c r="D795" s="5" t="s">
        <v>1897</v>
      </c>
      <c r="E795" s="10" t="s">
        <v>345</v>
      </c>
      <c r="F795" s="5" t="s">
        <v>1449</v>
      </c>
      <c r="G795" s="5" t="s">
        <v>464</v>
      </c>
      <c r="I795" s="11">
        <v>1</v>
      </c>
      <c r="J795" s="5" t="s">
        <v>45</v>
      </c>
      <c r="K795" s="10" t="s">
        <v>46</v>
      </c>
      <c r="L795" s="5" t="s">
        <v>47</v>
      </c>
      <c r="M795" s="5" t="s">
        <v>65</v>
      </c>
      <c r="N795" s="5" t="s">
        <v>66</v>
      </c>
      <c r="O795" s="12"/>
      <c r="S795" s="13">
        <v>768</v>
      </c>
      <c r="U795" s="13">
        <v>768</v>
      </c>
      <c r="AC795" s="10" t="s">
        <v>1898</v>
      </c>
      <c r="AD795" s="5" t="s">
        <v>1889</v>
      </c>
      <c r="AE795" s="5" t="s">
        <v>78</v>
      </c>
    </row>
    <row r="796" spans="1:33" ht="10" customHeight="1" x14ac:dyDescent="0.2">
      <c r="A796" s="5" t="s">
        <v>40</v>
      </c>
      <c r="B796" s="5" t="s">
        <v>41</v>
      </c>
      <c r="D796" s="5" t="s">
        <v>1899</v>
      </c>
      <c r="E796" s="10" t="s">
        <v>345</v>
      </c>
      <c r="F796" s="5" t="s">
        <v>1449</v>
      </c>
      <c r="G796" s="5" t="s">
        <v>464</v>
      </c>
      <c r="I796" s="11">
        <v>1</v>
      </c>
      <c r="J796" s="5" t="s">
        <v>45</v>
      </c>
      <c r="K796" s="10" t="s">
        <v>46</v>
      </c>
      <c r="L796" s="5" t="s">
        <v>47</v>
      </c>
      <c r="M796" s="5" t="s">
        <v>65</v>
      </c>
      <c r="N796" s="5" t="s">
        <v>66</v>
      </c>
      <c r="O796" s="12"/>
      <c r="S796" s="13">
        <v>1885</v>
      </c>
      <c r="U796" s="13">
        <v>1885</v>
      </c>
      <c r="AC796" s="10" t="s">
        <v>1900</v>
      </c>
      <c r="AD796" s="5" t="s">
        <v>1889</v>
      </c>
      <c r="AE796" s="5" t="s">
        <v>78</v>
      </c>
    </row>
    <row r="797" spans="1:33" ht="10" customHeight="1" x14ac:dyDescent="0.2">
      <c r="A797" s="5" t="s">
        <v>40</v>
      </c>
      <c r="B797" s="5" t="s">
        <v>41</v>
      </c>
      <c r="D797" s="5" t="s">
        <v>1901</v>
      </c>
      <c r="E797" s="10" t="s">
        <v>345</v>
      </c>
      <c r="F797" s="5" t="s">
        <v>1449</v>
      </c>
      <c r="G797" s="5" t="s">
        <v>464</v>
      </c>
      <c r="I797" s="11">
        <v>1</v>
      </c>
      <c r="J797" s="5" t="s">
        <v>45</v>
      </c>
      <c r="K797" s="10" t="s">
        <v>46</v>
      </c>
      <c r="L797" s="5" t="s">
        <v>47</v>
      </c>
      <c r="M797" s="5" t="s">
        <v>65</v>
      </c>
      <c r="N797" s="5" t="s">
        <v>66</v>
      </c>
      <c r="O797" s="12"/>
      <c r="S797" s="13">
        <v>5108</v>
      </c>
      <c r="U797" s="13">
        <v>5108</v>
      </c>
      <c r="AC797" s="10" t="s">
        <v>1902</v>
      </c>
      <c r="AD797" s="5" t="s">
        <v>1903</v>
      </c>
      <c r="AE797" s="5" t="s">
        <v>78</v>
      </c>
    </row>
    <row r="798" spans="1:33" ht="10" customHeight="1" x14ac:dyDescent="0.2">
      <c r="A798" s="5" t="s">
        <v>40</v>
      </c>
      <c r="B798" s="5" t="s">
        <v>41</v>
      </c>
      <c r="D798" s="5" t="s">
        <v>1904</v>
      </c>
      <c r="E798" s="10" t="s">
        <v>345</v>
      </c>
      <c r="F798" s="5" t="s">
        <v>1449</v>
      </c>
      <c r="G798" s="5" t="s">
        <v>464</v>
      </c>
      <c r="I798" s="11">
        <v>1</v>
      </c>
      <c r="J798" s="5" t="s">
        <v>45</v>
      </c>
      <c r="K798" s="10" t="s">
        <v>46</v>
      </c>
      <c r="L798" s="5" t="s">
        <v>47</v>
      </c>
      <c r="M798" s="5" t="s">
        <v>65</v>
      </c>
      <c r="N798" s="5" t="s">
        <v>66</v>
      </c>
      <c r="O798" s="12"/>
      <c r="S798" s="13">
        <v>944</v>
      </c>
      <c r="U798" s="13">
        <v>944</v>
      </c>
      <c r="AC798" s="10" t="s">
        <v>1905</v>
      </c>
      <c r="AD798" s="5" t="s">
        <v>1903</v>
      </c>
      <c r="AE798" s="5" t="s">
        <v>78</v>
      </c>
    </row>
    <row r="799" spans="1:33" ht="10" customHeight="1" x14ac:dyDescent="0.2">
      <c r="A799" s="5" t="s">
        <v>40</v>
      </c>
      <c r="B799" s="5" t="s">
        <v>41</v>
      </c>
      <c r="D799" s="5" t="s">
        <v>1906</v>
      </c>
      <c r="E799" s="10" t="s">
        <v>345</v>
      </c>
      <c r="F799" s="5" t="s">
        <v>1449</v>
      </c>
      <c r="G799" s="5" t="s">
        <v>464</v>
      </c>
      <c r="I799" s="11">
        <v>1</v>
      </c>
      <c r="J799" s="5" t="s">
        <v>45</v>
      </c>
      <c r="K799" s="10" t="s">
        <v>46</v>
      </c>
      <c r="L799" s="5" t="s">
        <v>47</v>
      </c>
      <c r="M799" s="5" t="s">
        <v>65</v>
      </c>
      <c r="N799" s="5" t="s">
        <v>66</v>
      </c>
      <c r="O799" s="12"/>
      <c r="S799" s="13">
        <v>588</v>
      </c>
      <c r="U799" s="13">
        <v>588</v>
      </c>
      <c r="AC799" s="10" t="s">
        <v>1907</v>
      </c>
      <c r="AD799" s="5" t="s">
        <v>1903</v>
      </c>
      <c r="AE799" s="5" t="s">
        <v>78</v>
      </c>
    </row>
    <row r="800" spans="1:33" ht="10" customHeight="1" x14ac:dyDescent="0.2">
      <c r="A800" s="5" t="s">
        <v>40</v>
      </c>
      <c r="B800" s="5" t="s">
        <v>41</v>
      </c>
      <c r="D800" s="5" t="s">
        <v>1908</v>
      </c>
      <c r="E800" s="10" t="s">
        <v>345</v>
      </c>
      <c r="F800" s="5" t="s">
        <v>1449</v>
      </c>
      <c r="G800" s="5" t="s">
        <v>464</v>
      </c>
      <c r="I800" s="11">
        <v>1</v>
      </c>
      <c r="J800" s="5" t="s">
        <v>45</v>
      </c>
      <c r="K800" s="10" t="s">
        <v>46</v>
      </c>
      <c r="L800" s="5" t="s">
        <v>47</v>
      </c>
      <c r="M800" s="5" t="s">
        <v>65</v>
      </c>
      <c r="N800" s="5" t="s">
        <v>66</v>
      </c>
      <c r="O800" s="12"/>
      <c r="S800" s="13">
        <v>2132</v>
      </c>
      <c r="U800" s="13">
        <v>2132</v>
      </c>
      <c r="AC800" s="10" t="s">
        <v>1909</v>
      </c>
      <c r="AD800" s="5" t="s">
        <v>1903</v>
      </c>
      <c r="AE800" s="5" t="s">
        <v>78</v>
      </c>
    </row>
    <row r="801" spans="1:33" ht="10" customHeight="1" x14ac:dyDescent="0.2">
      <c r="A801" s="5" t="s">
        <v>40</v>
      </c>
      <c r="B801" s="5" t="s">
        <v>41</v>
      </c>
      <c r="D801" s="5" t="s">
        <v>1910</v>
      </c>
      <c r="E801" s="10" t="s">
        <v>345</v>
      </c>
      <c r="F801" s="5" t="s">
        <v>1449</v>
      </c>
      <c r="G801" s="5" t="s">
        <v>464</v>
      </c>
      <c r="I801" s="11">
        <v>1</v>
      </c>
      <c r="J801" s="5" t="s">
        <v>45</v>
      </c>
      <c r="K801" s="10" t="s">
        <v>46</v>
      </c>
      <c r="L801" s="5" t="s">
        <v>47</v>
      </c>
      <c r="M801" s="5" t="s">
        <v>65</v>
      </c>
      <c r="N801" s="5" t="s">
        <v>66</v>
      </c>
      <c r="O801" s="12"/>
      <c r="S801" s="13">
        <v>18650</v>
      </c>
      <c r="U801" s="13">
        <v>18650</v>
      </c>
      <c r="AC801" s="10" t="s">
        <v>1911</v>
      </c>
      <c r="AD801" s="5" t="s">
        <v>1912</v>
      </c>
      <c r="AE801" s="5" t="s">
        <v>78</v>
      </c>
    </row>
    <row r="802" spans="1:33" ht="10" customHeight="1" x14ac:dyDescent="0.2">
      <c r="A802" s="5" t="s">
        <v>40</v>
      </c>
      <c r="B802" s="5" t="s">
        <v>41</v>
      </c>
      <c r="D802" s="5" t="s">
        <v>1913</v>
      </c>
      <c r="E802" s="10" t="s">
        <v>345</v>
      </c>
      <c r="F802" s="5" t="s">
        <v>1449</v>
      </c>
      <c r="G802" s="5" t="s">
        <v>464</v>
      </c>
      <c r="I802" s="11">
        <v>1</v>
      </c>
      <c r="J802" s="5" t="s">
        <v>45</v>
      </c>
      <c r="K802" s="10" t="s">
        <v>46</v>
      </c>
      <c r="L802" s="5" t="s">
        <v>47</v>
      </c>
      <c r="M802" s="5" t="s">
        <v>65</v>
      </c>
      <c r="N802" s="5" t="s">
        <v>66</v>
      </c>
      <c r="O802" s="12"/>
      <c r="S802" s="13">
        <v>293</v>
      </c>
      <c r="U802" s="13">
        <v>293</v>
      </c>
      <c r="AC802" s="10" t="s">
        <v>1914</v>
      </c>
      <c r="AD802" s="5" t="s">
        <v>1912</v>
      </c>
      <c r="AE802" s="5" t="s">
        <v>78</v>
      </c>
    </row>
    <row r="803" spans="1:33" ht="10" customHeight="1" x14ac:dyDescent="0.2">
      <c r="A803" s="5" t="s">
        <v>40</v>
      </c>
      <c r="B803" s="5" t="s">
        <v>41</v>
      </c>
      <c r="D803" s="5" t="s">
        <v>1915</v>
      </c>
      <c r="E803" s="10" t="s">
        <v>345</v>
      </c>
      <c r="F803" s="5" t="s">
        <v>1449</v>
      </c>
      <c r="G803" s="5" t="s">
        <v>464</v>
      </c>
      <c r="I803" s="11">
        <v>1</v>
      </c>
      <c r="J803" s="5" t="s">
        <v>45</v>
      </c>
      <c r="K803" s="10" t="s">
        <v>46</v>
      </c>
      <c r="L803" s="5" t="s">
        <v>47</v>
      </c>
      <c r="M803" s="5" t="s">
        <v>65</v>
      </c>
      <c r="N803" s="5" t="s">
        <v>66</v>
      </c>
      <c r="O803" s="12"/>
      <c r="S803" s="13">
        <v>160</v>
      </c>
      <c r="U803" s="13">
        <v>160</v>
      </c>
      <c r="AC803" s="10" t="s">
        <v>1916</v>
      </c>
      <c r="AD803" s="5" t="s">
        <v>1912</v>
      </c>
      <c r="AE803" s="5" t="s">
        <v>78</v>
      </c>
      <c r="AG803" s="5" t="s">
        <v>1917</v>
      </c>
    </row>
    <row r="804" spans="1:33" ht="10" customHeight="1" x14ac:dyDescent="0.2">
      <c r="A804" s="5" t="s">
        <v>40</v>
      </c>
      <c r="B804" s="5" t="s">
        <v>41</v>
      </c>
      <c r="D804" s="5" t="s">
        <v>1918</v>
      </c>
      <c r="E804" s="10" t="s">
        <v>345</v>
      </c>
      <c r="F804" s="5" t="s">
        <v>1449</v>
      </c>
      <c r="G804" s="5" t="s">
        <v>464</v>
      </c>
      <c r="I804" s="11">
        <v>1</v>
      </c>
      <c r="J804" s="5" t="s">
        <v>45</v>
      </c>
      <c r="K804" s="10" t="s">
        <v>46</v>
      </c>
      <c r="L804" s="5" t="s">
        <v>47</v>
      </c>
      <c r="M804" s="5" t="s">
        <v>65</v>
      </c>
      <c r="N804" s="5" t="s">
        <v>66</v>
      </c>
      <c r="O804" s="12"/>
      <c r="S804" s="13">
        <v>1306</v>
      </c>
      <c r="U804" s="13">
        <v>1306</v>
      </c>
      <c r="AC804" s="10" t="s">
        <v>1919</v>
      </c>
      <c r="AD804" s="5" t="s">
        <v>1912</v>
      </c>
      <c r="AE804" s="5" t="s">
        <v>78</v>
      </c>
    </row>
    <row r="805" spans="1:33" ht="10" customHeight="1" x14ac:dyDescent="0.2">
      <c r="A805" s="5" t="s">
        <v>40</v>
      </c>
      <c r="B805" s="5" t="s">
        <v>41</v>
      </c>
      <c r="D805" s="5" t="s">
        <v>1920</v>
      </c>
      <c r="E805" s="10" t="s">
        <v>345</v>
      </c>
      <c r="F805" s="5" t="s">
        <v>1449</v>
      </c>
      <c r="G805" s="5" t="s">
        <v>464</v>
      </c>
      <c r="I805" s="11">
        <v>1</v>
      </c>
      <c r="J805" s="5" t="s">
        <v>45</v>
      </c>
      <c r="K805" s="10" t="s">
        <v>46</v>
      </c>
      <c r="L805" s="5" t="s">
        <v>47</v>
      </c>
      <c r="M805" s="5" t="s">
        <v>65</v>
      </c>
      <c r="N805" s="5" t="s">
        <v>66</v>
      </c>
      <c r="O805" s="12"/>
      <c r="S805" s="13">
        <v>437</v>
      </c>
      <c r="U805" s="13">
        <v>437</v>
      </c>
      <c r="AC805" s="10" t="s">
        <v>1921</v>
      </c>
      <c r="AD805" s="5" t="s">
        <v>1912</v>
      </c>
      <c r="AE805" s="5" t="s">
        <v>78</v>
      </c>
    </row>
    <row r="806" spans="1:33" ht="10" customHeight="1" x14ac:dyDescent="0.2">
      <c r="A806" s="5" t="s">
        <v>40</v>
      </c>
      <c r="B806" s="5" t="s">
        <v>41</v>
      </c>
      <c r="D806" s="5" t="s">
        <v>1922</v>
      </c>
      <c r="E806" s="10" t="s">
        <v>345</v>
      </c>
      <c r="F806" s="5" t="s">
        <v>1449</v>
      </c>
      <c r="G806" s="5" t="s">
        <v>464</v>
      </c>
      <c r="I806" s="11">
        <v>1</v>
      </c>
      <c r="J806" s="5" t="s">
        <v>45</v>
      </c>
      <c r="K806" s="10" t="s">
        <v>46</v>
      </c>
      <c r="L806" s="5" t="s">
        <v>47</v>
      </c>
      <c r="M806" s="5" t="s">
        <v>65</v>
      </c>
      <c r="N806" s="5" t="s">
        <v>66</v>
      </c>
      <c r="O806" s="12"/>
      <c r="S806" s="13">
        <v>1644</v>
      </c>
      <c r="U806" s="13">
        <v>1644</v>
      </c>
      <c r="AC806" s="10" t="s">
        <v>1923</v>
      </c>
      <c r="AD806" s="5" t="s">
        <v>1912</v>
      </c>
      <c r="AE806" s="5" t="s">
        <v>78</v>
      </c>
    </row>
    <row r="807" spans="1:33" ht="10" customHeight="1" x14ac:dyDescent="0.2">
      <c r="A807" s="5" t="s">
        <v>40</v>
      </c>
      <c r="B807" s="5" t="s">
        <v>41</v>
      </c>
      <c r="D807" s="5" t="s">
        <v>1924</v>
      </c>
      <c r="E807" s="10" t="s">
        <v>345</v>
      </c>
      <c r="F807" s="5" t="s">
        <v>1449</v>
      </c>
      <c r="G807" s="5" t="s">
        <v>464</v>
      </c>
      <c r="I807" s="11">
        <v>1</v>
      </c>
      <c r="J807" s="5" t="s">
        <v>45</v>
      </c>
      <c r="K807" s="10" t="s">
        <v>46</v>
      </c>
      <c r="L807" s="5" t="s">
        <v>47</v>
      </c>
      <c r="M807" s="5" t="s">
        <v>65</v>
      </c>
      <c r="N807" s="5" t="s">
        <v>66</v>
      </c>
      <c r="O807" s="12"/>
      <c r="S807" s="13">
        <v>4884</v>
      </c>
      <c r="U807" s="13">
        <v>4884</v>
      </c>
      <c r="AC807" s="10" t="s">
        <v>1925</v>
      </c>
      <c r="AD807" s="5" t="s">
        <v>1926</v>
      </c>
      <c r="AE807" s="5" t="s">
        <v>78</v>
      </c>
    </row>
    <row r="808" spans="1:33" ht="10" customHeight="1" x14ac:dyDescent="0.2">
      <c r="A808" s="5" t="s">
        <v>40</v>
      </c>
      <c r="B808" s="5" t="s">
        <v>41</v>
      </c>
      <c r="D808" s="5" t="s">
        <v>1927</v>
      </c>
      <c r="E808" s="10" t="s">
        <v>345</v>
      </c>
      <c r="F808" s="5" t="s">
        <v>1449</v>
      </c>
      <c r="G808" s="5" t="s">
        <v>464</v>
      </c>
      <c r="I808" s="11">
        <v>1</v>
      </c>
      <c r="J808" s="5" t="s">
        <v>45</v>
      </c>
      <c r="K808" s="10" t="s">
        <v>46</v>
      </c>
      <c r="L808" s="5" t="s">
        <v>47</v>
      </c>
      <c r="M808" s="5" t="s">
        <v>65</v>
      </c>
      <c r="N808" s="5" t="s">
        <v>66</v>
      </c>
      <c r="O808" s="12"/>
      <c r="S808" s="13">
        <v>222</v>
      </c>
      <c r="U808" s="13">
        <v>222</v>
      </c>
      <c r="AC808" s="10" t="s">
        <v>1928</v>
      </c>
      <c r="AD808" s="5" t="s">
        <v>1926</v>
      </c>
      <c r="AE808" s="5" t="s">
        <v>78</v>
      </c>
      <c r="AG808" s="5" t="s">
        <v>1929</v>
      </c>
    </row>
    <row r="809" spans="1:33" ht="10" customHeight="1" x14ac:dyDescent="0.2">
      <c r="A809" s="5" t="s">
        <v>40</v>
      </c>
      <c r="B809" s="5" t="s">
        <v>41</v>
      </c>
      <c r="D809" s="5" t="s">
        <v>1930</v>
      </c>
      <c r="E809" s="10" t="s">
        <v>345</v>
      </c>
      <c r="F809" s="5" t="s">
        <v>1449</v>
      </c>
      <c r="G809" s="5" t="s">
        <v>464</v>
      </c>
      <c r="I809" s="11">
        <v>1</v>
      </c>
      <c r="J809" s="5" t="s">
        <v>45</v>
      </c>
      <c r="K809" s="10" t="s">
        <v>46</v>
      </c>
      <c r="L809" s="5" t="s">
        <v>47</v>
      </c>
      <c r="M809" s="5" t="s">
        <v>65</v>
      </c>
      <c r="N809" s="5" t="s">
        <v>66</v>
      </c>
      <c r="O809" s="12"/>
      <c r="S809" s="13">
        <v>1287</v>
      </c>
      <c r="U809" s="13">
        <v>1287</v>
      </c>
      <c r="AC809" s="10" t="s">
        <v>1931</v>
      </c>
      <c r="AD809" s="5" t="s">
        <v>1926</v>
      </c>
      <c r="AE809" s="5" t="s">
        <v>78</v>
      </c>
    </row>
    <row r="810" spans="1:33" ht="10" customHeight="1" x14ac:dyDescent="0.2">
      <c r="A810" s="5" t="s">
        <v>40</v>
      </c>
      <c r="B810" s="5" t="s">
        <v>41</v>
      </c>
      <c r="D810" s="5" t="s">
        <v>1932</v>
      </c>
      <c r="E810" s="10" t="s">
        <v>345</v>
      </c>
      <c r="F810" s="5" t="s">
        <v>1449</v>
      </c>
      <c r="G810" s="5" t="s">
        <v>464</v>
      </c>
      <c r="I810" s="11">
        <v>1</v>
      </c>
      <c r="J810" s="5" t="s">
        <v>45</v>
      </c>
      <c r="K810" s="10" t="s">
        <v>46</v>
      </c>
      <c r="L810" s="5" t="s">
        <v>47</v>
      </c>
      <c r="M810" s="5" t="s">
        <v>65</v>
      </c>
      <c r="N810" s="5" t="s">
        <v>66</v>
      </c>
      <c r="O810" s="12"/>
      <c r="S810" s="13">
        <v>825</v>
      </c>
      <c r="U810" s="13">
        <v>825</v>
      </c>
      <c r="AC810" s="10" t="s">
        <v>1933</v>
      </c>
      <c r="AD810" s="5" t="s">
        <v>1926</v>
      </c>
      <c r="AE810" s="5" t="s">
        <v>78</v>
      </c>
    </row>
    <row r="811" spans="1:33" ht="10" customHeight="1" x14ac:dyDescent="0.2">
      <c r="A811" s="5" t="s">
        <v>40</v>
      </c>
      <c r="B811" s="5" t="s">
        <v>41</v>
      </c>
      <c r="D811" s="5" t="s">
        <v>1934</v>
      </c>
      <c r="E811" s="10" t="s">
        <v>345</v>
      </c>
      <c r="F811" s="5" t="s">
        <v>1449</v>
      </c>
      <c r="G811" s="5" t="s">
        <v>464</v>
      </c>
      <c r="I811" s="11">
        <v>1</v>
      </c>
      <c r="J811" s="5" t="s">
        <v>45</v>
      </c>
      <c r="K811" s="10" t="s">
        <v>46</v>
      </c>
      <c r="L811" s="5" t="s">
        <v>47</v>
      </c>
      <c r="M811" s="5" t="s">
        <v>65</v>
      </c>
      <c r="N811" s="5" t="s">
        <v>66</v>
      </c>
      <c r="O811" s="12"/>
      <c r="S811" s="13">
        <v>1557</v>
      </c>
      <c r="U811" s="13">
        <v>1557</v>
      </c>
      <c r="AC811" s="10" t="s">
        <v>1935</v>
      </c>
      <c r="AD811" s="5" t="s">
        <v>1926</v>
      </c>
      <c r="AE811" s="5" t="s">
        <v>78</v>
      </c>
    </row>
    <row r="812" spans="1:33" ht="10" customHeight="1" x14ac:dyDescent="0.2">
      <c r="A812" s="5" t="s">
        <v>40</v>
      </c>
      <c r="B812" s="5" t="s">
        <v>41</v>
      </c>
      <c r="D812" s="5" t="s">
        <v>1936</v>
      </c>
      <c r="E812" s="10" t="s">
        <v>345</v>
      </c>
      <c r="F812" s="5" t="s">
        <v>1449</v>
      </c>
      <c r="G812" s="5" t="s">
        <v>464</v>
      </c>
      <c r="I812" s="11">
        <v>1</v>
      </c>
      <c r="J812" s="5" t="s">
        <v>45</v>
      </c>
      <c r="K812" s="10" t="s">
        <v>46</v>
      </c>
      <c r="L812" s="5" t="s">
        <v>47</v>
      </c>
      <c r="M812" s="5" t="s">
        <v>65</v>
      </c>
      <c r="N812" s="5" t="s">
        <v>66</v>
      </c>
      <c r="O812" s="12"/>
      <c r="S812" s="13">
        <v>9074</v>
      </c>
      <c r="U812" s="13">
        <v>9074</v>
      </c>
      <c r="AC812" s="10" t="s">
        <v>1937</v>
      </c>
      <c r="AD812" s="5" t="s">
        <v>1938</v>
      </c>
      <c r="AE812" s="5" t="s">
        <v>78</v>
      </c>
    </row>
    <row r="813" spans="1:33" ht="10" customHeight="1" x14ac:dyDescent="0.2">
      <c r="A813" s="5" t="s">
        <v>40</v>
      </c>
      <c r="B813" s="5" t="s">
        <v>41</v>
      </c>
      <c r="D813" s="5" t="s">
        <v>1939</v>
      </c>
      <c r="E813" s="10" t="s">
        <v>345</v>
      </c>
      <c r="F813" s="5" t="s">
        <v>1449</v>
      </c>
      <c r="G813" s="5" t="s">
        <v>464</v>
      </c>
      <c r="I813" s="11">
        <v>1</v>
      </c>
      <c r="J813" s="5" t="s">
        <v>45</v>
      </c>
      <c r="K813" s="10" t="s">
        <v>46</v>
      </c>
      <c r="L813" s="5" t="s">
        <v>47</v>
      </c>
      <c r="M813" s="5" t="s">
        <v>65</v>
      </c>
      <c r="N813" s="5" t="s">
        <v>66</v>
      </c>
      <c r="O813" s="12"/>
      <c r="S813" s="13">
        <v>261</v>
      </c>
      <c r="U813" s="13">
        <v>261</v>
      </c>
      <c r="AC813" s="10" t="s">
        <v>1940</v>
      </c>
      <c r="AD813" s="5" t="s">
        <v>1938</v>
      </c>
      <c r="AE813" s="5" t="s">
        <v>78</v>
      </c>
    </row>
    <row r="814" spans="1:33" ht="10" customHeight="1" x14ac:dyDescent="0.2">
      <c r="A814" s="5" t="s">
        <v>40</v>
      </c>
      <c r="B814" s="5" t="s">
        <v>41</v>
      </c>
      <c r="D814" s="5" t="s">
        <v>1941</v>
      </c>
      <c r="E814" s="10" t="s">
        <v>345</v>
      </c>
      <c r="F814" s="5" t="s">
        <v>1449</v>
      </c>
      <c r="G814" s="5" t="s">
        <v>464</v>
      </c>
      <c r="I814" s="11">
        <v>1</v>
      </c>
      <c r="J814" s="5" t="s">
        <v>45</v>
      </c>
      <c r="K814" s="10" t="s">
        <v>46</v>
      </c>
      <c r="L814" s="5" t="s">
        <v>47</v>
      </c>
      <c r="M814" s="5" t="s">
        <v>65</v>
      </c>
      <c r="N814" s="5" t="s">
        <v>66</v>
      </c>
      <c r="O814" s="12"/>
      <c r="S814" s="13">
        <v>55</v>
      </c>
      <c r="U814" s="13">
        <v>55</v>
      </c>
      <c r="AC814" s="10" t="s">
        <v>1942</v>
      </c>
      <c r="AD814" s="5" t="s">
        <v>1938</v>
      </c>
      <c r="AE814" s="5" t="s">
        <v>78</v>
      </c>
    </row>
    <row r="815" spans="1:33" ht="10" customHeight="1" x14ac:dyDescent="0.2">
      <c r="A815" s="5" t="s">
        <v>40</v>
      </c>
      <c r="B815" s="5" t="s">
        <v>41</v>
      </c>
      <c r="D815" s="5" t="s">
        <v>1943</v>
      </c>
      <c r="E815" s="10" t="s">
        <v>345</v>
      </c>
      <c r="F815" s="5" t="s">
        <v>1449</v>
      </c>
      <c r="G815" s="5" t="s">
        <v>464</v>
      </c>
      <c r="I815" s="11">
        <v>1</v>
      </c>
      <c r="J815" s="5" t="s">
        <v>45</v>
      </c>
      <c r="K815" s="10" t="s">
        <v>46</v>
      </c>
      <c r="L815" s="5" t="s">
        <v>47</v>
      </c>
      <c r="M815" s="5" t="s">
        <v>65</v>
      </c>
      <c r="N815" s="5" t="s">
        <v>66</v>
      </c>
      <c r="O815" s="12"/>
      <c r="S815" s="13">
        <v>564</v>
      </c>
      <c r="U815" s="13">
        <v>564</v>
      </c>
      <c r="AC815" s="10" t="s">
        <v>1944</v>
      </c>
      <c r="AD815" s="5" t="s">
        <v>1938</v>
      </c>
      <c r="AE815" s="5" t="s">
        <v>78</v>
      </c>
    </row>
    <row r="816" spans="1:33" ht="10" customHeight="1" x14ac:dyDescent="0.2">
      <c r="A816" s="5" t="s">
        <v>40</v>
      </c>
      <c r="B816" s="5" t="s">
        <v>41</v>
      </c>
      <c r="D816" s="5" t="s">
        <v>1945</v>
      </c>
      <c r="E816" s="10" t="s">
        <v>345</v>
      </c>
      <c r="F816" s="5" t="s">
        <v>1449</v>
      </c>
      <c r="G816" s="5" t="s">
        <v>464</v>
      </c>
      <c r="I816" s="11">
        <v>1</v>
      </c>
      <c r="J816" s="5" t="s">
        <v>45</v>
      </c>
      <c r="K816" s="10" t="s">
        <v>46</v>
      </c>
      <c r="L816" s="5" t="s">
        <v>47</v>
      </c>
      <c r="M816" s="5" t="s">
        <v>65</v>
      </c>
      <c r="N816" s="5" t="s">
        <v>66</v>
      </c>
      <c r="O816" s="12"/>
      <c r="S816" s="13">
        <v>3628</v>
      </c>
      <c r="U816" s="13">
        <v>3628</v>
      </c>
      <c r="AC816" s="10" t="s">
        <v>1946</v>
      </c>
      <c r="AD816" s="5" t="s">
        <v>1947</v>
      </c>
      <c r="AE816" s="5" t="s">
        <v>78</v>
      </c>
    </row>
    <row r="817" spans="1:31" ht="10" customHeight="1" x14ac:dyDescent="0.2">
      <c r="A817" s="5" t="s">
        <v>40</v>
      </c>
      <c r="B817" s="5" t="s">
        <v>41</v>
      </c>
      <c r="D817" s="5" t="s">
        <v>1948</v>
      </c>
      <c r="E817" s="10" t="s">
        <v>345</v>
      </c>
      <c r="F817" s="5" t="s">
        <v>1449</v>
      </c>
      <c r="G817" s="5" t="s">
        <v>464</v>
      </c>
      <c r="I817" s="11">
        <v>1</v>
      </c>
      <c r="J817" s="5" t="s">
        <v>45</v>
      </c>
      <c r="K817" s="10" t="s">
        <v>46</v>
      </c>
      <c r="L817" s="5" t="s">
        <v>47</v>
      </c>
      <c r="M817" s="5" t="s">
        <v>65</v>
      </c>
      <c r="N817" s="5" t="s">
        <v>66</v>
      </c>
      <c r="O817" s="12"/>
      <c r="S817" s="13">
        <v>378</v>
      </c>
      <c r="U817" s="13">
        <v>378</v>
      </c>
      <c r="AC817" s="10" t="s">
        <v>1949</v>
      </c>
      <c r="AD817" s="5" t="s">
        <v>1947</v>
      </c>
      <c r="AE817" s="5" t="s">
        <v>78</v>
      </c>
    </row>
    <row r="818" spans="1:31" ht="10" customHeight="1" x14ac:dyDescent="0.2">
      <c r="A818" s="5" t="s">
        <v>40</v>
      </c>
      <c r="B818" s="5" t="s">
        <v>41</v>
      </c>
      <c r="D818" s="5" t="s">
        <v>1950</v>
      </c>
      <c r="E818" s="10" t="s">
        <v>345</v>
      </c>
      <c r="F818" s="5" t="s">
        <v>1449</v>
      </c>
      <c r="G818" s="5" t="s">
        <v>464</v>
      </c>
      <c r="I818" s="11">
        <v>1</v>
      </c>
      <c r="J818" s="5" t="s">
        <v>45</v>
      </c>
      <c r="K818" s="10" t="s">
        <v>46</v>
      </c>
      <c r="L818" s="5" t="s">
        <v>47</v>
      </c>
      <c r="M818" s="5" t="s">
        <v>65</v>
      </c>
      <c r="N818" s="5" t="s">
        <v>66</v>
      </c>
      <c r="O818" s="12"/>
      <c r="S818" s="13">
        <v>966</v>
      </c>
      <c r="U818" s="13">
        <v>966</v>
      </c>
      <c r="AC818" s="10" t="s">
        <v>1951</v>
      </c>
      <c r="AD818" s="5" t="s">
        <v>1947</v>
      </c>
      <c r="AE818" s="5" t="s">
        <v>78</v>
      </c>
    </row>
    <row r="819" spans="1:31" ht="10" customHeight="1" x14ac:dyDescent="0.2">
      <c r="A819" s="5" t="s">
        <v>40</v>
      </c>
      <c r="B819" s="5" t="s">
        <v>41</v>
      </c>
      <c r="D819" s="5" t="s">
        <v>1952</v>
      </c>
      <c r="E819" s="10" t="s">
        <v>345</v>
      </c>
      <c r="F819" s="5" t="s">
        <v>1449</v>
      </c>
      <c r="G819" s="5" t="s">
        <v>464</v>
      </c>
      <c r="I819" s="11">
        <v>1</v>
      </c>
      <c r="J819" s="5" t="s">
        <v>45</v>
      </c>
      <c r="K819" s="10" t="s">
        <v>46</v>
      </c>
      <c r="L819" s="5" t="s">
        <v>47</v>
      </c>
      <c r="M819" s="5" t="s">
        <v>65</v>
      </c>
      <c r="N819" s="5" t="s">
        <v>66</v>
      </c>
      <c r="O819" s="12"/>
      <c r="S819" s="13">
        <v>1424</v>
      </c>
      <c r="U819" s="13">
        <v>1424</v>
      </c>
      <c r="AC819" s="10" t="s">
        <v>1953</v>
      </c>
      <c r="AD819" s="5" t="s">
        <v>1947</v>
      </c>
      <c r="AE819" s="5" t="s">
        <v>78</v>
      </c>
    </row>
    <row r="820" spans="1:31" ht="10" customHeight="1" x14ac:dyDescent="0.2">
      <c r="A820" s="5" t="s">
        <v>40</v>
      </c>
      <c r="B820" s="5" t="s">
        <v>41</v>
      </c>
      <c r="D820" s="5" t="s">
        <v>1954</v>
      </c>
      <c r="E820" s="10" t="s">
        <v>345</v>
      </c>
      <c r="F820" s="5" t="s">
        <v>1449</v>
      </c>
      <c r="G820" s="5" t="s">
        <v>464</v>
      </c>
      <c r="I820" s="11">
        <v>1</v>
      </c>
      <c r="J820" s="5" t="s">
        <v>45</v>
      </c>
      <c r="K820" s="10" t="s">
        <v>46</v>
      </c>
      <c r="L820" s="5" t="s">
        <v>47</v>
      </c>
      <c r="M820" s="5" t="s">
        <v>65</v>
      </c>
      <c r="N820" s="5" t="s">
        <v>66</v>
      </c>
      <c r="O820" s="12"/>
      <c r="S820" s="13">
        <v>32515</v>
      </c>
      <c r="U820" s="13">
        <v>32515</v>
      </c>
      <c r="AC820" s="10" t="s">
        <v>1955</v>
      </c>
      <c r="AD820" s="5" t="s">
        <v>1956</v>
      </c>
      <c r="AE820" s="5" t="s">
        <v>78</v>
      </c>
    </row>
    <row r="821" spans="1:31" ht="10" customHeight="1" x14ac:dyDescent="0.2">
      <c r="A821" s="5" t="s">
        <v>40</v>
      </c>
      <c r="B821" s="5" t="s">
        <v>41</v>
      </c>
      <c r="D821" s="5" t="s">
        <v>1957</v>
      </c>
      <c r="E821" s="10" t="s">
        <v>345</v>
      </c>
      <c r="F821" s="5" t="s">
        <v>1449</v>
      </c>
      <c r="G821" s="5" t="s">
        <v>464</v>
      </c>
      <c r="I821" s="11">
        <v>1</v>
      </c>
      <c r="J821" s="5" t="s">
        <v>45</v>
      </c>
      <c r="K821" s="10" t="s">
        <v>46</v>
      </c>
      <c r="L821" s="5" t="s">
        <v>47</v>
      </c>
      <c r="M821" s="5" t="s">
        <v>65</v>
      </c>
      <c r="N821" s="5" t="s">
        <v>66</v>
      </c>
      <c r="O821" s="12"/>
      <c r="S821" s="13">
        <v>13600</v>
      </c>
      <c r="U821" s="13">
        <v>13600</v>
      </c>
      <c r="AC821" s="10" t="s">
        <v>1958</v>
      </c>
      <c r="AD821" s="5" t="s">
        <v>1956</v>
      </c>
      <c r="AE821" s="5" t="s">
        <v>78</v>
      </c>
    </row>
    <row r="822" spans="1:31" ht="10" customHeight="1" x14ac:dyDescent="0.2">
      <c r="A822" s="5" t="s">
        <v>40</v>
      </c>
      <c r="B822" s="5" t="s">
        <v>41</v>
      </c>
      <c r="D822" s="5" t="s">
        <v>1959</v>
      </c>
      <c r="E822" s="10" t="s">
        <v>345</v>
      </c>
      <c r="F822" s="5" t="s">
        <v>88</v>
      </c>
      <c r="G822" s="5" t="s">
        <v>346</v>
      </c>
      <c r="H822" s="5" t="s">
        <v>347</v>
      </c>
      <c r="I822" s="11">
        <v>1</v>
      </c>
      <c r="J822" s="5" t="s">
        <v>45</v>
      </c>
      <c r="K822" s="10" t="s">
        <v>46</v>
      </c>
      <c r="L822" s="5" t="s">
        <v>47</v>
      </c>
      <c r="M822" s="5" t="s">
        <v>48</v>
      </c>
      <c r="N822" s="5" t="s">
        <v>84</v>
      </c>
      <c r="O822" s="12"/>
      <c r="P822" s="13">
        <v>252399</v>
      </c>
      <c r="S822" s="13">
        <v>192169</v>
      </c>
      <c r="U822" s="13">
        <v>192169</v>
      </c>
      <c r="AC822" s="10" t="s">
        <v>1960</v>
      </c>
      <c r="AD822" s="5" t="s">
        <v>1961</v>
      </c>
      <c r="AE822" s="5" t="s">
        <v>82</v>
      </c>
    </row>
    <row r="823" spans="1:31" ht="10" customHeight="1" x14ac:dyDescent="0.2">
      <c r="A823" s="5" t="s">
        <v>40</v>
      </c>
      <c r="B823" s="5" t="s">
        <v>41</v>
      </c>
      <c r="D823" s="5" t="s">
        <v>1962</v>
      </c>
      <c r="E823" s="10" t="s">
        <v>345</v>
      </c>
      <c r="F823" s="5" t="s">
        <v>88</v>
      </c>
      <c r="G823" s="5" t="s">
        <v>346</v>
      </c>
      <c r="H823" s="5" t="s">
        <v>175</v>
      </c>
      <c r="I823" s="11">
        <v>1</v>
      </c>
      <c r="J823" s="5" t="s">
        <v>45</v>
      </c>
      <c r="K823" s="10" t="s">
        <v>46</v>
      </c>
      <c r="L823" s="5" t="s">
        <v>47</v>
      </c>
      <c r="M823" s="5" t="s">
        <v>48</v>
      </c>
      <c r="N823" s="5" t="s">
        <v>84</v>
      </c>
      <c r="O823" s="12"/>
      <c r="P823" s="13">
        <v>5001446</v>
      </c>
      <c r="S823" s="13">
        <v>5095448</v>
      </c>
      <c r="U823" s="13">
        <v>5095448</v>
      </c>
      <c r="AC823" s="10" t="s">
        <v>1963</v>
      </c>
      <c r="AD823" s="5" t="s">
        <v>1961</v>
      </c>
      <c r="AE823" s="5" t="s">
        <v>82</v>
      </c>
    </row>
    <row r="824" spans="1:31" ht="10" customHeight="1" x14ac:dyDescent="0.2">
      <c r="A824" s="5" t="s">
        <v>40</v>
      </c>
      <c r="B824" s="5" t="s">
        <v>41</v>
      </c>
      <c r="D824" s="5" t="s">
        <v>1964</v>
      </c>
      <c r="E824" s="10" t="s">
        <v>345</v>
      </c>
      <c r="F824" s="5" t="s">
        <v>88</v>
      </c>
      <c r="G824" s="5" t="s">
        <v>346</v>
      </c>
      <c r="H824" s="5" t="s">
        <v>354</v>
      </c>
      <c r="I824" s="11">
        <v>1</v>
      </c>
      <c r="J824" s="5" t="s">
        <v>45</v>
      </c>
      <c r="K824" s="10" t="s">
        <v>46</v>
      </c>
      <c r="L824" s="5" t="s">
        <v>47</v>
      </c>
      <c r="M824" s="5" t="s">
        <v>48</v>
      </c>
      <c r="N824" s="5" t="s">
        <v>84</v>
      </c>
      <c r="O824" s="12"/>
      <c r="P824" s="13">
        <v>94912</v>
      </c>
      <c r="S824" s="13">
        <v>102067</v>
      </c>
      <c r="U824" s="13">
        <v>102067</v>
      </c>
      <c r="AC824" s="10" t="s">
        <v>1965</v>
      </c>
      <c r="AD824" s="5" t="s">
        <v>1961</v>
      </c>
      <c r="AE824" s="5" t="s">
        <v>82</v>
      </c>
    </row>
    <row r="825" spans="1:31" ht="10" customHeight="1" x14ac:dyDescent="0.2">
      <c r="A825" s="5" t="s">
        <v>40</v>
      </c>
      <c r="B825" s="5" t="s">
        <v>41</v>
      </c>
      <c r="D825" s="5" t="s">
        <v>1966</v>
      </c>
      <c r="E825" s="10" t="s">
        <v>345</v>
      </c>
      <c r="F825" s="5" t="s">
        <v>88</v>
      </c>
      <c r="G825" s="5" t="s">
        <v>346</v>
      </c>
      <c r="H825" s="5" t="s">
        <v>357</v>
      </c>
      <c r="I825" s="11">
        <v>1</v>
      </c>
      <c r="J825" s="5" t="s">
        <v>45</v>
      </c>
      <c r="K825" s="10" t="s">
        <v>46</v>
      </c>
      <c r="L825" s="5" t="s">
        <v>47</v>
      </c>
      <c r="M825" s="5" t="s">
        <v>48</v>
      </c>
      <c r="N825" s="5" t="s">
        <v>84</v>
      </c>
      <c r="O825" s="12"/>
      <c r="P825" s="13">
        <v>540536</v>
      </c>
      <c r="S825" s="13">
        <v>551346</v>
      </c>
      <c r="U825" s="13">
        <v>551346</v>
      </c>
      <c r="AC825" s="10" t="s">
        <v>1967</v>
      </c>
      <c r="AD825" s="5" t="s">
        <v>1961</v>
      </c>
      <c r="AE825" s="5" t="s">
        <v>82</v>
      </c>
    </row>
    <row r="826" spans="1:31" ht="10" customHeight="1" x14ac:dyDescent="0.2">
      <c r="A826" s="5" t="s">
        <v>40</v>
      </c>
      <c r="B826" s="5" t="s">
        <v>41</v>
      </c>
      <c r="D826" s="5" t="s">
        <v>1968</v>
      </c>
      <c r="E826" s="10" t="s">
        <v>345</v>
      </c>
      <c r="F826" s="5" t="s">
        <v>88</v>
      </c>
      <c r="G826" s="5" t="s">
        <v>346</v>
      </c>
      <c r="H826" s="5" t="s">
        <v>1969</v>
      </c>
      <c r="I826" s="11">
        <v>1</v>
      </c>
      <c r="J826" s="5" t="s">
        <v>45</v>
      </c>
      <c r="K826" s="10" t="s">
        <v>46</v>
      </c>
      <c r="L826" s="5" t="s">
        <v>47</v>
      </c>
      <c r="M826" s="5" t="s">
        <v>48</v>
      </c>
      <c r="N826" s="5" t="s">
        <v>84</v>
      </c>
      <c r="O826" s="12"/>
      <c r="P826" s="13">
        <v>15398</v>
      </c>
      <c r="S826" s="13">
        <v>15706</v>
      </c>
      <c r="U826" s="13">
        <v>15706</v>
      </c>
      <c r="AC826" s="10" t="s">
        <v>1970</v>
      </c>
      <c r="AD826" s="5" t="s">
        <v>1961</v>
      </c>
      <c r="AE826" s="5" t="s">
        <v>82</v>
      </c>
    </row>
    <row r="827" spans="1:31" ht="10" customHeight="1" x14ac:dyDescent="0.2">
      <c r="A827" s="5" t="s">
        <v>40</v>
      </c>
      <c r="B827" s="5" t="s">
        <v>41</v>
      </c>
      <c r="D827" s="5" t="s">
        <v>1971</v>
      </c>
      <c r="E827" s="10" t="s">
        <v>345</v>
      </c>
      <c r="F827" s="5" t="s">
        <v>88</v>
      </c>
      <c r="G827" s="5" t="s">
        <v>346</v>
      </c>
      <c r="H827" s="5" t="s">
        <v>360</v>
      </c>
      <c r="I827" s="11">
        <v>1</v>
      </c>
      <c r="J827" s="5" t="s">
        <v>45</v>
      </c>
      <c r="K827" s="10" t="s">
        <v>46</v>
      </c>
      <c r="L827" s="5" t="s">
        <v>47</v>
      </c>
      <c r="M827" s="5" t="s">
        <v>48</v>
      </c>
      <c r="N827" s="5" t="s">
        <v>84</v>
      </c>
      <c r="O827" s="12"/>
      <c r="P827" s="13">
        <v>1046830</v>
      </c>
      <c r="S827" s="13">
        <v>1083115</v>
      </c>
      <c r="U827" s="13">
        <v>1083115</v>
      </c>
      <c r="AC827" s="10" t="s">
        <v>1972</v>
      </c>
      <c r="AD827" s="5" t="s">
        <v>1961</v>
      </c>
      <c r="AE827" s="5" t="s">
        <v>82</v>
      </c>
    </row>
    <row r="828" spans="1:31" ht="10" customHeight="1" x14ac:dyDescent="0.2">
      <c r="A828" s="5" t="s">
        <v>40</v>
      </c>
      <c r="B828" s="5" t="s">
        <v>41</v>
      </c>
      <c r="D828" s="5" t="s">
        <v>1973</v>
      </c>
      <c r="E828" s="10" t="s">
        <v>345</v>
      </c>
      <c r="F828" s="5" t="s">
        <v>88</v>
      </c>
      <c r="G828" s="5" t="s">
        <v>346</v>
      </c>
      <c r="H828" s="5" t="s">
        <v>369</v>
      </c>
      <c r="I828" s="11">
        <v>1</v>
      </c>
      <c r="J828" s="5" t="s">
        <v>45</v>
      </c>
      <c r="K828" s="10" t="s">
        <v>46</v>
      </c>
      <c r="L828" s="5" t="s">
        <v>47</v>
      </c>
      <c r="M828" s="5" t="s">
        <v>48</v>
      </c>
      <c r="N828" s="5" t="s">
        <v>84</v>
      </c>
      <c r="O828" s="12"/>
      <c r="P828" s="13">
        <v>67806</v>
      </c>
      <c r="S828" s="13">
        <v>69162</v>
      </c>
      <c r="U828" s="13">
        <v>69162</v>
      </c>
      <c r="AC828" s="10" t="s">
        <v>1974</v>
      </c>
      <c r="AD828" s="5" t="s">
        <v>1961</v>
      </c>
      <c r="AE828" s="5" t="s">
        <v>82</v>
      </c>
    </row>
    <row r="829" spans="1:31" ht="10" customHeight="1" x14ac:dyDescent="0.2">
      <c r="A829" s="5" t="s">
        <v>40</v>
      </c>
      <c r="B829" s="5" t="s">
        <v>41</v>
      </c>
      <c r="D829" s="5" t="s">
        <v>1975</v>
      </c>
      <c r="E829" s="10" t="s">
        <v>345</v>
      </c>
      <c r="F829" s="5" t="s">
        <v>88</v>
      </c>
      <c r="G829" s="5" t="s">
        <v>346</v>
      </c>
      <c r="I829" s="11">
        <v>1</v>
      </c>
      <c r="J829" s="5" t="s">
        <v>45</v>
      </c>
      <c r="K829" s="10" t="s">
        <v>46</v>
      </c>
      <c r="L829" s="5" t="s">
        <v>47</v>
      </c>
      <c r="M829" s="5" t="s">
        <v>48</v>
      </c>
      <c r="N829" s="5" t="s">
        <v>84</v>
      </c>
      <c r="O829" s="12"/>
      <c r="S829" s="13">
        <v>1145000</v>
      </c>
      <c r="U829" s="13">
        <v>1145000</v>
      </c>
      <c r="AC829" s="10" t="s">
        <v>1976</v>
      </c>
      <c r="AD829" s="5" t="s">
        <v>1961</v>
      </c>
      <c r="AE829" s="5" t="s">
        <v>82</v>
      </c>
    </row>
    <row r="830" spans="1:31" ht="10" customHeight="1" x14ac:dyDescent="0.2">
      <c r="A830" s="5" t="s">
        <v>40</v>
      </c>
      <c r="B830" s="5" t="s">
        <v>41</v>
      </c>
      <c r="D830" s="5" t="s">
        <v>1977</v>
      </c>
      <c r="E830" s="10" t="s">
        <v>345</v>
      </c>
      <c r="F830" s="5" t="s">
        <v>88</v>
      </c>
      <c r="G830" s="5" t="s">
        <v>346</v>
      </c>
      <c r="I830" s="11">
        <v>1</v>
      </c>
      <c r="J830" s="5" t="s">
        <v>45</v>
      </c>
      <c r="K830" s="10" t="s">
        <v>46</v>
      </c>
      <c r="L830" s="5" t="s">
        <v>47</v>
      </c>
      <c r="M830" s="5" t="s">
        <v>48</v>
      </c>
      <c r="N830" s="5" t="s">
        <v>84</v>
      </c>
      <c r="O830" s="12"/>
      <c r="P830" s="13">
        <v>468536</v>
      </c>
      <c r="S830" s="13">
        <v>1152500</v>
      </c>
      <c r="U830" s="13">
        <v>1152500</v>
      </c>
      <c r="AC830" s="10" t="s">
        <v>1978</v>
      </c>
      <c r="AD830" s="5" t="s">
        <v>1961</v>
      </c>
      <c r="AE830" s="5" t="s">
        <v>82</v>
      </c>
    </row>
    <row r="831" spans="1:31" ht="10" customHeight="1" x14ac:dyDescent="0.2">
      <c r="A831" s="5" t="s">
        <v>40</v>
      </c>
      <c r="B831" s="5" t="s">
        <v>41</v>
      </c>
      <c r="D831" s="5" t="s">
        <v>1979</v>
      </c>
      <c r="E831" s="10" t="s">
        <v>345</v>
      </c>
      <c r="F831" s="5" t="s">
        <v>88</v>
      </c>
      <c r="G831" s="5" t="s">
        <v>346</v>
      </c>
      <c r="I831" s="11">
        <v>1</v>
      </c>
      <c r="J831" s="5" t="s">
        <v>45</v>
      </c>
      <c r="K831" s="10" t="s">
        <v>46</v>
      </c>
      <c r="L831" s="5" t="s">
        <v>47</v>
      </c>
      <c r="M831" s="5" t="s">
        <v>48</v>
      </c>
      <c r="N831" s="5" t="s">
        <v>84</v>
      </c>
      <c r="O831" s="12"/>
      <c r="P831" s="13">
        <v>470788</v>
      </c>
      <c r="S831" s="13">
        <v>1171100</v>
      </c>
      <c r="U831" s="13">
        <v>1171100</v>
      </c>
      <c r="AC831" s="10" t="s">
        <v>1980</v>
      </c>
      <c r="AD831" s="5" t="s">
        <v>1961</v>
      </c>
      <c r="AE831" s="5" t="s">
        <v>82</v>
      </c>
    </row>
    <row r="832" spans="1:31" ht="10" customHeight="1" x14ac:dyDescent="0.2">
      <c r="A832" s="5" t="s">
        <v>40</v>
      </c>
      <c r="B832" s="5" t="s">
        <v>41</v>
      </c>
      <c r="D832" s="5" t="s">
        <v>1981</v>
      </c>
      <c r="E832" s="10" t="s">
        <v>345</v>
      </c>
      <c r="F832" s="5" t="s">
        <v>88</v>
      </c>
      <c r="G832" s="5" t="s">
        <v>346</v>
      </c>
      <c r="I832" s="11">
        <v>1</v>
      </c>
      <c r="J832" s="5" t="s">
        <v>45</v>
      </c>
      <c r="K832" s="10" t="s">
        <v>46</v>
      </c>
      <c r="L832" s="5" t="s">
        <v>47</v>
      </c>
      <c r="M832" s="5" t="s">
        <v>48</v>
      </c>
      <c r="N832" s="5" t="s">
        <v>84</v>
      </c>
      <c r="O832" s="12"/>
      <c r="P832" s="13">
        <v>475940</v>
      </c>
      <c r="S832" s="13">
        <v>1376294</v>
      </c>
      <c r="U832" s="13">
        <v>1376294</v>
      </c>
      <c r="AC832" s="10" t="s">
        <v>1982</v>
      </c>
      <c r="AD832" s="5" t="s">
        <v>1961</v>
      </c>
      <c r="AE832" s="5" t="s">
        <v>82</v>
      </c>
    </row>
    <row r="833" spans="1:33" ht="10" customHeight="1" x14ac:dyDescent="0.2">
      <c r="A833" s="5" t="s">
        <v>40</v>
      </c>
      <c r="B833" s="5" t="s">
        <v>41</v>
      </c>
      <c r="D833" s="5" t="s">
        <v>1983</v>
      </c>
      <c r="E833" s="10" t="s">
        <v>345</v>
      </c>
      <c r="F833" s="5" t="s">
        <v>88</v>
      </c>
      <c r="G833" s="5" t="s">
        <v>346</v>
      </c>
      <c r="I833" s="11">
        <v>1</v>
      </c>
      <c r="J833" s="5" t="s">
        <v>45</v>
      </c>
      <c r="K833" s="10" t="s">
        <v>46</v>
      </c>
      <c r="L833" s="5" t="s">
        <v>47</v>
      </c>
      <c r="M833" s="5" t="s">
        <v>48</v>
      </c>
      <c r="N833" s="5" t="s">
        <v>84</v>
      </c>
      <c r="O833" s="12"/>
      <c r="P833" s="13">
        <v>752597</v>
      </c>
      <c r="S833" s="13">
        <v>1167999</v>
      </c>
      <c r="U833" s="13">
        <v>1167999</v>
      </c>
      <c r="AC833" s="10" t="s">
        <v>1984</v>
      </c>
      <c r="AD833" s="5" t="s">
        <v>1961</v>
      </c>
      <c r="AE833" s="5" t="s">
        <v>82</v>
      </c>
    </row>
    <row r="834" spans="1:33" ht="10" customHeight="1" x14ac:dyDescent="0.2">
      <c r="A834" s="5" t="s">
        <v>40</v>
      </c>
      <c r="B834" s="5" t="s">
        <v>41</v>
      </c>
      <c r="D834" s="5" t="s">
        <v>1985</v>
      </c>
      <c r="E834" s="10" t="s">
        <v>345</v>
      </c>
      <c r="F834" s="5" t="s">
        <v>88</v>
      </c>
      <c r="G834" s="5" t="s">
        <v>346</v>
      </c>
      <c r="I834" s="11">
        <v>1</v>
      </c>
      <c r="J834" s="5" t="s">
        <v>45</v>
      </c>
      <c r="K834" s="10" t="s">
        <v>46</v>
      </c>
      <c r="L834" s="5" t="s">
        <v>47</v>
      </c>
      <c r="M834" s="5" t="s">
        <v>48</v>
      </c>
      <c r="N834" s="5" t="s">
        <v>84</v>
      </c>
      <c r="O834" s="12"/>
      <c r="P834" s="13">
        <v>588903</v>
      </c>
      <c r="S834" s="13">
        <v>1222038</v>
      </c>
      <c r="U834" s="13">
        <v>1222038</v>
      </c>
      <c r="AC834" s="10" t="s">
        <v>1986</v>
      </c>
      <c r="AD834" s="5" t="s">
        <v>1961</v>
      </c>
      <c r="AE834" s="5" t="s">
        <v>82</v>
      </c>
    </row>
    <row r="835" spans="1:33" ht="10" customHeight="1" x14ac:dyDescent="0.2">
      <c r="A835" s="5" t="s">
        <v>40</v>
      </c>
      <c r="B835" s="5" t="s">
        <v>41</v>
      </c>
      <c r="D835" s="5" t="s">
        <v>1987</v>
      </c>
      <c r="E835" s="10" t="s">
        <v>345</v>
      </c>
      <c r="F835" s="5" t="s">
        <v>88</v>
      </c>
      <c r="G835" s="5" t="s">
        <v>346</v>
      </c>
      <c r="I835" s="11">
        <v>1</v>
      </c>
      <c r="J835" s="5" t="s">
        <v>45</v>
      </c>
      <c r="K835" s="10" t="s">
        <v>46</v>
      </c>
      <c r="L835" s="5" t="s">
        <v>47</v>
      </c>
      <c r="M835" s="5" t="s">
        <v>48</v>
      </c>
      <c r="N835" s="5" t="s">
        <v>84</v>
      </c>
      <c r="O835" s="12"/>
      <c r="P835" s="13">
        <v>1268947</v>
      </c>
      <c r="S835" s="13">
        <v>200000</v>
      </c>
      <c r="U835" s="13">
        <v>200000</v>
      </c>
      <c r="AC835" s="10" t="s">
        <v>1988</v>
      </c>
      <c r="AD835" s="5" t="s">
        <v>1961</v>
      </c>
      <c r="AE835" s="5" t="s">
        <v>82</v>
      </c>
    </row>
    <row r="836" spans="1:33" ht="10" customHeight="1" x14ac:dyDescent="0.2">
      <c r="A836" s="5" t="s">
        <v>40</v>
      </c>
      <c r="B836" s="5" t="s">
        <v>41</v>
      </c>
      <c r="D836" s="5" t="s">
        <v>1989</v>
      </c>
      <c r="E836" s="10" t="s">
        <v>345</v>
      </c>
      <c r="F836" s="5" t="s">
        <v>88</v>
      </c>
      <c r="G836" s="5" t="s">
        <v>346</v>
      </c>
      <c r="I836" s="11">
        <v>1</v>
      </c>
      <c r="J836" s="5" t="s">
        <v>45</v>
      </c>
      <c r="K836" s="10" t="s">
        <v>46</v>
      </c>
      <c r="L836" s="5" t="s">
        <v>47</v>
      </c>
      <c r="M836" s="5" t="s">
        <v>48</v>
      </c>
      <c r="N836" s="5" t="s">
        <v>84</v>
      </c>
      <c r="O836" s="12"/>
      <c r="P836" s="13">
        <v>619381</v>
      </c>
      <c r="S836" s="13">
        <v>1126386</v>
      </c>
      <c r="U836" s="13">
        <v>1126386</v>
      </c>
      <c r="AC836" s="10" t="s">
        <v>1990</v>
      </c>
      <c r="AD836" s="5" t="s">
        <v>1961</v>
      </c>
      <c r="AE836" s="5" t="s">
        <v>82</v>
      </c>
    </row>
    <row r="837" spans="1:33" ht="10" customHeight="1" x14ac:dyDescent="0.2">
      <c r="A837" s="5" t="s">
        <v>40</v>
      </c>
      <c r="B837" s="5" t="s">
        <v>41</v>
      </c>
      <c r="D837" s="5" t="s">
        <v>1991</v>
      </c>
      <c r="E837" s="10" t="s">
        <v>345</v>
      </c>
      <c r="F837" s="5" t="s">
        <v>88</v>
      </c>
      <c r="G837" s="5" t="s">
        <v>346</v>
      </c>
      <c r="I837" s="11">
        <v>1</v>
      </c>
      <c r="J837" s="5" t="s">
        <v>45</v>
      </c>
      <c r="K837" s="10" t="s">
        <v>46</v>
      </c>
      <c r="L837" s="5" t="s">
        <v>47</v>
      </c>
      <c r="M837" s="5" t="s">
        <v>48</v>
      </c>
      <c r="N837" s="5" t="s">
        <v>84</v>
      </c>
      <c r="O837" s="12"/>
      <c r="S837" s="13">
        <v>611920</v>
      </c>
      <c r="U837" s="13">
        <v>611920</v>
      </c>
      <c r="AC837" s="10" t="s">
        <v>1992</v>
      </c>
      <c r="AD837" s="5" t="s">
        <v>1961</v>
      </c>
      <c r="AE837" s="5" t="s">
        <v>82</v>
      </c>
    </row>
    <row r="838" spans="1:33" ht="10" customHeight="1" x14ac:dyDescent="0.2">
      <c r="A838" s="5" t="s">
        <v>40</v>
      </c>
      <c r="B838" s="5" t="s">
        <v>41</v>
      </c>
      <c r="D838" s="5" t="s">
        <v>1993</v>
      </c>
      <c r="E838" s="10" t="s">
        <v>345</v>
      </c>
      <c r="F838" s="5" t="s">
        <v>88</v>
      </c>
      <c r="G838" s="5" t="s">
        <v>346</v>
      </c>
      <c r="I838" s="11">
        <v>1</v>
      </c>
      <c r="J838" s="5" t="s">
        <v>45</v>
      </c>
      <c r="K838" s="10" t="s">
        <v>46</v>
      </c>
      <c r="L838" s="5" t="s">
        <v>47</v>
      </c>
      <c r="M838" s="5" t="s">
        <v>48</v>
      </c>
      <c r="N838" s="5" t="s">
        <v>84</v>
      </c>
      <c r="O838" s="12"/>
      <c r="P838" s="13">
        <v>58642</v>
      </c>
      <c r="S838" s="13">
        <v>200000</v>
      </c>
      <c r="U838" s="13">
        <v>200000</v>
      </c>
      <c r="AC838" s="10" t="s">
        <v>1994</v>
      </c>
      <c r="AD838" s="5" t="s">
        <v>1961</v>
      </c>
      <c r="AE838" s="5" t="s">
        <v>82</v>
      </c>
    </row>
    <row r="839" spans="1:33" ht="10" customHeight="1" x14ac:dyDescent="0.2">
      <c r="A839" s="5" t="s">
        <v>40</v>
      </c>
      <c r="B839" s="5" t="s">
        <v>41</v>
      </c>
      <c r="D839" s="5" t="s">
        <v>1995</v>
      </c>
      <c r="E839" s="10" t="s">
        <v>345</v>
      </c>
      <c r="F839" s="5" t="s">
        <v>88</v>
      </c>
      <c r="G839" s="5" t="s">
        <v>346</v>
      </c>
      <c r="I839" s="11">
        <v>1</v>
      </c>
      <c r="J839" s="5" t="s">
        <v>45</v>
      </c>
      <c r="K839" s="10" t="s">
        <v>46</v>
      </c>
      <c r="L839" s="5" t="s">
        <v>47</v>
      </c>
      <c r="M839" s="5" t="s">
        <v>48</v>
      </c>
      <c r="N839" s="5" t="s">
        <v>84</v>
      </c>
      <c r="O839" s="12"/>
      <c r="P839" s="13">
        <v>100115</v>
      </c>
      <c r="S839" s="13">
        <v>24646</v>
      </c>
      <c r="U839" s="13">
        <v>24646</v>
      </c>
      <c r="AC839" s="10" t="s">
        <v>1996</v>
      </c>
      <c r="AD839" s="5" t="s">
        <v>1997</v>
      </c>
      <c r="AE839" s="5" t="s">
        <v>82</v>
      </c>
    </row>
    <row r="840" spans="1:33" ht="10" customHeight="1" x14ac:dyDescent="0.2">
      <c r="A840" s="5" t="s">
        <v>40</v>
      </c>
      <c r="B840" s="5" t="s">
        <v>41</v>
      </c>
      <c r="D840" s="5" t="s">
        <v>1998</v>
      </c>
      <c r="E840" s="10" t="s">
        <v>345</v>
      </c>
      <c r="F840" s="5" t="s">
        <v>88</v>
      </c>
      <c r="G840" s="5" t="s">
        <v>346</v>
      </c>
      <c r="I840" s="11">
        <v>1</v>
      </c>
      <c r="J840" s="5" t="s">
        <v>45</v>
      </c>
      <c r="K840" s="10" t="s">
        <v>46</v>
      </c>
      <c r="L840" s="5" t="s">
        <v>47</v>
      </c>
      <c r="M840" s="5" t="s">
        <v>48</v>
      </c>
      <c r="N840" s="5" t="s">
        <v>84</v>
      </c>
      <c r="O840" s="12"/>
      <c r="P840" s="13">
        <v>219370</v>
      </c>
      <c r="S840" s="13">
        <v>73634</v>
      </c>
      <c r="U840" s="13">
        <v>73634</v>
      </c>
      <c r="AC840" s="10" t="s">
        <v>1999</v>
      </c>
      <c r="AD840" s="5" t="s">
        <v>1997</v>
      </c>
      <c r="AE840" s="5" t="s">
        <v>82</v>
      </c>
    </row>
    <row r="841" spans="1:33" ht="10" customHeight="1" x14ac:dyDescent="0.2">
      <c r="A841" s="5" t="s">
        <v>40</v>
      </c>
      <c r="B841" s="5" t="s">
        <v>41</v>
      </c>
      <c r="D841" s="5" t="s">
        <v>2000</v>
      </c>
      <c r="E841" s="10" t="s">
        <v>345</v>
      </c>
      <c r="F841" s="5" t="s">
        <v>88</v>
      </c>
      <c r="G841" s="5" t="s">
        <v>346</v>
      </c>
      <c r="I841" s="11">
        <v>1</v>
      </c>
      <c r="J841" s="5" t="s">
        <v>45</v>
      </c>
      <c r="K841" s="10" t="s">
        <v>46</v>
      </c>
      <c r="L841" s="5" t="s">
        <v>47</v>
      </c>
      <c r="M841" s="5" t="s">
        <v>48</v>
      </c>
      <c r="N841" s="5" t="s">
        <v>84</v>
      </c>
      <c r="O841" s="12"/>
      <c r="P841" s="13">
        <v>99116</v>
      </c>
      <c r="S841" s="13">
        <v>289761</v>
      </c>
      <c r="U841" s="13">
        <v>289761</v>
      </c>
      <c r="AC841" s="10" t="s">
        <v>2001</v>
      </c>
      <c r="AD841" s="5" t="s">
        <v>1997</v>
      </c>
      <c r="AE841" s="5" t="s">
        <v>82</v>
      </c>
    </row>
    <row r="842" spans="1:33" ht="10" customHeight="1" x14ac:dyDescent="0.2">
      <c r="A842" s="5" t="s">
        <v>40</v>
      </c>
      <c r="B842" s="5" t="s">
        <v>41</v>
      </c>
      <c r="D842" s="5" t="s">
        <v>2002</v>
      </c>
      <c r="E842" s="10" t="s">
        <v>345</v>
      </c>
      <c r="F842" s="5" t="s">
        <v>88</v>
      </c>
      <c r="G842" s="5" t="s">
        <v>346</v>
      </c>
      <c r="I842" s="11">
        <v>1</v>
      </c>
      <c r="J842" s="5" t="s">
        <v>45</v>
      </c>
      <c r="K842" s="10" t="s">
        <v>46</v>
      </c>
      <c r="L842" s="5" t="s">
        <v>47</v>
      </c>
      <c r="M842" s="5" t="s">
        <v>48</v>
      </c>
      <c r="N842" s="5" t="s">
        <v>84</v>
      </c>
      <c r="O842" s="12"/>
      <c r="S842" s="13">
        <v>520236</v>
      </c>
      <c r="U842" s="13">
        <v>520236</v>
      </c>
      <c r="AC842" s="10" t="s">
        <v>2003</v>
      </c>
      <c r="AD842" s="5" t="s">
        <v>1997</v>
      </c>
      <c r="AE842" s="5" t="s">
        <v>82</v>
      </c>
    </row>
    <row r="843" spans="1:33" ht="10" customHeight="1" x14ac:dyDescent="0.2">
      <c r="A843" s="5" t="s">
        <v>40</v>
      </c>
      <c r="B843" s="5" t="s">
        <v>41</v>
      </c>
      <c r="D843" s="5" t="s">
        <v>2004</v>
      </c>
      <c r="E843" s="10" t="s">
        <v>345</v>
      </c>
      <c r="F843" s="5" t="s">
        <v>88</v>
      </c>
      <c r="G843" s="5" t="s">
        <v>346</v>
      </c>
      <c r="I843" s="11">
        <v>1</v>
      </c>
      <c r="J843" s="5" t="s">
        <v>45</v>
      </c>
      <c r="K843" s="10" t="s">
        <v>46</v>
      </c>
      <c r="L843" s="5" t="s">
        <v>47</v>
      </c>
      <c r="M843" s="5" t="s">
        <v>48</v>
      </c>
      <c r="N843" s="5" t="s">
        <v>84</v>
      </c>
      <c r="O843" s="12"/>
      <c r="S843" s="13">
        <v>167350</v>
      </c>
      <c r="U843" s="13">
        <v>167350</v>
      </c>
      <c r="AC843" s="10" t="s">
        <v>2005</v>
      </c>
      <c r="AD843" s="5" t="s">
        <v>1997</v>
      </c>
      <c r="AE843" s="5" t="s">
        <v>82</v>
      </c>
    </row>
    <row r="844" spans="1:33" ht="10" customHeight="1" x14ac:dyDescent="0.2">
      <c r="A844" s="5" t="s">
        <v>40</v>
      </c>
      <c r="B844" s="5" t="s">
        <v>41</v>
      </c>
      <c r="D844" s="5" t="s">
        <v>2006</v>
      </c>
      <c r="E844" s="10" t="s">
        <v>345</v>
      </c>
      <c r="F844" s="5" t="s">
        <v>88</v>
      </c>
      <c r="G844" s="5" t="s">
        <v>346</v>
      </c>
      <c r="I844" s="11">
        <v>1</v>
      </c>
      <c r="J844" s="5" t="s">
        <v>45</v>
      </c>
      <c r="K844" s="10" t="s">
        <v>46</v>
      </c>
      <c r="L844" s="5" t="s">
        <v>47</v>
      </c>
      <c r="M844" s="5" t="s">
        <v>48</v>
      </c>
      <c r="N844" s="5" t="s">
        <v>84</v>
      </c>
      <c r="O844" s="12"/>
      <c r="P844" s="13">
        <v>853942</v>
      </c>
      <c r="S844" s="13">
        <v>239089</v>
      </c>
      <c r="U844" s="13">
        <v>239089</v>
      </c>
      <c r="AC844" s="10" t="s">
        <v>2007</v>
      </c>
      <c r="AD844" s="5" t="s">
        <v>1997</v>
      </c>
      <c r="AE844" s="5" t="s">
        <v>82</v>
      </c>
    </row>
    <row r="845" spans="1:33" ht="10" customHeight="1" x14ac:dyDescent="0.2">
      <c r="A845" s="5" t="s">
        <v>40</v>
      </c>
      <c r="B845" s="5" t="s">
        <v>41</v>
      </c>
      <c r="D845" s="5" t="s">
        <v>2008</v>
      </c>
      <c r="E845" s="10" t="s">
        <v>345</v>
      </c>
      <c r="F845" s="5" t="s">
        <v>88</v>
      </c>
      <c r="G845" s="5" t="s">
        <v>346</v>
      </c>
      <c r="I845" s="11">
        <v>1</v>
      </c>
      <c r="J845" s="5" t="s">
        <v>45</v>
      </c>
      <c r="K845" s="10" t="s">
        <v>46</v>
      </c>
      <c r="L845" s="5" t="s">
        <v>47</v>
      </c>
      <c r="M845" s="5" t="s">
        <v>48</v>
      </c>
      <c r="N845" s="5" t="s">
        <v>84</v>
      </c>
      <c r="O845" s="12"/>
      <c r="P845" s="13">
        <v>402664</v>
      </c>
      <c r="S845" s="13">
        <v>257863</v>
      </c>
      <c r="U845" s="13">
        <v>257863</v>
      </c>
      <c r="AC845" s="10" t="s">
        <v>2009</v>
      </c>
      <c r="AD845" s="5" t="s">
        <v>1997</v>
      </c>
      <c r="AE845" s="5" t="s">
        <v>82</v>
      </c>
    </row>
    <row r="846" spans="1:33" ht="10" customHeight="1" x14ac:dyDescent="0.2">
      <c r="A846" s="5" t="s">
        <v>40</v>
      </c>
      <c r="B846" s="5" t="s">
        <v>41</v>
      </c>
      <c r="D846" s="5" t="s">
        <v>1959</v>
      </c>
      <c r="E846" s="10" t="s">
        <v>345</v>
      </c>
      <c r="F846" s="5" t="s">
        <v>88</v>
      </c>
      <c r="G846" s="5" t="s">
        <v>346</v>
      </c>
      <c r="H846" s="5" t="s">
        <v>347</v>
      </c>
      <c r="I846" s="11">
        <v>1</v>
      </c>
      <c r="J846" s="5" t="s">
        <v>45</v>
      </c>
      <c r="K846" s="10" t="s">
        <v>46</v>
      </c>
      <c r="L846" s="5" t="s">
        <v>47</v>
      </c>
      <c r="M846" s="5" t="s">
        <v>48</v>
      </c>
      <c r="N846" s="5" t="s">
        <v>84</v>
      </c>
      <c r="O846" s="12"/>
      <c r="P846" s="13">
        <v>207166</v>
      </c>
      <c r="S846" s="13">
        <v>2595816</v>
      </c>
      <c r="U846" s="13">
        <v>2595816</v>
      </c>
      <c r="AC846" s="10" t="s">
        <v>1960</v>
      </c>
      <c r="AD846" s="5" t="s">
        <v>2010</v>
      </c>
      <c r="AE846" s="5" t="s">
        <v>82</v>
      </c>
      <c r="AG846" s="5" t="s">
        <v>350</v>
      </c>
    </row>
    <row r="847" spans="1:33" ht="10" customHeight="1" x14ac:dyDescent="0.2">
      <c r="A847" s="5" t="s">
        <v>40</v>
      </c>
      <c r="B847" s="5" t="s">
        <v>41</v>
      </c>
      <c r="D847" s="5" t="s">
        <v>1962</v>
      </c>
      <c r="E847" s="10" t="s">
        <v>345</v>
      </c>
      <c r="F847" s="5" t="s">
        <v>88</v>
      </c>
      <c r="G847" s="5" t="s">
        <v>346</v>
      </c>
      <c r="H847" s="5" t="s">
        <v>175</v>
      </c>
      <c r="I847" s="11">
        <v>1</v>
      </c>
      <c r="J847" s="5" t="s">
        <v>45</v>
      </c>
      <c r="K847" s="10" t="s">
        <v>46</v>
      </c>
      <c r="L847" s="5" t="s">
        <v>47</v>
      </c>
      <c r="M847" s="5" t="s">
        <v>48</v>
      </c>
      <c r="N847" s="5" t="s">
        <v>84</v>
      </c>
      <c r="O847" s="12"/>
      <c r="P847" s="13">
        <v>5326544</v>
      </c>
      <c r="S847" s="13">
        <v>1681909</v>
      </c>
      <c r="U847" s="13">
        <v>1681909</v>
      </c>
      <c r="AC847" s="10" t="s">
        <v>1963</v>
      </c>
      <c r="AD847" s="5" t="s">
        <v>2010</v>
      </c>
      <c r="AE847" s="5" t="s">
        <v>82</v>
      </c>
      <c r="AG847" s="5" t="s">
        <v>175</v>
      </c>
    </row>
    <row r="848" spans="1:33" ht="10" customHeight="1" x14ac:dyDescent="0.2">
      <c r="A848" s="5" t="s">
        <v>40</v>
      </c>
      <c r="B848" s="5" t="s">
        <v>41</v>
      </c>
      <c r="D848" s="5" t="s">
        <v>1964</v>
      </c>
      <c r="E848" s="10" t="s">
        <v>345</v>
      </c>
      <c r="F848" s="5" t="s">
        <v>88</v>
      </c>
      <c r="G848" s="5" t="s">
        <v>346</v>
      </c>
      <c r="H848" s="5" t="s">
        <v>354</v>
      </c>
      <c r="I848" s="11">
        <v>1</v>
      </c>
      <c r="J848" s="5" t="s">
        <v>45</v>
      </c>
      <c r="K848" s="10" t="s">
        <v>46</v>
      </c>
      <c r="L848" s="5" t="s">
        <v>47</v>
      </c>
      <c r="M848" s="5" t="s">
        <v>48</v>
      </c>
      <c r="N848" s="5" t="s">
        <v>84</v>
      </c>
      <c r="O848" s="12"/>
      <c r="P848" s="13">
        <v>185118</v>
      </c>
      <c r="S848" s="13">
        <v>108705</v>
      </c>
      <c r="U848" s="13">
        <v>108705</v>
      </c>
      <c r="AC848" s="10" t="s">
        <v>1965</v>
      </c>
      <c r="AD848" s="5" t="s">
        <v>2010</v>
      </c>
      <c r="AE848" s="5" t="s">
        <v>82</v>
      </c>
      <c r="AG848" s="5" t="s">
        <v>354</v>
      </c>
    </row>
    <row r="849" spans="1:33" ht="10" customHeight="1" x14ac:dyDescent="0.2">
      <c r="A849" s="5" t="s">
        <v>40</v>
      </c>
      <c r="B849" s="5" t="s">
        <v>41</v>
      </c>
      <c r="D849" s="5" t="s">
        <v>1966</v>
      </c>
      <c r="E849" s="10" t="s">
        <v>345</v>
      </c>
      <c r="F849" s="5" t="s">
        <v>88</v>
      </c>
      <c r="G849" s="5" t="s">
        <v>346</v>
      </c>
      <c r="H849" s="5" t="s">
        <v>357</v>
      </c>
      <c r="I849" s="11">
        <v>1</v>
      </c>
      <c r="J849" s="5" t="s">
        <v>45</v>
      </c>
      <c r="K849" s="10" t="s">
        <v>46</v>
      </c>
      <c r="L849" s="5" t="s">
        <v>47</v>
      </c>
      <c r="M849" s="5" t="s">
        <v>48</v>
      </c>
      <c r="N849" s="5" t="s">
        <v>84</v>
      </c>
      <c r="O849" s="12"/>
      <c r="P849" s="13">
        <v>313264</v>
      </c>
      <c r="S849" s="13">
        <v>598515</v>
      </c>
      <c r="U849" s="13">
        <v>598515</v>
      </c>
      <c r="AC849" s="10" t="s">
        <v>1967</v>
      </c>
      <c r="AD849" s="5" t="s">
        <v>2010</v>
      </c>
      <c r="AE849" s="5" t="s">
        <v>82</v>
      </c>
    </row>
    <row r="850" spans="1:33" ht="10" customHeight="1" x14ac:dyDescent="0.2">
      <c r="A850" s="5" t="s">
        <v>40</v>
      </c>
      <c r="B850" s="5" t="s">
        <v>41</v>
      </c>
      <c r="D850" s="5" t="s">
        <v>1968</v>
      </c>
      <c r="E850" s="10" t="s">
        <v>345</v>
      </c>
      <c r="F850" s="5" t="s">
        <v>88</v>
      </c>
      <c r="G850" s="5" t="s">
        <v>346</v>
      </c>
      <c r="H850" s="5" t="s">
        <v>1969</v>
      </c>
      <c r="I850" s="11">
        <v>1</v>
      </c>
      <c r="J850" s="5" t="s">
        <v>45</v>
      </c>
      <c r="K850" s="10" t="s">
        <v>46</v>
      </c>
      <c r="L850" s="5" t="s">
        <v>47</v>
      </c>
      <c r="M850" s="5" t="s">
        <v>48</v>
      </c>
      <c r="N850" s="5" t="s">
        <v>84</v>
      </c>
      <c r="O850" s="12"/>
      <c r="P850" s="13">
        <v>16020</v>
      </c>
      <c r="S850" s="13">
        <v>16340</v>
      </c>
      <c r="U850" s="13">
        <v>16340</v>
      </c>
      <c r="AC850" s="10" t="s">
        <v>1970</v>
      </c>
      <c r="AD850" s="5" t="s">
        <v>2010</v>
      </c>
      <c r="AE850" s="5" t="s">
        <v>82</v>
      </c>
      <c r="AG850" s="5" t="s">
        <v>1969</v>
      </c>
    </row>
    <row r="851" spans="1:33" ht="10" customHeight="1" x14ac:dyDescent="0.2">
      <c r="A851" s="5" t="s">
        <v>40</v>
      </c>
      <c r="B851" s="5" t="s">
        <v>41</v>
      </c>
      <c r="D851" s="5" t="s">
        <v>1971</v>
      </c>
      <c r="E851" s="10" t="s">
        <v>345</v>
      </c>
      <c r="F851" s="5" t="s">
        <v>88</v>
      </c>
      <c r="G851" s="5" t="s">
        <v>346</v>
      </c>
      <c r="H851" s="5" t="s">
        <v>360</v>
      </c>
      <c r="I851" s="11">
        <v>1</v>
      </c>
      <c r="J851" s="5" t="s">
        <v>45</v>
      </c>
      <c r="K851" s="10" t="s">
        <v>46</v>
      </c>
      <c r="L851" s="5" t="s">
        <v>47</v>
      </c>
      <c r="M851" s="5" t="s">
        <v>48</v>
      </c>
      <c r="N851" s="5" t="s">
        <v>84</v>
      </c>
      <c r="O851" s="12"/>
      <c r="P851" s="13">
        <v>1004950</v>
      </c>
      <c r="S851" s="13">
        <v>1035070</v>
      </c>
      <c r="U851" s="13">
        <v>1035070</v>
      </c>
      <c r="AC851" s="10" t="s">
        <v>1972</v>
      </c>
      <c r="AD851" s="5" t="s">
        <v>2010</v>
      </c>
      <c r="AE851" s="5" t="s">
        <v>82</v>
      </c>
      <c r="AG851" s="5" t="s">
        <v>360</v>
      </c>
    </row>
    <row r="852" spans="1:33" ht="10" customHeight="1" x14ac:dyDescent="0.2">
      <c r="A852" s="5" t="s">
        <v>40</v>
      </c>
      <c r="B852" s="5" t="s">
        <v>41</v>
      </c>
      <c r="D852" s="5" t="s">
        <v>2011</v>
      </c>
      <c r="E852" s="10" t="s">
        <v>345</v>
      </c>
      <c r="F852" s="5" t="s">
        <v>88</v>
      </c>
      <c r="G852" s="5" t="s">
        <v>346</v>
      </c>
      <c r="H852" s="5" t="s">
        <v>363</v>
      </c>
      <c r="I852" s="11">
        <v>1</v>
      </c>
      <c r="J852" s="5" t="s">
        <v>45</v>
      </c>
      <c r="K852" s="10" t="s">
        <v>46</v>
      </c>
      <c r="L852" s="5" t="s">
        <v>47</v>
      </c>
      <c r="M852" s="5" t="s">
        <v>48</v>
      </c>
      <c r="N852" s="5" t="s">
        <v>84</v>
      </c>
      <c r="O852" s="12"/>
      <c r="P852" s="13">
        <v>98937</v>
      </c>
      <c r="S852" s="13">
        <v>150015</v>
      </c>
      <c r="U852" s="13">
        <v>150015</v>
      </c>
      <c r="AC852" s="10" t="s">
        <v>2012</v>
      </c>
      <c r="AD852" s="5" t="s">
        <v>2010</v>
      </c>
      <c r="AE852" s="5" t="s">
        <v>82</v>
      </c>
    </row>
    <row r="853" spans="1:33" ht="10" customHeight="1" x14ac:dyDescent="0.2">
      <c r="A853" s="5" t="s">
        <v>40</v>
      </c>
      <c r="B853" s="5" t="s">
        <v>41</v>
      </c>
      <c r="D853" s="5" t="s">
        <v>1973</v>
      </c>
      <c r="E853" s="10" t="s">
        <v>345</v>
      </c>
      <c r="F853" s="5" t="s">
        <v>88</v>
      </c>
      <c r="G853" s="5" t="s">
        <v>346</v>
      </c>
      <c r="H853" s="5" t="s">
        <v>369</v>
      </c>
      <c r="I853" s="11">
        <v>1</v>
      </c>
      <c r="J853" s="5" t="s">
        <v>45</v>
      </c>
      <c r="K853" s="10" t="s">
        <v>46</v>
      </c>
      <c r="L853" s="5" t="s">
        <v>47</v>
      </c>
      <c r="M853" s="5" t="s">
        <v>48</v>
      </c>
      <c r="N853" s="5" t="s">
        <v>84</v>
      </c>
      <c r="O853" s="12"/>
      <c r="P853" s="13">
        <v>70546</v>
      </c>
      <c r="S853" s="13">
        <v>35978</v>
      </c>
      <c r="U853" s="13">
        <v>35978</v>
      </c>
      <c r="AC853" s="10" t="s">
        <v>1974</v>
      </c>
      <c r="AD853" s="5" t="s">
        <v>2010</v>
      </c>
      <c r="AE853" s="5" t="s">
        <v>82</v>
      </c>
      <c r="AG853" s="5" t="s">
        <v>371</v>
      </c>
    </row>
    <row r="854" spans="1:33" ht="10" customHeight="1" x14ac:dyDescent="0.2">
      <c r="A854" s="5" t="s">
        <v>40</v>
      </c>
      <c r="B854" s="5" t="s">
        <v>41</v>
      </c>
      <c r="D854" s="5" t="s">
        <v>2013</v>
      </c>
      <c r="E854" s="10" t="s">
        <v>345</v>
      </c>
      <c r="F854" s="5" t="s">
        <v>88</v>
      </c>
      <c r="G854" s="5" t="s">
        <v>373</v>
      </c>
      <c r="H854" s="5" t="s">
        <v>357</v>
      </c>
      <c r="I854" s="11">
        <v>1</v>
      </c>
      <c r="J854" s="5" t="s">
        <v>45</v>
      </c>
      <c r="K854" s="10" t="s">
        <v>46</v>
      </c>
      <c r="L854" s="5" t="s">
        <v>47</v>
      </c>
      <c r="M854" s="5" t="s">
        <v>48</v>
      </c>
      <c r="N854" s="5" t="s">
        <v>84</v>
      </c>
      <c r="O854" s="12"/>
      <c r="P854" s="13">
        <v>136908</v>
      </c>
      <c r="S854" s="13">
        <v>253640</v>
      </c>
      <c r="U854" s="13">
        <v>253640</v>
      </c>
      <c r="AC854" s="10" t="s">
        <v>2014</v>
      </c>
      <c r="AD854" s="5" t="s">
        <v>2015</v>
      </c>
      <c r="AE854" s="5" t="s">
        <v>82</v>
      </c>
      <c r="AG854" s="5" t="s">
        <v>2016</v>
      </c>
    </row>
    <row r="855" spans="1:33" ht="10" customHeight="1" x14ac:dyDescent="0.2">
      <c r="A855" s="5" t="s">
        <v>40</v>
      </c>
      <c r="B855" s="5" t="s">
        <v>41</v>
      </c>
      <c r="D855" s="5" t="s">
        <v>2017</v>
      </c>
      <c r="E855" s="10" t="s">
        <v>345</v>
      </c>
      <c r="F855" s="5" t="s">
        <v>88</v>
      </c>
      <c r="G855" s="5" t="s">
        <v>373</v>
      </c>
      <c r="H855" s="5" t="s">
        <v>357</v>
      </c>
      <c r="I855" s="11">
        <v>1</v>
      </c>
      <c r="J855" s="5" t="s">
        <v>45</v>
      </c>
      <c r="K855" s="10" t="s">
        <v>46</v>
      </c>
      <c r="L855" s="5" t="s">
        <v>47</v>
      </c>
      <c r="M855" s="5" t="s">
        <v>48</v>
      </c>
      <c r="N855" s="5" t="s">
        <v>84</v>
      </c>
      <c r="O855" s="12"/>
      <c r="P855" s="13">
        <v>33185</v>
      </c>
      <c r="S855" s="13">
        <v>65621</v>
      </c>
      <c r="U855" s="13">
        <v>65621</v>
      </c>
      <c r="AC855" s="10" t="s">
        <v>2018</v>
      </c>
      <c r="AD855" s="5" t="s">
        <v>2015</v>
      </c>
      <c r="AE855" s="5" t="s">
        <v>82</v>
      </c>
      <c r="AG855" s="5" t="s">
        <v>2019</v>
      </c>
    </row>
    <row r="856" spans="1:33" ht="10" customHeight="1" x14ac:dyDescent="0.2">
      <c r="A856" s="5" t="s">
        <v>40</v>
      </c>
      <c r="B856" s="5" t="s">
        <v>41</v>
      </c>
      <c r="D856" s="5" t="s">
        <v>2020</v>
      </c>
      <c r="E856" s="10" t="s">
        <v>345</v>
      </c>
      <c r="F856" s="5" t="s">
        <v>88</v>
      </c>
      <c r="G856" s="5" t="s">
        <v>373</v>
      </c>
      <c r="H856" s="5" t="s">
        <v>357</v>
      </c>
      <c r="I856" s="11">
        <v>1</v>
      </c>
      <c r="J856" s="5" t="s">
        <v>45</v>
      </c>
      <c r="K856" s="10" t="s">
        <v>46</v>
      </c>
      <c r="L856" s="5" t="s">
        <v>47</v>
      </c>
      <c r="M856" s="5" t="s">
        <v>48</v>
      </c>
      <c r="N856" s="5" t="s">
        <v>84</v>
      </c>
      <c r="O856" s="12"/>
      <c r="P856" s="13">
        <v>21633</v>
      </c>
      <c r="S856" s="13">
        <v>44133</v>
      </c>
      <c r="U856" s="13">
        <v>44133</v>
      </c>
      <c r="AC856" s="10" t="s">
        <v>2021</v>
      </c>
      <c r="AD856" s="5" t="s">
        <v>2015</v>
      </c>
      <c r="AE856" s="5" t="s">
        <v>82</v>
      </c>
      <c r="AG856" s="5" t="s">
        <v>2022</v>
      </c>
    </row>
    <row r="857" spans="1:33" ht="10" customHeight="1" x14ac:dyDescent="0.2">
      <c r="A857" s="5" t="s">
        <v>40</v>
      </c>
      <c r="B857" s="5" t="s">
        <v>41</v>
      </c>
      <c r="D857" s="5" t="s">
        <v>2023</v>
      </c>
      <c r="E857" s="10" t="s">
        <v>345</v>
      </c>
      <c r="F857" s="5" t="s">
        <v>88</v>
      </c>
      <c r="G857" s="5" t="s">
        <v>373</v>
      </c>
      <c r="H857" s="5" t="s">
        <v>357</v>
      </c>
      <c r="I857" s="11">
        <v>1</v>
      </c>
      <c r="J857" s="5" t="s">
        <v>45</v>
      </c>
      <c r="K857" s="10" t="s">
        <v>46</v>
      </c>
      <c r="L857" s="5" t="s">
        <v>47</v>
      </c>
      <c r="M857" s="5" t="s">
        <v>48</v>
      </c>
      <c r="N857" s="5" t="s">
        <v>84</v>
      </c>
      <c r="O857" s="12"/>
      <c r="P857" s="13">
        <v>18619</v>
      </c>
      <c r="S857" s="13">
        <v>25170</v>
      </c>
      <c r="U857" s="13">
        <v>25170</v>
      </c>
      <c r="AC857" s="10" t="s">
        <v>2024</v>
      </c>
      <c r="AD857" s="5" t="s">
        <v>2015</v>
      </c>
      <c r="AE857" s="5" t="s">
        <v>82</v>
      </c>
      <c r="AG857" s="5" t="s">
        <v>2025</v>
      </c>
    </row>
    <row r="858" spans="1:33" ht="10" customHeight="1" x14ac:dyDescent="0.2">
      <c r="A858" s="5" t="s">
        <v>40</v>
      </c>
      <c r="B858" s="5" t="s">
        <v>41</v>
      </c>
      <c r="D858" s="5" t="s">
        <v>2026</v>
      </c>
      <c r="E858" s="10" t="s">
        <v>345</v>
      </c>
      <c r="F858" s="5" t="s">
        <v>88</v>
      </c>
      <c r="G858" s="5" t="s">
        <v>373</v>
      </c>
      <c r="H858" s="5" t="s">
        <v>357</v>
      </c>
      <c r="I858" s="11">
        <v>1</v>
      </c>
      <c r="J858" s="5" t="s">
        <v>45</v>
      </c>
      <c r="K858" s="10" t="s">
        <v>46</v>
      </c>
      <c r="L858" s="5" t="s">
        <v>47</v>
      </c>
      <c r="M858" s="5" t="s">
        <v>48</v>
      </c>
      <c r="N858" s="5" t="s">
        <v>84</v>
      </c>
      <c r="O858" s="12"/>
      <c r="P858" s="13">
        <v>29184</v>
      </c>
      <c r="S858" s="13">
        <v>59535</v>
      </c>
      <c r="U858" s="13">
        <v>59535</v>
      </c>
      <c r="AC858" s="10" t="s">
        <v>2027</v>
      </c>
      <c r="AD858" s="5" t="s">
        <v>2015</v>
      </c>
      <c r="AE858" s="5" t="s">
        <v>82</v>
      </c>
      <c r="AG858" s="5" t="s">
        <v>2028</v>
      </c>
    </row>
    <row r="859" spans="1:33" ht="10" customHeight="1" x14ac:dyDescent="0.2">
      <c r="A859" s="5" t="s">
        <v>40</v>
      </c>
      <c r="B859" s="5" t="s">
        <v>41</v>
      </c>
      <c r="D859" s="5" t="s">
        <v>2029</v>
      </c>
      <c r="E859" s="10" t="s">
        <v>345</v>
      </c>
      <c r="F859" s="5" t="s">
        <v>88</v>
      </c>
      <c r="G859" s="5" t="s">
        <v>373</v>
      </c>
      <c r="H859" s="5" t="s">
        <v>357</v>
      </c>
      <c r="I859" s="11">
        <v>1</v>
      </c>
      <c r="J859" s="5" t="s">
        <v>45</v>
      </c>
      <c r="K859" s="10" t="s">
        <v>46</v>
      </c>
      <c r="L859" s="5" t="s">
        <v>47</v>
      </c>
      <c r="M859" s="5" t="s">
        <v>48</v>
      </c>
      <c r="N859" s="5" t="s">
        <v>84</v>
      </c>
      <c r="O859" s="12"/>
      <c r="P859" s="13">
        <v>21658</v>
      </c>
      <c r="S859" s="13">
        <v>44182</v>
      </c>
      <c r="U859" s="13">
        <v>44182</v>
      </c>
      <c r="AC859" s="10" t="s">
        <v>2030</v>
      </c>
      <c r="AD859" s="5" t="s">
        <v>2015</v>
      </c>
      <c r="AE859" s="5" t="s">
        <v>82</v>
      </c>
      <c r="AG859" s="5" t="s">
        <v>397</v>
      </c>
    </row>
    <row r="860" spans="1:33" ht="10" customHeight="1" x14ac:dyDescent="0.2">
      <c r="A860" s="5" t="s">
        <v>40</v>
      </c>
      <c r="B860" s="5" t="s">
        <v>41</v>
      </c>
      <c r="D860" s="5" t="s">
        <v>2031</v>
      </c>
      <c r="E860" s="10" t="s">
        <v>345</v>
      </c>
      <c r="F860" s="5" t="s">
        <v>88</v>
      </c>
      <c r="G860" s="5" t="s">
        <v>373</v>
      </c>
      <c r="H860" s="5" t="s">
        <v>357</v>
      </c>
      <c r="I860" s="11">
        <v>1</v>
      </c>
      <c r="J860" s="5" t="s">
        <v>45</v>
      </c>
      <c r="K860" s="10" t="s">
        <v>46</v>
      </c>
      <c r="L860" s="5" t="s">
        <v>47</v>
      </c>
      <c r="M860" s="5" t="s">
        <v>48</v>
      </c>
      <c r="N860" s="5" t="s">
        <v>84</v>
      </c>
      <c r="O860" s="12"/>
      <c r="P860" s="13">
        <v>3322</v>
      </c>
      <c r="S860" s="13">
        <v>6777</v>
      </c>
      <c r="U860" s="13">
        <v>6777</v>
      </c>
      <c r="AC860" s="10" t="s">
        <v>2032</v>
      </c>
      <c r="AD860" s="5" t="s">
        <v>2015</v>
      </c>
      <c r="AE860" s="5" t="s">
        <v>82</v>
      </c>
      <c r="AG860" s="5" t="s">
        <v>2033</v>
      </c>
    </row>
    <row r="861" spans="1:33" ht="10" customHeight="1" x14ac:dyDescent="0.2">
      <c r="A861" s="5" t="s">
        <v>40</v>
      </c>
      <c r="B861" s="5" t="s">
        <v>41</v>
      </c>
      <c r="D861" s="5" t="s">
        <v>2034</v>
      </c>
      <c r="E861" s="10" t="s">
        <v>345</v>
      </c>
      <c r="F861" s="5" t="s">
        <v>88</v>
      </c>
      <c r="G861" s="5" t="s">
        <v>373</v>
      </c>
      <c r="H861" s="5" t="s">
        <v>357</v>
      </c>
      <c r="I861" s="11">
        <v>1</v>
      </c>
      <c r="J861" s="5" t="s">
        <v>45</v>
      </c>
      <c r="K861" s="10" t="s">
        <v>46</v>
      </c>
      <c r="L861" s="5" t="s">
        <v>47</v>
      </c>
      <c r="M861" s="5" t="s">
        <v>48</v>
      </c>
      <c r="N861" s="5" t="s">
        <v>84</v>
      </c>
      <c r="O861" s="12"/>
      <c r="P861" s="13">
        <v>3766</v>
      </c>
      <c r="S861" s="13">
        <v>7682</v>
      </c>
      <c r="U861" s="13">
        <v>7682</v>
      </c>
      <c r="AC861" s="10" t="s">
        <v>2035</v>
      </c>
      <c r="AD861" s="5" t="s">
        <v>2015</v>
      </c>
      <c r="AE861" s="5" t="s">
        <v>82</v>
      </c>
      <c r="AG861" s="5" t="s">
        <v>403</v>
      </c>
    </row>
    <row r="862" spans="1:33" ht="10" customHeight="1" x14ac:dyDescent="0.2">
      <c r="A862" s="5" t="s">
        <v>40</v>
      </c>
      <c r="B862" s="5" t="s">
        <v>41</v>
      </c>
      <c r="D862" s="5" t="s">
        <v>2036</v>
      </c>
      <c r="E862" s="10" t="s">
        <v>345</v>
      </c>
      <c r="F862" s="5" t="s">
        <v>88</v>
      </c>
      <c r="G862" s="5" t="s">
        <v>373</v>
      </c>
      <c r="H862" s="5" t="s">
        <v>357</v>
      </c>
      <c r="I862" s="11">
        <v>1</v>
      </c>
      <c r="J862" s="5" t="s">
        <v>45</v>
      </c>
      <c r="K862" s="10" t="s">
        <v>46</v>
      </c>
      <c r="L862" s="5" t="s">
        <v>47</v>
      </c>
      <c r="M862" s="5" t="s">
        <v>48</v>
      </c>
      <c r="N862" s="5" t="s">
        <v>84</v>
      </c>
      <c r="O862" s="12"/>
      <c r="P862" s="13">
        <v>24492</v>
      </c>
      <c r="S862" s="13">
        <v>49963</v>
      </c>
      <c r="U862" s="13">
        <v>49963</v>
      </c>
      <c r="AC862" s="10" t="s">
        <v>2037</v>
      </c>
      <c r="AD862" s="5" t="s">
        <v>2015</v>
      </c>
      <c r="AE862" s="5" t="s">
        <v>82</v>
      </c>
      <c r="AG862" s="5" t="s">
        <v>406</v>
      </c>
    </row>
    <row r="863" spans="1:33" ht="10" customHeight="1" x14ac:dyDescent="0.2">
      <c r="A863" s="5" t="s">
        <v>40</v>
      </c>
      <c r="B863" s="5" t="s">
        <v>41</v>
      </c>
      <c r="D863" s="5" t="s">
        <v>2038</v>
      </c>
      <c r="E863" s="10" t="s">
        <v>345</v>
      </c>
      <c r="F863" s="5" t="s">
        <v>88</v>
      </c>
      <c r="G863" s="5" t="s">
        <v>373</v>
      </c>
      <c r="H863" s="5" t="s">
        <v>357</v>
      </c>
      <c r="I863" s="11">
        <v>1</v>
      </c>
      <c r="J863" s="5" t="s">
        <v>45</v>
      </c>
      <c r="K863" s="10" t="s">
        <v>46</v>
      </c>
      <c r="L863" s="5" t="s">
        <v>47</v>
      </c>
      <c r="M863" s="5" t="s">
        <v>48</v>
      </c>
      <c r="N863" s="5" t="s">
        <v>84</v>
      </c>
      <c r="O863" s="12"/>
      <c r="P863" s="13">
        <v>19168</v>
      </c>
      <c r="S863" s="13">
        <v>39101</v>
      </c>
      <c r="U863" s="13">
        <v>39101</v>
      </c>
      <c r="AC863" s="10" t="s">
        <v>2039</v>
      </c>
      <c r="AD863" s="5" t="s">
        <v>2015</v>
      </c>
      <c r="AE863" s="5" t="s">
        <v>82</v>
      </c>
      <c r="AG863" s="5" t="s">
        <v>409</v>
      </c>
    </row>
    <row r="864" spans="1:33" ht="10" customHeight="1" x14ac:dyDescent="0.2">
      <c r="A864" s="5" t="s">
        <v>40</v>
      </c>
      <c r="B864" s="5" t="s">
        <v>41</v>
      </c>
      <c r="D864" s="5" t="s">
        <v>2040</v>
      </c>
      <c r="E864" s="10" t="s">
        <v>345</v>
      </c>
      <c r="F864" s="5" t="s">
        <v>88</v>
      </c>
      <c r="G864" s="5" t="s">
        <v>373</v>
      </c>
      <c r="H864" s="5" t="s">
        <v>357</v>
      </c>
      <c r="I864" s="11">
        <v>1</v>
      </c>
      <c r="J864" s="5" t="s">
        <v>45</v>
      </c>
      <c r="K864" s="10" t="s">
        <v>46</v>
      </c>
      <c r="L864" s="5" t="s">
        <v>47</v>
      </c>
      <c r="M864" s="5" t="s">
        <v>48</v>
      </c>
      <c r="N864" s="5" t="s">
        <v>84</v>
      </c>
      <c r="O864" s="12"/>
      <c r="P864" s="13">
        <v>1329</v>
      </c>
      <c r="S864" s="13">
        <v>2711</v>
      </c>
      <c r="U864" s="13">
        <v>2711</v>
      </c>
      <c r="AC864" s="10" t="s">
        <v>2041</v>
      </c>
      <c r="AD864" s="5" t="s">
        <v>2015</v>
      </c>
      <c r="AE864" s="5" t="s">
        <v>82</v>
      </c>
      <c r="AG864" s="5" t="s">
        <v>2042</v>
      </c>
    </row>
    <row r="865" spans="1:33" ht="10" customHeight="1" x14ac:dyDescent="0.2">
      <c r="A865" s="5" t="s">
        <v>40</v>
      </c>
      <c r="B865" s="5" t="s">
        <v>41</v>
      </c>
      <c r="D865" s="5" t="s">
        <v>2043</v>
      </c>
      <c r="E865" s="10" t="s">
        <v>345</v>
      </c>
      <c r="F865" s="5" t="s">
        <v>88</v>
      </c>
      <c r="G865" s="5" t="s">
        <v>373</v>
      </c>
      <c r="H865" s="5" t="s">
        <v>363</v>
      </c>
      <c r="I865" s="11">
        <v>1</v>
      </c>
      <c r="J865" s="5" t="s">
        <v>45</v>
      </c>
      <c r="K865" s="10" t="s">
        <v>46</v>
      </c>
      <c r="L865" s="5" t="s">
        <v>47</v>
      </c>
      <c r="M865" s="5" t="s">
        <v>48</v>
      </c>
      <c r="N865" s="5" t="s">
        <v>84</v>
      </c>
      <c r="O865" s="12"/>
      <c r="P865" s="13">
        <v>74172</v>
      </c>
      <c r="S865" s="13">
        <v>99494</v>
      </c>
      <c r="U865" s="13">
        <v>99494</v>
      </c>
      <c r="AC865" s="10" t="s">
        <v>2044</v>
      </c>
      <c r="AD865" s="5" t="s">
        <v>2045</v>
      </c>
      <c r="AE865" s="5" t="s">
        <v>82</v>
      </c>
      <c r="AG865" s="5" t="s">
        <v>422</v>
      </c>
    </row>
    <row r="866" spans="1:33" ht="10" customHeight="1" x14ac:dyDescent="0.2">
      <c r="A866" s="5" t="s">
        <v>40</v>
      </c>
      <c r="B866" s="5" t="s">
        <v>41</v>
      </c>
      <c r="D866" s="5" t="s">
        <v>2046</v>
      </c>
      <c r="E866" s="10" t="s">
        <v>345</v>
      </c>
      <c r="F866" s="5" t="s">
        <v>88</v>
      </c>
      <c r="G866" s="5" t="s">
        <v>373</v>
      </c>
      <c r="H866" s="5" t="s">
        <v>363</v>
      </c>
      <c r="I866" s="11">
        <v>1</v>
      </c>
      <c r="J866" s="5" t="s">
        <v>45</v>
      </c>
      <c r="K866" s="10" t="s">
        <v>46</v>
      </c>
      <c r="L866" s="5" t="s">
        <v>47</v>
      </c>
      <c r="M866" s="5" t="s">
        <v>48</v>
      </c>
      <c r="N866" s="5" t="s">
        <v>84</v>
      </c>
      <c r="O866" s="12"/>
      <c r="P866" s="13">
        <v>1893</v>
      </c>
      <c r="S866" s="13">
        <v>3862</v>
      </c>
      <c r="U866" s="13">
        <v>3862</v>
      </c>
      <c r="AC866" s="10" t="s">
        <v>2047</v>
      </c>
      <c r="AD866" s="5" t="s">
        <v>2045</v>
      </c>
      <c r="AE866" s="5" t="s">
        <v>82</v>
      </c>
      <c r="AG866" s="5" t="s">
        <v>2048</v>
      </c>
    </row>
    <row r="867" spans="1:33" ht="10" customHeight="1" x14ac:dyDescent="0.2">
      <c r="A867" s="5" t="s">
        <v>40</v>
      </c>
      <c r="B867" s="5" t="s">
        <v>41</v>
      </c>
      <c r="D867" s="5" t="s">
        <v>2049</v>
      </c>
      <c r="E867" s="10" t="s">
        <v>345</v>
      </c>
      <c r="F867" s="5" t="s">
        <v>88</v>
      </c>
      <c r="G867" s="5" t="s">
        <v>373</v>
      </c>
      <c r="H867" s="5" t="s">
        <v>363</v>
      </c>
      <c r="I867" s="11">
        <v>1</v>
      </c>
      <c r="J867" s="5" t="s">
        <v>45</v>
      </c>
      <c r="K867" s="10" t="s">
        <v>46</v>
      </c>
      <c r="L867" s="5" t="s">
        <v>47</v>
      </c>
      <c r="M867" s="5" t="s">
        <v>48</v>
      </c>
      <c r="N867" s="5" t="s">
        <v>84</v>
      </c>
      <c r="O867" s="12"/>
      <c r="P867" s="13">
        <v>11168</v>
      </c>
      <c r="S867" s="13">
        <v>22783</v>
      </c>
      <c r="U867" s="13">
        <v>22783</v>
      </c>
      <c r="AC867" s="10" t="s">
        <v>2050</v>
      </c>
      <c r="AD867" s="5" t="s">
        <v>2045</v>
      </c>
      <c r="AE867" s="5" t="s">
        <v>82</v>
      </c>
      <c r="AG867" s="5" t="s">
        <v>428</v>
      </c>
    </row>
    <row r="868" spans="1:33" ht="10" customHeight="1" x14ac:dyDescent="0.2">
      <c r="A868" s="5" t="s">
        <v>40</v>
      </c>
      <c r="B868" s="5" t="s">
        <v>41</v>
      </c>
      <c r="D868" s="5" t="s">
        <v>2051</v>
      </c>
      <c r="E868" s="10" t="s">
        <v>345</v>
      </c>
      <c r="F868" s="5" t="s">
        <v>88</v>
      </c>
      <c r="G868" s="5" t="s">
        <v>373</v>
      </c>
      <c r="H868" s="5" t="s">
        <v>363</v>
      </c>
      <c r="I868" s="11">
        <v>1</v>
      </c>
      <c r="J868" s="5" t="s">
        <v>45</v>
      </c>
      <c r="K868" s="10" t="s">
        <v>46</v>
      </c>
      <c r="L868" s="5" t="s">
        <v>47</v>
      </c>
      <c r="M868" s="5" t="s">
        <v>48</v>
      </c>
      <c r="N868" s="5" t="s">
        <v>84</v>
      </c>
      <c r="O868" s="12"/>
      <c r="P868" s="13">
        <v>10435</v>
      </c>
      <c r="S868" s="13">
        <v>21287</v>
      </c>
      <c r="U868" s="13">
        <v>21287</v>
      </c>
      <c r="AC868" s="10" t="s">
        <v>2052</v>
      </c>
      <c r="AD868" s="5" t="s">
        <v>2045</v>
      </c>
      <c r="AE868" s="5" t="s">
        <v>82</v>
      </c>
      <c r="AG868" s="5" t="s">
        <v>431</v>
      </c>
    </row>
    <row r="869" spans="1:33" ht="10" customHeight="1" x14ac:dyDescent="0.2">
      <c r="A869" s="5" t="s">
        <v>40</v>
      </c>
      <c r="B869" s="5" t="s">
        <v>41</v>
      </c>
      <c r="D869" s="5" t="s">
        <v>2053</v>
      </c>
      <c r="E869" s="10" t="s">
        <v>345</v>
      </c>
      <c r="F869" s="5" t="s">
        <v>88</v>
      </c>
      <c r="G869" s="5" t="s">
        <v>373</v>
      </c>
      <c r="H869" s="5" t="s">
        <v>363</v>
      </c>
      <c r="I869" s="11">
        <v>1</v>
      </c>
      <c r="J869" s="5" t="s">
        <v>45</v>
      </c>
      <c r="K869" s="10" t="s">
        <v>46</v>
      </c>
      <c r="L869" s="5" t="s">
        <v>47</v>
      </c>
      <c r="M869" s="5" t="s">
        <v>48</v>
      </c>
      <c r="N869" s="5" t="s">
        <v>84</v>
      </c>
      <c r="O869" s="12"/>
      <c r="P869" s="13">
        <v>1269</v>
      </c>
      <c r="S869" s="13">
        <v>2589</v>
      </c>
      <c r="U869" s="13">
        <v>2589</v>
      </c>
      <c r="AC869" s="10" t="s">
        <v>2054</v>
      </c>
      <c r="AD869" s="5" t="s">
        <v>2045</v>
      </c>
      <c r="AE869" s="5" t="s">
        <v>82</v>
      </c>
      <c r="AG869" s="5" t="s">
        <v>434</v>
      </c>
    </row>
    <row r="870" spans="1:33" ht="10" customHeight="1" x14ac:dyDescent="0.2">
      <c r="A870" s="5" t="s">
        <v>40</v>
      </c>
      <c r="B870" s="5" t="s">
        <v>41</v>
      </c>
      <c r="D870" s="5" t="s">
        <v>2055</v>
      </c>
      <c r="E870" s="10" t="s">
        <v>345</v>
      </c>
      <c r="F870" s="5" t="s">
        <v>88</v>
      </c>
      <c r="G870" s="5" t="s">
        <v>464</v>
      </c>
      <c r="I870" s="11">
        <v>1</v>
      </c>
      <c r="J870" s="5" t="s">
        <v>45</v>
      </c>
      <c r="K870" s="10" t="s">
        <v>46</v>
      </c>
      <c r="L870" s="5" t="s">
        <v>47</v>
      </c>
      <c r="M870" s="5" t="s">
        <v>48</v>
      </c>
      <c r="N870" s="5" t="s">
        <v>84</v>
      </c>
      <c r="O870" s="12"/>
      <c r="P870" s="13">
        <v>119403</v>
      </c>
      <c r="S870" s="13">
        <v>217931</v>
      </c>
      <c r="U870" s="13">
        <v>217931</v>
      </c>
      <c r="AC870" s="10" t="s">
        <v>2056</v>
      </c>
      <c r="AD870" s="5" t="s">
        <v>2057</v>
      </c>
      <c r="AE870" s="5" t="s">
        <v>82</v>
      </c>
      <c r="AG870" s="5" t="s">
        <v>2058</v>
      </c>
    </row>
    <row r="871" spans="1:33" ht="10" customHeight="1" x14ac:dyDescent="0.2">
      <c r="A871" s="5" t="s">
        <v>40</v>
      </c>
      <c r="B871" s="5" t="s">
        <v>41</v>
      </c>
      <c r="D871" s="5" t="s">
        <v>2059</v>
      </c>
      <c r="E871" s="10" t="s">
        <v>345</v>
      </c>
      <c r="F871" s="5" t="s">
        <v>88</v>
      </c>
      <c r="G871" s="5" t="s">
        <v>464</v>
      </c>
      <c r="I871" s="11">
        <v>1</v>
      </c>
      <c r="J871" s="5" t="s">
        <v>45</v>
      </c>
      <c r="K871" s="10" t="s">
        <v>46</v>
      </c>
      <c r="L871" s="5" t="s">
        <v>47</v>
      </c>
      <c r="M871" s="5" t="s">
        <v>48</v>
      </c>
      <c r="N871" s="5" t="s">
        <v>84</v>
      </c>
      <c r="O871" s="12"/>
      <c r="P871" s="13">
        <v>1912</v>
      </c>
      <c r="S871" s="13">
        <v>3900</v>
      </c>
      <c r="U871" s="13">
        <v>3900</v>
      </c>
      <c r="AC871" s="10" t="s">
        <v>2060</v>
      </c>
      <c r="AD871" s="5" t="s">
        <v>2057</v>
      </c>
      <c r="AE871" s="5" t="s">
        <v>82</v>
      </c>
      <c r="AG871" s="5" t="s">
        <v>2016</v>
      </c>
    </row>
    <row r="872" spans="1:33" ht="10" customHeight="1" x14ac:dyDescent="0.2">
      <c r="A872" s="5" t="s">
        <v>40</v>
      </c>
      <c r="B872" s="5" t="s">
        <v>41</v>
      </c>
      <c r="D872" s="5" t="s">
        <v>2061</v>
      </c>
      <c r="E872" s="10" t="s">
        <v>345</v>
      </c>
      <c r="F872" s="5" t="s">
        <v>88</v>
      </c>
      <c r="G872" s="5" t="s">
        <v>464</v>
      </c>
      <c r="I872" s="11">
        <v>1</v>
      </c>
      <c r="J872" s="5" t="s">
        <v>45</v>
      </c>
      <c r="K872" s="10" t="s">
        <v>46</v>
      </c>
      <c r="L872" s="5" t="s">
        <v>47</v>
      </c>
      <c r="M872" s="5" t="s">
        <v>48</v>
      </c>
      <c r="N872" s="5" t="s">
        <v>84</v>
      </c>
      <c r="O872" s="12"/>
      <c r="P872" s="13">
        <v>15593</v>
      </c>
      <c r="S872" s="13">
        <v>31809</v>
      </c>
      <c r="U872" s="13">
        <v>31809</v>
      </c>
      <c r="AC872" s="10" t="s">
        <v>2062</v>
      </c>
      <c r="AD872" s="5" t="s">
        <v>2057</v>
      </c>
      <c r="AE872" s="5" t="s">
        <v>82</v>
      </c>
      <c r="AG872" s="5" t="s">
        <v>2016</v>
      </c>
    </row>
    <row r="873" spans="1:33" ht="10" customHeight="1" x14ac:dyDescent="0.2">
      <c r="A873" s="5" t="s">
        <v>40</v>
      </c>
      <c r="B873" s="5" t="s">
        <v>41</v>
      </c>
      <c r="D873" s="5" t="s">
        <v>2063</v>
      </c>
      <c r="E873" s="10" t="s">
        <v>345</v>
      </c>
      <c r="F873" s="5" t="s">
        <v>88</v>
      </c>
      <c r="G873" s="5" t="s">
        <v>464</v>
      </c>
      <c r="I873" s="11">
        <v>1</v>
      </c>
      <c r="J873" s="5" t="s">
        <v>45</v>
      </c>
      <c r="K873" s="10" t="s">
        <v>46</v>
      </c>
      <c r="L873" s="5" t="s">
        <v>47</v>
      </c>
      <c r="M873" s="5" t="s">
        <v>48</v>
      </c>
      <c r="N873" s="5" t="s">
        <v>84</v>
      </c>
      <c r="O873" s="12"/>
      <c r="P873" s="13">
        <v>26723</v>
      </c>
      <c r="S873" s="13">
        <v>52437</v>
      </c>
      <c r="U873" s="13">
        <v>52437</v>
      </c>
      <c r="AC873" s="10" t="s">
        <v>2064</v>
      </c>
      <c r="AD873" s="5" t="s">
        <v>2065</v>
      </c>
      <c r="AE873" s="5" t="s">
        <v>82</v>
      </c>
      <c r="AG873" s="5" t="s">
        <v>2066</v>
      </c>
    </row>
    <row r="874" spans="1:33" ht="10" customHeight="1" x14ac:dyDescent="0.2">
      <c r="A874" s="5" t="s">
        <v>40</v>
      </c>
      <c r="B874" s="5" t="s">
        <v>41</v>
      </c>
      <c r="D874" s="5" t="s">
        <v>2067</v>
      </c>
      <c r="E874" s="10" t="s">
        <v>345</v>
      </c>
      <c r="F874" s="5" t="s">
        <v>88</v>
      </c>
      <c r="G874" s="5" t="s">
        <v>464</v>
      </c>
      <c r="I874" s="11">
        <v>1</v>
      </c>
      <c r="J874" s="5" t="s">
        <v>45</v>
      </c>
      <c r="K874" s="10" t="s">
        <v>46</v>
      </c>
      <c r="L874" s="5" t="s">
        <v>47</v>
      </c>
      <c r="M874" s="5" t="s">
        <v>48</v>
      </c>
      <c r="N874" s="5" t="s">
        <v>84</v>
      </c>
      <c r="O874" s="12"/>
      <c r="P874" s="13">
        <v>1439</v>
      </c>
      <c r="S874" s="13">
        <v>2937</v>
      </c>
      <c r="U874" s="13">
        <v>2937</v>
      </c>
      <c r="AC874" s="10" t="s">
        <v>2068</v>
      </c>
      <c r="AD874" s="5" t="s">
        <v>2065</v>
      </c>
      <c r="AE874" s="5" t="s">
        <v>82</v>
      </c>
      <c r="AG874" s="5" t="s">
        <v>2019</v>
      </c>
    </row>
    <row r="875" spans="1:33" ht="10" customHeight="1" x14ac:dyDescent="0.2">
      <c r="A875" s="5" t="s">
        <v>40</v>
      </c>
      <c r="B875" s="5" t="s">
        <v>41</v>
      </c>
      <c r="D875" s="5" t="s">
        <v>2069</v>
      </c>
      <c r="E875" s="10" t="s">
        <v>345</v>
      </c>
      <c r="F875" s="5" t="s">
        <v>88</v>
      </c>
      <c r="G875" s="5" t="s">
        <v>464</v>
      </c>
      <c r="I875" s="11">
        <v>1</v>
      </c>
      <c r="J875" s="5" t="s">
        <v>45</v>
      </c>
      <c r="K875" s="10" t="s">
        <v>46</v>
      </c>
      <c r="L875" s="5" t="s">
        <v>47</v>
      </c>
      <c r="M875" s="5" t="s">
        <v>48</v>
      </c>
      <c r="N875" s="5" t="s">
        <v>84</v>
      </c>
      <c r="O875" s="12"/>
      <c r="P875" s="13">
        <v>5023</v>
      </c>
      <c r="S875" s="13">
        <v>10247</v>
      </c>
      <c r="U875" s="13">
        <v>10247</v>
      </c>
      <c r="AC875" s="10" t="s">
        <v>2070</v>
      </c>
      <c r="AD875" s="5" t="s">
        <v>2065</v>
      </c>
      <c r="AE875" s="5" t="s">
        <v>82</v>
      </c>
      <c r="AG875" s="5" t="s">
        <v>2019</v>
      </c>
    </row>
    <row r="876" spans="1:33" ht="10" customHeight="1" x14ac:dyDescent="0.2">
      <c r="A876" s="5" t="s">
        <v>40</v>
      </c>
      <c r="B876" s="5" t="s">
        <v>41</v>
      </c>
      <c r="D876" s="5" t="s">
        <v>2071</v>
      </c>
      <c r="E876" s="10" t="s">
        <v>345</v>
      </c>
      <c r="F876" s="5" t="s">
        <v>88</v>
      </c>
      <c r="G876" s="5" t="s">
        <v>464</v>
      </c>
      <c r="I876" s="11">
        <v>1</v>
      </c>
      <c r="J876" s="5" t="s">
        <v>45</v>
      </c>
      <c r="K876" s="10" t="s">
        <v>46</v>
      </c>
      <c r="L876" s="5" t="s">
        <v>47</v>
      </c>
      <c r="M876" s="5" t="s">
        <v>48</v>
      </c>
      <c r="N876" s="5" t="s">
        <v>84</v>
      </c>
      <c r="O876" s="12"/>
      <c r="P876" s="13">
        <v>15758</v>
      </c>
      <c r="S876" s="13">
        <v>32146</v>
      </c>
      <c r="U876" s="13">
        <v>32146</v>
      </c>
      <c r="AC876" s="10" t="s">
        <v>2072</v>
      </c>
      <c r="AD876" s="5" t="s">
        <v>2073</v>
      </c>
      <c r="AE876" s="5" t="s">
        <v>82</v>
      </c>
      <c r="AG876" s="5" t="s">
        <v>2074</v>
      </c>
    </row>
    <row r="877" spans="1:33" ht="10" customHeight="1" x14ac:dyDescent="0.2">
      <c r="A877" s="5" t="s">
        <v>40</v>
      </c>
      <c r="B877" s="5" t="s">
        <v>41</v>
      </c>
      <c r="D877" s="5" t="s">
        <v>2075</v>
      </c>
      <c r="E877" s="10" t="s">
        <v>345</v>
      </c>
      <c r="F877" s="5" t="s">
        <v>88</v>
      </c>
      <c r="G877" s="5" t="s">
        <v>464</v>
      </c>
      <c r="I877" s="11">
        <v>1</v>
      </c>
      <c r="J877" s="5" t="s">
        <v>45</v>
      </c>
      <c r="K877" s="10" t="s">
        <v>46</v>
      </c>
      <c r="L877" s="5" t="s">
        <v>47</v>
      </c>
      <c r="M877" s="5" t="s">
        <v>48</v>
      </c>
      <c r="N877" s="5" t="s">
        <v>84</v>
      </c>
      <c r="O877" s="12"/>
      <c r="P877" s="13">
        <v>708</v>
      </c>
      <c r="S877" s="13">
        <v>1444</v>
      </c>
      <c r="U877" s="13">
        <v>1444</v>
      </c>
      <c r="AC877" s="10" t="s">
        <v>2076</v>
      </c>
      <c r="AD877" s="5" t="s">
        <v>2073</v>
      </c>
      <c r="AE877" s="5" t="s">
        <v>82</v>
      </c>
      <c r="AG877" s="5" t="s">
        <v>2022</v>
      </c>
    </row>
    <row r="878" spans="1:33" ht="10" customHeight="1" x14ac:dyDescent="0.2">
      <c r="A878" s="5" t="s">
        <v>40</v>
      </c>
      <c r="B878" s="5" t="s">
        <v>41</v>
      </c>
      <c r="D878" s="5" t="s">
        <v>2077</v>
      </c>
      <c r="E878" s="10" t="s">
        <v>345</v>
      </c>
      <c r="F878" s="5" t="s">
        <v>88</v>
      </c>
      <c r="G878" s="5" t="s">
        <v>464</v>
      </c>
      <c r="I878" s="11">
        <v>1</v>
      </c>
      <c r="J878" s="5" t="s">
        <v>45</v>
      </c>
      <c r="K878" s="10" t="s">
        <v>46</v>
      </c>
      <c r="L878" s="5" t="s">
        <v>47</v>
      </c>
      <c r="M878" s="5" t="s">
        <v>48</v>
      </c>
      <c r="N878" s="5" t="s">
        <v>84</v>
      </c>
      <c r="O878" s="12"/>
      <c r="P878" s="13">
        <v>5167</v>
      </c>
      <c r="S878" s="13">
        <v>10543</v>
      </c>
      <c r="U878" s="13">
        <v>10543</v>
      </c>
      <c r="AC878" s="10" t="s">
        <v>2078</v>
      </c>
      <c r="AD878" s="5" t="s">
        <v>2073</v>
      </c>
      <c r="AE878" s="5" t="s">
        <v>82</v>
      </c>
      <c r="AG878" s="5" t="s">
        <v>2022</v>
      </c>
    </row>
    <row r="879" spans="1:33" ht="10" customHeight="1" x14ac:dyDescent="0.2">
      <c r="A879" s="5" t="s">
        <v>40</v>
      </c>
      <c r="B879" s="5" t="s">
        <v>41</v>
      </c>
      <c r="D879" s="5" t="s">
        <v>2079</v>
      </c>
      <c r="E879" s="10" t="s">
        <v>345</v>
      </c>
      <c r="F879" s="5" t="s">
        <v>88</v>
      </c>
      <c r="G879" s="5" t="s">
        <v>464</v>
      </c>
      <c r="I879" s="11">
        <v>1</v>
      </c>
      <c r="J879" s="5" t="s">
        <v>45</v>
      </c>
      <c r="K879" s="10" t="s">
        <v>46</v>
      </c>
      <c r="L879" s="5" t="s">
        <v>47</v>
      </c>
      <c r="M879" s="5" t="s">
        <v>48</v>
      </c>
      <c r="N879" s="5" t="s">
        <v>84</v>
      </c>
      <c r="O879" s="12"/>
      <c r="P879" s="13">
        <v>15969</v>
      </c>
      <c r="S879" s="13">
        <v>19767</v>
      </c>
      <c r="U879" s="13">
        <v>19767</v>
      </c>
      <c r="AC879" s="10" t="s">
        <v>2080</v>
      </c>
      <c r="AD879" s="5" t="s">
        <v>2081</v>
      </c>
      <c r="AE879" s="5" t="s">
        <v>82</v>
      </c>
      <c r="AG879" s="5" t="s">
        <v>2082</v>
      </c>
    </row>
    <row r="880" spans="1:33" ht="10" customHeight="1" x14ac:dyDescent="0.2">
      <c r="A880" s="5" t="s">
        <v>40</v>
      </c>
      <c r="B880" s="5" t="s">
        <v>41</v>
      </c>
      <c r="D880" s="5" t="s">
        <v>2083</v>
      </c>
      <c r="E880" s="10" t="s">
        <v>345</v>
      </c>
      <c r="F880" s="5" t="s">
        <v>88</v>
      </c>
      <c r="G880" s="5" t="s">
        <v>464</v>
      </c>
      <c r="I880" s="11">
        <v>1</v>
      </c>
      <c r="J880" s="5" t="s">
        <v>45</v>
      </c>
      <c r="K880" s="10" t="s">
        <v>46</v>
      </c>
      <c r="L880" s="5" t="s">
        <v>47</v>
      </c>
      <c r="M880" s="5" t="s">
        <v>48</v>
      </c>
      <c r="N880" s="5" t="s">
        <v>84</v>
      </c>
      <c r="O880" s="12"/>
      <c r="P880" s="13">
        <v>1608</v>
      </c>
      <c r="S880" s="13">
        <v>3279</v>
      </c>
      <c r="U880" s="13">
        <v>3279</v>
      </c>
      <c r="AC880" s="10" t="s">
        <v>2084</v>
      </c>
      <c r="AD880" s="5" t="s">
        <v>2081</v>
      </c>
      <c r="AE880" s="5" t="s">
        <v>82</v>
      </c>
      <c r="AG880" s="5" t="s">
        <v>2025</v>
      </c>
    </row>
    <row r="881" spans="1:33" ht="10" customHeight="1" x14ac:dyDescent="0.2">
      <c r="A881" s="5" t="s">
        <v>40</v>
      </c>
      <c r="B881" s="5" t="s">
        <v>41</v>
      </c>
      <c r="D881" s="5" t="s">
        <v>2085</v>
      </c>
      <c r="E881" s="10" t="s">
        <v>345</v>
      </c>
      <c r="F881" s="5" t="s">
        <v>88</v>
      </c>
      <c r="G881" s="5" t="s">
        <v>464</v>
      </c>
      <c r="I881" s="11">
        <v>1</v>
      </c>
      <c r="J881" s="5" t="s">
        <v>45</v>
      </c>
      <c r="K881" s="10" t="s">
        <v>46</v>
      </c>
      <c r="L881" s="5" t="s">
        <v>47</v>
      </c>
      <c r="M881" s="5" t="s">
        <v>48</v>
      </c>
      <c r="N881" s="5" t="s">
        <v>84</v>
      </c>
      <c r="O881" s="12"/>
      <c r="P881" s="13">
        <v>1042</v>
      </c>
      <c r="S881" s="13">
        <v>2124</v>
      </c>
      <c r="U881" s="13">
        <v>2124</v>
      </c>
      <c r="AC881" s="10" t="s">
        <v>2086</v>
      </c>
      <c r="AD881" s="5" t="s">
        <v>2081</v>
      </c>
      <c r="AE881" s="5" t="s">
        <v>82</v>
      </c>
      <c r="AG881" s="5" t="s">
        <v>2025</v>
      </c>
    </row>
    <row r="882" spans="1:33" ht="10" customHeight="1" x14ac:dyDescent="0.2">
      <c r="A882" s="5" t="s">
        <v>40</v>
      </c>
      <c r="B882" s="5" t="s">
        <v>41</v>
      </c>
      <c r="D882" s="5" t="s">
        <v>2087</v>
      </c>
      <c r="E882" s="10" t="s">
        <v>345</v>
      </c>
      <c r="F882" s="5" t="s">
        <v>88</v>
      </c>
      <c r="G882" s="5" t="s">
        <v>464</v>
      </c>
      <c r="I882" s="11">
        <v>1</v>
      </c>
      <c r="J882" s="5" t="s">
        <v>45</v>
      </c>
      <c r="K882" s="10" t="s">
        <v>46</v>
      </c>
      <c r="L882" s="5" t="s">
        <v>47</v>
      </c>
      <c r="M882" s="5" t="s">
        <v>48</v>
      </c>
      <c r="N882" s="5" t="s">
        <v>84</v>
      </c>
      <c r="O882" s="12"/>
      <c r="P882" s="13">
        <v>20628</v>
      </c>
      <c r="S882" s="13">
        <v>42081</v>
      </c>
      <c r="U882" s="13">
        <v>42081</v>
      </c>
      <c r="AC882" s="10" t="s">
        <v>2088</v>
      </c>
      <c r="AD882" s="5" t="s">
        <v>2089</v>
      </c>
      <c r="AE882" s="5" t="s">
        <v>82</v>
      </c>
      <c r="AG882" s="5" t="s">
        <v>2090</v>
      </c>
    </row>
    <row r="883" spans="1:33" ht="10" customHeight="1" x14ac:dyDescent="0.2">
      <c r="A883" s="5" t="s">
        <v>40</v>
      </c>
      <c r="B883" s="5" t="s">
        <v>41</v>
      </c>
      <c r="D883" s="5" t="s">
        <v>2091</v>
      </c>
      <c r="E883" s="10" t="s">
        <v>345</v>
      </c>
      <c r="F883" s="5" t="s">
        <v>88</v>
      </c>
      <c r="G883" s="5" t="s">
        <v>464</v>
      </c>
      <c r="I883" s="11">
        <v>1</v>
      </c>
      <c r="J883" s="5" t="s">
        <v>45</v>
      </c>
      <c r="K883" s="10" t="s">
        <v>46</v>
      </c>
      <c r="L883" s="5" t="s">
        <v>47</v>
      </c>
      <c r="M883" s="5" t="s">
        <v>48</v>
      </c>
      <c r="N883" s="5" t="s">
        <v>84</v>
      </c>
      <c r="O883" s="12"/>
      <c r="P883" s="13">
        <v>3496</v>
      </c>
      <c r="S883" s="13">
        <v>7132</v>
      </c>
      <c r="U883" s="13">
        <v>7132</v>
      </c>
      <c r="AC883" s="10" t="s">
        <v>2092</v>
      </c>
      <c r="AD883" s="5" t="s">
        <v>2089</v>
      </c>
      <c r="AE883" s="5" t="s">
        <v>82</v>
      </c>
      <c r="AG883" s="5" t="s">
        <v>2028</v>
      </c>
    </row>
    <row r="884" spans="1:33" ht="10" customHeight="1" x14ac:dyDescent="0.2">
      <c r="A884" s="5" t="s">
        <v>40</v>
      </c>
      <c r="B884" s="5" t="s">
        <v>41</v>
      </c>
      <c r="D884" s="5" t="s">
        <v>2093</v>
      </c>
      <c r="E884" s="10" t="s">
        <v>345</v>
      </c>
      <c r="F884" s="5" t="s">
        <v>88</v>
      </c>
      <c r="G884" s="5" t="s">
        <v>464</v>
      </c>
      <c r="I884" s="11">
        <v>1</v>
      </c>
      <c r="J884" s="5" t="s">
        <v>45</v>
      </c>
      <c r="K884" s="10" t="s">
        <v>46</v>
      </c>
      <c r="L884" s="5" t="s">
        <v>47</v>
      </c>
      <c r="M884" s="5" t="s">
        <v>48</v>
      </c>
      <c r="N884" s="5" t="s">
        <v>84</v>
      </c>
      <c r="O884" s="12"/>
      <c r="P884" s="13">
        <v>5060</v>
      </c>
      <c r="S884" s="13">
        <v>10322</v>
      </c>
      <c r="U884" s="13">
        <v>10322</v>
      </c>
      <c r="AC884" s="10" t="s">
        <v>2094</v>
      </c>
      <c r="AD884" s="5" t="s">
        <v>2089</v>
      </c>
      <c r="AE884" s="5" t="s">
        <v>82</v>
      </c>
      <c r="AG884" s="5" t="s">
        <v>2028</v>
      </c>
    </row>
    <row r="885" spans="1:33" ht="10" customHeight="1" x14ac:dyDescent="0.2">
      <c r="A885" s="5" t="s">
        <v>40</v>
      </c>
      <c r="B885" s="5" t="s">
        <v>41</v>
      </c>
      <c r="D885" s="5" t="s">
        <v>2095</v>
      </c>
      <c r="E885" s="10" t="s">
        <v>345</v>
      </c>
      <c r="F885" s="5" t="s">
        <v>88</v>
      </c>
      <c r="G885" s="5" t="s">
        <v>464</v>
      </c>
      <c r="I885" s="11">
        <v>1</v>
      </c>
      <c r="J885" s="5" t="s">
        <v>45</v>
      </c>
      <c r="K885" s="10" t="s">
        <v>46</v>
      </c>
      <c r="L885" s="5" t="s">
        <v>47</v>
      </c>
      <c r="M885" s="5" t="s">
        <v>48</v>
      </c>
      <c r="N885" s="5" t="s">
        <v>84</v>
      </c>
      <c r="O885" s="12"/>
      <c r="P885" s="13">
        <v>68130</v>
      </c>
      <c r="S885" s="13">
        <v>87169</v>
      </c>
      <c r="U885" s="13">
        <v>87169</v>
      </c>
      <c r="AC885" s="10" t="s">
        <v>2096</v>
      </c>
      <c r="AD885" s="5" t="s">
        <v>2097</v>
      </c>
      <c r="AE885" s="5" t="s">
        <v>82</v>
      </c>
      <c r="AG885" s="5" t="s">
        <v>2098</v>
      </c>
    </row>
    <row r="886" spans="1:33" ht="10" customHeight="1" x14ac:dyDescent="0.2">
      <c r="A886" s="5" t="s">
        <v>40</v>
      </c>
      <c r="B886" s="5" t="s">
        <v>41</v>
      </c>
      <c r="D886" s="5" t="s">
        <v>2099</v>
      </c>
      <c r="E886" s="10" t="s">
        <v>345</v>
      </c>
      <c r="F886" s="5" t="s">
        <v>88</v>
      </c>
      <c r="G886" s="5" t="s">
        <v>464</v>
      </c>
      <c r="I886" s="11">
        <v>1</v>
      </c>
      <c r="J886" s="5" t="s">
        <v>45</v>
      </c>
      <c r="K886" s="10" t="s">
        <v>46</v>
      </c>
      <c r="L886" s="5" t="s">
        <v>47</v>
      </c>
      <c r="M886" s="5" t="s">
        <v>48</v>
      </c>
      <c r="N886" s="5" t="s">
        <v>84</v>
      </c>
      <c r="O886" s="12"/>
      <c r="P886" s="13">
        <v>6042</v>
      </c>
      <c r="S886" s="13">
        <v>12325</v>
      </c>
      <c r="U886" s="13">
        <v>12325</v>
      </c>
      <c r="AC886" s="10" t="s">
        <v>2100</v>
      </c>
      <c r="AD886" s="5" t="s">
        <v>2097</v>
      </c>
      <c r="AE886" s="5" t="s">
        <v>82</v>
      </c>
      <c r="AG886" s="5" t="s">
        <v>422</v>
      </c>
    </row>
    <row r="887" spans="1:33" ht="10" customHeight="1" x14ac:dyDescent="0.2">
      <c r="A887" s="5" t="s">
        <v>40</v>
      </c>
      <c r="B887" s="5" t="s">
        <v>41</v>
      </c>
      <c r="D887" s="5" t="s">
        <v>2101</v>
      </c>
      <c r="E887" s="10" t="s">
        <v>53</v>
      </c>
      <c r="F887" s="5" t="s">
        <v>2102</v>
      </c>
      <c r="I887" s="11">
        <v>1</v>
      </c>
      <c r="J887" s="5" t="s">
        <v>60</v>
      </c>
      <c r="K887" s="10" t="s">
        <v>46</v>
      </c>
      <c r="L887" s="5" t="s">
        <v>47</v>
      </c>
      <c r="M887" s="5" t="s">
        <v>48</v>
      </c>
      <c r="N887" s="5" t="s">
        <v>84</v>
      </c>
      <c r="O887" s="12"/>
      <c r="P887" s="13">
        <v>1035070</v>
      </c>
      <c r="Q887" s="13">
        <v>1273090</v>
      </c>
      <c r="S887" s="13">
        <v>1336590</v>
      </c>
      <c r="U887" s="13">
        <v>1336590</v>
      </c>
      <c r="AC887" s="10" t="s">
        <v>2103</v>
      </c>
      <c r="AD887" s="5" t="s">
        <v>97</v>
      </c>
      <c r="AE887" s="5" t="s">
        <v>82</v>
      </c>
      <c r="AG887" s="5" t="s">
        <v>2104</v>
      </c>
    </row>
    <row r="888" spans="1:33" ht="10" customHeight="1" x14ac:dyDescent="0.2">
      <c r="A888" s="5" t="s">
        <v>40</v>
      </c>
      <c r="B888" s="5" t="s">
        <v>41</v>
      </c>
      <c r="D888" s="5" t="s">
        <v>2105</v>
      </c>
      <c r="E888" s="10" t="s">
        <v>53</v>
      </c>
      <c r="F888" s="5" t="s">
        <v>2102</v>
      </c>
      <c r="I888" s="11">
        <v>1</v>
      </c>
      <c r="J888" s="5" t="s">
        <v>60</v>
      </c>
      <c r="K888" s="10" t="s">
        <v>46</v>
      </c>
      <c r="L888" s="5" t="s">
        <v>47</v>
      </c>
      <c r="M888" s="5" t="s">
        <v>48</v>
      </c>
      <c r="N888" s="5" t="s">
        <v>84</v>
      </c>
      <c r="O888" s="12"/>
      <c r="P888" s="13">
        <v>32408</v>
      </c>
      <c r="Q888" s="13">
        <v>33056</v>
      </c>
      <c r="S888" s="13">
        <v>33718</v>
      </c>
      <c r="U888" s="13">
        <v>33718</v>
      </c>
      <c r="AC888" s="10" t="s">
        <v>2106</v>
      </c>
      <c r="AD888" s="5" t="s">
        <v>97</v>
      </c>
      <c r="AE888" s="5" t="s">
        <v>82</v>
      </c>
      <c r="AG888" s="5" t="s">
        <v>2107</v>
      </c>
    </row>
    <row r="889" spans="1:33" ht="10" customHeight="1" x14ac:dyDescent="0.2">
      <c r="A889" s="5" t="s">
        <v>40</v>
      </c>
      <c r="B889" s="5" t="s">
        <v>41</v>
      </c>
      <c r="D889" s="5" t="s">
        <v>2108</v>
      </c>
      <c r="E889" s="10" t="s">
        <v>53</v>
      </c>
      <c r="F889" s="5" t="s">
        <v>2102</v>
      </c>
      <c r="I889" s="11">
        <v>1</v>
      </c>
      <c r="J889" s="5" t="s">
        <v>60</v>
      </c>
      <c r="K889" s="10" t="s">
        <v>46</v>
      </c>
      <c r="L889" s="5" t="s">
        <v>47</v>
      </c>
      <c r="M889" s="5" t="s">
        <v>48</v>
      </c>
      <c r="N889" s="5" t="s">
        <v>84</v>
      </c>
      <c r="O889" s="12"/>
      <c r="P889" s="13">
        <v>49508</v>
      </c>
      <c r="Q889" s="13">
        <v>50498</v>
      </c>
      <c r="S889" s="13">
        <v>51508</v>
      </c>
      <c r="U889" s="13">
        <v>51508</v>
      </c>
      <c r="AC889" s="10" t="s">
        <v>2109</v>
      </c>
      <c r="AD889" s="5" t="s">
        <v>97</v>
      </c>
      <c r="AE889" s="5" t="s">
        <v>82</v>
      </c>
      <c r="AG889" s="5" t="s">
        <v>2110</v>
      </c>
    </row>
    <row r="890" spans="1:33" ht="10" customHeight="1" x14ac:dyDescent="0.2">
      <c r="A890" s="5" t="s">
        <v>40</v>
      </c>
      <c r="B890" s="5" t="s">
        <v>41</v>
      </c>
      <c r="D890" s="5" t="s">
        <v>2111</v>
      </c>
      <c r="E890" s="10" t="s">
        <v>53</v>
      </c>
      <c r="F890" s="5" t="s">
        <v>2102</v>
      </c>
      <c r="I890" s="11">
        <v>1</v>
      </c>
      <c r="J890" s="5" t="s">
        <v>60</v>
      </c>
      <c r="K890" s="10" t="s">
        <v>46</v>
      </c>
      <c r="L890" s="5" t="s">
        <v>47</v>
      </c>
      <c r="M890" s="5" t="s">
        <v>48</v>
      </c>
      <c r="N890" s="5" t="s">
        <v>84</v>
      </c>
      <c r="O890" s="12"/>
      <c r="P890" s="13">
        <v>568247</v>
      </c>
      <c r="Q890" s="13">
        <v>820076</v>
      </c>
      <c r="S890" s="13">
        <v>598620</v>
      </c>
      <c r="U890" s="13">
        <v>598620</v>
      </c>
      <c r="AC890" s="10" t="s">
        <v>2112</v>
      </c>
      <c r="AD890" s="5" t="s">
        <v>97</v>
      </c>
      <c r="AE890" s="5" t="s">
        <v>82</v>
      </c>
      <c r="AG890" s="5" t="s">
        <v>2113</v>
      </c>
    </row>
    <row r="891" spans="1:33" ht="10" customHeight="1" x14ac:dyDescent="0.2">
      <c r="A891" s="5" t="s">
        <v>40</v>
      </c>
      <c r="B891" s="5" t="s">
        <v>41</v>
      </c>
      <c r="D891" s="5" t="s">
        <v>2114</v>
      </c>
      <c r="E891" s="10" t="s">
        <v>53</v>
      </c>
      <c r="F891" s="5" t="s">
        <v>2102</v>
      </c>
      <c r="I891" s="11">
        <v>1</v>
      </c>
      <c r="J891" s="5" t="s">
        <v>60</v>
      </c>
      <c r="K891" s="10" t="s">
        <v>46</v>
      </c>
      <c r="L891" s="5" t="s">
        <v>47</v>
      </c>
      <c r="M891" s="5" t="s">
        <v>48</v>
      </c>
      <c r="N891" s="5" t="s">
        <v>84</v>
      </c>
      <c r="O891" s="12"/>
      <c r="P891" s="13">
        <v>113512</v>
      </c>
      <c r="Q891" s="13">
        <v>245234</v>
      </c>
      <c r="S891" s="13">
        <v>268518</v>
      </c>
      <c r="U891" s="13">
        <v>268518</v>
      </c>
      <c r="AC891" s="10" t="s">
        <v>2115</v>
      </c>
      <c r="AD891" s="5" t="s">
        <v>97</v>
      </c>
      <c r="AE891" s="5" t="s">
        <v>82</v>
      </c>
      <c r="AG891" s="5" t="s">
        <v>2116</v>
      </c>
    </row>
    <row r="892" spans="1:33" ht="10" customHeight="1" x14ac:dyDescent="0.2">
      <c r="A892" s="5" t="s">
        <v>40</v>
      </c>
      <c r="B892" s="5" t="s">
        <v>41</v>
      </c>
      <c r="D892" s="5" t="s">
        <v>2117</v>
      </c>
      <c r="E892" s="10" t="s">
        <v>53</v>
      </c>
      <c r="F892" s="5" t="s">
        <v>2102</v>
      </c>
      <c r="I892" s="11">
        <v>1</v>
      </c>
      <c r="J892" s="5" t="s">
        <v>60</v>
      </c>
      <c r="K892" s="10" t="s">
        <v>46</v>
      </c>
      <c r="L892" s="5" t="s">
        <v>47</v>
      </c>
      <c r="M892" s="5" t="s">
        <v>48</v>
      </c>
      <c r="N892" s="5" t="s">
        <v>84</v>
      </c>
      <c r="O892" s="12"/>
      <c r="P892" s="13">
        <v>272007</v>
      </c>
      <c r="S892" s="13">
        <v>0</v>
      </c>
      <c r="U892" s="13">
        <v>0</v>
      </c>
      <c r="AC892" s="10" t="s">
        <v>2118</v>
      </c>
      <c r="AD892" s="5" t="s">
        <v>97</v>
      </c>
      <c r="AE892" s="5" t="s">
        <v>82</v>
      </c>
      <c r="AG892" s="5" t="s">
        <v>2119</v>
      </c>
    </row>
    <row r="893" spans="1:33" ht="10" customHeight="1" x14ac:dyDescent="0.2">
      <c r="A893" s="5" t="s">
        <v>40</v>
      </c>
      <c r="B893" s="5" t="s">
        <v>41</v>
      </c>
      <c r="D893" s="5" t="s">
        <v>2120</v>
      </c>
      <c r="E893" s="10" t="s">
        <v>53</v>
      </c>
      <c r="F893" s="5" t="s">
        <v>2102</v>
      </c>
      <c r="I893" s="11">
        <v>1</v>
      </c>
      <c r="J893" s="5" t="s">
        <v>60</v>
      </c>
      <c r="K893" s="10" t="s">
        <v>46</v>
      </c>
      <c r="L893" s="5" t="s">
        <v>47</v>
      </c>
      <c r="M893" s="5" t="s">
        <v>48</v>
      </c>
      <c r="N893" s="5" t="s">
        <v>84</v>
      </c>
      <c r="O893" s="12"/>
      <c r="P893" s="13">
        <v>272006</v>
      </c>
      <c r="Q893" s="13">
        <v>324586</v>
      </c>
      <c r="S893" s="13">
        <v>0</v>
      </c>
      <c r="U893" s="13">
        <v>0</v>
      </c>
      <c r="AC893" s="10" t="s">
        <v>2121</v>
      </c>
      <c r="AD893" s="5" t="s">
        <v>97</v>
      </c>
      <c r="AE893" s="5" t="s">
        <v>82</v>
      </c>
      <c r="AG893" s="5" t="s">
        <v>2122</v>
      </c>
    </row>
    <row r="894" spans="1:33" ht="10" customHeight="1" x14ac:dyDescent="0.2">
      <c r="A894" s="5" t="s">
        <v>40</v>
      </c>
      <c r="B894" s="5" t="s">
        <v>41</v>
      </c>
      <c r="D894" s="5" t="s">
        <v>2123</v>
      </c>
      <c r="E894" s="10" t="s">
        <v>53</v>
      </c>
      <c r="F894" s="5" t="s">
        <v>2102</v>
      </c>
      <c r="I894" s="11">
        <v>1</v>
      </c>
      <c r="J894" s="5" t="s">
        <v>60</v>
      </c>
      <c r="K894" s="10" t="s">
        <v>46</v>
      </c>
      <c r="L894" s="5" t="s">
        <v>47</v>
      </c>
      <c r="M894" s="5" t="s">
        <v>48</v>
      </c>
      <c r="N894" s="5" t="s">
        <v>84</v>
      </c>
      <c r="O894" s="12"/>
      <c r="P894" s="13">
        <v>272008</v>
      </c>
      <c r="Q894" s="13">
        <v>324588</v>
      </c>
      <c r="S894" s="13">
        <v>235954</v>
      </c>
      <c r="U894" s="13">
        <v>235954</v>
      </c>
      <c r="AC894" s="10" t="s">
        <v>2124</v>
      </c>
      <c r="AD894" s="5" t="s">
        <v>97</v>
      </c>
      <c r="AE894" s="5" t="s">
        <v>82</v>
      </c>
      <c r="AG894" s="5" t="s">
        <v>2125</v>
      </c>
    </row>
    <row r="895" spans="1:33" ht="10" customHeight="1" x14ac:dyDescent="0.2">
      <c r="A895" s="5" t="s">
        <v>40</v>
      </c>
      <c r="B895" s="5" t="s">
        <v>41</v>
      </c>
      <c r="D895" s="5" t="s">
        <v>2126</v>
      </c>
      <c r="E895" s="10" t="s">
        <v>53</v>
      </c>
      <c r="F895" s="5" t="s">
        <v>2102</v>
      </c>
      <c r="I895" s="11">
        <v>1</v>
      </c>
      <c r="J895" s="5" t="s">
        <v>60</v>
      </c>
      <c r="K895" s="10" t="s">
        <v>46</v>
      </c>
      <c r="L895" s="5" t="s">
        <v>47</v>
      </c>
      <c r="M895" s="5" t="s">
        <v>48</v>
      </c>
      <c r="N895" s="5" t="s">
        <v>84</v>
      </c>
      <c r="O895" s="12"/>
      <c r="P895" s="13">
        <v>272008</v>
      </c>
      <c r="Q895" s="13">
        <v>324587</v>
      </c>
      <c r="S895" s="13">
        <v>235954</v>
      </c>
      <c r="U895" s="13">
        <v>235954</v>
      </c>
      <c r="AC895" s="10" t="s">
        <v>2127</v>
      </c>
      <c r="AD895" s="5" t="s">
        <v>97</v>
      </c>
      <c r="AE895" s="5" t="s">
        <v>82</v>
      </c>
      <c r="AG895" s="5" t="s">
        <v>2128</v>
      </c>
    </row>
    <row r="896" spans="1:33" ht="10" customHeight="1" x14ac:dyDescent="0.2">
      <c r="A896" s="5" t="s">
        <v>40</v>
      </c>
      <c r="B896" s="5" t="s">
        <v>41</v>
      </c>
      <c r="D896" s="5" t="s">
        <v>2129</v>
      </c>
      <c r="E896" s="10" t="s">
        <v>53</v>
      </c>
      <c r="F896" s="5" t="s">
        <v>2102</v>
      </c>
      <c r="I896" s="11">
        <v>1</v>
      </c>
      <c r="J896" s="5" t="s">
        <v>60</v>
      </c>
      <c r="K896" s="10" t="s">
        <v>46</v>
      </c>
      <c r="L896" s="5" t="s">
        <v>47</v>
      </c>
      <c r="M896" s="5" t="s">
        <v>48</v>
      </c>
      <c r="N896" s="5" t="s">
        <v>84</v>
      </c>
      <c r="O896" s="12"/>
      <c r="P896" s="13">
        <v>272008</v>
      </c>
      <c r="Q896" s="13">
        <v>324588</v>
      </c>
      <c r="S896" s="13">
        <v>235954</v>
      </c>
      <c r="U896" s="13">
        <v>235954</v>
      </c>
      <c r="AC896" s="10" t="s">
        <v>2130</v>
      </c>
      <c r="AD896" s="5" t="s">
        <v>97</v>
      </c>
      <c r="AE896" s="5" t="s">
        <v>82</v>
      </c>
      <c r="AG896" s="5" t="s">
        <v>2131</v>
      </c>
    </row>
    <row r="897" spans="1:33" ht="10" customHeight="1" x14ac:dyDescent="0.2">
      <c r="A897" s="5" t="s">
        <v>40</v>
      </c>
      <c r="B897" s="5" t="s">
        <v>41</v>
      </c>
      <c r="D897" s="5" t="s">
        <v>2132</v>
      </c>
      <c r="E897" s="10" t="s">
        <v>53</v>
      </c>
      <c r="F897" s="5" t="s">
        <v>2102</v>
      </c>
      <c r="I897" s="11">
        <v>1</v>
      </c>
      <c r="J897" s="5" t="s">
        <v>60</v>
      </c>
      <c r="K897" s="10" t="s">
        <v>46</v>
      </c>
      <c r="L897" s="5" t="s">
        <v>47</v>
      </c>
      <c r="M897" s="5" t="s">
        <v>48</v>
      </c>
      <c r="N897" s="5" t="s">
        <v>84</v>
      </c>
      <c r="O897" s="12"/>
      <c r="P897" s="13">
        <v>200000</v>
      </c>
      <c r="S897" s="13">
        <v>130000</v>
      </c>
      <c r="U897" s="13">
        <v>130000</v>
      </c>
      <c r="AC897" s="10" t="s">
        <v>2133</v>
      </c>
      <c r="AD897" s="5" t="s">
        <v>97</v>
      </c>
      <c r="AE897" s="5" t="s">
        <v>82</v>
      </c>
      <c r="AG897" s="5" t="s">
        <v>2134</v>
      </c>
    </row>
    <row r="898" spans="1:33" ht="10" customHeight="1" x14ac:dyDescent="0.2">
      <c r="A898" s="5" t="s">
        <v>40</v>
      </c>
      <c r="B898" s="5" t="s">
        <v>41</v>
      </c>
      <c r="D898" s="5" t="s">
        <v>2101</v>
      </c>
      <c r="E898" s="10" t="s">
        <v>53</v>
      </c>
      <c r="F898" s="5" t="s">
        <v>2102</v>
      </c>
      <c r="I898" s="11">
        <v>1</v>
      </c>
      <c r="J898" s="5" t="s">
        <v>60</v>
      </c>
      <c r="K898" s="10" t="s">
        <v>46</v>
      </c>
      <c r="L898" s="5" t="s">
        <v>47</v>
      </c>
      <c r="M898" s="5" t="s">
        <v>48</v>
      </c>
      <c r="N898" s="5" t="s">
        <v>84</v>
      </c>
      <c r="O898" s="12"/>
      <c r="P898" s="13">
        <v>1336590</v>
      </c>
      <c r="AC898" s="10" t="s">
        <v>2103</v>
      </c>
      <c r="AD898" s="5" t="s">
        <v>2135</v>
      </c>
      <c r="AE898" s="5" t="s">
        <v>82</v>
      </c>
    </row>
    <row r="899" spans="1:33" ht="10" customHeight="1" x14ac:dyDescent="0.2">
      <c r="A899" s="5" t="s">
        <v>40</v>
      </c>
      <c r="B899" s="5" t="s">
        <v>41</v>
      </c>
      <c r="D899" s="5" t="s">
        <v>2105</v>
      </c>
      <c r="E899" s="10" t="s">
        <v>53</v>
      </c>
      <c r="F899" s="5" t="s">
        <v>2102</v>
      </c>
      <c r="I899" s="11">
        <v>1</v>
      </c>
      <c r="J899" s="5" t="s">
        <v>60</v>
      </c>
      <c r="K899" s="10" t="s">
        <v>46</v>
      </c>
      <c r="L899" s="5" t="s">
        <v>47</v>
      </c>
      <c r="M899" s="5" t="s">
        <v>48</v>
      </c>
      <c r="N899" s="5" t="s">
        <v>84</v>
      </c>
      <c r="O899" s="12"/>
      <c r="P899" s="13">
        <v>33718</v>
      </c>
      <c r="AC899" s="10" t="s">
        <v>2106</v>
      </c>
      <c r="AD899" s="5" t="s">
        <v>2135</v>
      </c>
      <c r="AE899" s="5" t="s">
        <v>82</v>
      </c>
    </row>
    <row r="900" spans="1:33" ht="10" customHeight="1" x14ac:dyDescent="0.2">
      <c r="A900" s="5" t="s">
        <v>40</v>
      </c>
      <c r="B900" s="5" t="s">
        <v>41</v>
      </c>
      <c r="D900" s="5" t="s">
        <v>2108</v>
      </c>
      <c r="E900" s="10" t="s">
        <v>53</v>
      </c>
      <c r="F900" s="5" t="s">
        <v>2102</v>
      </c>
      <c r="I900" s="11">
        <v>1</v>
      </c>
      <c r="J900" s="5" t="s">
        <v>60</v>
      </c>
      <c r="K900" s="10" t="s">
        <v>46</v>
      </c>
      <c r="L900" s="5" t="s">
        <v>47</v>
      </c>
      <c r="M900" s="5" t="s">
        <v>48</v>
      </c>
      <c r="N900" s="5" t="s">
        <v>84</v>
      </c>
      <c r="O900" s="12"/>
      <c r="P900" s="13">
        <v>51508</v>
      </c>
      <c r="AC900" s="10" t="s">
        <v>2109</v>
      </c>
      <c r="AD900" s="5" t="s">
        <v>2135</v>
      </c>
      <c r="AE900" s="5" t="s">
        <v>82</v>
      </c>
    </row>
    <row r="901" spans="1:33" ht="10" customHeight="1" x14ac:dyDescent="0.2">
      <c r="A901" s="5" t="s">
        <v>40</v>
      </c>
      <c r="B901" s="5" t="s">
        <v>41</v>
      </c>
      <c r="D901" s="5" t="s">
        <v>2111</v>
      </c>
      <c r="E901" s="10" t="s">
        <v>53</v>
      </c>
      <c r="F901" s="5" t="s">
        <v>2102</v>
      </c>
      <c r="I901" s="11">
        <v>1</v>
      </c>
      <c r="J901" s="5" t="s">
        <v>60</v>
      </c>
      <c r="K901" s="10" t="s">
        <v>46</v>
      </c>
      <c r="L901" s="5" t="s">
        <v>47</v>
      </c>
      <c r="M901" s="5" t="s">
        <v>48</v>
      </c>
      <c r="N901" s="5" t="s">
        <v>84</v>
      </c>
      <c r="O901" s="12"/>
      <c r="P901" s="13">
        <v>598620</v>
      </c>
      <c r="AC901" s="10" t="s">
        <v>2112</v>
      </c>
      <c r="AD901" s="5" t="s">
        <v>2135</v>
      </c>
      <c r="AE901" s="5" t="s">
        <v>82</v>
      </c>
    </row>
    <row r="902" spans="1:33" ht="10" customHeight="1" x14ac:dyDescent="0.2">
      <c r="A902" s="5" t="s">
        <v>40</v>
      </c>
      <c r="B902" s="5" t="s">
        <v>41</v>
      </c>
      <c r="D902" s="5" t="s">
        <v>2114</v>
      </c>
      <c r="E902" s="10" t="s">
        <v>53</v>
      </c>
      <c r="F902" s="5" t="s">
        <v>2102</v>
      </c>
      <c r="I902" s="11">
        <v>1</v>
      </c>
      <c r="J902" s="5" t="s">
        <v>60</v>
      </c>
      <c r="K902" s="10" t="s">
        <v>46</v>
      </c>
      <c r="L902" s="5" t="s">
        <v>47</v>
      </c>
      <c r="M902" s="5" t="s">
        <v>48</v>
      </c>
      <c r="N902" s="5" t="s">
        <v>84</v>
      </c>
      <c r="O902" s="12"/>
      <c r="P902" s="13">
        <v>268518</v>
      </c>
      <c r="AC902" s="10" t="s">
        <v>2115</v>
      </c>
      <c r="AD902" s="5" t="s">
        <v>2135</v>
      </c>
      <c r="AE902" s="5" t="s">
        <v>82</v>
      </c>
    </row>
    <row r="903" spans="1:33" ht="10" customHeight="1" x14ac:dyDescent="0.2">
      <c r="A903" s="5" t="s">
        <v>40</v>
      </c>
      <c r="B903" s="5" t="s">
        <v>41</v>
      </c>
      <c r="D903" s="5" t="s">
        <v>2136</v>
      </c>
      <c r="E903" s="10" t="s">
        <v>53</v>
      </c>
      <c r="F903" s="5" t="s">
        <v>2102</v>
      </c>
      <c r="I903" s="11">
        <v>1</v>
      </c>
      <c r="J903" s="5" t="s">
        <v>60</v>
      </c>
      <c r="K903" s="10" t="s">
        <v>46</v>
      </c>
      <c r="L903" s="5" t="s">
        <v>47</v>
      </c>
      <c r="M903" s="5" t="s">
        <v>48</v>
      </c>
      <c r="N903" s="5" t="s">
        <v>84</v>
      </c>
      <c r="O903" s="12"/>
      <c r="P903" s="13">
        <v>0</v>
      </c>
      <c r="AC903" s="10" t="s">
        <v>2137</v>
      </c>
      <c r="AD903" s="5" t="s">
        <v>2135</v>
      </c>
      <c r="AE903" s="5" t="s">
        <v>82</v>
      </c>
    </row>
    <row r="904" spans="1:33" ht="10" customHeight="1" x14ac:dyDescent="0.2">
      <c r="A904" s="5" t="s">
        <v>40</v>
      </c>
      <c r="B904" s="5" t="s">
        <v>41</v>
      </c>
      <c r="D904" s="5" t="s">
        <v>2138</v>
      </c>
      <c r="E904" s="10" t="s">
        <v>53</v>
      </c>
      <c r="F904" s="5" t="s">
        <v>2102</v>
      </c>
      <c r="I904" s="11">
        <v>1</v>
      </c>
      <c r="J904" s="5" t="s">
        <v>60</v>
      </c>
      <c r="K904" s="10" t="s">
        <v>46</v>
      </c>
      <c r="L904" s="5" t="s">
        <v>47</v>
      </c>
      <c r="M904" s="5" t="s">
        <v>48</v>
      </c>
      <c r="N904" s="5" t="s">
        <v>84</v>
      </c>
      <c r="O904" s="12"/>
      <c r="P904" s="13">
        <v>0</v>
      </c>
      <c r="AC904" s="10" t="s">
        <v>2139</v>
      </c>
      <c r="AD904" s="5" t="s">
        <v>2135</v>
      </c>
      <c r="AE904" s="5" t="s">
        <v>82</v>
      </c>
    </row>
    <row r="905" spans="1:33" ht="10" customHeight="1" x14ac:dyDescent="0.2">
      <c r="A905" s="5" t="s">
        <v>40</v>
      </c>
      <c r="B905" s="5" t="s">
        <v>41</v>
      </c>
      <c r="D905" s="5" t="s">
        <v>2140</v>
      </c>
      <c r="E905" s="10" t="s">
        <v>53</v>
      </c>
      <c r="F905" s="5" t="s">
        <v>2102</v>
      </c>
      <c r="I905" s="11">
        <v>1</v>
      </c>
      <c r="J905" s="5" t="s">
        <v>60</v>
      </c>
      <c r="K905" s="10" t="s">
        <v>46</v>
      </c>
      <c r="L905" s="5" t="s">
        <v>47</v>
      </c>
      <c r="M905" s="5" t="s">
        <v>48</v>
      </c>
      <c r="N905" s="5" t="s">
        <v>84</v>
      </c>
      <c r="O905" s="12"/>
      <c r="P905" s="13">
        <v>235954</v>
      </c>
      <c r="AC905" s="10" t="s">
        <v>2141</v>
      </c>
      <c r="AD905" s="5" t="s">
        <v>2135</v>
      </c>
      <c r="AE905" s="5" t="s">
        <v>82</v>
      </c>
    </row>
    <row r="906" spans="1:33" ht="10" customHeight="1" x14ac:dyDescent="0.2">
      <c r="A906" s="5" t="s">
        <v>40</v>
      </c>
      <c r="B906" s="5" t="s">
        <v>41</v>
      </c>
      <c r="D906" s="5" t="s">
        <v>2142</v>
      </c>
      <c r="E906" s="10" t="s">
        <v>53</v>
      </c>
      <c r="F906" s="5" t="s">
        <v>2102</v>
      </c>
      <c r="I906" s="11">
        <v>1</v>
      </c>
      <c r="J906" s="5" t="s">
        <v>60</v>
      </c>
      <c r="K906" s="10" t="s">
        <v>46</v>
      </c>
      <c r="L906" s="5" t="s">
        <v>47</v>
      </c>
      <c r="M906" s="5" t="s">
        <v>48</v>
      </c>
      <c r="N906" s="5" t="s">
        <v>84</v>
      </c>
      <c r="O906" s="12"/>
      <c r="P906" s="13">
        <v>235954</v>
      </c>
      <c r="AC906" s="10" t="s">
        <v>2143</v>
      </c>
      <c r="AD906" s="5" t="s">
        <v>2135</v>
      </c>
      <c r="AE906" s="5" t="s">
        <v>82</v>
      </c>
    </row>
    <row r="907" spans="1:33" ht="10" customHeight="1" x14ac:dyDescent="0.2">
      <c r="A907" s="5" t="s">
        <v>40</v>
      </c>
      <c r="B907" s="5" t="s">
        <v>41</v>
      </c>
      <c r="D907" s="5" t="s">
        <v>2144</v>
      </c>
      <c r="E907" s="10" t="s">
        <v>53</v>
      </c>
      <c r="F907" s="5" t="s">
        <v>2102</v>
      </c>
      <c r="I907" s="11">
        <v>1</v>
      </c>
      <c r="J907" s="5" t="s">
        <v>60</v>
      </c>
      <c r="K907" s="10" t="s">
        <v>46</v>
      </c>
      <c r="L907" s="5" t="s">
        <v>47</v>
      </c>
      <c r="M907" s="5" t="s">
        <v>48</v>
      </c>
      <c r="N907" s="5" t="s">
        <v>84</v>
      </c>
      <c r="O907" s="12"/>
      <c r="P907" s="13">
        <v>235954</v>
      </c>
      <c r="AC907" s="10" t="s">
        <v>2145</v>
      </c>
      <c r="AD907" s="5" t="s">
        <v>2135</v>
      </c>
      <c r="AE907" s="5" t="s">
        <v>82</v>
      </c>
    </row>
    <row r="908" spans="1:33" ht="10" customHeight="1" x14ac:dyDescent="0.2">
      <c r="A908" s="5" t="s">
        <v>40</v>
      </c>
      <c r="B908" s="5" t="s">
        <v>41</v>
      </c>
      <c r="D908" s="5" t="s">
        <v>2132</v>
      </c>
      <c r="E908" s="10" t="s">
        <v>53</v>
      </c>
      <c r="F908" s="5" t="s">
        <v>2102</v>
      </c>
      <c r="I908" s="11">
        <v>1</v>
      </c>
      <c r="J908" s="5" t="s">
        <v>60</v>
      </c>
      <c r="K908" s="10" t="s">
        <v>46</v>
      </c>
      <c r="L908" s="5" t="s">
        <v>47</v>
      </c>
      <c r="M908" s="5" t="s">
        <v>48</v>
      </c>
      <c r="N908" s="5" t="s">
        <v>84</v>
      </c>
      <c r="O908" s="12"/>
      <c r="P908" s="13">
        <v>130000</v>
      </c>
      <c r="AC908" s="10" t="s">
        <v>2133</v>
      </c>
      <c r="AD908" s="5" t="s">
        <v>2135</v>
      </c>
      <c r="AE908" s="5" t="s">
        <v>82</v>
      </c>
    </row>
    <row r="909" spans="1:33" ht="10" customHeight="1" x14ac:dyDescent="0.2">
      <c r="A909" s="5" t="s">
        <v>40</v>
      </c>
      <c r="B909" s="5" t="s">
        <v>41</v>
      </c>
      <c r="D909" s="5" t="s">
        <v>2146</v>
      </c>
      <c r="E909" s="10" t="s">
        <v>345</v>
      </c>
      <c r="F909" s="5" t="s">
        <v>104</v>
      </c>
      <c r="G909" s="5" t="s">
        <v>346</v>
      </c>
      <c r="H909" s="5" t="s">
        <v>347</v>
      </c>
      <c r="I909" s="11">
        <v>5</v>
      </c>
      <c r="J909" s="5" t="s">
        <v>100</v>
      </c>
      <c r="K909" s="10" t="s">
        <v>46</v>
      </c>
      <c r="L909" s="5" t="s">
        <v>47</v>
      </c>
      <c r="M909" s="5" t="s">
        <v>65</v>
      </c>
      <c r="N909" s="5" t="s">
        <v>66</v>
      </c>
      <c r="O909" s="12"/>
      <c r="P909" s="13">
        <v>66101</v>
      </c>
      <c r="S909" s="13">
        <v>76961</v>
      </c>
      <c r="U909" s="13">
        <v>76961</v>
      </c>
      <c r="AC909" s="10" t="s">
        <v>2147</v>
      </c>
      <c r="AD909" s="5" t="s">
        <v>2148</v>
      </c>
      <c r="AE909" s="5" t="s">
        <v>98</v>
      </c>
      <c r="AG909" s="5" t="s">
        <v>350</v>
      </c>
    </row>
    <row r="910" spans="1:33" ht="10" customHeight="1" x14ac:dyDescent="0.2">
      <c r="A910" s="5" t="s">
        <v>40</v>
      </c>
      <c r="B910" s="5" t="s">
        <v>41</v>
      </c>
      <c r="D910" s="5" t="s">
        <v>2149</v>
      </c>
      <c r="E910" s="10" t="s">
        <v>345</v>
      </c>
      <c r="F910" s="5" t="s">
        <v>104</v>
      </c>
      <c r="G910" s="5" t="s">
        <v>346</v>
      </c>
      <c r="H910" s="5" t="s">
        <v>175</v>
      </c>
      <c r="I910" s="11">
        <v>5</v>
      </c>
      <c r="J910" s="5" t="s">
        <v>100</v>
      </c>
      <c r="K910" s="10" t="s">
        <v>46</v>
      </c>
      <c r="L910" s="5" t="s">
        <v>47</v>
      </c>
      <c r="M910" s="5" t="s">
        <v>65</v>
      </c>
      <c r="N910" s="5" t="s">
        <v>66</v>
      </c>
      <c r="O910" s="12"/>
      <c r="P910" s="13">
        <v>5479857</v>
      </c>
      <c r="S910" s="13">
        <v>4736107</v>
      </c>
      <c r="U910" s="13">
        <v>4736107</v>
      </c>
      <c r="AC910" s="10" t="s">
        <v>2150</v>
      </c>
      <c r="AD910" s="5" t="s">
        <v>2148</v>
      </c>
      <c r="AE910" s="5" t="s">
        <v>98</v>
      </c>
      <c r="AG910" s="5" t="s">
        <v>175</v>
      </c>
    </row>
    <row r="911" spans="1:33" ht="10" customHeight="1" x14ac:dyDescent="0.2">
      <c r="A911" s="5" t="s">
        <v>40</v>
      </c>
      <c r="B911" s="5" t="s">
        <v>41</v>
      </c>
      <c r="D911" s="5" t="s">
        <v>2151</v>
      </c>
      <c r="E911" s="10" t="s">
        <v>345</v>
      </c>
      <c r="F911" s="5" t="s">
        <v>104</v>
      </c>
      <c r="G911" s="5" t="s">
        <v>346</v>
      </c>
      <c r="H911" s="5" t="s">
        <v>357</v>
      </c>
      <c r="I911" s="11">
        <v>5</v>
      </c>
      <c r="J911" s="5" t="s">
        <v>100</v>
      </c>
      <c r="K911" s="10" t="s">
        <v>46</v>
      </c>
      <c r="L911" s="5" t="s">
        <v>47</v>
      </c>
      <c r="M911" s="5" t="s">
        <v>65</v>
      </c>
      <c r="N911" s="5" t="s">
        <v>66</v>
      </c>
      <c r="O911" s="12"/>
      <c r="P911" s="13">
        <v>402826</v>
      </c>
      <c r="S911" s="13">
        <v>476912</v>
      </c>
      <c r="U911" s="13">
        <v>476912</v>
      </c>
      <c r="AC911" s="10" t="s">
        <v>2152</v>
      </c>
      <c r="AD911" s="5" t="s">
        <v>2148</v>
      </c>
      <c r="AE911" s="5" t="s">
        <v>98</v>
      </c>
    </row>
    <row r="912" spans="1:33" ht="10" customHeight="1" x14ac:dyDescent="0.2">
      <c r="A912" s="5" t="s">
        <v>40</v>
      </c>
      <c r="B912" s="5" t="s">
        <v>41</v>
      </c>
      <c r="D912" s="5" t="s">
        <v>2153</v>
      </c>
      <c r="E912" s="10" t="s">
        <v>345</v>
      </c>
      <c r="F912" s="5" t="s">
        <v>104</v>
      </c>
      <c r="G912" s="5" t="s">
        <v>346</v>
      </c>
      <c r="H912" s="5" t="s">
        <v>360</v>
      </c>
      <c r="I912" s="11">
        <v>5</v>
      </c>
      <c r="J912" s="5" t="s">
        <v>100</v>
      </c>
      <c r="K912" s="10" t="s">
        <v>46</v>
      </c>
      <c r="L912" s="5" t="s">
        <v>47</v>
      </c>
      <c r="M912" s="5" t="s">
        <v>65</v>
      </c>
      <c r="N912" s="5" t="s">
        <v>66</v>
      </c>
      <c r="O912" s="12"/>
      <c r="P912" s="13">
        <v>615177</v>
      </c>
      <c r="S912" s="13">
        <v>691864</v>
      </c>
      <c r="U912" s="13">
        <v>691864</v>
      </c>
      <c r="AC912" s="10" t="s">
        <v>2154</v>
      </c>
      <c r="AD912" s="5" t="s">
        <v>2148</v>
      </c>
      <c r="AE912" s="5" t="s">
        <v>98</v>
      </c>
      <c r="AG912" s="5" t="s">
        <v>360</v>
      </c>
    </row>
    <row r="913" spans="1:33" ht="10" customHeight="1" x14ac:dyDescent="0.2">
      <c r="A913" s="5" t="s">
        <v>40</v>
      </c>
      <c r="B913" s="5" t="s">
        <v>41</v>
      </c>
      <c r="D913" s="5" t="s">
        <v>2155</v>
      </c>
      <c r="E913" s="10" t="s">
        <v>345</v>
      </c>
      <c r="F913" s="5" t="s">
        <v>104</v>
      </c>
      <c r="G913" s="5" t="s">
        <v>346</v>
      </c>
      <c r="H913" s="5" t="s">
        <v>363</v>
      </c>
      <c r="I913" s="11">
        <v>5</v>
      </c>
      <c r="J913" s="5" t="s">
        <v>100</v>
      </c>
      <c r="K913" s="10" t="s">
        <v>46</v>
      </c>
      <c r="L913" s="5" t="s">
        <v>47</v>
      </c>
      <c r="M913" s="5" t="s">
        <v>65</v>
      </c>
      <c r="N913" s="5" t="s">
        <v>66</v>
      </c>
      <c r="O913" s="12"/>
      <c r="P913" s="13">
        <v>218115</v>
      </c>
      <c r="S913" s="13">
        <v>198576</v>
      </c>
      <c r="U913" s="13">
        <v>198576</v>
      </c>
      <c r="AC913" s="10" t="s">
        <v>2156</v>
      </c>
      <c r="AD913" s="5" t="s">
        <v>2148</v>
      </c>
      <c r="AE913" s="5" t="s">
        <v>98</v>
      </c>
    </row>
    <row r="914" spans="1:33" ht="10" customHeight="1" x14ac:dyDescent="0.2">
      <c r="A914" s="5" t="s">
        <v>40</v>
      </c>
      <c r="B914" s="5" t="s">
        <v>41</v>
      </c>
      <c r="D914" s="5" t="s">
        <v>2157</v>
      </c>
      <c r="E914" s="10" t="s">
        <v>345</v>
      </c>
      <c r="F914" s="5" t="s">
        <v>104</v>
      </c>
      <c r="G914" s="5" t="s">
        <v>346</v>
      </c>
      <c r="H914" s="5" t="s">
        <v>366</v>
      </c>
      <c r="I914" s="11">
        <v>5</v>
      </c>
      <c r="J914" s="5" t="s">
        <v>100</v>
      </c>
      <c r="K914" s="10" t="s">
        <v>46</v>
      </c>
      <c r="L914" s="5" t="s">
        <v>47</v>
      </c>
      <c r="M914" s="5" t="s">
        <v>65</v>
      </c>
      <c r="N914" s="5" t="s">
        <v>66</v>
      </c>
      <c r="O914" s="12"/>
      <c r="P914" s="13">
        <v>264599</v>
      </c>
      <c r="S914" s="13">
        <v>456751</v>
      </c>
      <c r="U914" s="13">
        <v>456751</v>
      </c>
      <c r="AC914" s="10" t="s">
        <v>2158</v>
      </c>
      <c r="AD914" s="5" t="s">
        <v>2148</v>
      </c>
      <c r="AE914" s="5" t="s">
        <v>98</v>
      </c>
    </row>
    <row r="915" spans="1:33" ht="10" customHeight="1" x14ac:dyDescent="0.2">
      <c r="A915" s="5" t="s">
        <v>40</v>
      </c>
      <c r="B915" s="5" t="s">
        <v>41</v>
      </c>
      <c r="D915" s="5" t="s">
        <v>2159</v>
      </c>
      <c r="E915" s="10" t="s">
        <v>345</v>
      </c>
      <c r="F915" s="5" t="s">
        <v>104</v>
      </c>
      <c r="G915" s="5" t="s">
        <v>346</v>
      </c>
      <c r="H915" s="5" t="s">
        <v>369</v>
      </c>
      <c r="I915" s="11">
        <v>5</v>
      </c>
      <c r="J915" s="5" t="s">
        <v>100</v>
      </c>
      <c r="K915" s="10" t="s">
        <v>46</v>
      </c>
      <c r="L915" s="5" t="s">
        <v>47</v>
      </c>
      <c r="M915" s="5" t="s">
        <v>65</v>
      </c>
      <c r="N915" s="5" t="s">
        <v>66</v>
      </c>
      <c r="O915" s="12"/>
      <c r="P915" s="13">
        <v>144774</v>
      </c>
      <c r="S915" s="13">
        <v>172461</v>
      </c>
      <c r="U915" s="13">
        <v>172461</v>
      </c>
      <c r="AC915" s="10" t="s">
        <v>2160</v>
      </c>
      <c r="AD915" s="5" t="s">
        <v>2148</v>
      </c>
      <c r="AE915" s="5" t="s">
        <v>98</v>
      </c>
    </row>
    <row r="916" spans="1:33" ht="10" customHeight="1" x14ac:dyDescent="0.2">
      <c r="A916" s="5" t="s">
        <v>40</v>
      </c>
      <c r="B916" s="5" t="s">
        <v>41</v>
      </c>
      <c r="D916" s="5" t="s">
        <v>2161</v>
      </c>
      <c r="E916" s="10" t="s">
        <v>345</v>
      </c>
      <c r="F916" s="5" t="s">
        <v>104</v>
      </c>
      <c r="G916" s="5" t="s">
        <v>373</v>
      </c>
      <c r="H916" s="5" t="s">
        <v>357</v>
      </c>
      <c r="I916" s="11">
        <v>5</v>
      </c>
      <c r="J916" s="5" t="s">
        <v>100</v>
      </c>
      <c r="K916" s="10" t="s">
        <v>46</v>
      </c>
      <c r="L916" s="5" t="s">
        <v>47</v>
      </c>
      <c r="M916" s="5" t="s">
        <v>65</v>
      </c>
      <c r="N916" s="5" t="s">
        <v>66</v>
      </c>
      <c r="O916" s="12"/>
      <c r="P916" s="13">
        <v>169315</v>
      </c>
      <c r="S916" s="13">
        <v>205598</v>
      </c>
      <c r="U916" s="13">
        <v>205598</v>
      </c>
      <c r="AC916" s="10" t="s">
        <v>2162</v>
      </c>
      <c r="AD916" s="5" t="s">
        <v>2163</v>
      </c>
      <c r="AE916" s="5" t="s">
        <v>98</v>
      </c>
      <c r="AG916" s="5" t="s">
        <v>2164</v>
      </c>
    </row>
    <row r="917" spans="1:33" ht="10" customHeight="1" x14ac:dyDescent="0.2">
      <c r="A917" s="5" t="s">
        <v>40</v>
      </c>
      <c r="B917" s="5" t="s">
        <v>41</v>
      </c>
      <c r="D917" s="5" t="s">
        <v>2165</v>
      </c>
      <c r="E917" s="10" t="s">
        <v>345</v>
      </c>
      <c r="F917" s="5" t="s">
        <v>104</v>
      </c>
      <c r="G917" s="5" t="s">
        <v>373</v>
      </c>
      <c r="H917" s="5" t="s">
        <v>357</v>
      </c>
      <c r="I917" s="11">
        <v>5</v>
      </c>
      <c r="J917" s="5" t="s">
        <v>100</v>
      </c>
      <c r="K917" s="10" t="s">
        <v>46</v>
      </c>
      <c r="L917" s="5" t="s">
        <v>47</v>
      </c>
      <c r="M917" s="5" t="s">
        <v>65</v>
      </c>
      <c r="N917" s="5" t="s">
        <v>66</v>
      </c>
      <c r="O917" s="12"/>
      <c r="P917" s="13">
        <v>84926</v>
      </c>
      <c r="S917" s="13">
        <v>85260</v>
      </c>
      <c r="U917" s="13">
        <v>85260</v>
      </c>
      <c r="AC917" s="10" t="s">
        <v>2166</v>
      </c>
      <c r="AD917" s="5" t="s">
        <v>2163</v>
      </c>
      <c r="AE917" s="5" t="s">
        <v>98</v>
      </c>
      <c r="AG917" s="5" t="s">
        <v>2167</v>
      </c>
    </row>
    <row r="918" spans="1:33" ht="10" customHeight="1" x14ac:dyDescent="0.2">
      <c r="A918" s="5" t="s">
        <v>40</v>
      </c>
      <c r="B918" s="5" t="s">
        <v>41</v>
      </c>
      <c r="D918" s="5" t="s">
        <v>2168</v>
      </c>
      <c r="E918" s="10" t="s">
        <v>345</v>
      </c>
      <c r="F918" s="5" t="s">
        <v>104</v>
      </c>
      <c r="G918" s="5" t="s">
        <v>373</v>
      </c>
      <c r="H918" s="5" t="s">
        <v>357</v>
      </c>
      <c r="I918" s="11">
        <v>5</v>
      </c>
      <c r="J918" s="5" t="s">
        <v>100</v>
      </c>
      <c r="K918" s="10" t="s">
        <v>46</v>
      </c>
      <c r="L918" s="5" t="s">
        <v>47</v>
      </c>
      <c r="M918" s="5" t="s">
        <v>65</v>
      </c>
      <c r="N918" s="5" t="s">
        <v>66</v>
      </c>
      <c r="O918" s="12"/>
      <c r="S918" s="13">
        <v>38900</v>
      </c>
      <c r="U918" s="13">
        <v>38900</v>
      </c>
      <c r="AC918" s="10" t="s">
        <v>2169</v>
      </c>
      <c r="AD918" s="5" t="s">
        <v>2163</v>
      </c>
      <c r="AE918" s="5" t="s">
        <v>98</v>
      </c>
      <c r="AG918" s="5" t="s">
        <v>2170</v>
      </c>
    </row>
    <row r="919" spans="1:33" ht="10" customHeight="1" x14ac:dyDescent="0.2">
      <c r="A919" s="5" t="s">
        <v>40</v>
      </c>
      <c r="B919" s="5" t="s">
        <v>41</v>
      </c>
      <c r="D919" s="5" t="s">
        <v>2171</v>
      </c>
      <c r="E919" s="10" t="s">
        <v>345</v>
      </c>
      <c r="F919" s="5" t="s">
        <v>104</v>
      </c>
      <c r="G919" s="5" t="s">
        <v>373</v>
      </c>
      <c r="H919" s="5" t="s">
        <v>357</v>
      </c>
      <c r="I919" s="11">
        <v>5</v>
      </c>
      <c r="J919" s="5" t="s">
        <v>100</v>
      </c>
      <c r="K919" s="10" t="s">
        <v>46</v>
      </c>
      <c r="L919" s="5" t="s">
        <v>47</v>
      </c>
      <c r="M919" s="5" t="s">
        <v>65</v>
      </c>
      <c r="N919" s="5" t="s">
        <v>66</v>
      </c>
      <c r="O919" s="12"/>
      <c r="P919" s="13">
        <v>27273</v>
      </c>
      <c r="S919" s="13">
        <v>46755</v>
      </c>
      <c r="U919" s="13">
        <v>46755</v>
      </c>
      <c r="AC919" s="10" t="s">
        <v>2172</v>
      </c>
      <c r="AD919" s="5" t="s">
        <v>2163</v>
      </c>
      <c r="AE919" s="5" t="s">
        <v>98</v>
      </c>
      <c r="AG919" s="5" t="s">
        <v>2173</v>
      </c>
    </row>
    <row r="920" spans="1:33" ht="10" customHeight="1" x14ac:dyDescent="0.2">
      <c r="A920" s="5" t="s">
        <v>40</v>
      </c>
      <c r="B920" s="5" t="s">
        <v>41</v>
      </c>
      <c r="D920" s="5" t="s">
        <v>2174</v>
      </c>
      <c r="E920" s="10" t="s">
        <v>345</v>
      </c>
      <c r="F920" s="5" t="s">
        <v>104</v>
      </c>
      <c r="G920" s="5" t="s">
        <v>373</v>
      </c>
      <c r="H920" s="5" t="s">
        <v>357</v>
      </c>
      <c r="I920" s="11">
        <v>5</v>
      </c>
      <c r="J920" s="5" t="s">
        <v>100</v>
      </c>
      <c r="K920" s="10" t="s">
        <v>46</v>
      </c>
      <c r="L920" s="5" t="s">
        <v>47</v>
      </c>
      <c r="M920" s="5" t="s">
        <v>65</v>
      </c>
      <c r="N920" s="5" t="s">
        <v>66</v>
      </c>
      <c r="O920" s="12"/>
      <c r="P920" s="13">
        <v>14654</v>
      </c>
      <c r="S920" s="13">
        <v>16459</v>
      </c>
      <c r="U920" s="13">
        <v>16459</v>
      </c>
      <c r="AC920" s="10" t="s">
        <v>2175</v>
      </c>
      <c r="AD920" s="5" t="s">
        <v>2163</v>
      </c>
      <c r="AE920" s="5" t="s">
        <v>98</v>
      </c>
      <c r="AG920" s="5" t="s">
        <v>2176</v>
      </c>
    </row>
    <row r="921" spans="1:33" ht="10" customHeight="1" x14ac:dyDescent="0.2">
      <c r="A921" s="5" t="s">
        <v>40</v>
      </c>
      <c r="B921" s="5" t="s">
        <v>41</v>
      </c>
      <c r="D921" s="5" t="s">
        <v>2177</v>
      </c>
      <c r="E921" s="10" t="s">
        <v>345</v>
      </c>
      <c r="F921" s="5" t="s">
        <v>104</v>
      </c>
      <c r="G921" s="5" t="s">
        <v>373</v>
      </c>
      <c r="H921" s="5" t="s">
        <v>357</v>
      </c>
      <c r="I921" s="11">
        <v>5</v>
      </c>
      <c r="J921" s="5" t="s">
        <v>100</v>
      </c>
      <c r="K921" s="10" t="s">
        <v>46</v>
      </c>
      <c r="L921" s="5" t="s">
        <v>47</v>
      </c>
      <c r="M921" s="5" t="s">
        <v>65</v>
      </c>
      <c r="N921" s="5" t="s">
        <v>66</v>
      </c>
      <c r="O921" s="12"/>
      <c r="P921" s="13">
        <v>9077</v>
      </c>
      <c r="S921" s="13">
        <v>11551</v>
      </c>
      <c r="U921" s="13">
        <v>11551</v>
      </c>
      <c r="AC921" s="10" t="s">
        <v>2178</v>
      </c>
      <c r="AD921" s="5" t="s">
        <v>2163</v>
      </c>
      <c r="AE921" s="5" t="s">
        <v>98</v>
      </c>
      <c r="AG921" s="5" t="s">
        <v>2179</v>
      </c>
    </row>
    <row r="922" spans="1:33" ht="10" customHeight="1" x14ac:dyDescent="0.2">
      <c r="A922" s="5" t="s">
        <v>40</v>
      </c>
      <c r="B922" s="5" t="s">
        <v>41</v>
      </c>
      <c r="D922" s="5" t="s">
        <v>2180</v>
      </c>
      <c r="E922" s="10" t="s">
        <v>345</v>
      </c>
      <c r="F922" s="5" t="s">
        <v>104</v>
      </c>
      <c r="G922" s="5" t="s">
        <v>373</v>
      </c>
      <c r="H922" s="5" t="s">
        <v>357</v>
      </c>
      <c r="I922" s="11">
        <v>5</v>
      </c>
      <c r="J922" s="5" t="s">
        <v>100</v>
      </c>
      <c r="K922" s="10" t="s">
        <v>46</v>
      </c>
      <c r="L922" s="5" t="s">
        <v>47</v>
      </c>
      <c r="M922" s="5" t="s">
        <v>65</v>
      </c>
      <c r="N922" s="5" t="s">
        <v>66</v>
      </c>
      <c r="O922" s="12"/>
      <c r="P922" s="13">
        <v>11880</v>
      </c>
      <c r="S922" s="13">
        <v>4558</v>
      </c>
      <c r="U922" s="13">
        <v>4558</v>
      </c>
      <c r="AC922" s="10" t="s">
        <v>2181</v>
      </c>
      <c r="AD922" s="5" t="s">
        <v>2163</v>
      </c>
      <c r="AE922" s="5" t="s">
        <v>98</v>
      </c>
      <c r="AG922" s="5" t="s">
        <v>2182</v>
      </c>
    </row>
    <row r="923" spans="1:33" ht="10" customHeight="1" x14ac:dyDescent="0.2">
      <c r="A923" s="5" t="s">
        <v>40</v>
      </c>
      <c r="B923" s="5" t="s">
        <v>41</v>
      </c>
      <c r="D923" s="5" t="s">
        <v>2183</v>
      </c>
      <c r="E923" s="10" t="s">
        <v>345</v>
      </c>
      <c r="F923" s="5" t="s">
        <v>104</v>
      </c>
      <c r="G923" s="5" t="s">
        <v>373</v>
      </c>
      <c r="H923" s="5" t="s">
        <v>357</v>
      </c>
      <c r="I923" s="11">
        <v>5</v>
      </c>
      <c r="J923" s="5" t="s">
        <v>100</v>
      </c>
      <c r="K923" s="10" t="s">
        <v>46</v>
      </c>
      <c r="L923" s="5" t="s">
        <v>47</v>
      </c>
      <c r="M923" s="5" t="s">
        <v>65</v>
      </c>
      <c r="N923" s="5" t="s">
        <v>66</v>
      </c>
      <c r="O923" s="12"/>
      <c r="P923" s="13">
        <v>9693</v>
      </c>
      <c r="S923" s="13">
        <v>12507</v>
      </c>
      <c r="U923" s="13">
        <v>12507</v>
      </c>
      <c r="AC923" s="10" t="s">
        <v>2184</v>
      </c>
      <c r="AD923" s="5" t="s">
        <v>2163</v>
      </c>
      <c r="AE923" s="5" t="s">
        <v>98</v>
      </c>
      <c r="AG923" s="5" t="s">
        <v>2185</v>
      </c>
    </row>
    <row r="924" spans="1:33" ht="10" customHeight="1" x14ac:dyDescent="0.2">
      <c r="A924" s="5" t="s">
        <v>40</v>
      </c>
      <c r="B924" s="5" t="s">
        <v>41</v>
      </c>
      <c r="D924" s="5" t="s">
        <v>2186</v>
      </c>
      <c r="E924" s="10" t="s">
        <v>345</v>
      </c>
      <c r="F924" s="5" t="s">
        <v>104</v>
      </c>
      <c r="G924" s="5" t="s">
        <v>373</v>
      </c>
      <c r="H924" s="5" t="s">
        <v>357</v>
      </c>
      <c r="I924" s="11">
        <v>5</v>
      </c>
      <c r="J924" s="5" t="s">
        <v>100</v>
      </c>
      <c r="K924" s="10" t="s">
        <v>46</v>
      </c>
      <c r="L924" s="5" t="s">
        <v>47</v>
      </c>
      <c r="M924" s="5" t="s">
        <v>65</v>
      </c>
      <c r="N924" s="5" t="s">
        <v>66</v>
      </c>
      <c r="O924" s="12"/>
      <c r="P924" s="13">
        <v>5553</v>
      </c>
      <c r="S924" s="13">
        <v>4092</v>
      </c>
      <c r="U924" s="13">
        <v>4092</v>
      </c>
      <c r="AC924" s="10" t="s">
        <v>2187</v>
      </c>
      <c r="AD924" s="5" t="s">
        <v>2163</v>
      </c>
      <c r="AE924" s="5" t="s">
        <v>98</v>
      </c>
      <c r="AG924" s="5" t="s">
        <v>2188</v>
      </c>
    </row>
    <row r="925" spans="1:33" ht="10" customHeight="1" x14ac:dyDescent="0.2">
      <c r="A925" s="5" t="s">
        <v>40</v>
      </c>
      <c r="B925" s="5" t="s">
        <v>41</v>
      </c>
      <c r="D925" s="5" t="s">
        <v>2189</v>
      </c>
      <c r="E925" s="10" t="s">
        <v>345</v>
      </c>
      <c r="F925" s="5" t="s">
        <v>104</v>
      </c>
      <c r="G925" s="5" t="s">
        <v>373</v>
      </c>
      <c r="H925" s="5" t="s">
        <v>357</v>
      </c>
      <c r="I925" s="11">
        <v>5</v>
      </c>
      <c r="J925" s="5" t="s">
        <v>100</v>
      </c>
      <c r="K925" s="10" t="s">
        <v>46</v>
      </c>
      <c r="L925" s="5" t="s">
        <v>47</v>
      </c>
      <c r="M925" s="5" t="s">
        <v>65</v>
      </c>
      <c r="N925" s="5" t="s">
        <v>66</v>
      </c>
      <c r="O925" s="12"/>
      <c r="S925" s="13">
        <v>58830</v>
      </c>
      <c r="U925" s="13">
        <v>58830</v>
      </c>
      <c r="AC925" s="10" t="s">
        <v>2190</v>
      </c>
      <c r="AD925" s="5" t="s">
        <v>2163</v>
      </c>
      <c r="AE925" s="5" t="s">
        <v>98</v>
      </c>
      <c r="AG925" s="5" t="s">
        <v>1053</v>
      </c>
    </row>
    <row r="926" spans="1:33" ht="10" customHeight="1" x14ac:dyDescent="0.2">
      <c r="A926" s="5" t="s">
        <v>40</v>
      </c>
      <c r="B926" s="5" t="s">
        <v>41</v>
      </c>
      <c r="D926" s="5" t="s">
        <v>2191</v>
      </c>
      <c r="E926" s="10" t="s">
        <v>345</v>
      </c>
      <c r="F926" s="5" t="s">
        <v>104</v>
      </c>
      <c r="G926" s="5" t="s">
        <v>373</v>
      </c>
      <c r="H926" s="5" t="s">
        <v>357</v>
      </c>
      <c r="I926" s="11">
        <v>5</v>
      </c>
      <c r="J926" s="5" t="s">
        <v>100</v>
      </c>
      <c r="K926" s="10" t="s">
        <v>46</v>
      </c>
      <c r="L926" s="5" t="s">
        <v>47</v>
      </c>
      <c r="M926" s="5" t="s">
        <v>65</v>
      </c>
      <c r="N926" s="5" t="s">
        <v>66</v>
      </c>
      <c r="O926" s="12"/>
      <c r="P926" s="13">
        <v>5645</v>
      </c>
      <c r="S926" s="13">
        <v>5270</v>
      </c>
      <c r="U926" s="13">
        <v>5270</v>
      </c>
      <c r="AC926" s="10" t="s">
        <v>2192</v>
      </c>
      <c r="AD926" s="5" t="s">
        <v>2163</v>
      </c>
      <c r="AE926" s="5" t="s">
        <v>98</v>
      </c>
      <c r="AG926" s="5" t="s">
        <v>2193</v>
      </c>
    </row>
    <row r="927" spans="1:33" ht="10" customHeight="1" x14ac:dyDescent="0.2">
      <c r="A927" s="5" t="s">
        <v>40</v>
      </c>
      <c r="B927" s="5" t="s">
        <v>41</v>
      </c>
      <c r="D927" s="5" t="s">
        <v>2194</v>
      </c>
      <c r="E927" s="10" t="s">
        <v>345</v>
      </c>
      <c r="F927" s="5" t="s">
        <v>104</v>
      </c>
      <c r="G927" s="5" t="s">
        <v>373</v>
      </c>
      <c r="H927" s="5" t="s">
        <v>357</v>
      </c>
      <c r="I927" s="11">
        <v>5</v>
      </c>
      <c r="J927" s="5" t="s">
        <v>100</v>
      </c>
      <c r="K927" s="10" t="s">
        <v>46</v>
      </c>
      <c r="L927" s="5" t="s">
        <v>47</v>
      </c>
      <c r="M927" s="5" t="s">
        <v>65</v>
      </c>
      <c r="N927" s="5" t="s">
        <v>66</v>
      </c>
      <c r="O927" s="12"/>
      <c r="P927" s="13">
        <v>5194</v>
      </c>
      <c r="S927" s="13">
        <v>8691</v>
      </c>
      <c r="U927" s="13">
        <v>8691</v>
      </c>
      <c r="AC927" s="10" t="s">
        <v>2195</v>
      </c>
      <c r="AD927" s="5" t="s">
        <v>2163</v>
      </c>
      <c r="AE927" s="5" t="s">
        <v>98</v>
      </c>
      <c r="AG927" s="5" t="s">
        <v>2196</v>
      </c>
    </row>
    <row r="928" spans="1:33" ht="10" customHeight="1" x14ac:dyDescent="0.2">
      <c r="A928" s="5" t="s">
        <v>40</v>
      </c>
      <c r="B928" s="5" t="s">
        <v>41</v>
      </c>
      <c r="D928" s="5" t="s">
        <v>2197</v>
      </c>
      <c r="E928" s="10" t="s">
        <v>345</v>
      </c>
      <c r="F928" s="5" t="s">
        <v>104</v>
      </c>
      <c r="G928" s="5" t="s">
        <v>373</v>
      </c>
      <c r="H928" s="5" t="s">
        <v>357</v>
      </c>
      <c r="I928" s="11">
        <v>5</v>
      </c>
      <c r="J928" s="5" t="s">
        <v>100</v>
      </c>
      <c r="K928" s="10" t="s">
        <v>46</v>
      </c>
      <c r="L928" s="5" t="s">
        <v>47</v>
      </c>
      <c r="M928" s="5" t="s">
        <v>65</v>
      </c>
      <c r="N928" s="5" t="s">
        <v>66</v>
      </c>
      <c r="O928" s="12"/>
      <c r="P928" s="13">
        <v>5743</v>
      </c>
      <c r="S928" s="13">
        <v>4688</v>
      </c>
      <c r="U928" s="13">
        <v>4688</v>
      </c>
      <c r="AC928" s="10" t="s">
        <v>2198</v>
      </c>
      <c r="AD928" s="5" t="s">
        <v>2163</v>
      </c>
      <c r="AE928" s="5" t="s">
        <v>98</v>
      </c>
    </row>
    <row r="929" spans="1:33" ht="10" customHeight="1" x14ac:dyDescent="0.2">
      <c r="A929" s="5" t="s">
        <v>40</v>
      </c>
      <c r="B929" s="5" t="s">
        <v>41</v>
      </c>
      <c r="D929" s="5" t="s">
        <v>2199</v>
      </c>
      <c r="E929" s="10" t="s">
        <v>345</v>
      </c>
      <c r="F929" s="5" t="s">
        <v>104</v>
      </c>
      <c r="G929" s="5" t="s">
        <v>373</v>
      </c>
      <c r="H929" s="5" t="s">
        <v>357</v>
      </c>
      <c r="I929" s="11">
        <v>5</v>
      </c>
      <c r="J929" s="5" t="s">
        <v>100</v>
      </c>
      <c r="K929" s="10" t="s">
        <v>46</v>
      </c>
      <c r="L929" s="5" t="s">
        <v>47</v>
      </c>
      <c r="M929" s="5" t="s">
        <v>65</v>
      </c>
      <c r="N929" s="5" t="s">
        <v>66</v>
      </c>
      <c r="O929" s="12"/>
      <c r="P929" s="13">
        <v>3805</v>
      </c>
      <c r="S929" s="13">
        <v>1943</v>
      </c>
      <c r="U929" s="13">
        <v>1943</v>
      </c>
      <c r="AC929" s="10" t="s">
        <v>2200</v>
      </c>
      <c r="AD929" s="5" t="s">
        <v>2163</v>
      </c>
      <c r="AE929" s="5" t="s">
        <v>98</v>
      </c>
      <c r="AG929" s="5" t="s">
        <v>2201</v>
      </c>
    </row>
    <row r="930" spans="1:33" ht="10" customHeight="1" x14ac:dyDescent="0.2">
      <c r="A930" s="5" t="s">
        <v>40</v>
      </c>
      <c r="B930" s="5" t="s">
        <v>41</v>
      </c>
      <c r="D930" s="5" t="s">
        <v>2202</v>
      </c>
      <c r="E930" s="10" t="s">
        <v>345</v>
      </c>
      <c r="F930" s="5" t="s">
        <v>104</v>
      </c>
      <c r="G930" s="5" t="s">
        <v>373</v>
      </c>
      <c r="H930" s="5" t="s">
        <v>357</v>
      </c>
      <c r="I930" s="11">
        <v>5</v>
      </c>
      <c r="J930" s="5" t="s">
        <v>100</v>
      </c>
      <c r="K930" s="10" t="s">
        <v>46</v>
      </c>
      <c r="L930" s="5" t="s">
        <v>47</v>
      </c>
      <c r="M930" s="5" t="s">
        <v>65</v>
      </c>
      <c r="N930" s="5" t="s">
        <v>66</v>
      </c>
      <c r="O930" s="12"/>
      <c r="P930" s="13">
        <v>11168</v>
      </c>
      <c r="S930" s="13">
        <v>10710</v>
      </c>
      <c r="U930" s="13">
        <v>10710</v>
      </c>
      <c r="AC930" s="10" t="s">
        <v>2203</v>
      </c>
      <c r="AD930" s="5" t="s">
        <v>2163</v>
      </c>
      <c r="AE930" s="5" t="s">
        <v>98</v>
      </c>
      <c r="AG930" s="5" t="s">
        <v>2204</v>
      </c>
    </row>
    <row r="931" spans="1:33" ht="10" customHeight="1" x14ac:dyDescent="0.2">
      <c r="A931" s="5" t="s">
        <v>40</v>
      </c>
      <c r="B931" s="5" t="s">
        <v>41</v>
      </c>
      <c r="D931" s="5" t="s">
        <v>2205</v>
      </c>
      <c r="E931" s="10" t="s">
        <v>345</v>
      </c>
      <c r="F931" s="5" t="s">
        <v>104</v>
      </c>
      <c r="G931" s="5" t="s">
        <v>373</v>
      </c>
      <c r="H931" s="5" t="s">
        <v>363</v>
      </c>
      <c r="I931" s="11">
        <v>5</v>
      </c>
      <c r="J931" s="5" t="s">
        <v>100</v>
      </c>
      <c r="K931" s="10" t="s">
        <v>46</v>
      </c>
      <c r="L931" s="5" t="s">
        <v>47</v>
      </c>
      <c r="M931" s="5" t="s">
        <v>65</v>
      </c>
      <c r="N931" s="5" t="s">
        <v>66</v>
      </c>
      <c r="O931" s="12"/>
      <c r="P931" s="13">
        <v>6323</v>
      </c>
      <c r="S931" s="13">
        <v>100</v>
      </c>
      <c r="U931" s="13">
        <v>100</v>
      </c>
      <c r="AC931" s="10" t="s">
        <v>2206</v>
      </c>
      <c r="AD931" s="5" t="s">
        <v>2207</v>
      </c>
      <c r="AE931" s="5" t="s">
        <v>98</v>
      </c>
      <c r="AG931" s="5" t="s">
        <v>2208</v>
      </c>
    </row>
    <row r="932" spans="1:33" ht="10" customHeight="1" x14ac:dyDescent="0.2">
      <c r="A932" s="5" t="s">
        <v>40</v>
      </c>
      <c r="B932" s="5" t="s">
        <v>41</v>
      </c>
      <c r="D932" s="5" t="s">
        <v>2209</v>
      </c>
      <c r="E932" s="10" t="s">
        <v>345</v>
      </c>
      <c r="F932" s="5" t="s">
        <v>104</v>
      </c>
      <c r="G932" s="5" t="s">
        <v>373</v>
      </c>
      <c r="H932" s="5" t="s">
        <v>363</v>
      </c>
      <c r="I932" s="11">
        <v>5</v>
      </c>
      <c r="J932" s="5" t="s">
        <v>100</v>
      </c>
      <c r="K932" s="10" t="s">
        <v>46</v>
      </c>
      <c r="L932" s="5" t="s">
        <v>47</v>
      </c>
      <c r="M932" s="5" t="s">
        <v>65</v>
      </c>
      <c r="N932" s="5" t="s">
        <v>66</v>
      </c>
      <c r="O932" s="12"/>
      <c r="P932" s="13">
        <v>4776</v>
      </c>
      <c r="S932" s="13">
        <v>560</v>
      </c>
      <c r="U932" s="13">
        <v>560</v>
      </c>
      <c r="AC932" s="10" t="s">
        <v>2210</v>
      </c>
      <c r="AD932" s="5" t="s">
        <v>2207</v>
      </c>
      <c r="AE932" s="5" t="s">
        <v>98</v>
      </c>
      <c r="AG932" s="5" t="s">
        <v>2211</v>
      </c>
    </row>
    <row r="933" spans="1:33" ht="10" customHeight="1" x14ac:dyDescent="0.2">
      <c r="A933" s="5" t="s">
        <v>40</v>
      </c>
      <c r="B933" s="5" t="s">
        <v>41</v>
      </c>
      <c r="D933" s="5" t="s">
        <v>2212</v>
      </c>
      <c r="E933" s="10" t="s">
        <v>345</v>
      </c>
      <c r="F933" s="5" t="s">
        <v>104</v>
      </c>
      <c r="G933" s="5" t="s">
        <v>373</v>
      </c>
      <c r="H933" s="5" t="s">
        <v>363</v>
      </c>
      <c r="I933" s="11">
        <v>5</v>
      </c>
      <c r="J933" s="5" t="s">
        <v>100</v>
      </c>
      <c r="K933" s="10" t="s">
        <v>46</v>
      </c>
      <c r="L933" s="5" t="s">
        <v>47</v>
      </c>
      <c r="M933" s="5" t="s">
        <v>65</v>
      </c>
      <c r="N933" s="5" t="s">
        <v>66</v>
      </c>
      <c r="O933" s="12"/>
      <c r="P933" s="13">
        <v>25077</v>
      </c>
      <c r="S933" s="13">
        <v>31433</v>
      </c>
      <c r="U933" s="13">
        <v>31433</v>
      </c>
      <c r="AC933" s="10" t="s">
        <v>2213</v>
      </c>
      <c r="AD933" s="5" t="s">
        <v>2207</v>
      </c>
      <c r="AE933" s="5" t="s">
        <v>98</v>
      </c>
      <c r="AG933" s="5" t="s">
        <v>2214</v>
      </c>
    </row>
    <row r="934" spans="1:33" ht="10" customHeight="1" x14ac:dyDescent="0.2">
      <c r="A934" s="5" t="s">
        <v>40</v>
      </c>
      <c r="B934" s="5" t="s">
        <v>41</v>
      </c>
      <c r="D934" s="5" t="s">
        <v>2215</v>
      </c>
      <c r="E934" s="10" t="s">
        <v>345</v>
      </c>
      <c r="F934" s="5" t="s">
        <v>104</v>
      </c>
      <c r="G934" s="5" t="s">
        <v>373</v>
      </c>
      <c r="H934" s="5" t="s">
        <v>363</v>
      </c>
      <c r="I934" s="11">
        <v>5</v>
      </c>
      <c r="J934" s="5" t="s">
        <v>100</v>
      </c>
      <c r="K934" s="10" t="s">
        <v>46</v>
      </c>
      <c r="L934" s="5" t="s">
        <v>47</v>
      </c>
      <c r="M934" s="5" t="s">
        <v>65</v>
      </c>
      <c r="N934" s="5" t="s">
        <v>66</v>
      </c>
      <c r="O934" s="12"/>
      <c r="P934" s="13">
        <v>9891</v>
      </c>
      <c r="S934" s="13">
        <v>13000</v>
      </c>
      <c r="U934" s="13">
        <v>13000</v>
      </c>
      <c r="AC934" s="10" t="s">
        <v>2216</v>
      </c>
      <c r="AD934" s="5" t="s">
        <v>2207</v>
      </c>
      <c r="AE934" s="5" t="s">
        <v>98</v>
      </c>
      <c r="AG934" s="5" t="s">
        <v>2217</v>
      </c>
    </row>
    <row r="935" spans="1:33" ht="10" customHeight="1" x14ac:dyDescent="0.2">
      <c r="A935" s="5" t="s">
        <v>40</v>
      </c>
      <c r="B935" s="5" t="s">
        <v>41</v>
      </c>
      <c r="D935" s="5" t="s">
        <v>2218</v>
      </c>
      <c r="E935" s="10" t="s">
        <v>345</v>
      </c>
      <c r="F935" s="5" t="s">
        <v>104</v>
      </c>
      <c r="G935" s="5" t="s">
        <v>373</v>
      </c>
      <c r="H935" s="5" t="s">
        <v>363</v>
      </c>
      <c r="I935" s="11">
        <v>5</v>
      </c>
      <c r="J935" s="5" t="s">
        <v>100</v>
      </c>
      <c r="K935" s="10" t="s">
        <v>46</v>
      </c>
      <c r="L935" s="5" t="s">
        <v>47</v>
      </c>
      <c r="M935" s="5" t="s">
        <v>65</v>
      </c>
      <c r="N935" s="5" t="s">
        <v>66</v>
      </c>
      <c r="O935" s="12"/>
      <c r="P935" s="13">
        <v>9061</v>
      </c>
      <c r="S935" s="13">
        <v>8488</v>
      </c>
      <c r="U935" s="13">
        <v>8488</v>
      </c>
      <c r="AC935" s="10" t="s">
        <v>2219</v>
      </c>
      <c r="AD935" s="5" t="s">
        <v>2207</v>
      </c>
      <c r="AE935" s="5" t="s">
        <v>98</v>
      </c>
      <c r="AG935" s="5" t="s">
        <v>2220</v>
      </c>
    </row>
    <row r="936" spans="1:33" ht="10" customHeight="1" x14ac:dyDescent="0.2">
      <c r="A936" s="5" t="s">
        <v>40</v>
      </c>
      <c r="B936" s="5" t="s">
        <v>41</v>
      </c>
      <c r="D936" s="5" t="s">
        <v>2221</v>
      </c>
      <c r="E936" s="10" t="s">
        <v>345</v>
      </c>
      <c r="F936" s="5" t="s">
        <v>104</v>
      </c>
      <c r="G936" s="5" t="s">
        <v>373</v>
      </c>
      <c r="H936" s="5" t="s">
        <v>363</v>
      </c>
      <c r="I936" s="11">
        <v>5</v>
      </c>
      <c r="J936" s="5" t="s">
        <v>100</v>
      </c>
      <c r="K936" s="10" t="s">
        <v>46</v>
      </c>
      <c r="L936" s="5" t="s">
        <v>47</v>
      </c>
      <c r="M936" s="5" t="s">
        <v>65</v>
      </c>
      <c r="N936" s="5" t="s">
        <v>66</v>
      </c>
      <c r="O936" s="12"/>
      <c r="S936" s="13">
        <v>7660</v>
      </c>
      <c r="U936" s="13">
        <v>7660</v>
      </c>
      <c r="AC936" s="10" t="s">
        <v>2222</v>
      </c>
      <c r="AD936" s="5" t="s">
        <v>2207</v>
      </c>
      <c r="AE936" s="5" t="s">
        <v>98</v>
      </c>
      <c r="AG936" s="5" t="s">
        <v>2223</v>
      </c>
    </row>
    <row r="937" spans="1:33" ht="10" customHeight="1" x14ac:dyDescent="0.2">
      <c r="A937" s="5" t="s">
        <v>40</v>
      </c>
      <c r="B937" s="5" t="s">
        <v>41</v>
      </c>
      <c r="D937" s="5" t="s">
        <v>2224</v>
      </c>
      <c r="E937" s="10" t="s">
        <v>345</v>
      </c>
      <c r="F937" s="5" t="s">
        <v>104</v>
      </c>
      <c r="G937" s="5" t="s">
        <v>373</v>
      </c>
      <c r="H937" s="5" t="s">
        <v>363</v>
      </c>
      <c r="I937" s="11">
        <v>5</v>
      </c>
      <c r="J937" s="5" t="s">
        <v>100</v>
      </c>
      <c r="K937" s="10" t="s">
        <v>46</v>
      </c>
      <c r="L937" s="5" t="s">
        <v>47</v>
      </c>
      <c r="M937" s="5" t="s">
        <v>65</v>
      </c>
      <c r="N937" s="5" t="s">
        <v>66</v>
      </c>
      <c r="O937" s="12"/>
      <c r="P937" s="13">
        <v>14776</v>
      </c>
      <c r="S937" s="13">
        <v>13888</v>
      </c>
      <c r="U937" s="13">
        <v>13888</v>
      </c>
      <c r="AC937" s="10" t="s">
        <v>2225</v>
      </c>
      <c r="AD937" s="5" t="s">
        <v>2207</v>
      </c>
      <c r="AE937" s="5" t="s">
        <v>98</v>
      </c>
      <c r="AG937" s="5" t="s">
        <v>2226</v>
      </c>
    </row>
    <row r="938" spans="1:33" ht="10" customHeight="1" x14ac:dyDescent="0.2">
      <c r="A938" s="5" t="s">
        <v>40</v>
      </c>
      <c r="B938" s="5" t="s">
        <v>41</v>
      </c>
      <c r="D938" s="5" t="s">
        <v>2227</v>
      </c>
      <c r="E938" s="10" t="s">
        <v>345</v>
      </c>
      <c r="F938" s="5" t="s">
        <v>104</v>
      </c>
      <c r="G938" s="5" t="s">
        <v>373</v>
      </c>
      <c r="H938" s="5" t="s">
        <v>363</v>
      </c>
      <c r="I938" s="11">
        <v>5</v>
      </c>
      <c r="J938" s="5" t="s">
        <v>100</v>
      </c>
      <c r="K938" s="10" t="s">
        <v>46</v>
      </c>
      <c r="L938" s="5" t="s">
        <v>47</v>
      </c>
      <c r="M938" s="5" t="s">
        <v>65</v>
      </c>
      <c r="N938" s="5" t="s">
        <v>66</v>
      </c>
      <c r="O938" s="12"/>
      <c r="P938" s="13">
        <v>5990</v>
      </c>
      <c r="S938" s="13">
        <v>5668</v>
      </c>
      <c r="U938" s="13">
        <v>5668</v>
      </c>
      <c r="AC938" s="10" t="s">
        <v>2228</v>
      </c>
      <c r="AD938" s="5" t="s">
        <v>2207</v>
      </c>
      <c r="AE938" s="5" t="s">
        <v>98</v>
      </c>
      <c r="AG938" s="5" t="s">
        <v>2229</v>
      </c>
    </row>
    <row r="939" spans="1:33" ht="10" customHeight="1" x14ac:dyDescent="0.2">
      <c r="A939" s="5" t="s">
        <v>40</v>
      </c>
      <c r="B939" s="5" t="s">
        <v>41</v>
      </c>
      <c r="D939" s="5" t="s">
        <v>2230</v>
      </c>
      <c r="E939" s="10" t="s">
        <v>345</v>
      </c>
      <c r="F939" s="5" t="s">
        <v>104</v>
      </c>
      <c r="G939" s="5" t="s">
        <v>373</v>
      </c>
      <c r="H939" s="5" t="s">
        <v>363</v>
      </c>
      <c r="I939" s="11">
        <v>5</v>
      </c>
      <c r="J939" s="5" t="s">
        <v>100</v>
      </c>
      <c r="K939" s="10" t="s">
        <v>46</v>
      </c>
      <c r="L939" s="5" t="s">
        <v>47</v>
      </c>
      <c r="M939" s="5" t="s">
        <v>65</v>
      </c>
      <c r="N939" s="5" t="s">
        <v>66</v>
      </c>
      <c r="O939" s="12"/>
      <c r="P939" s="13">
        <v>2607</v>
      </c>
      <c r="S939" s="13">
        <v>1904</v>
      </c>
      <c r="U939" s="13">
        <v>1904</v>
      </c>
      <c r="AC939" s="10" t="s">
        <v>2231</v>
      </c>
      <c r="AD939" s="5" t="s">
        <v>2207</v>
      </c>
      <c r="AE939" s="5" t="s">
        <v>98</v>
      </c>
      <c r="AG939" s="5" t="s">
        <v>2232</v>
      </c>
    </row>
    <row r="940" spans="1:33" ht="10" customHeight="1" x14ac:dyDescent="0.2">
      <c r="A940" s="5" t="s">
        <v>40</v>
      </c>
      <c r="B940" s="5" t="s">
        <v>41</v>
      </c>
      <c r="D940" s="5" t="s">
        <v>2233</v>
      </c>
      <c r="E940" s="10" t="s">
        <v>345</v>
      </c>
      <c r="F940" s="5" t="s">
        <v>104</v>
      </c>
      <c r="G940" s="5" t="s">
        <v>373</v>
      </c>
      <c r="H940" s="5" t="s">
        <v>363</v>
      </c>
      <c r="I940" s="11">
        <v>5</v>
      </c>
      <c r="J940" s="5" t="s">
        <v>100</v>
      </c>
      <c r="K940" s="10" t="s">
        <v>46</v>
      </c>
      <c r="L940" s="5" t="s">
        <v>47</v>
      </c>
      <c r="M940" s="5" t="s">
        <v>65</v>
      </c>
      <c r="N940" s="5" t="s">
        <v>66</v>
      </c>
      <c r="O940" s="12"/>
      <c r="P940" s="13">
        <v>2351</v>
      </c>
      <c r="S940" s="13">
        <v>2485</v>
      </c>
      <c r="U940" s="13">
        <v>2485</v>
      </c>
      <c r="AC940" s="10" t="s">
        <v>2234</v>
      </c>
      <c r="AD940" s="5" t="s">
        <v>2207</v>
      </c>
      <c r="AE940" s="5" t="s">
        <v>98</v>
      </c>
      <c r="AG940" s="5" t="s">
        <v>2235</v>
      </c>
    </row>
    <row r="941" spans="1:33" ht="10" customHeight="1" x14ac:dyDescent="0.2">
      <c r="A941" s="5" t="s">
        <v>40</v>
      </c>
      <c r="B941" s="5" t="s">
        <v>41</v>
      </c>
      <c r="D941" s="5" t="s">
        <v>2236</v>
      </c>
      <c r="E941" s="10" t="s">
        <v>345</v>
      </c>
      <c r="F941" s="5" t="s">
        <v>104</v>
      </c>
      <c r="G941" s="5" t="s">
        <v>373</v>
      </c>
      <c r="H941" s="5" t="s">
        <v>363</v>
      </c>
      <c r="I941" s="11">
        <v>5</v>
      </c>
      <c r="J941" s="5" t="s">
        <v>100</v>
      </c>
      <c r="K941" s="10" t="s">
        <v>46</v>
      </c>
      <c r="L941" s="5" t="s">
        <v>47</v>
      </c>
      <c r="M941" s="5" t="s">
        <v>65</v>
      </c>
      <c r="N941" s="5" t="s">
        <v>66</v>
      </c>
      <c r="O941" s="12"/>
      <c r="P941" s="13">
        <v>1779</v>
      </c>
      <c r="S941" s="13">
        <v>2413</v>
      </c>
      <c r="U941" s="13">
        <v>2413</v>
      </c>
      <c r="AC941" s="10" t="s">
        <v>2237</v>
      </c>
      <c r="AD941" s="5" t="s">
        <v>2207</v>
      </c>
      <c r="AE941" s="5" t="s">
        <v>98</v>
      </c>
      <c r="AG941" s="5" t="s">
        <v>2238</v>
      </c>
    </row>
    <row r="942" spans="1:33" ht="10" customHeight="1" x14ac:dyDescent="0.2">
      <c r="A942" s="5" t="s">
        <v>40</v>
      </c>
      <c r="B942" s="5" t="s">
        <v>41</v>
      </c>
      <c r="D942" s="5" t="s">
        <v>2239</v>
      </c>
      <c r="E942" s="10" t="s">
        <v>345</v>
      </c>
      <c r="F942" s="5" t="s">
        <v>104</v>
      </c>
      <c r="G942" s="5" t="s">
        <v>373</v>
      </c>
      <c r="H942" s="5" t="s">
        <v>363</v>
      </c>
      <c r="I942" s="11">
        <v>5</v>
      </c>
      <c r="J942" s="5" t="s">
        <v>100</v>
      </c>
      <c r="K942" s="10" t="s">
        <v>46</v>
      </c>
      <c r="L942" s="5" t="s">
        <v>47</v>
      </c>
      <c r="M942" s="5" t="s">
        <v>65</v>
      </c>
      <c r="N942" s="5" t="s">
        <v>66</v>
      </c>
      <c r="O942" s="12"/>
      <c r="P942" s="13">
        <v>1246</v>
      </c>
      <c r="S942" s="13">
        <v>1385</v>
      </c>
      <c r="U942" s="13">
        <v>1385</v>
      </c>
      <c r="AC942" s="10" t="s">
        <v>2240</v>
      </c>
      <c r="AD942" s="5" t="s">
        <v>2207</v>
      </c>
      <c r="AE942" s="5" t="s">
        <v>98</v>
      </c>
      <c r="AG942" s="5" t="s">
        <v>2241</v>
      </c>
    </row>
    <row r="943" spans="1:33" ht="10" customHeight="1" x14ac:dyDescent="0.2">
      <c r="A943" s="5" t="s">
        <v>40</v>
      </c>
      <c r="B943" s="5" t="s">
        <v>41</v>
      </c>
      <c r="D943" s="5" t="s">
        <v>2242</v>
      </c>
      <c r="E943" s="10" t="s">
        <v>345</v>
      </c>
      <c r="F943" s="5" t="s">
        <v>104</v>
      </c>
      <c r="G943" s="5" t="s">
        <v>373</v>
      </c>
      <c r="H943" s="5" t="s">
        <v>363</v>
      </c>
      <c r="I943" s="11">
        <v>5</v>
      </c>
      <c r="J943" s="5" t="s">
        <v>100</v>
      </c>
      <c r="K943" s="10" t="s">
        <v>46</v>
      </c>
      <c r="L943" s="5" t="s">
        <v>47</v>
      </c>
      <c r="M943" s="5" t="s">
        <v>65</v>
      </c>
      <c r="N943" s="5" t="s">
        <v>66</v>
      </c>
      <c r="O943" s="12"/>
      <c r="P943" s="13">
        <v>1006</v>
      </c>
      <c r="S943" s="13">
        <v>2018</v>
      </c>
      <c r="U943" s="13">
        <v>2018</v>
      </c>
      <c r="AC943" s="10" t="s">
        <v>2243</v>
      </c>
      <c r="AD943" s="5" t="s">
        <v>2207</v>
      </c>
      <c r="AE943" s="5" t="s">
        <v>98</v>
      </c>
      <c r="AG943" s="5" t="s">
        <v>2244</v>
      </c>
    </row>
    <row r="944" spans="1:33" ht="10" customHeight="1" x14ac:dyDescent="0.2">
      <c r="A944" s="5" t="s">
        <v>40</v>
      </c>
      <c r="B944" s="5" t="s">
        <v>41</v>
      </c>
      <c r="D944" s="5" t="s">
        <v>2245</v>
      </c>
      <c r="E944" s="10" t="s">
        <v>345</v>
      </c>
      <c r="F944" s="5" t="s">
        <v>104</v>
      </c>
      <c r="G944" s="5" t="s">
        <v>373</v>
      </c>
      <c r="H944" s="5" t="s">
        <v>363</v>
      </c>
      <c r="I944" s="11">
        <v>5</v>
      </c>
      <c r="J944" s="5" t="s">
        <v>100</v>
      </c>
      <c r="K944" s="10" t="s">
        <v>46</v>
      </c>
      <c r="L944" s="5" t="s">
        <v>47</v>
      </c>
      <c r="M944" s="5" t="s">
        <v>65</v>
      </c>
      <c r="N944" s="5" t="s">
        <v>66</v>
      </c>
      <c r="O944" s="12"/>
      <c r="P944" s="13">
        <v>98276</v>
      </c>
      <c r="S944" s="13">
        <v>76392</v>
      </c>
      <c r="U944" s="13">
        <v>76392</v>
      </c>
      <c r="AC944" s="10" t="s">
        <v>2246</v>
      </c>
      <c r="AD944" s="5" t="s">
        <v>2207</v>
      </c>
      <c r="AE944" s="5" t="s">
        <v>98</v>
      </c>
      <c r="AG944" s="5" t="s">
        <v>2247</v>
      </c>
    </row>
    <row r="945" spans="1:33" ht="10" customHeight="1" x14ac:dyDescent="0.2">
      <c r="A945" s="5" t="s">
        <v>40</v>
      </c>
      <c r="B945" s="5" t="s">
        <v>41</v>
      </c>
      <c r="D945" s="5" t="s">
        <v>2248</v>
      </c>
      <c r="E945" s="10" t="s">
        <v>345</v>
      </c>
      <c r="F945" s="5" t="s">
        <v>104</v>
      </c>
      <c r="G945" s="5" t="s">
        <v>373</v>
      </c>
      <c r="H945" s="5" t="s">
        <v>363</v>
      </c>
      <c r="I945" s="11">
        <v>5</v>
      </c>
      <c r="J945" s="5" t="s">
        <v>100</v>
      </c>
      <c r="K945" s="10" t="s">
        <v>46</v>
      </c>
      <c r="L945" s="5" t="s">
        <v>47</v>
      </c>
      <c r="M945" s="5" t="s">
        <v>65</v>
      </c>
      <c r="N945" s="5" t="s">
        <v>66</v>
      </c>
      <c r="O945" s="12"/>
      <c r="P945" s="13">
        <v>27296</v>
      </c>
      <c r="S945" s="13">
        <v>38842</v>
      </c>
      <c r="U945" s="13">
        <v>38842</v>
      </c>
      <c r="AC945" s="10" t="s">
        <v>2249</v>
      </c>
      <c r="AD945" s="5" t="s">
        <v>2207</v>
      </c>
      <c r="AE945" s="5" t="s">
        <v>98</v>
      </c>
      <c r="AG945" s="5" t="s">
        <v>2250</v>
      </c>
    </row>
    <row r="946" spans="1:33" ht="10" customHeight="1" x14ac:dyDescent="0.2">
      <c r="A946" s="5" t="s">
        <v>40</v>
      </c>
      <c r="B946" s="5" t="s">
        <v>41</v>
      </c>
      <c r="D946" s="5" t="s">
        <v>2251</v>
      </c>
      <c r="E946" s="10" t="s">
        <v>345</v>
      </c>
      <c r="F946" s="5" t="s">
        <v>104</v>
      </c>
      <c r="I946" s="11">
        <v>5</v>
      </c>
      <c r="J946" s="5" t="s">
        <v>100</v>
      </c>
      <c r="K946" s="10" t="s">
        <v>46</v>
      </c>
      <c r="L946" s="5" t="s">
        <v>47</v>
      </c>
      <c r="M946" s="5" t="s">
        <v>65</v>
      </c>
      <c r="N946" s="5" t="s">
        <v>66</v>
      </c>
      <c r="O946" s="12"/>
      <c r="S946" s="13">
        <v>11939</v>
      </c>
      <c r="U946" s="13">
        <v>11939</v>
      </c>
      <c r="AC946" s="10" t="s">
        <v>2252</v>
      </c>
      <c r="AD946" s="5" t="s">
        <v>2253</v>
      </c>
      <c r="AE946" s="5" t="s">
        <v>98</v>
      </c>
    </row>
    <row r="947" spans="1:33" ht="10" customHeight="1" x14ac:dyDescent="0.2">
      <c r="A947" s="5" t="s">
        <v>40</v>
      </c>
      <c r="B947" s="5" t="s">
        <v>41</v>
      </c>
      <c r="D947" s="5" t="s">
        <v>2254</v>
      </c>
      <c r="E947" s="10" t="s">
        <v>345</v>
      </c>
      <c r="F947" s="5" t="s">
        <v>104</v>
      </c>
      <c r="I947" s="11">
        <v>5</v>
      </c>
      <c r="J947" s="5" t="s">
        <v>100</v>
      </c>
      <c r="K947" s="10" t="s">
        <v>46</v>
      </c>
      <c r="L947" s="5" t="s">
        <v>47</v>
      </c>
      <c r="M947" s="5" t="s">
        <v>65</v>
      </c>
      <c r="N947" s="5" t="s">
        <v>66</v>
      </c>
      <c r="O947" s="12"/>
      <c r="S947" s="13">
        <v>14056</v>
      </c>
      <c r="U947" s="13">
        <v>14056</v>
      </c>
      <c r="AC947" s="10" t="s">
        <v>2255</v>
      </c>
      <c r="AD947" s="5" t="s">
        <v>2253</v>
      </c>
      <c r="AE947" s="5" t="s">
        <v>98</v>
      </c>
    </row>
    <row r="948" spans="1:33" ht="10" customHeight="1" x14ac:dyDescent="0.2">
      <c r="A948" s="5" t="s">
        <v>40</v>
      </c>
      <c r="B948" s="5" t="s">
        <v>41</v>
      </c>
      <c r="D948" s="5" t="s">
        <v>2256</v>
      </c>
      <c r="E948" s="10" t="s">
        <v>345</v>
      </c>
      <c r="F948" s="5" t="s">
        <v>104</v>
      </c>
      <c r="I948" s="11">
        <v>5</v>
      </c>
      <c r="J948" s="5" t="s">
        <v>100</v>
      </c>
      <c r="K948" s="10" t="s">
        <v>46</v>
      </c>
      <c r="L948" s="5" t="s">
        <v>47</v>
      </c>
      <c r="M948" s="5" t="s">
        <v>65</v>
      </c>
      <c r="N948" s="5" t="s">
        <v>66</v>
      </c>
      <c r="O948" s="12"/>
      <c r="S948" s="13">
        <v>12998</v>
      </c>
      <c r="U948" s="13">
        <v>12998</v>
      </c>
      <c r="AC948" s="10" t="s">
        <v>2257</v>
      </c>
      <c r="AD948" s="5" t="s">
        <v>2253</v>
      </c>
      <c r="AE948" s="5" t="s">
        <v>98</v>
      </c>
    </row>
    <row r="949" spans="1:33" ht="10" customHeight="1" x14ac:dyDescent="0.2">
      <c r="A949" s="5" t="s">
        <v>40</v>
      </c>
      <c r="B949" s="5" t="s">
        <v>41</v>
      </c>
      <c r="D949" s="5" t="s">
        <v>2258</v>
      </c>
      <c r="E949" s="10" t="s">
        <v>345</v>
      </c>
      <c r="F949" s="5" t="s">
        <v>104</v>
      </c>
      <c r="G949" s="5" t="s">
        <v>373</v>
      </c>
      <c r="H949" s="5" t="s">
        <v>366</v>
      </c>
      <c r="I949" s="11">
        <v>5</v>
      </c>
      <c r="J949" s="5" t="s">
        <v>100</v>
      </c>
      <c r="K949" s="10" t="s">
        <v>46</v>
      </c>
      <c r="L949" s="5" t="s">
        <v>47</v>
      </c>
      <c r="M949" s="5" t="s">
        <v>65</v>
      </c>
      <c r="N949" s="5" t="s">
        <v>66</v>
      </c>
      <c r="O949" s="12"/>
      <c r="P949" s="13">
        <v>56957</v>
      </c>
      <c r="S949" s="13">
        <v>48582</v>
      </c>
      <c r="U949" s="13">
        <v>48582</v>
      </c>
      <c r="AC949" s="10" t="s">
        <v>2259</v>
      </c>
      <c r="AD949" s="5" t="s">
        <v>2260</v>
      </c>
      <c r="AE949" s="5" t="s">
        <v>98</v>
      </c>
      <c r="AG949" s="5" t="s">
        <v>2261</v>
      </c>
    </row>
    <row r="950" spans="1:33" ht="10" customHeight="1" x14ac:dyDescent="0.2">
      <c r="A950" s="5" t="s">
        <v>40</v>
      </c>
      <c r="B950" s="5" t="s">
        <v>41</v>
      </c>
      <c r="D950" s="5" t="s">
        <v>2262</v>
      </c>
      <c r="E950" s="10" t="s">
        <v>345</v>
      </c>
      <c r="F950" s="5" t="s">
        <v>104</v>
      </c>
      <c r="G950" s="5" t="s">
        <v>373</v>
      </c>
      <c r="H950" s="5" t="s">
        <v>366</v>
      </c>
      <c r="I950" s="11">
        <v>5</v>
      </c>
      <c r="J950" s="5" t="s">
        <v>100</v>
      </c>
      <c r="K950" s="10" t="s">
        <v>46</v>
      </c>
      <c r="L950" s="5" t="s">
        <v>47</v>
      </c>
      <c r="M950" s="5" t="s">
        <v>65</v>
      </c>
      <c r="N950" s="5" t="s">
        <v>66</v>
      </c>
      <c r="O950" s="12"/>
      <c r="P950" s="13">
        <v>57670</v>
      </c>
      <c r="S950" s="13">
        <v>90971</v>
      </c>
      <c r="U950" s="13">
        <v>90971</v>
      </c>
      <c r="AC950" s="10" t="s">
        <v>2263</v>
      </c>
      <c r="AD950" s="5" t="s">
        <v>2260</v>
      </c>
      <c r="AE950" s="5" t="s">
        <v>98</v>
      </c>
      <c r="AG950" s="5" t="s">
        <v>2264</v>
      </c>
    </row>
    <row r="951" spans="1:33" ht="10" customHeight="1" x14ac:dyDescent="0.2">
      <c r="A951" s="5" t="s">
        <v>40</v>
      </c>
      <c r="B951" s="5" t="s">
        <v>41</v>
      </c>
      <c r="D951" s="5" t="s">
        <v>2265</v>
      </c>
      <c r="E951" s="10" t="s">
        <v>345</v>
      </c>
      <c r="F951" s="5" t="s">
        <v>104</v>
      </c>
      <c r="G951" s="5" t="s">
        <v>373</v>
      </c>
      <c r="H951" s="5" t="s">
        <v>366</v>
      </c>
      <c r="I951" s="11">
        <v>5</v>
      </c>
      <c r="J951" s="5" t="s">
        <v>100</v>
      </c>
      <c r="K951" s="10" t="s">
        <v>46</v>
      </c>
      <c r="L951" s="5" t="s">
        <v>47</v>
      </c>
      <c r="M951" s="5" t="s">
        <v>65</v>
      </c>
      <c r="N951" s="5" t="s">
        <v>66</v>
      </c>
      <c r="O951" s="12"/>
      <c r="P951" s="13">
        <v>27651</v>
      </c>
      <c r="S951" s="13">
        <v>35124</v>
      </c>
      <c r="U951" s="13">
        <v>35124</v>
      </c>
      <c r="AC951" s="10" t="s">
        <v>2266</v>
      </c>
      <c r="AD951" s="5" t="s">
        <v>2260</v>
      </c>
      <c r="AE951" s="5" t="s">
        <v>98</v>
      </c>
      <c r="AG951" s="5" t="s">
        <v>2267</v>
      </c>
    </row>
    <row r="952" spans="1:33" ht="10" customHeight="1" x14ac:dyDescent="0.2">
      <c r="A952" s="5" t="s">
        <v>40</v>
      </c>
      <c r="B952" s="5" t="s">
        <v>41</v>
      </c>
      <c r="D952" s="5" t="s">
        <v>2268</v>
      </c>
      <c r="E952" s="10" t="s">
        <v>345</v>
      </c>
      <c r="F952" s="5" t="s">
        <v>104</v>
      </c>
      <c r="G952" s="5" t="s">
        <v>373</v>
      </c>
      <c r="H952" s="5" t="s">
        <v>366</v>
      </c>
      <c r="I952" s="11">
        <v>5</v>
      </c>
      <c r="J952" s="5" t="s">
        <v>100</v>
      </c>
      <c r="K952" s="10" t="s">
        <v>46</v>
      </c>
      <c r="L952" s="5" t="s">
        <v>47</v>
      </c>
      <c r="M952" s="5" t="s">
        <v>65</v>
      </c>
      <c r="N952" s="5" t="s">
        <v>66</v>
      </c>
      <c r="O952" s="12"/>
      <c r="P952" s="13">
        <v>25950</v>
      </c>
      <c r="S952" s="13">
        <v>36655</v>
      </c>
      <c r="U952" s="13">
        <v>36655</v>
      </c>
      <c r="AC952" s="10" t="s">
        <v>2269</v>
      </c>
      <c r="AD952" s="5" t="s">
        <v>2260</v>
      </c>
      <c r="AE952" s="5" t="s">
        <v>98</v>
      </c>
      <c r="AG952" s="5" t="s">
        <v>2270</v>
      </c>
    </row>
    <row r="953" spans="1:33" ht="10" customHeight="1" x14ac:dyDescent="0.2">
      <c r="A953" s="5" t="s">
        <v>40</v>
      </c>
      <c r="B953" s="5" t="s">
        <v>41</v>
      </c>
      <c r="D953" s="5" t="s">
        <v>2271</v>
      </c>
      <c r="E953" s="10" t="s">
        <v>345</v>
      </c>
      <c r="F953" s="5" t="s">
        <v>104</v>
      </c>
      <c r="G953" s="5" t="s">
        <v>373</v>
      </c>
      <c r="H953" s="5" t="s">
        <v>366</v>
      </c>
      <c r="I953" s="11">
        <v>5</v>
      </c>
      <c r="J953" s="5" t="s">
        <v>100</v>
      </c>
      <c r="K953" s="10" t="s">
        <v>46</v>
      </c>
      <c r="L953" s="5" t="s">
        <v>47</v>
      </c>
      <c r="M953" s="5" t="s">
        <v>65</v>
      </c>
      <c r="N953" s="5" t="s">
        <v>66</v>
      </c>
      <c r="O953" s="12"/>
      <c r="S953" s="13">
        <v>17379</v>
      </c>
      <c r="U953" s="13">
        <v>17379</v>
      </c>
      <c r="AC953" s="10" t="s">
        <v>2272</v>
      </c>
      <c r="AD953" s="5" t="s">
        <v>2260</v>
      </c>
      <c r="AE953" s="5" t="s">
        <v>98</v>
      </c>
      <c r="AG953" s="5" t="s">
        <v>2273</v>
      </c>
    </row>
    <row r="954" spans="1:33" ht="10" customHeight="1" x14ac:dyDescent="0.2">
      <c r="A954" s="5" t="s">
        <v>40</v>
      </c>
      <c r="B954" s="5" t="s">
        <v>41</v>
      </c>
      <c r="D954" s="5" t="s">
        <v>2274</v>
      </c>
      <c r="E954" s="10" t="s">
        <v>345</v>
      </c>
      <c r="F954" s="5" t="s">
        <v>104</v>
      </c>
      <c r="G954" s="5" t="s">
        <v>373</v>
      </c>
      <c r="H954" s="5" t="s">
        <v>366</v>
      </c>
      <c r="I954" s="11">
        <v>5</v>
      </c>
      <c r="J954" s="5" t="s">
        <v>100</v>
      </c>
      <c r="K954" s="10" t="s">
        <v>46</v>
      </c>
      <c r="L954" s="5" t="s">
        <v>47</v>
      </c>
      <c r="M954" s="5" t="s">
        <v>65</v>
      </c>
      <c r="N954" s="5" t="s">
        <v>66</v>
      </c>
      <c r="O954" s="12"/>
      <c r="P954" s="13">
        <v>9998</v>
      </c>
      <c r="S954" s="13">
        <v>6185</v>
      </c>
      <c r="U954" s="13">
        <v>6185</v>
      </c>
      <c r="AC954" s="10" t="s">
        <v>2275</v>
      </c>
      <c r="AD954" s="5" t="s">
        <v>2260</v>
      </c>
      <c r="AE954" s="5" t="s">
        <v>98</v>
      </c>
      <c r="AG954" s="5" t="s">
        <v>2276</v>
      </c>
    </row>
    <row r="955" spans="1:33" ht="10" customHeight="1" x14ac:dyDescent="0.2">
      <c r="A955" s="5" t="s">
        <v>40</v>
      </c>
      <c r="B955" s="5" t="s">
        <v>41</v>
      </c>
      <c r="D955" s="5" t="s">
        <v>2277</v>
      </c>
      <c r="E955" s="10" t="s">
        <v>345</v>
      </c>
      <c r="F955" s="5" t="s">
        <v>104</v>
      </c>
      <c r="G955" s="5" t="s">
        <v>373</v>
      </c>
      <c r="H955" s="5" t="s">
        <v>366</v>
      </c>
      <c r="I955" s="11">
        <v>5</v>
      </c>
      <c r="J955" s="5" t="s">
        <v>100</v>
      </c>
      <c r="K955" s="10" t="s">
        <v>46</v>
      </c>
      <c r="L955" s="5" t="s">
        <v>47</v>
      </c>
      <c r="M955" s="5" t="s">
        <v>65</v>
      </c>
      <c r="N955" s="5" t="s">
        <v>66</v>
      </c>
      <c r="O955" s="12"/>
      <c r="S955" s="13">
        <v>133892</v>
      </c>
      <c r="U955" s="13">
        <v>133892</v>
      </c>
      <c r="AC955" s="10" t="s">
        <v>2278</v>
      </c>
      <c r="AD955" s="5" t="s">
        <v>2260</v>
      </c>
      <c r="AE955" s="5" t="s">
        <v>98</v>
      </c>
      <c r="AG955" s="5" t="s">
        <v>2279</v>
      </c>
    </row>
    <row r="956" spans="1:33" ht="10" customHeight="1" x14ac:dyDescent="0.2">
      <c r="A956" s="5" t="s">
        <v>40</v>
      </c>
      <c r="B956" s="5" t="s">
        <v>41</v>
      </c>
      <c r="D956" s="5" t="s">
        <v>2280</v>
      </c>
      <c r="E956" s="10" t="s">
        <v>345</v>
      </c>
      <c r="F956" s="5" t="s">
        <v>104</v>
      </c>
      <c r="G956" s="5" t="s">
        <v>373</v>
      </c>
      <c r="H956" s="5" t="s">
        <v>366</v>
      </c>
      <c r="I956" s="11">
        <v>5</v>
      </c>
      <c r="J956" s="5" t="s">
        <v>100</v>
      </c>
      <c r="K956" s="10" t="s">
        <v>46</v>
      </c>
      <c r="L956" s="5" t="s">
        <v>47</v>
      </c>
      <c r="M956" s="5" t="s">
        <v>65</v>
      </c>
      <c r="N956" s="5" t="s">
        <v>66</v>
      </c>
      <c r="O956" s="12"/>
      <c r="P956" s="13">
        <v>1404</v>
      </c>
      <c r="S956" s="13">
        <v>18824</v>
      </c>
      <c r="U956" s="13">
        <v>18824</v>
      </c>
      <c r="AC956" s="10" t="s">
        <v>2281</v>
      </c>
      <c r="AD956" s="5" t="s">
        <v>2260</v>
      </c>
      <c r="AE956" s="5" t="s">
        <v>98</v>
      </c>
      <c r="AG956" s="5" t="s">
        <v>2282</v>
      </c>
    </row>
    <row r="957" spans="1:33" ht="10" customHeight="1" x14ac:dyDescent="0.2">
      <c r="A957" s="5" t="s">
        <v>40</v>
      </c>
      <c r="B957" s="5" t="s">
        <v>41</v>
      </c>
      <c r="D957" s="5" t="s">
        <v>2283</v>
      </c>
      <c r="E957" s="10" t="s">
        <v>345</v>
      </c>
      <c r="F957" s="5" t="s">
        <v>104</v>
      </c>
      <c r="G957" s="5" t="s">
        <v>373</v>
      </c>
      <c r="H957" s="5" t="s">
        <v>366</v>
      </c>
      <c r="I957" s="11">
        <v>5</v>
      </c>
      <c r="J957" s="5" t="s">
        <v>100</v>
      </c>
      <c r="K957" s="10" t="s">
        <v>46</v>
      </c>
      <c r="L957" s="5" t="s">
        <v>47</v>
      </c>
      <c r="M957" s="5" t="s">
        <v>65</v>
      </c>
      <c r="N957" s="5" t="s">
        <v>66</v>
      </c>
      <c r="O957" s="12"/>
      <c r="P957" s="13">
        <v>31134</v>
      </c>
      <c r="S957" s="13">
        <v>37975</v>
      </c>
      <c r="U957" s="13">
        <v>37975</v>
      </c>
      <c r="AC957" s="10" t="s">
        <v>2284</v>
      </c>
      <c r="AD957" s="5" t="s">
        <v>2260</v>
      </c>
      <c r="AE957" s="5" t="s">
        <v>98</v>
      </c>
      <c r="AG957" s="5" t="s">
        <v>2285</v>
      </c>
    </row>
    <row r="958" spans="1:33" ht="10" customHeight="1" x14ac:dyDescent="0.2">
      <c r="A958" s="5" t="s">
        <v>40</v>
      </c>
      <c r="B958" s="5" t="s">
        <v>41</v>
      </c>
      <c r="D958" s="5" t="s">
        <v>2286</v>
      </c>
      <c r="E958" s="10" t="s">
        <v>345</v>
      </c>
      <c r="F958" s="5" t="s">
        <v>104</v>
      </c>
      <c r="G958" s="5" t="s">
        <v>373</v>
      </c>
      <c r="H958" s="5" t="s">
        <v>366</v>
      </c>
      <c r="I958" s="11">
        <v>5</v>
      </c>
      <c r="J958" s="5" t="s">
        <v>100</v>
      </c>
      <c r="K958" s="10" t="s">
        <v>46</v>
      </c>
      <c r="L958" s="5" t="s">
        <v>47</v>
      </c>
      <c r="M958" s="5" t="s">
        <v>65</v>
      </c>
      <c r="N958" s="5" t="s">
        <v>66</v>
      </c>
      <c r="O958" s="12"/>
      <c r="P958" s="13">
        <v>4176</v>
      </c>
      <c r="S958" s="13">
        <v>6643</v>
      </c>
      <c r="U958" s="13">
        <v>6643</v>
      </c>
      <c r="AC958" s="10" t="s">
        <v>2287</v>
      </c>
      <c r="AD958" s="5" t="s">
        <v>2260</v>
      </c>
      <c r="AE958" s="5" t="s">
        <v>98</v>
      </c>
      <c r="AG958" s="5" t="s">
        <v>2288</v>
      </c>
    </row>
    <row r="959" spans="1:33" ht="10" customHeight="1" x14ac:dyDescent="0.2">
      <c r="A959" s="5" t="s">
        <v>40</v>
      </c>
      <c r="B959" s="5" t="s">
        <v>41</v>
      </c>
      <c r="D959" s="5" t="s">
        <v>2289</v>
      </c>
      <c r="E959" s="10" t="s">
        <v>345</v>
      </c>
      <c r="F959" s="5" t="s">
        <v>104</v>
      </c>
      <c r="G959" s="5" t="s">
        <v>373</v>
      </c>
      <c r="H959" s="5" t="s">
        <v>366</v>
      </c>
      <c r="I959" s="11">
        <v>5</v>
      </c>
      <c r="J959" s="5" t="s">
        <v>100</v>
      </c>
      <c r="K959" s="10" t="s">
        <v>46</v>
      </c>
      <c r="L959" s="5" t="s">
        <v>47</v>
      </c>
      <c r="M959" s="5" t="s">
        <v>65</v>
      </c>
      <c r="N959" s="5" t="s">
        <v>66</v>
      </c>
      <c r="O959" s="12"/>
      <c r="P959" s="13">
        <v>3329</v>
      </c>
      <c r="S959" s="13">
        <v>3619</v>
      </c>
      <c r="U959" s="13">
        <v>3619</v>
      </c>
      <c r="AC959" s="10" t="s">
        <v>2290</v>
      </c>
      <c r="AD959" s="5" t="s">
        <v>2260</v>
      </c>
      <c r="AE959" s="5" t="s">
        <v>98</v>
      </c>
      <c r="AG959" s="5" t="s">
        <v>2291</v>
      </c>
    </row>
    <row r="960" spans="1:33" ht="10" customHeight="1" x14ac:dyDescent="0.2">
      <c r="A960" s="5" t="s">
        <v>40</v>
      </c>
      <c r="B960" s="5" t="s">
        <v>41</v>
      </c>
      <c r="D960" s="5" t="s">
        <v>2292</v>
      </c>
      <c r="E960" s="10" t="s">
        <v>345</v>
      </c>
      <c r="F960" s="5" t="s">
        <v>104</v>
      </c>
      <c r="G960" s="5" t="s">
        <v>373</v>
      </c>
      <c r="H960" s="5" t="s">
        <v>366</v>
      </c>
      <c r="I960" s="11">
        <v>5</v>
      </c>
      <c r="J960" s="5" t="s">
        <v>100</v>
      </c>
      <c r="K960" s="10" t="s">
        <v>46</v>
      </c>
      <c r="L960" s="5" t="s">
        <v>47</v>
      </c>
      <c r="M960" s="5" t="s">
        <v>65</v>
      </c>
      <c r="N960" s="5" t="s">
        <v>66</v>
      </c>
      <c r="O960" s="12"/>
      <c r="P960" s="13">
        <v>2679</v>
      </c>
      <c r="S960" s="13">
        <v>3847</v>
      </c>
      <c r="U960" s="13">
        <v>3847</v>
      </c>
      <c r="AC960" s="10" t="s">
        <v>2293</v>
      </c>
      <c r="AD960" s="5" t="s">
        <v>2260</v>
      </c>
      <c r="AE960" s="5" t="s">
        <v>98</v>
      </c>
      <c r="AG960" s="5" t="s">
        <v>2294</v>
      </c>
    </row>
    <row r="961" spans="1:33" ht="10" customHeight="1" x14ac:dyDescent="0.2">
      <c r="A961" s="5" t="s">
        <v>40</v>
      </c>
      <c r="B961" s="5" t="s">
        <v>41</v>
      </c>
      <c r="D961" s="5" t="s">
        <v>2295</v>
      </c>
      <c r="E961" s="10" t="s">
        <v>345</v>
      </c>
      <c r="F961" s="5" t="s">
        <v>104</v>
      </c>
      <c r="G961" s="5" t="s">
        <v>373</v>
      </c>
      <c r="H961" s="5" t="s">
        <v>366</v>
      </c>
      <c r="I961" s="11">
        <v>5</v>
      </c>
      <c r="J961" s="5" t="s">
        <v>100</v>
      </c>
      <c r="K961" s="10" t="s">
        <v>46</v>
      </c>
      <c r="L961" s="5" t="s">
        <v>47</v>
      </c>
      <c r="M961" s="5" t="s">
        <v>65</v>
      </c>
      <c r="N961" s="5" t="s">
        <v>66</v>
      </c>
      <c r="O961" s="12"/>
      <c r="S961" s="13">
        <v>4486</v>
      </c>
      <c r="U961" s="13">
        <v>4486</v>
      </c>
      <c r="AC961" s="10" t="s">
        <v>2296</v>
      </c>
      <c r="AD961" s="5" t="s">
        <v>2260</v>
      </c>
      <c r="AE961" s="5" t="s">
        <v>98</v>
      </c>
      <c r="AG961" s="5" t="s">
        <v>2297</v>
      </c>
    </row>
    <row r="962" spans="1:33" ht="10" customHeight="1" x14ac:dyDescent="0.2">
      <c r="A962" s="5" t="s">
        <v>40</v>
      </c>
      <c r="B962" s="5" t="s">
        <v>41</v>
      </c>
      <c r="D962" s="5" t="s">
        <v>2298</v>
      </c>
      <c r="E962" s="10" t="s">
        <v>345</v>
      </c>
      <c r="F962" s="5" t="s">
        <v>104</v>
      </c>
      <c r="G962" s="5" t="s">
        <v>373</v>
      </c>
      <c r="H962" s="5" t="s">
        <v>366</v>
      </c>
      <c r="I962" s="11">
        <v>5</v>
      </c>
      <c r="J962" s="5" t="s">
        <v>100</v>
      </c>
      <c r="K962" s="10" t="s">
        <v>46</v>
      </c>
      <c r="L962" s="5" t="s">
        <v>47</v>
      </c>
      <c r="M962" s="5" t="s">
        <v>65</v>
      </c>
      <c r="N962" s="5" t="s">
        <v>66</v>
      </c>
      <c r="O962" s="12"/>
      <c r="P962" s="13">
        <v>26272</v>
      </c>
      <c r="S962" s="13">
        <v>29948</v>
      </c>
      <c r="U962" s="13">
        <v>29948</v>
      </c>
      <c r="AC962" s="10" t="s">
        <v>2299</v>
      </c>
      <c r="AD962" s="5" t="s">
        <v>2260</v>
      </c>
      <c r="AE962" s="5" t="s">
        <v>98</v>
      </c>
    </row>
    <row r="963" spans="1:33" ht="10" customHeight="1" x14ac:dyDescent="0.2">
      <c r="A963" s="5" t="s">
        <v>40</v>
      </c>
      <c r="B963" s="5" t="s">
        <v>41</v>
      </c>
      <c r="D963" s="5" t="s">
        <v>2300</v>
      </c>
      <c r="E963" s="10" t="s">
        <v>345</v>
      </c>
      <c r="F963" s="5" t="s">
        <v>104</v>
      </c>
      <c r="G963" s="5" t="s">
        <v>464</v>
      </c>
      <c r="I963" s="11">
        <v>5</v>
      </c>
      <c r="J963" s="5" t="s">
        <v>100</v>
      </c>
      <c r="K963" s="10" t="s">
        <v>46</v>
      </c>
      <c r="L963" s="5" t="s">
        <v>47</v>
      </c>
      <c r="M963" s="5" t="s">
        <v>65</v>
      </c>
      <c r="N963" s="5" t="s">
        <v>66</v>
      </c>
      <c r="O963" s="12"/>
      <c r="P963" s="13">
        <v>64271</v>
      </c>
      <c r="S963" s="13">
        <v>81298</v>
      </c>
      <c r="U963" s="13">
        <v>81298</v>
      </c>
      <c r="AC963" s="10" t="s">
        <v>2301</v>
      </c>
      <c r="AD963" s="5" t="s">
        <v>2302</v>
      </c>
      <c r="AE963" s="5" t="s">
        <v>98</v>
      </c>
    </row>
    <row r="964" spans="1:33" ht="10" customHeight="1" x14ac:dyDescent="0.2">
      <c r="A964" s="5" t="s">
        <v>40</v>
      </c>
      <c r="B964" s="5" t="s">
        <v>41</v>
      </c>
      <c r="D964" s="5" t="s">
        <v>2303</v>
      </c>
      <c r="E964" s="10" t="s">
        <v>345</v>
      </c>
      <c r="F964" s="5" t="s">
        <v>104</v>
      </c>
      <c r="G964" s="5" t="s">
        <v>464</v>
      </c>
      <c r="I964" s="11">
        <v>5</v>
      </c>
      <c r="J964" s="5" t="s">
        <v>100</v>
      </c>
      <c r="K964" s="10" t="s">
        <v>46</v>
      </c>
      <c r="L964" s="5" t="s">
        <v>47</v>
      </c>
      <c r="M964" s="5" t="s">
        <v>65</v>
      </c>
      <c r="N964" s="5" t="s">
        <v>66</v>
      </c>
      <c r="O964" s="12"/>
      <c r="P964" s="13">
        <v>2</v>
      </c>
      <c r="S964" s="13">
        <v>1797</v>
      </c>
      <c r="U964" s="13">
        <v>1797</v>
      </c>
      <c r="AC964" s="10" t="s">
        <v>2304</v>
      </c>
      <c r="AD964" s="5" t="s">
        <v>2302</v>
      </c>
      <c r="AE964" s="5" t="s">
        <v>98</v>
      </c>
    </row>
    <row r="965" spans="1:33" ht="10" customHeight="1" x14ac:dyDescent="0.2">
      <c r="A965" s="5" t="s">
        <v>40</v>
      </c>
      <c r="B965" s="5" t="s">
        <v>41</v>
      </c>
      <c r="D965" s="5" t="s">
        <v>2305</v>
      </c>
      <c r="E965" s="10" t="s">
        <v>345</v>
      </c>
      <c r="F965" s="5" t="s">
        <v>104</v>
      </c>
      <c r="G965" s="5" t="s">
        <v>464</v>
      </c>
      <c r="I965" s="11">
        <v>5</v>
      </c>
      <c r="J965" s="5" t="s">
        <v>100</v>
      </c>
      <c r="K965" s="10" t="s">
        <v>46</v>
      </c>
      <c r="L965" s="5" t="s">
        <v>47</v>
      </c>
      <c r="M965" s="5" t="s">
        <v>65</v>
      </c>
      <c r="N965" s="5" t="s">
        <v>66</v>
      </c>
      <c r="O965" s="12"/>
      <c r="P965" s="13">
        <v>536</v>
      </c>
      <c r="S965" s="13">
        <v>766</v>
      </c>
      <c r="U965" s="13">
        <v>766</v>
      </c>
      <c r="AC965" s="10" t="s">
        <v>2306</v>
      </c>
      <c r="AD965" s="5" t="s">
        <v>2302</v>
      </c>
      <c r="AE965" s="5" t="s">
        <v>98</v>
      </c>
    </row>
    <row r="966" spans="1:33" ht="10" customHeight="1" x14ac:dyDescent="0.2">
      <c r="A966" s="5" t="s">
        <v>40</v>
      </c>
      <c r="B966" s="5" t="s">
        <v>41</v>
      </c>
      <c r="D966" s="5" t="s">
        <v>2307</v>
      </c>
      <c r="E966" s="10" t="s">
        <v>345</v>
      </c>
      <c r="F966" s="5" t="s">
        <v>104</v>
      </c>
      <c r="G966" s="5" t="s">
        <v>464</v>
      </c>
      <c r="I966" s="11">
        <v>5</v>
      </c>
      <c r="J966" s="5" t="s">
        <v>100</v>
      </c>
      <c r="K966" s="10" t="s">
        <v>46</v>
      </c>
      <c r="L966" s="5" t="s">
        <v>47</v>
      </c>
      <c r="M966" s="5" t="s">
        <v>65</v>
      </c>
      <c r="N966" s="5" t="s">
        <v>66</v>
      </c>
      <c r="O966" s="12"/>
      <c r="P966" s="13">
        <v>2666</v>
      </c>
      <c r="S966" s="13">
        <v>3363</v>
      </c>
      <c r="U966" s="13">
        <v>3363</v>
      </c>
      <c r="AC966" s="10" t="s">
        <v>2308</v>
      </c>
      <c r="AD966" s="5" t="s">
        <v>2302</v>
      </c>
      <c r="AE966" s="5" t="s">
        <v>98</v>
      </c>
    </row>
    <row r="967" spans="1:33" ht="10" customHeight="1" x14ac:dyDescent="0.2">
      <c r="A967" s="5" t="s">
        <v>40</v>
      </c>
      <c r="B967" s="5" t="s">
        <v>41</v>
      </c>
      <c r="D967" s="5" t="s">
        <v>2309</v>
      </c>
      <c r="E967" s="10" t="s">
        <v>345</v>
      </c>
      <c r="F967" s="5" t="s">
        <v>104</v>
      </c>
      <c r="G967" s="5" t="s">
        <v>464</v>
      </c>
      <c r="I967" s="11">
        <v>5</v>
      </c>
      <c r="J967" s="5" t="s">
        <v>100</v>
      </c>
      <c r="K967" s="10" t="s">
        <v>46</v>
      </c>
      <c r="L967" s="5" t="s">
        <v>47</v>
      </c>
      <c r="M967" s="5" t="s">
        <v>65</v>
      </c>
      <c r="N967" s="5" t="s">
        <v>66</v>
      </c>
      <c r="O967" s="12"/>
      <c r="P967" s="13">
        <v>4465</v>
      </c>
      <c r="S967" s="13">
        <v>4023</v>
      </c>
      <c r="U967" s="13">
        <v>4023</v>
      </c>
      <c r="AC967" s="10" t="s">
        <v>2310</v>
      </c>
      <c r="AD967" s="5" t="s">
        <v>2302</v>
      </c>
      <c r="AE967" s="5" t="s">
        <v>98</v>
      </c>
    </row>
    <row r="968" spans="1:33" ht="10" customHeight="1" x14ac:dyDescent="0.2">
      <c r="A968" s="5" t="s">
        <v>40</v>
      </c>
      <c r="B968" s="5" t="s">
        <v>41</v>
      </c>
      <c r="D968" s="5" t="s">
        <v>2311</v>
      </c>
      <c r="E968" s="10" t="s">
        <v>345</v>
      </c>
      <c r="F968" s="5" t="s">
        <v>104</v>
      </c>
      <c r="G968" s="5" t="s">
        <v>464</v>
      </c>
      <c r="I968" s="11">
        <v>5</v>
      </c>
      <c r="J968" s="5" t="s">
        <v>100</v>
      </c>
      <c r="K968" s="10" t="s">
        <v>46</v>
      </c>
      <c r="L968" s="5" t="s">
        <v>47</v>
      </c>
      <c r="M968" s="5" t="s">
        <v>65</v>
      </c>
      <c r="N968" s="5" t="s">
        <v>66</v>
      </c>
      <c r="O968" s="12"/>
      <c r="P968" s="13">
        <v>83040</v>
      </c>
      <c r="S968" s="13">
        <v>94326</v>
      </c>
      <c r="U968" s="13">
        <v>94326</v>
      </c>
      <c r="AC968" s="10" t="s">
        <v>2312</v>
      </c>
      <c r="AD968" s="5" t="s">
        <v>2302</v>
      </c>
      <c r="AE968" s="5" t="s">
        <v>98</v>
      </c>
    </row>
    <row r="969" spans="1:33" ht="10" customHeight="1" x14ac:dyDescent="0.2">
      <c r="A969" s="5" t="s">
        <v>40</v>
      </c>
      <c r="B969" s="5" t="s">
        <v>41</v>
      </c>
      <c r="D969" s="5" t="s">
        <v>2313</v>
      </c>
      <c r="E969" s="10" t="s">
        <v>345</v>
      </c>
      <c r="F969" s="5" t="s">
        <v>104</v>
      </c>
      <c r="G969" s="5" t="s">
        <v>464</v>
      </c>
      <c r="I969" s="11">
        <v>5</v>
      </c>
      <c r="J969" s="5" t="s">
        <v>100</v>
      </c>
      <c r="K969" s="10" t="s">
        <v>46</v>
      </c>
      <c r="L969" s="5" t="s">
        <v>47</v>
      </c>
      <c r="M969" s="5" t="s">
        <v>65</v>
      </c>
      <c r="N969" s="5" t="s">
        <v>66</v>
      </c>
      <c r="O969" s="12"/>
      <c r="P969" s="13">
        <v>14335</v>
      </c>
      <c r="S969" s="13">
        <v>20025</v>
      </c>
      <c r="U969" s="13">
        <v>20025</v>
      </c>
      <c r="AC969" s="10" t="s">
        <v>2314</v>
      </c>
      <c r="AD969" s="5" t="s">
        <v>2302</v>
      </c>
      <c r="AE969" s="5" t="s">
        <v>98</v>
      </c>
      <c r="AG969" s="5" t="s">
        <v>371</v>
      </c>
    </row>
    <row r="970" spans="1:33" ht="10" customHeight="1" x14ac:dyDescent="0.2">
      <c r="A970" s="5" t="s">
        <v>40</v>
      </c>
      <c r="B970" s="5" t="s">
        <v>41</v>
      </c>
      <c r="D970" s="5" t="s">
        <v>2315</v>
      </c>
      <c r="E970" s="10" t="s">
        <v>345</v>
      </c>
      <c r="F970" s="5" t="s">
        <v>104</v>
      </c>
      <c r="G970" s="5" t="s">
        <v>464</v>
      </c>
      <c r="I970" s="11">
        <v>5</v>
      </c>
      <c r="J970" s="5" t="s">
        <v>100</v>
      </c>
      <c r="K970" s="10" t="s">
        <v>46</v>
      </c>
      <c r="L970" s="5" t="s">
        <v>47</v>
      </c>
      <c r="M970" s="5" t="s">
        <v>65</v>
      </c>
      <c r="N970" s="5" t="s">
        <v>66</v>
      </c>
      <c r="O970" s="12"/>
      <c r="P970" s="13">
        <v>25725</v>
      </c>
      <c r="S970" s="13">
        <v>30682</v>
      </c>
      <c r="U970" s="13">
        <v>30682</v>
      </c>
      <c r="AC970" s="10" t="s">
        <v>2316</v>
      </c>
      <c r="AD970" s="5" t="s">
        <v>2317</v>
      </c>
      <c r="AE970" s="5" t="s">
        <v>98</v>
      </c>
    </row>
    <row r="971" spans="1:33" ht="10" customHeight="1" x14ac:dyDescent="0.2">
      <c r="A971" s="5" t="s">
        <v>40</v>
      </c>
      <c r="B971" s="5" t="s">
        <v>41</v>
      </c>
      <c r="D971" s="5" t="s">
        <v>2318</v>
      </c>
      <c r="E971" s="10" t="s">
        <v>345</v>
      </c>
      <c r="F971" s="5" t="s">
        <v>104</v>
      </c>
      <c r="G971" s="5" t="s">
        <v>464</v>
      </c>
      <c r="I971" s="11">
        <v>5</v>
      </c>
      <c r="J971" s="5" t="s">
        <v>100</v>
      </c>
      <c r="K971" s="10" t="s">
        <v>46</v>
      </c>
      <c r="L971" s="5" t="s">
        <v>47</v>
      </c>
      <c r="M971" s="5" t="s">
        <v>65</v>
      </c>
      <c r="N971" s="5" t="s">
        <v>66</v>
      </c>
      <c r="O971" s="12"/>
      <c r="P971" s="13">
        <v>788</v>
      </c>
      <c r="S971" s="13">
        <v>580</v>
      </c>
      <c r="U971" s="13">
        <v>580</v>
      </c>
      <c r="AC971" s="10" t="s">
        <v>2319</v>
      </c>
      <c r="AD971" s="5" t="s">
        <v>2317</v>
      </c>
      <c r="AE971" s="5" t="s">
        <v>98</v>
      </c>
    </row>
    <row r="972" spans="1:33" ht="10" customHeight="1" x14ac:dyDescent="0.2">
      <c r="A972" s="5" t="s">
        <v>40</v>
      </c>
      <c r="B972" s="5" t="s">
        <v>41</v>
      </c>
      <c r="D972" s="5" t="s">
        <v>2320</v>
      </c>
      <c r="E972" s="10" t="s">
        <v>345</v>
      </c>
      <c r="F972" s="5" t="s">
        <v>104</v>
      </c>
      <c r="G972" s="5" t="s">
        <v>464</v>
      </c>
      <c r="I972" s="11">
        <v>5</v>
      </c>
      <c r="J972" s="5" t="s">
        <v>100</v>
      </c>
      <c r="K972" s="10" t="s">
        <v>46</v>
      </c>
      <c r="L972" s="5" t="s">
        <v>47</v>
      </c>
      <c r="M972" s="5" t="s">
        <v>65</v>
      </c>
      <c r="N972" s="5" t="s">
        <v>66</v>
      </c>
      <c r="O972" s="12"/>
      <c r="P972" s="13">
        <v>560</v>
      </c>
      <c r="S972" s="13">
        <v>774</v>
      </c>
      <c r="U972" s="13">
        <v>774</v>
      </c>
      <c r="AC972" s="10" t="s">
        <v>2321</v>
      </c>
      <c r="AD972" s="5" t="s">
        <v>2317</v>
      </c>
      <c r="AE972" s="5" t="s">
        <v>98</v>
      </c>
    </row>
    <row r="973" spans="1:33" ht="10" customHeight="1" x14ac:dyDescent="0.2">
      <c r="A973" s="5" t="s">
        <v>40</v>
      </c>
      <c r="B973" s="5" t="s">
        <v>41</v>
      </c>
      <c r="D973" s="5" t="s">
        <v>2322</v>
      </c>
      <c r="E973" s="10" t="s">
        <v>345</v>
      </c>
      <c r="F973" s="5" t="s">
        <v>104</v>
      </c>
      <c r="G973" s="5" t="s">
        <v>464</v>
      </c>
      <c r="I973" s="11">
        <v>5</v>
      </c>
      <c r="J973" s="5" t="s">
        <v>100</v>
      </c>
      <c r="K973" s="10" t="s">
        <v>46</v>
      </c>
      <c r="L973" s="5" t="s">
        <v>47</v>
      </c>
      <c r="M973" s="5" t="s">
        <v>65</v>
      </c>
      <c r="N973" s="5" t="s">
        <v>66</v>
      </c>
      <c r="O973" s="12"/>
      <c r="P973" s="13">
        <v>122</v>
      </c>
      <c r="S973" s="13">
        <v>345</v>
      </c>
      <c r="U973" s="13">
        <v>345</v>
      </c>
      <c r="AC973" s="10" t="s">
        <v>2323</v>
      </c>
      <c r="AD973" s="5" t="s">
        <v>2317</v>
      </c>
      <c r="AE973" s="5" t="s">
        <v>98</v>
      </c>
    </row>
    <row r="974" spans="1:33" ht="10" customHeight="1" x14ac:dyDescent="0.2">
      <c r="A974" s="5" t="s">
        <v>40</v>
      </c>
      <c r="B974" s="5" t="s">
        <v>41</v>
      </c>
      <c r="D974" s="5" t="s">
        <v>2324</v>
      </c>
      <c r="E974" s="10" t="s">
        <v>345</v>
      </c>
      <c r="F974" s="5" t="s">
        <v>104</v>
      </c>
      <c r="G974" s="5" t="s">
        <v>464</v>
      </c>
      <c r="I974" s="11">
        <v>5</v>
      </c>
      <c r="J974" s="5" t="s">
        <v>100</v>
      </c>
      <c r="K974" s="10" t="s">
        <v>46</v>
      </c>
      <c r="L974" s="5" t="s">
        <v>47</v>
      </c>
      <c r="M974" s="5" t="s">
        <v>65</v>
      </c>
      <c r="N974" s="5" t="s">
        <v>66</v>
      </c>
      <c r="O974" s="12"/>
      <c r="P974" s="13">
        <v>8792</v>
      </c>
      <c r="S974" s="13">
        <v>9405</v>
      </c>
      <c r="U974" s="13">
        <v>9405</v>
      </c>
      <c r="AC974" s="10" t="s">
        <v>2325</v>
      </c>
      <c r="AD974" s="5" t="s">
        <v>2317</v>
      </c>
      <c r="AE974" s="5" t="s">
        <v>98</v>
      </c>
    </row>
    <row r="975" spans="1:33" ht="10" customHeight="1" x14ac:dyDescent="0.2">
      <c r="A975" s="5" t="s">
        <v>40</v>
      </c>
      <c r="B975" s="5" t="s">
        <v>41</v>
      </c>
      <c r="D975" s="5" t="s">
        <v>2326</v>
      </c>
      <c r="E975" s="10" t="s">
        <v>345</v>
      </c>
      <c r="F975" s="5" t="s">
        <v>104</v>
      </c>
      <c r="G975" s="5" t="s">
        <v>464</v>
      </c>
      <c r="I975" s="11">
        <v>5</v>
      </c>
      <c r="J975" s="5" t="s">
        <v>100</v>
      </c>
      <c r="K975" s="10" t="s">
        <v>46</v>
      </c>
      <c r="L975" s="5" t="s">
        <v>47</v>
      </c>
      <c r="M975" s="5" t="s">
        <v>65</v>
      </c>
      <c r="N975" s="5" t="s">
        <v>66</v>
      </c>
      <c r="O975" s="12"/>
      <c r="P975" s="13">
        <v>43379</v>
      </c>
      <c r="S975" s="13">
        <v>33043</v>
      </c>
      <c r="U975" s="13">
        <v>33043</v>
      </c>
      <c r="AC975" s="10" t="s">
        <v>2327</v>
      </c>
      <c r="AD975" s="5" t="s">
        <v>2317</v>
      </c>
      <c r="AE975" s="5" t="s">
        <v>98</v>
      </c>
    </row>
    <row r="976" spans="1:33" ht="10" customHeight="1" x14ac:dyDescent="0.2">
      <c r="A976" s="5" t="s">
        <v>40</v>
      </c>
      <c r="B976" s="5" t="s">
        <v>41</v>
      </c>
      <c r="D976" s="5" t="s">
        <v>2328</v>
      </c>
      <c r="E976" s="10" t="s">
        <v>345</v>
      </c>
      <c r="F976" s="5" t="s">
        <v>104</v>
      </c>
      <c r="G976" s="5" t="s">
        <v>464</v>
      </c>
      <c r="I976" s="11">
        <v>5</v>
      </c>
      <c r="J976" s="5" t="s">
        <v>100</v>
      </c>
      <c r="K976" s="10" t="s">
        <v>46</v>
      </c>
      <c r="L976" s="5" t="s">
        <v>47</v>
      </c>
      <c r="M976" s="5" t="s">
        <v>65</v>
      </c>
      <c r="N976" s="5" t="s">
        <v>66</v>
      </c>
      <c r="O976" s="12"/>
      <c r="P976" s="13">
        <v>5560</v>
      </c>
      <c r="S976" s="13">
        <v>10431</v>
      </c>
      <c r="U976" s="13">
        <v>10431</v>
      </c>
      <c r="AC976" s="10" t="s">
        <v>2329</v>
      </c>
      <c r="AD976" s="5" t="s">
        <v>2317</v>
      </c>
      <c r="AE976" s="5" t="s">
        <v>98</v>
      </c>
    </row>
    <row r="977" spans="1:31" ht="10" customHeight="1" x14ac:dyDescent="0.2">
      <c r="A977" s="5" t="s">
        <v>40</v>
      </c>
      <c r="B977" s="5" t="s">
        <v>41</v>
      </c>
      <c r="D977" s="5" t="s">
        <v>2330</v>
      </c>
      <c r="E977" s="10" t="s">
        <v>345</v>
      </c>
      <c r="F977" s="5" t="s">
        <v>104</v>
      </c>
      <c r="G977" s="5" t="s">
        <v>464</v>
      </c>
      <c r="I977" s="11">
        <v>5</v>
      </c>
      <c r="J977" s="5" t="s">
        <v>100</v>
      </c>
      <c r="K977" s="10" t="s">
        <v>46</v>
      </c>
      <c r="L977" s="5" t="s">
        <v>47</v>
      </c>
      <c r="M977" s="5" t="s">
        <v>65</v>
      </c>
      <c r="N977" s="5" t="s">
        <v>66</v>
      </c>
      <c r="O977" s="12"/>
      <c r="S977" s="13">
        <v>2823</v>
      </c>
      <c r="U977" s="13">
        <v>2823</v>
      </c>
      <c r="AC977" s="10" t="s">
        <v>2331</v>
      </c>
      <c r="AD977" s="5" t="s">
        <v>2332</v>
      </c>
      <c r="AE977" s="5" t="s">
        <v>98</v>
      </c>
    </row>
    <row r="978" spans="1:31" ht="10" customHeight="1" x14ac:dyDescent="0.2">
      <c r="A978" s="5" t="s">
        <v>40</v>
      </c>
      <c r="B978" s="5" t="s">
        <v>41</v>
      </c>
      <c r="D978" s="5" t="s">
        <v>2333</v>
      </c>
      <c r="E978" s="10" t="s">
        <v>345</v>
      </c>
      <c r="F978" s="5" t="s">
        <v>104</v>
      </c>
      <c r="G978" s="5" t="s">
        <v>464</v>
      </c>
      <c r="I978" s="11">
        <v>5</v>
      </c>
      <c r="J978" s="5" t="s">
        <v>100</v>
      </c>
      <c r="K978" s="10" t="s">
        <v>46</v>
      </c>
      <c r="L978" s="5" t="s">
        <v>47</v>
      </c>
      <c r="M978" s="5" t="s">
        <v>65</v>
      </c>
      <c r="N978" s="5" t="s">
        <v>66</v>
      </c>
      <c r="O978" s="12"/>
      <c r="S978" s="13">
        <v>14517</v>
      </c>
      <c r="U978" s="13">
        <v>14517</v>
      </c>
      <c r="AC978" s="10" t="s">
        <v>2334</v>
      </c>
      <c r="AD978" s="5" t="s">
        <v>2332</v>
      </c>
      <c r="AE978" s="5" t="s">
        <v>98</v>
      </c>
    </row>
    <row r="979" spans="1:31" ht="10" customHeight="1" x14ac:dyDescent="0.2">
      <c r="A979" s="5" t="s">
        <v>40</v>
      </c>
      <c r="B979" s="5" t="s">
        <v>41</v>
      </c>
      <c r="D979" s="5" t="s">
        <v>2335</v>
      </c>
      <c r="E979" s="10" t="s">
        <v>345</v>
      </c>
      <c r="F979" s="5" t="s">
        <v>104</v>
      </c>
      <c r="G979" s="5" t="s">
        <v>464</v>
      </c>
      <c r="I979" s="11">
        <v>5</v>
      </c>
      <c r="J979" s="5" t="s">
        <v>100</v>
      </c>
      <c r="K979" s="10" t="s">
        <v>46</v>
      </c>
      <c r="L979" s="5" t="s">
        <v>47</v>
      </c>
      <c r="M979" s="5" t="s">
        <v>65</v>
      </c>
      <c r="N979" s="5" t="s">
        <v>66</v>
      </c>
      <c r="O979" s="12"/>
      <c r="S979" s="13">
        <v>99777</v>
      </c>
      <c r="U979" s="13">
        <v>99777</v>
      </c>
      <c r="AC979" s="10" t="s">
        <v>2336</v>
      </c>
      <c r="AD979" s="5" t="s">
        <v>2332</v>
      </c>
      <c r="AE979" s="5" t="s">
        <v>98</v>
      </c>
    </row>
    <row r="980" spans="1:31" ht="10" customHeight="1" x14ac:dyDescent="0.2">
      <c r="A980" s="5" t="s">
        <v>40</v>
      </c>
      <c r="B980" s="5" t="s">
        <v>41</v>
      </c>
      <c r="D980" s="5" t="s">
        <v>2337</v>
      </c>
      <c r="E980" s="10" t="s">
        <v>345</v>
      </c>
      <c r="F980" s="5" t="s">
        <v>104</v>
      </c>
      <c r="G980" s="5" t="s">
        <v>464</v>
      </c>
      <c r="I980" s="11">
        <v>5</v>
      </c>
      <c r="J980" s="5" t="s">
        <v>100</v>
      </c>
      <c r="K980" s="10" t="s">
        <v>46</v>
      </c>
      <c r="L980" s="5" t="s">
        <v>47</v>
      </c>
      <c r="M980" s="5" t="s">
        <v>65</v>
      </c>
      <c r="N980" s="5" t="s">
        <v>66</v>
      </c>
      <c r="O980" s="12"/>
      <c r="S980" s="13">
        <v>36024</v>
      </c>
      <c r="U980" s="13">
        <v>36024</v>
      </c>
      <c r="AC980" s="10" t="s">
        <v>2338</v>
      </c>
      <c r="AD980" s="5" t="s">
        <v>2339</v>
      </c>
      <c r="AE980" s="5" t="s">
        <v>98</v>
      </c>
    </row>
    <row r="981" spans="1:31" ht="10" customHeight="1" x14ac:dyDescent="0.2">
      <c r="A981" s="5" t="s">
        <v>40</v>
      </c>
      <c r="B981" s="5" t="s">
        <v>41</v>
      </c>
      <c r="D981" s="5" t="s">
        <v>2340</v>
      </c>
      <c r="E981" s="10" t="s">
        <v>345</v>
      </c>
      <c r="F981" s="5" t="s">
        <v>104</v>
      </c>
      <c r="G981" s="5" t="s">
        <v>464</v>
      </c>
      <c r="I981" s="11">
        <v>5</v>
      </c>
      <c r="J981" s="5" t="s">
        <v>100</v>
      </c>
      <c r="K981" s="10" t="s">
        <v>46</v>
      </c>
      <c r="L981" s="5" t="s">
        <v>47</v>
      </c>
      <c r="M981" s="5" t="s">
        <v>65</v>
      </c>
      <c r="N981" s="5" t="s">
        <v>66</v>
      </c>
      <c r="O981" s="12"/>
      <c r="S981" s="13">
        <v>2587</v>
      </c>
      <c r="U981" s="13">
        <v>2587</v>
      </c>
      <c r="AC981" s="10" t="s">
        <v>2341</v>
      </c>
      <c r="AD981" s="5" t="s">
        <v>2339</v>
      </c>
      <c r="AE981" s="5" t="s">
        <v>98</v>
      </c>
    </row>
    <row r="982" spans="1:31" ht="10" customHeight="1" x14ac:dyDescent="0.2">
      <c r="A982" s="5" t="s">
        <v>40</v>
      </c>
      <c r="B982" s="5" t="s">
        <v>41</v>
      </c>
      <c r="D982" s="5" t="s">
        <v>2342</v>
      </c>
      <c r="E982" s="10" t="s">
        <v>345</v>
      </c>
      <c r="F982" s="5" t="s">
        <v>104</v>
      </c>
      <c r="G982" s="5" t="s">
        <v>464</v>
      </c>
      <c r="I982" s="11">
        <v>5</v>
      </c>
      <c r="J982" s="5" t="s">
        <v>100</v>
      </c>
      <c r="K982" s="10" t="s">
        <v>46</v>
      </c>
      <c r="L982" s="5" t="s">
        <v>47</v>
      </c>
      <c r="M982" s="5" t="s">
        <v>65</v>
      </c>
      <c r="N982" s="5" t="s">
        <v>66</v>
      </c>
      <c r="O982" s="12"/>
      <c r="S982" s="13">
        <v>289</v>
      </c>
      <c r="U982" s="13">
        <v>289</v>
      </c>
      <c r="AC982" s="10" t="s">
        <v>2343</v>
      </c>
      <c r="AD982" s="5" t="s">
        <v>2339</v>
      </c>
      <c r="AE982" s="5" t="s">
        <v>98</v>
      </c>
    </row>
    <row r="983" spans="1:31" ht="10" customHeight="1" x14ac:dyDescent="0.2">
      <c r="A983" s="5" t="s">
        <v>40</v>
      </c>
      <c r="B983" s="5" t="s">
        <v>41</v>
      </c>
      <c r="D983" s="5" t="s">
        <v>2344</v>
      </c>
      <c r="E983" s="10" t="s">
        <v>345</v>
      </c>
      <c r="F983" s="5" t="s">
        <v>104</v>
      </c>
      <c r="G983" s="5" t="s">
        <v>464</v>
      </c>
      <c r="I983" s="11">
        <v>5</v>
      </c>
      <c r="J983" s="5" t="s">
        <v>100</v>
      </c>
      <c r="K983" s="10" t="s">
        <v>46</v>
      </c>
      <c r="L983" s="5" t="s">
        <v>47</v>
      </c>
      <c r="M983" s="5" t="s">
        <v>65</v>
      </c>
      <c r="N983" s="5" t="s">
        <v>66</v>
      </c>
      <c r="O983" s="12"/>
      <c r="P983" s="13">
        <v>10475</v>
      </c>
      <c r="S983" s="13">
        <v>12606</v>
      </c>
      <c r="U983" s="13">
        <v>12606</v>
      </c>
      <c r="AC983" s="10" t="s">
        <v>2345</v>
      </c>
      <c r="AD983" s="5" t="s">
        <v>2346</v>
      </c>
      <c r="AE983" s="5" t="s">
        <v>98</v>
      </c>
    </row>
    <row r="984" spans="1:31" ht="10" customHeight="1" x14ac:dyDescent="0.2">
      <c r="A984" s="5" t="s">
        <v>40</v>
      </c>
      <c r="B984" s="5" t="s">
        <v>41</v>
      </c>
      <c r="D984" s="5" t="s">
        <v>2347</v>
      </c>
      <c r="E984" s="10" t="s">
        <v>345</v>
      </c>
      <c r="F984" s="5" t="s">
        <v>104</v>
      </c>
      <c r="G984" s="5" t="s">
        <v>464</v>
      </c>
      <c r="I984" s="11">
        <v>5</v>
      </c>
      <c r="J984" s="5" t="s">
        <v>100</v>
      </c>
      <c r="K984" s="10" t="s">
        <v>46</v>
      </c>
      <c r="L984" s="5" t="s">
        <v>47</v>
      </c>
      <c r="M984" s="5" t="s">
        <v>65</v>
      </c>
      <c r="N984" s="5" t="s">
        <v>66</v>
      </c>
      <c r="O984" s="12"/>
      <c r="P984" s="13">
        <v>466</v>
      </c>
      <c r="S984" s="13">
        <v>548</v>
      </c>
      <c r="U984" s="13">
        <v>548</v>
      </c>
      <c r="AC984" s="10" t="s">
        <v>2348</v>
      </c>
      <c r="AD984" s="5" t="s">
        <v>2346</v>
      </c>
      <c r="AE984" s="5" t="s">
        <v>98</v>
      </c>
    </row>
    <row r="985" spans="1:31" ht="10" customHeight="1" x14ac:dyDescent="0.2">
      <c r="A985" s="5" t="s">
        <v>40</v>
      </c>
      <c r="B985" s="5" t="s">
        <v>41</v>
      </c>
      <c r="D985" s="5" t="s">
        <v>2349</v>
      </c>
      <c r="E985" s="10" t="s">
        <v>345</v>
      </c>
      <c r="F985" s="5" t="s">
        <v>104</v>
      </c>
      <c r="G985" s="5" t="s">
        <v>464</v>
      </c>
      <c r="I985" s="11">
        <v>5</v>
      </c>
      <c r="J985" s="5" t="s">
        <v>100</v>
      </c>
      <c r="K985" s="10" t="s">
        <v>46</v>
      </c>
      <c r="L985" s="5" t="s">
        <v>47</v>
      </c>
      <c r="M985" s="5" t="s">
        <v>65</v>
      </c>
      <c r="N985" s="5" t="s">
        <v>66</v>
      </c>
      <c r="O985" s="12"/>
      <c r="P985" s="13">
        <v>518</v>
      </c>
      <c r="S985" s="13">
        <v>405</v>
      </c>
      <c r="U985" s="13">
        <v>405</v>
      </c>
      <c r="AC985" s="10" t="s">
        <v>2350</v>
      </c>
      <c r="AD985" s="5" t="s">
        <v>2346</v>
      </c>
      <c r="AE985" s="5" t="s">
        <v>98</v>
      </c>
    </row>
    <row r="986" spans="1:31" ht="10" customHeight="1" x14ac:dyDescent="0.2">
      <c r="A986" s="5" t="s">
        <v>40</v>
      </c>
      <c r="B986" s="5" t="s">
        <v>41</v>
      </c>
      <c r="D986" s="5" t="s">
        <v>2351</v>
      </c>
      <c r="E986" s="10" t="s">
        <v>345</v>
      </c>
      <c r="F986" s="5" t="s">
        <v>104</v>
      </c>
      <c r="G986" s="5" t="s">
        <v>464</v>
      </c>
      <c r="I986" s="11">
        <v>5</v>
      </c>
      <c r="J986" s="5" t="s">
        <v>100</v>
      </c>
      <c r="K986" s="10" t="s">
        <v>46</v>
      </c>
      <c r="L986" s="5" t="s">
        <v>47</v>
      </c>
      <c r="M986" s="5" t="s">
        <v>65</v>
      </c>
      <c r="N986" s="5" t="s">
        <v>66</v>
      </c>
      <c r="O986" s="12"/>
      <c r="P986" s="13">
        <v>4320</v>
      </c>
      <c r="S986" s="13">
        <v>5870</v>
      </c>
      <c r="U986" s="13">
        <v>5870</v>
      </c>
      <c r="AC986" s="10" t="s">
        <v>2352</v>
      </c>
      <c r="AD986" s="5" t="s">
        <v>2346</v>
      </c>
      <c r="AE986" s="5" t="s">
        <v>98</v>
      </c>
    </row>
    <row r="987" spans="1:31" ht="10" customHeight="1" x14ac:dyDescent="0.2">
      <c r="A987" s="5" t="s">
        <v>40</v>
      </c>
      <c r="B987" s="5" t="s">
        <v>41</v>
      </c>
      <c r="D987" s="5" t="s">
        <v>2353</v>
      </c>
      <c r="E987" s="10" t="s">
        <v>345</v>
      </c>
      <c r="F987" s="5" t="s">
        <v>104</v>
      </c>
      <c r="G987" s="5" t="s">
        <v>464</v>
      </c>
      <c r="I987" s="11">
        <v>5</v>
      </c>
      <c r="J987" s="5" t="s">
        <v>100</v>
      </c>
      <c r="K987" s="10" t="s">
        <v>46</v>
      </c>
      <c r="L987" s="5" t="s">
        <v>47</v>
      </c>
      <c r="M987" s="5" t="s">
        <v>65</v>
      </c>
      <c r="N987" s="5" t="s">
        <v>66</v>
      </c>
      <c r="O987" s="12"/>
      <c r="P987" s="13">
        <v>7391</v>
      </c>
      <c r="S987" s="13">
        <v>10503</v>
      </c>
      <c r="U987" s="13">
        <v>10503</v>
      </c>
      <c r="AC987" s="10" t="s">
        <v>2354</v>
      </c>
      <c r="AD987" s="5" t="s">
        <v>2346</v>
      </c>
      <c r="AE987" s="5" t="s">
        <v>98</v>
      </c>
    </row>
    <row r="988" spans="1:31" ht="10" customHeight="1" x14ac:dyDescent="0.2">
      <c r="A988" s="5" t="s">
        <v>40</v>
      </c>
      <c r="B988" s="5" t="s">
        <v>41</v>
      </c>
      <c r="D988" s="5" t="s">
        <v>2355</v>
      </c>
      <c r="E988" s="10" t="s">
        <v>345</v>
      </c>
      <c r="F988" s="5" t="s">
        <v>104</v>
      </c>
      <c r="G988" s="5" t="s">
        <v>464</v>
      </c>
      <c r="I988" s="11">
        <v>5</v>
      </c>
      <c r="J988" s="5" t="s">
        <v>100</v>
      </c>
      <c r="K988" s="10" t="s">
        <v>46</v>
      </c>
      <c r="L988" s="5" t="s">
        <v>47</v>
      </c>
      <c r="M988" s="5" t="s">
        <v>65</v>
      </c>
      <c r="N988" s="5" t="s">
        <v>66</v>
      </c>
      <c r="O988" s="12"/>
      <c r="P988" s="13">
        <v>4103</v>
      </c>
      <c r="S988" s="13">
        <v>16823</v>
      </c>
      <c r="U988" s="13">
        <v>16823</v>
      </c>
      <c r="AC988" s="10" t="s">
        <v>2356</v>
      </c>
      <c r="AD988" s="5" t="s">
        <v>2346</v>
      </c>
      <c r="AE988" s="5" t="s">
        <v>98</v>
      </c>
    </row>
    <row r="989" spans="1:31" ht="10" customHeight="1" x14ac:dyDescent="0.2">
      <c r="A989" s="5" t="s">
        <v>40</v>
      </c>
      <c r="B989" s="5" t="s">
        <v>41</v>
      </c>
      <c r="D989" s="5" t="s">
        <v>2357</v>
      </c>
      <c r="E989" s="10" t="s">
        <v>345</v>
      </c>
      <c r="F989" s="5" t="s">
        <v>104</v>
      </c>
      <c r="G989" s="5" t="s">
        <v>464</v>
      </c>
      <c r="I989" s="11">
        <v>5</v>
      </c>
      <c r="J989" s="5" t="s">
        <v>100</v>
      </c>
      <c r="K989" s="10" t="s">
        <v>46</v>
      </c>
      <c r="L989" s="5" t="s">
        <v>47</v>
      </c>
      <c r="M989" s="5" t="s">
        <v>65</v>
      </c>
      <c r="N989" s="5" t="s">
        <v>66</v>
      </c>
      <c r="O989" s="12"/>
      <c r="P989" s="13">
        <v>10706</v>
      </c>
      <c r="S989" s="13">
        <v>12216</v>
      </c>
      <c r="U989" s="13">
        <v>12216</v>
      </c>
      <c r="AC989" s="10" t="s">
        <v>2358</v>
      </c>
      <c r="AD989" s="5" t="s">
        <v>2359</v>
      </c>
      <c r="AE989" s="5" t="s">
        <v>98</v>
      </c>
    </row>
    <row r="990" spans="1:31" ht="10" customHeight="1" x14ac:dyDescent="0.2">
      <c r="A990" s="5" t="s">
        <v>40</v>
      </c>
      <c r="B990" s="5" t="s">
        <v>41</v>
      </c>
      <c r="D990" s="5" t="s">
        <v>2360</v>
      </c>
      <c r="E990" s="10" t="s">
        <v>345</v>
      </c>
      <c r="F990" s="5" t="s">
        <v>104</v>
      </c>
      <c r="G990" s="5" t="s">
        <v>464</v>
      </c>
      <c r="I990" s="11">
        <v>5</v>
      </c>
      <c r="J990" s="5" t="s">
        <v>100</v>
      </c>
      <c r="K990" s="10" t="s">
        <v>46</v>
      </c>
      <c r="L990" s="5" t="s">
        <v>47</v>
      </c>
      <c r="M990" s="5" t="s">
        <v>65</v>
      </c>
      <c r="N990" s="5" t="s">
        <v>66</v>
      </c>
      <c r="O990" s="12"/>
      <c r="P990" s="13">
        <v>113</v>
      </c>
      <c r="S990" s="13">
        <v>142</v>
      </c>
      <c r="U990" s="13">
        <v>142</v>
      </c>
      <c r="AC990" s="10" t="s">
        <v>2361</v>
      </c>
      <c r="AD990" s="5" t="s">
        <v>2359</v>
      </c>
      <c r="AE990" s="5" t="s">
        <v>98</v>
      </c>
    </row>
    <row r="991" spans="1:31" ht="10" customHeight="1" x14ac:dyDescent="0.2">
      <c r="A991" s="5" t="s">
        <v>40</v>
      </c>
      <c r="B991" s="5" t="s">
        <v>41</v>
      </c>
      <c r="D991" s="5" t="s">
        <v>2362</v>
      </c>
      <c r="E991" s="10" t="s">
        <v>345</v>
      </c>
      <c r="F991" s="5" t="s">
        <v>104</v>
      </c>
      <c r="G991" s="5" t="s">
        <v>464</v>
      </c>
      <c r="I991" s="11">
        <v>5</v>
      </c>
      <c r="J991" s="5" t="s">
        <v>100</v>
      </c>
      <c r="K991" s="10" t="s">
        <v>46</v>
      </c>
      <c r="L991" s="5" t="s">
        <v>47</v>
      </c>
      <c r="M991" s="5" t="s">
        <v>65</v>
      </c>
      <c r="N991" s="5" t="s">
        <v>66</v>
      </c>
      <c r="O991" s="12"/>
      <c r="P991" s="13">
        <v>843</v>
      </c>
      <c r="S991" s="13">
        <v>138</v>
      </c>
      <c r="U991" s="13">
        <v>138</v>
      </c>
      <c r="AC991" s="10" t="s">
        <v>2363</v>
      </c>
      <c r="AD991" s="5" t="s">
        <v>2359</v>
      </c>
      <c r="AE991" s="5" t="s">
        <v>98</v>
      </c>
    </row>
    <row r="992" spans="1:31" ht="10" customHeight="1" x14ac:dyDescent="0.2">
      <c r="A992" s="5" t="s">
        <v>40</v>
      </c>
      <c r="B992" s="5" t="s">
        <v>41</v>
      </c>
      <c r="D992" s="5" t="s">
        <v>2364</v>
      </c>
      <c r="E992" s="10" t="s">
        <v>345</v>
      </c>
      <c r="F992" s="5" t="s">
        <v>104</v>
      </c>
      <c r="G992" s="5" t="s">
        <v>464</v>
      </c>
      <c r="I992" s="11">
        <v>5</v>
      </c>
      <c r="J992" s="5" t="s">
        <v>100</v>
      </c>
      <c r="K992" s="10" t="s">
        <v>46</v>
      </c>
      <c r="L992" s="5" t="s">
        <v>47</v>
      </c>
      <c r="M992" s="5" t="s">
        <v>65</v>
      </c>
      <c r="N992" s="5" t="s">
        <v>66</v>
      </c>
      <c r="O992" s="12"/>
      <c r="P992" s="13">
        <v>490</v>
      </c>
      <c r="S992" s="13">
        <v>675</v>
      </c>
      <c r="U992" s="13">
        <v>675</v>
      </c>
      <c r="AC992" s="10" t="s">
        <v>2365</v>
      </c>
      <c r="AD992" s="5" t="s">
        <v>2359</v>
      </c>
      <c r="AE992" s="5" t="s">
        <v>98</v>
      </c>
    </row>
    <row r="993" spans="1:31" ht="10" customHeight="1" x14ac:dyDescent="0.2">
      <c r="A993" s="5" t="s">
        <v>40</v>
      </c>
      <c r="B993" s="5" t="s">
        <v>41</v>
      </c>
      <c r="D993" s="5" t="s">
        <v>2366</v>
      </c>
      <c r="E993" s="10" t="s">
        <v>345</v>
      </c>
      <c r="F993" s="5" t="s">
        <v>104</v>
      </c>
      <c r="G993" s="5" t="s">
        <v>464</v>
      </c>
      <c r="I993" s="11">
        <v>5</v>
      </c>
      <c r="J993" s="5" t="s">
        <v>100</v>
      </c>
      <c r="K993" s="10" t="s">
        <v>46</v>
      </c>
      <c r="L993" s="5" t="s">
        <v>47</v>
      </c>
      <c r="M993" s="5" t="s">
        <v>65</v>
      </c>
      <c r="N993" s="5" t="s">
        <v>66</v>
      </c>
      <c r="O993" s="12"/>
      <c r="P993" s="13">
        <v>2327</v>
      </c>
      <c r="S993" s="13">
        <v>2723</v>
      </c>
      <c r="U993" s="13">
        <v>2723</v>
      </c>
      <c r="AC993" s="10" t="s">
        <v>2367</v>
      </c>
      <c r="AD993" s="5" t="s">
        <v>2359</v>
      </c>
      <c r="AE993" s="5" t="s">
        <v>98</v>
      </c>
    </row>
    <row r="994" spans="1:31" ht="10" customHeight="1" x14ac:dyDescent="0.2">
      <c r="A994" s="5" t="s">
        <v>40</v>
      </c>
      <c r="B994" s="5" t="s">
        <v>41</v>
      </c>
      <c r="D994" s="5" t="s">
        <v>2368</v>
      </c>
      <c r="E994" s="10" t="s">
        <v>345</v>
      </c>
      <c r="F994" s="5" t="s">
        <v>104</v>
      </c>
      <c r="G994" s="5" t="s">
        <v>464</v>
      </c>
      <c r="I994" s="11">
        <v>5</v>
      </c>
      <c r="J994" s="5" t="s">
        <v>100</v>
      </c>
      <c r="K994" s="10" t="s">
        <v>46</v>
      </c>
      <c r="L994" s="5" t="s">
        <v>47</v>
      </c>
      <c r="M994" s="5" t="s">
        <v>65</v>
      </c>
      <c r="N994" s="5" t="s">
        <v>66</v>
      </c>
      <c r="O994" s="12"/>
      <c r="P994" s="13">
        <v>175</v>
      </c>
      <c r="S994" s="13">
        <v>565</v>
      </c>
      <c r="U994" s="13">
        <v>565</v>
      </c>
      <c r="AC994" s="10" t="s">
        <v>2369</v>
      </c>
      <c r="AD994" s="5" t="s">
        <v>2359</v>
      </c>
      <c r="AE994" s="5" t="s">
        <v>98</v>
      </c>
    </row>
    <row r="995" spans="1:31" ht="10" customHeight="1" x14ac:dyDescent="0.2">
      <c r="A995" s="5" t="s">
        <v>40</v>
      </c>
      <c r="B995" s="5" t="s">
        <v>41</v>
      </c>
      <c r="D995" s="5" t="s">
        <v>2370</v>
      </c>
      <c r="E995" s="10" t="s">
        <v>345</v>
      </c>
      <c r="F995" s="5" t="s">
        <v>104</v>
      </c>
      <c r="G995" s="5" t="s">
        <v>464</v>
      </c>
      <c r="I995" s="11">
        <v>5</v>
      </c>
      <c r="J995" s="5" t="s">
        <v>100</v>
      </c>
      <c r="K995" s="10" t="s">
        <v>46</v>
      </c>
      <c r="L995" s="5" t="s">
        <v>47</v>
      </c>
      <c r="M995" s="5" t="s">
        <v>65</v>
      </c>
      <c r="N995" s="5" t="s">
        <v>66</v>
      </c>
      <c r="O995" s="12"/>
      <c r="P995" s="13">
        <v>4863</v>
      </c>
      <c r="S995" s="13">
        <v>10323</v>
      </c>
      <c r="U995" s="13">
        <v>10323</v>
      </c>
      <c r="AC995" s="10" t="s">
        <v>2371</v>
      </c>
      <c r="AD995" s="5" t="s">
        <v>2372</v>
      </c>
      <c r="AE995" s="5" t="s">
        <v>98</v>
      </c>
    </row>
    <row r="996" spans="1:31" ht="10" customHeight="1" x14ac:dyDescent="0.2">
      <c r="A996" s="5" t="s">
        <v>40</v>
      </c>
      <c r="B996" s="5" t="s">
        <v>41</v>
      </c>
      <c r="D996" s="5" t="s">
        <v>2373</v>
      </c>
      <c r="E996" s="10" t="s">
        <v>345</v>
      </c>
      <c r="F996" s="5" t="s">
        <v>104</v>
      </c>
      <c r="G996" s="5" t="s">
        <v>464</v>
      </c>
      <c r="I996" s="11">
        <v>5</v>
      </c>
      <c r="J996" s="5" t="s">
        <v>100</v>
      </c>
      <c r="K996" s="10" t="s">
        <v>46</v>
      </c>
      <c r="L996" s="5" t="s">
        <v>47</v>
      </c>
      <c r="M996" s="5" t="s">
        <v>65</v>
      </c>
      <c r="N996" s="5" t="s">
        <v>66</v>
      </c>
      <c r="O996" s="12"/>
      <c r="P996" s="13">
        <v>617</v>
      </c>
      <c r="S996" s="13">
        <v>330</v>
      </c>
      <c r="U996" s="13">
        <v>330</v>
      </c>
      <c r="AC996" s="10" t="s">
        <v>2374</v>
      </c>
      <c r="AD996" s="5" t="s">
        <v>2372</v>
      </c>
      <c r="AE996" s="5" t="s">
        <v>98</v>
      </c>
    </row>
    <row r="997" spans="1:31" ht="10" customHeight="1" x14ac:dyDescent="0.2">
      <c r="A997" s="5" t="s">
        <v>40</v>
      </c>
      <c r="B997" s="5" t="s">
        <v>41</v>
      </c>
      <c r="D997" s="5" t="s">
        <v>2375</v>
      </c>
      <c r="E997" s="10" t="s">
        <v>345</v>
      </c>
      <c r="F997" s="5" t="s">
        <v>104</v>
      </c>
      <c r="G997" s="5" t="s">
        <v>464</v>
      </c>
      <c r="I997" s="11">
        <v>5</v>
      </c>
      <c r="J997" s="5" t="s">
        <v>100</v>
      </c>
      <c r="K997" s="10" t="s">
        <v>46</v>
      </c>
      <c r="L997" s="5" t="s">
        <v>47</v>
      </c>
      <c r="M997" s="5" t="s">
        <v>65</v>
      </c>
      <c r="N997" s="5" t="s">
        <v>66</v>
      </c>
      <c r="O997" s="12"/>
      <c r="P997" s="13">
        <v>3335</v>
      </c>
      <c r="S997" s="13">
        <v>710</v>
      </c>
      <c r="U997" s="13">
        <v>710</v>
      </c>
      <c r="AC997" s="10" t="s">
        <v>2376</v>
      </c>
      <c r="AD997" s="5" t="s">
        <v>2372</v>
      </c>
      <c r="AE997" s="5" t="s">
        <v>98</v>
      </c>
    </row>
    <row r="998" spans="1:31" ht="10" customHeight="1" x14ac:dyDescent="0.2">
      <c r="A998" s="5" t="s">
        <v>40</v>
      </c>
      <c r="B998" s="5" t="s">
        <v>41</v>
      </c>
      <c r="D998" s="5" t="s">
        <v>2377</v>
      </c>
      <c r="E998" s="10" t="s">
        <v>345</v>
      </c>
      <c r="F998" s="5" t="s">
        <v>104</v>
      </c>
      <c r="G998" s="5" t="s">
        <v>464</v>
      </c>
      <c r="I998" s="11">
        <v>5</v>
      </c>
      <c r="J998" s="5" t="s">
        <v>100</v>
      </c>
      <c r="K998" s="10" t="s">
        <v>46</v>
      </c>
      <c r="L998" s="5" t="s">
        <v>47</v>
      </c>
      <c r="M998" s="5" t="s">
        <v>65</v>
      </c>
      <c r="N998" s="5" t="s">
        <v>66</v>
      </c>
      <c r="O998" s="12"/>
      <c r="P998" s="13">
        <v>262</v>
      </c>
      <c r="S998" s="13">
        <v>188</v>
      </c>
      <c r="U998" s="13">
        <v>188</v>
      </c>
      <c r="AC998" s="10" t="s">
        <v>2378</v>
      </c>
      <c r="AD998" s="5" t="s">
        <v>2372</v>
      </c>
      <c r="AE998" s="5" t="s">
        <v>98</v>
      </c>
    </row>
    <row r="999" spans="1:31" ht="10" customHeight="1" x14ac:dyDescent="0.2">
      <c r="A999" s="5" t="s">
        <v>40</v>
      </c>
      <c r="B999" s="5" t="s">
        <v>41</v>
      </c>
      <c r="D999" s="5" t="s">
        <v>2379</v>
      </c>
      <c r="E999" s="10" t="s">
        <v>345</v>
      </c>
      <c r="F999" s="5" t="s">
        <v>104</v>
      </c>
      <c r="G999" s="5" t="s">
        <v>464</v>
      </c>
      <c r="I999" s="11">
        <v>5</v>
      </c>
      <c r="J999" s="5" t="s">
        <v>100</v>
      </c>
      <c r="K999" s="10" t="s">
        <v>46</v>
      </c>
      <c r="L999" s="5" t="s">
        <v>47</v>
      </c>
      <c r="M999" s="5" t="s">
        <v>65</v>
      </c>
      <c r="N999" s="5" t="s">
        <v>66</v>
      </c>
      <c r="O999" s="12"/>
      <c r="S999" s="13">
        <v>7797</v>
      </c>
      <c r="U999" s="13">
        <v>7797</v>
      </c>
      <c r="AC999" s="10" t="s">
        <v>2380</v>
      </c>
      <c r="AD999" s="5" t="s">
        <v>2381</v>
      </c>
      <c r="AE999" s="5" t="s">
        <v>98</v>
      </c>
    </row>
    <row r="1000" spans="1:31" ht="10" customHeight="1" x14ac:dyDescent="0.2">
      <c r="A1000" s="5" t="s">
        <v>40</v>
      </c>
      <c r="B1000" s="5" t="s">
        <v>41</v>
      </c>
      <c r="D1000" s="5" t="s">
        <v>2382</v>
      </c>
      <c r="E1000" s="10" t="s">
        <v>345</v>
      </c>
      <c r="F1000" s="5" t="s">
        <v>104</v>
      </c>
      <c r="G1000" s="5" t="s">
        <v>464</v>
      </c>
      <c r="I1000" s="11">
        <v>5</v>
      </c>
      <c r="J1000" s="5" t="s">
        <v>100</v>
      </c>
      <c r="K1000" s="10" t="s">
        <v>46</v>
      </c>
      <c r="L1000" s="5" t="s">
        <v>47</v>
      </c>
      <c r="M1000" s="5" t="s">
        <v>65</v>
      </c>
      <c r="N1000" s="5" t="s">
        <v>66</v>
      </c>
      <c r="O1000" s="12"/>
      <c r="S1000" s="13">
        <v>1288</v>
      </c>
      <c r="U1000" s="13">
        <v>1288</v>
      </c>
      <c r="AC1000" s="10" t="s">
        <v>2383</v>
      </c>
      <c r="AD1000" s="5" t="s">
        <v>2381</v>
      </c>
      <c r="AE1000" s="5" t="s">
        <v>98</v>
      </c>
    </row>
    <row r="1001" spans="1:31" ht="10" customHeight="1" x14ac:dyDescent="0.2">
      <c r="A1001" s="5" t="s">
        <v>40</v>
      </c>
      <c r="B1001" s="5" t="s">
        <v>41</v>
      </c>
      <c r="D1001" s="5" t="s">
        <v>2384</v>
      </c>
      <c r="E1001" s="10" t="s">
        <v>345</v>
      </c>
      <c r="F1001" s="5" t="s">
        <v>104</v>
      </c>
      <c r="G1001" s="5" t="s">
        <v>464</v>
      </c>
      <c r="I1001" s="11">
        <v>5</v>
      </c>
      <c r="J1001" s="5" t="s">
        <v>100</v>
      </c>
      <c r="K1001" s="10" t="s">
        <v>46</v>
      </c>
      <c r="L1001" s="5" t="s">
        <v>47</v>
      </c>
      <c r="M1001" s="5" t="s">
        <v>65</v>
      </c>
      <c r="N1001" s="5" t="s">
        <v>66</v>
      </c>
      <c r="O1001" s="12"/>
      <c r="P1001" s="13">
        <v>569</v>
      </c>
      <c r="S1001" s="13">
        <v>636</v>
      </c>
      <c r="U1001" s="13">
        <v>636</v>
      </c>
      <c r="AC1001" s="10" t="s">
        <v>2385</v>
      </c>
      <c r="AD1001" s="5" t="s">
        <v>2381</v>
      </c>
      <c r="AE1001" s="5" t="s">
        <v>98</v>
      </c>
    </row>
    <row r="1002" spans="1:31" ht="10" customHeight="1" x14ac:dyDescent="0.2">
      <c r="A1002" s="5" t="s">
        <v>40</v>
      </c>
      <c r="B1002" s="5" t="s">
        <v>41</v>
      </c>
      <c r="D1002" s="5" t="s">
        <v>2386</v>
      </c>
      <c r="E1002" s="10" t="s">
        <v>345</v>
      </c>
      <c r="F1002" s="5" t="s">
        <v>104</v>
      </c>
      <c r="G1002" s="5" t="s">
        <v>464</v>
      </c>
      <c r="I1002" s="11">
        <v>5</v>
      </c>
      <c r="J1002" s="5" t="s">
        <v>100</v>
      </c>
      <c r="K1002" s="10" t="s">
        <v>46</v>
      </c>
      <c r="L1002" s="5" t="s">
        <v>47</v>
      </c>
      <c r="M1002" s="5" t="s">
        <v>65</v>
      </c>
      <c r="N1002" s="5" t="s">
        <v>66</v>
      </c>
      <c r="O1002" s="12"/>
      <c r="P1002" s="13">
        <v>1034</v>
      </c>
      <c r="S1002" s="13">
        <v>1405</v>
      </c>
      <c r="U1002" s="13">
        <v>1405</v>
      </c>
      <c r="AC1002" s="10" t="s">
        <v>2387</v>
      </c>
      <c r="AD1002" s="5" t="s">
        <v>2381</v>
      </c>
      <c r="AE1002" s="5" t="s">
        <v>98</v>
      </c>
    </row>
    <row r="1003" spans="1:31" ht="10" customHeight="1" x14ac:dyDescent="0.2">
      <c r="A1003" s="5" t="s">
        <v>40</v>
      </c>
      <c r="B1003" s="5" t="s">
        <v>41</v>
      </c>
      <c r="D1003" s="5" t="s">
        <v>2388</v>
      </c>
      <c r="E1003" s="10" t="s">
        <v>345</v>
      </c>
      <c r="F1003" s="5" t="s">
        <v>104</v>
      </c>
      <c r="G1003" s="5" t="s">
        <v>464</v>
      </c>
      <c r="I1003" s="11">
        <v>5</v>
      </c>
      <c r="J1003" s="5" t="s">
        <v>100</v>
      </c>
      <c r="K1003" s="10" t="s">
        <v>46</v>
      </c>
      <c r="L1003" s="5" t="s">
        <v>47</v>
      </c>
      <c r="M1003" s="5" t="s">
        <v>65</v>
      </c>
      <c r="N1003" s="5" t="s">
        <v>66</v>
      </c>
      <c r="O1003" s="12"/>
      <c r="P1003" s="13">
        <v>1192</v>
      </c>
      <c r="S1003" s="13">
        <v>2517</v>
      </c>
      <c r="U1003" s="13">
        <v>2517</v>
      </c>
      <c r="AC1003" s="10" t="s">
        <v>2389</v>
      </c>
      <c r="AD1003" s="5" t="s">
        <v>2381</v>
      </c>
      <c r="AE1003" s="5" t="s">
        <v>98</v>
      </c>
    </row>
    <row r="1004" spans="1:31" ht="10" customHeight="1" x14ac:dyDescent="0.2">
      <c r="A1004" s="5" t="s">
        <v>40</v>
      </c>
      <c r="B1004" s="5" t="s">
        <v>41</v>
      </c>
      <c r="D1004" s="5" t="s">
        <v>2390</v>
      </c>
      <c r="E1004" s="10" t="s">
        <v>345</v>
      </c>
      <c r="F1004" s="5" t="s">
        <v>104</v>
      </c>
      <c r="G1004" s="5" t="s">
        <v>464</v>
      </c>
      <c r="I1004" s="11">
        <v>5</v>
      </c>
      <c r="J1004" s="5" t="s">
        <v>100</v>
      </c>
      <c r="K1004" s="10" t="s">
        <v>46</v>
      </c>
      <c r="L1004" s="5" t="s">
        <v>47</v>
      </c>
      <c r="M1004" s="5" t="s">
        <v>65</v>
      </c>
      <c r="N1004" s="5" t="s">
        <v>66</v>
      </c>
      <c r="O1004" s="12"/>
      <c r="P1004" s="13">
        <v>3463</v>
      </c>
      <c r="S1004" s="13">
        <v>5420</v>
      </c>
      <c r="U1004" s="13">
        <v>5420</v>
      </c>
      <c r="AC1004" s="10" t="s">
        <v>2391</v>
      </c>
      <c r="AD1004" s="5" t="s">
        <v>2392</v>
      </c>
      <c r="AE1004" s="5" t="s">
        <v>98</v>
      </c>
    </row>
    <row r="1005" spans="1:31" ht="10" customHeight="1" x14ac:dyDescent="0.2">
      <c r="A1005" s="5" t="s">
        <v>40</v>
      </c>
      <c r="B1005" s="5" t="s">
        <v>41</v>
      </c>
      <c r="D1005" s="5" t="s">
        <v>2393</v>
      </c>
      <c r="E1005" s="10" t="s">
        <v>345</v>
      </c>
      <c r="F1005" s="5" t="s">
        <v>104</v>
      </c>
      <c r="G1005" s="5" t="s">
        <v>464</v>
      </c>
      <c r="I1005" s="11">
        <v>5</v>
      </c>
      <c r="J1005" s="5" t="s">
        <v>100</v>
      </c>
      <c r="K1005" s="10" t="s">
        <v>46</v>
      </c>
      <c r="L1005" s="5" t="s">
        <v>47</v>
      </c>
      <c r="M1005" s="5" t="s">
        <v>65</v>
      </c>
      <c r="N1005" s="5" t="s">
        <v>66</v>
      </c>
      <c r="O1005" s="12"/>
      <c r="S1005" s="13">
        <v>139</v>
      </c>
      <c r="U1005" s="13">
        <v>139</v>
      </c>
      <c r="AC1005" s="10" t="s">
        <v>2394</v>
      </c>
      <c r="AD1005" s="5" t="s">
        <v>2392</v>
      </c>
      <c r="AE1005" s="5" t="s">
        <v>98</v>
      </c>
    </row>
    <row r="1006" spans="1:31" ht="10" customHeight="1" x14ac:dyDescent="0.2">
      <c r="A1006" s="5" t="s">
        <v>40</v>
      </c>
      <c r="B1006" s="5" t="s">
        <v>41</v>
      </c>
      <c r="D1006" s="5" t="s">
        <v>2395</v>
      </c>
      <c r="E1006" s="10" t="s">
        <v>345</v>
      </c>
      <c r="F1006" s="5" t="s">
        <v>104</v>
      </c>
      <c r="G1006" s="5" t="s">
        <v>464</v>
      </c>
      <c r="I1006" s="11">
        <v>5</v>
      </c>
      <c r="J1006" s="5" t="s">
        <v>100</v>
      </c>
      <c r="K1006" s="10" t="s">
        <v>46</v>
      </c>
      <c r="L1006" s="5" t="s">
        <v>47</v>
      </c>
      <c r="M1006" s="5" t="s">
        <v>65</v>
      </c>
      <c r="N1006" s="5" t="s">
        <v>66</v>
      </c>
      <c r="O1006" s="12"/>
      <c r="P1006" s="13">
        <v>453</v>
      </c>
      <c r="S1006" s="13">
        <v>821</v>
      </c>
      <c r="U1006" s="13">
        <v>821</v>
      </c>
      <c r="AC1006" s="10" t="s">
        <v>2396</v>
      </c>
      <c r="AD1006" s="5" t="s">
        <v>2392</v>
      </c>
      <c r="AE1006" s="5" t="s">
        <v>98</v>
      </c>
    </row>
    <row r="1007" spans="1:31" ht="10" customHeight="1" x14ac:dyDescent="0.2">
      <c r="A1007" s="5" t="s">
        <v>40</v>
      </c>
      <c r="B1007" s="5" t="s">
        <v>41</v>
      </c>
      <c r="D1007" s="5" t="s">
        <v>2397</v>
      </c>
      <c r="E1007" s="10" t="s">
        <v>345</v>
      </c>
      <c r="F1007" s="5" t="s">
        <v>104</v>
      </c>
      <c r="G1007" s="5" t="s">
        <v>464</v>
      </c>
      <c r="I1007" s="11">
        <v>5</v>
      </c>
      <c r="J1007" s="5" t="s">
        <v>100</v>
      </c>
      <c r="K1007" s="10" t="s">
        <v>46</v>
      </c>
      <c r="L1007" s="5" t="s">
        <v>47</v>
      </c>
      <c r="M1007" s="5" t="s">
        <v>65</v>
      </c>
      <c r="N1007" s="5" t="s">
        <v>66</v>
      </c>
      <c r="O1007" s="12"/>
      <c r="P1007" s="13">
        <v>546</v>
      </c>
      <c r="S1007" s="13">
        <v>592</v>
      </c>
      <c r="U1007" s="13">
        <v>592</v>
      </c>
      <c r="AC1007" s="10" t="s">
        <v>2398</v>
      </c>
      <c r="AD1007" s="5" t="s">
        <v>2392</v>
      </c>
      <c r="AE1007" s="5" t="s">
        <v>98</v>
      </c>
    </row>
    <row r="1008" spans="1:31" ht="10" customHeight="1" x14ac:dyDescent="0.2">
      <c r="A1008" s="5" t="s">
        <v>40</v>
      </c>
      <c r="B1008" s="5" t="s">
        <v>41</v>
      </c>
      <c r="D1008" s="5" t="s">
        <v>2399</v>
      </c>
      <c r="E1008" s="10" t="s">
        <v>345</v>
      </c>
      <c r="F1008" s="5" t="s">
        <v>104</v>
      </c>
      <c r="G1008" s="5" t="s">
        <v>464</v>
      </c>
      <c r="I1008" s="11">
        <v>5</v>
      </c>
      <c r="J1008" s="5" t="s">
        <v>100</v>
      </c>
      <c r="K1008" s="10" t="s">
        <v>46</v>
      </c>
      <c r="L1008" s="5" t="s">
        <v>47</v>
      </c>
      <c r="M1008" s="5" t="s">
        <v>65</v>
      </c>
      <c r="N1008" s="5" t="s">
        <v>66</v>
      </c>
      <c r="O1008" s="12"/>
      <c r="P1008" s="13">
        <v>3670</v>
      </c>
      <c r="S1008" s="13">
        <v>4015</v>
      </c>
      <c r="U1008" s="13">
        <v>4015</v>
      </c>
      <c r="AC1008" s="10" t="s">
        <v>2400</v>
      </c>
      <c r="AD1008" s="5" t="s">
        <v>2392</v>
      </c>
      <c r="AE1008" s="5" t="s">
        <v>98</v>
      </c>
    </row>
    <row r="1009" spans="1:31" ht="10" customHeight="1" x14ac:dyDescent="0.2">
      <c r="A1009" s="5" t="s">
        <v>40</v>
      </c>
      <c r="B1009" s="5" t="s">
        <v>41</v>
      </c>
      <c r="D1009" s="5" t="s">
        <v>2401</v>
      </c>
      <c r="E1009" s="10" t="s">
        <v>345</v>
      </c>
      <c r="F1009" s="5" t="s">
        <v>104</v>
      </c>
      <c r="G1009" s="5" t="s">
        <v>464</v>
      </c>
      <c r="I1009" s="11">
        <v>5</v>
      </c>
      <c r="J1009" s="5" t="s">
        <v>100</v>
      </c>
      <c r="K1009" s="10" t="s">
        <v>46</v>
      </c>
      <c r="L1009" s="5" t="s">
        <v>47</v>
      </c>
      <c r="M1009" s="5" t="s">
        <v>65</v>
      </c>
      <c r="N1009" s="5" t="s">
        <v>66</v>
      </c>
      <c r="O1009" s="12"/>
      <c r="P1009" s="13">
        <v>1422</v>
      </c>
      <c r="S1009" s="13">
        <v>1659</v>
      </c>
      <c r="U1009" s="13">
        <v>1659</v>
      </c>
      <c r="AC1009" s="10" t="s">
        <v>2402</v>
      </c>
      <c r="AD1009" s="5" t="s">
        <v>2392</v>
      </c>
      <c r="AE1009" s="5" t="s">
        <v>98</v>
      </c>
    </row>
    <row r="1010" spans="1:31" ht="10" customHeight="1" x14ac:dyDescent="0.2">
      <c r="A1010" s="5" t="s">
        <v>40</v>
      </c>
      <c r="B1010" s="5" t="s">
        <v>41</v>
      </c>
      <c r="D1010" s="5" t="s">
        <v>2403</v>
      </c>
      <c r="E1010" s="10" t="s">
        <v>345</v>
      </c>
      <c r="F1010" s="5" t="s">
        <v>104</v>
      </c>
      <c r="G1010" s="5" t="s">
        <v>464</v>
      </c>
      <c r="I1010" s="11">
        <v>5</v>
      </c>
      <c r="J1010" s="5" t="s">
        <v>100</v>
      </c>
      <c r="K1010" s="10" t="s">
        <v>46</v>
      </c>
      <c r="L1010" s="5" t="s">
        <v>47</v>
      </c>
      <c r="M1010" s="5" t="s">
        <v>65</v>
      </c>
      <c r="N1010" s="5" t="s">
        <v>66</v>
      </c>
      <c r="O1010" s="12"/>
      <c r="P1010" s="13">
        <v>3427</v>
      </c>
      <c r="S1010" s="13">
        <v>1801</v>
      </c>
      <c r="U1010" s="13">
        <v>1801</v>
      </c>
      <c r="AC1010" s="10" t="s">
        <v>2404</v>
      </c>
      <c r="AD1010" s="5" t="s">
        <v>2405</v>
      </c>
      <c r="AE1010" s="5" t="s">
        <v>98</v>
      </c>
    </row>
    <row r="1011" spans="1:31" ht="10" customHeight="1" x14ac:dyDescent="0.2">
      <c r="A1011" s="5" t="s">
        <v>40</v>
      </c>
      <c r="B1011" s="5" t="s">
        <v>41</v>
      </c>
      <c r="D1011" s="5" t="s">
        <v>2406</v>
      </c>
      <c r="E1011" s="10" t="s">
        <v>345</v>
      </c>
      <c r="F1011" s="5" t="s">
        <v>104</v>
      </c>
      <c r="G1011" s="5" t="s">
        <v>464</v>
      </c>
      <c r="I1011" s="11">
        <v>5</v>
      </c>
      <c r="J1011" s="5" t="s">
        <v>100</v>
      </c>
      <c r="K1011" s="10" t="s">
        <v>46</v>
      </c>
      <c r="L1011" s="5" t="s">
        <v>47</v>
      </c>
      <c r="M1011" s="5" t="s">
        <v>65</v>
      </c>
      <c r="N1011" s="5" t="s">
        <v>66</v>
      </c>
      <c r="O1011" s="12"/>
      <c r="P1011" s="13">
        <v>356</v>
      </c>
      <c r="S1011" s="13">
        <v>348</v>
      </c>
      <c r="U1011" s="13">
        <v>348</v>
      </c>
      <c r="AC1011" s="10" t="s">
        <v>2407</v>
      </c>
      <c r="AD1011" s="5" t="s">
        <v>2405</v>
      </c>
      <c r="AE1011" s="5" t="s">
        <v>98</v>
      </c>
    </row>
    <row r="1012" spans="1:31" ht="10" customHeight="1" x14ac:dyDescent="0.2">
      <c r="A1012" s="5" t="s">
        <v>40</v>
      </c>
      <c r="B1012" s="5" t="s">
        <v>41</v>
      </c>
      <c r="D1012" s="5" t="s">
        <v>2408</v>
      </c>
      <c r="E1012" s="10" t="s">
        <v>345</v>
      </c>
      <c r="F1012" s="5" t="s">
        <v>104</v>
      </c>
      <c r="G1012" s="5" t="s">
        <v>464</v>
      </c>
      <c r="I1012" s="11">
        <v>5</v>
      </c>
      <c r="J1012" s="5" t="s">
        <v>100</v>
      </c>
      <c r="K1012" s="10" t="s">
        <v>46</v>
      </c>
      <c r="L1012" s="5" t="s">
        <v>47</v>
      </c>
      <c r="M1012" s="5" t="s">
        <v>65</v>
      </c>
      <c r="N1012" s="5" t="s">
        <v>66</v>
      </c>
      <c r="O1012" s="12"/>
      <c r="P1012" s="13">
        <v>1514</v>
      </c>
      <c r="S1012" s="13">
        <v>1711</v>
      </c>
      <c r="U1012" s="13">
        <v>1711</v>
      </c>
      <c r="AC1012" s="10" t="s">
        <v>2409</v>
      </c>
      <c r="AD1012" s="5" t="s">
        <v>2405</v>
      </c>
      <c r="AE1012" s="5" t="s">
        <v>98</v>
      </c>
    </row>
    <row r="1013" spans="1:31" ht="10" customHeight="1" x14ac:dyDescent="0.2">
      <c r="A1013" s="5" t="s">
        <v>40</v>
      </c>
      <c r="B1013" s="5" t="s">
        <v>41</v>
      </c>
      <c r="D1013" s="5" t="s">
        <v>2410</v>
      </c>
      <c r="E1013" s="10" t="s">
        <v>345</v>
      </c>
      <c r="F1013" s="5" t="s">
        <v>104</v>
      </c>
      <c r="G1013" s="5" t="s">
        <v>464</v>
      </c>
      <c r="I1013" s="11">
        <v>5</v>
      </c>
      <c r="J1013" s="5" t="s">
        <v>100</v>
      </c>
      <c r="K1013" s="10" t="s">
        <v>46</v>
      </c>
      <c r="L1013" s="5" t="s">
        <v>47</v>
      </c>
      <c r="M1013" s="5" t="s">
        <v>65</v>
      </c>
      <c r="N1013" s="5" t="s">
        <v>66</v>
      </c>
      <c r="O1013" s="12"/>
      <c r="P1013" s="13">
        <v>256</v>
      </c>
      <c r="S1013" s="13">
        <v>232</v>
      </c>
      <c r="U1013" s="13">
        <v>232</v>
      </c>
      <c r="AC1013" s="10" t="s">
        <v>2411</v>
      </c>
      <c r="AD1013" s="5" t="s">
        <v>2405</v>
      </c>
      <c r="AE1013" s="5" t="s">
        <v>98</v>
      </c>
    </row>
    <row r="1014" spans="1:31" ht="10" customHeight="1" x14ac:dyDescent="0.2">
      <c r="A1014" s="5" t="s">
        <v>40</v>
      </c>
      <c r="B1014" s="5" t="s">
        <v>41</v>
      </c>
      <c r="D1014" s="5" t="s">
        <v>2412</v>
      </c>
      <c r="E1014" s="10" t="s">
        <v>345</v>
      </c>
      <c r="F1014" s="5" t="s">
        <v>104</v>
      </c>
      <c r="G1014" s="5" t="s">
        <v>464</v>
      </c>
      <c r="I1014" s="11">
        <v>5</v>
      </c>
      <c r="J1014" s="5" t="s">
        <v>100</v>
      </c>
      <c r="K1014" s="10" t="s">
        <v>46</v>
      </c>
      <c r="L1014" s="5" t="s">
        <v>47</v>
      </c>
      <c r="M1014" s="5" t="s">
        <v>65</v>
      </c>
      <c r="N1014" s="5" t="s">
        <v>66</v>
      </c>
      <c r="O1014" s="12"/>
      <c r="S1014" s="13">
        <v>31424</v>
      </c>
      <c r="U1014" s="13">
        <v>31424</v>
      </c>
      <c r="AC1014" s="10" t="s">
        <v>2413</v>
      </c>
      <c r="AD1014" s="5" t="s">
        <v>2414</v>
      </c>
      <c r="AE1014" s="5" t="s">
        <v>98</v>
      </c>
    </row>
    <row r="1015" spans="1:31" ht="10" customHeight="1" x14ac:dyDescent="0.2">
      <c r="A1015" s="5" t="s">
        <v>40</v>
      </c>
      <c r="B1015" s="5" t="s">
        <v>41</v>
      </c>
      <c r="D1015" s="5" t="s">
        <v>2415</v>
      </c>
      <c r="E1015" s="10" t="s">
        <v>345</v>
      </c>
      <c r="F1015" s="5" t="s">
        <v>104</v>
      </c>
      <c r="G1015" s="5" t="s">
        <v>464</v>
      </c>
      <c r="I1015" s="11">
        <v>5</v>
      </c>
      <c r="J1015" s="5" t="s">
        <v>100</v>
      </c>
      <c r="K1015" s="10" t="s">
        <v>46</v>
      </c>
      <c r="L1015" s="5" t="s">
        <v>47</v>
      </c>
      <c r="M1015" s="5" t="s">
        <v>65</v>
      </c>
      <c r="N1015" s="5" t="s">
        <v>66</v>
      </c>
      <c r="O1015" s="12"/>
      <c r="S1015" s="13">
        <v>116</v>
      </c>
      <c r="U1015" s="13">
        <v>116</v>
      </c>
      <c r="AC1015" s="10" t="s">
        <v>2416</v>
      </c>
      <c r="AD1015" s="5" t="s">
        <v>2414</v>
      </c>
      <c r="AE1015" s="5" t="s">
        <v>98</v>
      </c>
    </row>
    <row r="1016" spans="1:31" ht="10" customHeight="1" x14ac:dyDescent="0.2">
      <c r="A1016" s="5" t="s">
        <v>40</v>
      </c>
      <c r="B1016" s="5" t="s">
        <v>41</v>
      </c>
      <c r="D1016" s="5" t="s">
        <v>2417</v>
      </c>
      <c r="E1016" s="10" t="s">
        <v>345</v>
      </c>
      <c r="F1016" s="5" t="s">
        <v>104</v>
      </c>
      <c r="G1016" s="5" t="s">
        <v>464</v>
      </c>
      <c r="I1016" s="11">
        <v>5</v>
      </c>
      <c r="J1016" s="5" t="s">
        <v>100</v>
      </c>
      <c r="K1016" s="10" t="s">
        <v>46</v>
      </c>
      <c r="L1016" s="5" t="s">
        <v>47</v>
      </c>
      <c r="M1016" s="5" t="s">
        <v>65</v>
      </c>
      <c r="N1016" s="5" t="s">
        <v>66</v>
      </c>
      <c r="O1016" s="12"/>
      <c r="S1016" s="13">
        <v>26407</v>
      </c>
      <c r="U1016" s="13">
        <v>26407</v>
      </c>
      <c r="AC1016" s="10" t="s">
        <v>2418</v>
      </c>
      <c r="AD1016" s="5" t="s">
        <v>2414</v>
      </c>
      <c r="AE1016" s="5" t="s">
        <v>98</v>
      </c>
    </row>
    <row r="1017" spans="1:31" ht="10" customHeight="1" x14ac:dyDescent="0.2">
      <c r="A1017" s="5" t="s">
        <v>40</v>
      </c>
      <c r="B1017" s="5" t="s">
        <v>41</v>
      </c>
      <c r="D1017" s="5" t="s">
        <v>2419</v>
      </c>
      <c r="E1017" s="10" t="s">
        <v>345</v>
      </c>
      <c r="F1017" s="5" t="s">
        <v>104</v>
      </c>
      <c r="G1017" s="5" t="s">
        <v>464</v>
      </c>
      <c r="I1017" s="11">
        <v>5</v>
      </c>
      <c r="J1017" s="5" t="s">
        <v>100</v>
      </c>
      <c r="K1017" s="10" t="s">
        <v>46</v>
      </c>
      <c r="L1017" s="5" t="s">
        <v>47</v>
      </c>
      <c r="M1017" s="5" t="s">
        <v>65</v>
      </c>
      <c r="N1017" s="5" t="s">
        <v>66</v>
      </c>
      <c r="O1017" s="12"/>
      <c r="S1017" s="13">
        <v>883</v>
      </c>
      <c r="U1017" s="13">
        <v>883</v>
      </c>
      <c r="AC1017" s="10" t="s">
        <v>2420</v>
      </c>
      <c r="AD1017" s="5" t="s">
        <v>2414</v>
      </c>
      <c r="AE1017" s="5" t="s">
        <v>98</v>
      </c>
    </row>
    <row r="1018" spans="1:31" ht="10" customHeight="1" x14ac:dyDescent="0.2">
      <c r="A1018" s="5" t="s">
        <v>40</v>
      </c>
      <c r="B1018" s="5" t="s">
        <v>41</v>
      </c>
      <c r="D1018" s="5" t="s">
        <v>2421</v>
      </c>
      <c r="E1018" s="10" t="s">
        <v>345</v>
      </c>
      <c r="F1018" s="5" t="s">
        <v>104</v>
      </c>
      <c r="G1018" s="5" t="s">
        <v>464</v>
      </c>
      <c r="I1018" s="11">
        <v>5</v>
      </c>
      <c r="J1018" s="5" t="s">
        <v>100</v>
      </c>
      <c r="K1018" s="10" t="s">
        <v>46</v>
      </c>
      <c r="L1018" s="5" t="s">
        <v>47</v>
      </c>
      <c r="M1018" s="5" t="s">
        <v>65</v>
      </c>
      <c r="N1018" s="5" t="s">
        <v>66</v>
      </c>
      <c r="O1018" s="12"/>
      <c r="S1018" s="13">
        <v>5726</v>
      </c>
      <c r="U1018" s="13">
        <v>5726</v>
      </c>
      <c r="AC1018" s="10" t="s">
        <v>2422</v>
      </c>
      <c r="AD1018" s="5" t="s">
        <v>2423</v>
      </c>
      <c r="AE1018" s="5" t="s">
        <v>98</v>
      </c>
    </row>
    <row r="1019" spans="1:31" ht="10" customHeight="1" x14ac:dyDescent="0.2">
      <c r="A1019" s="5" t="s">
        <v>40</v>
      </c>
      <c r="B1019" s="5" t="s">
        <v>41</v>
      </c>
      <c r="D1019" s="5" t="s">
        <v>2424</v>
      </c>
      <c r="E1019" s="10" t="s">
        <v>345</v>
      </c>
      <c r="F1019" s="5" t="s">
        <v>104</v>
      </c>
      <c r="G1019" s="5" t="s">
        <v>464</v>
      </c>
      <c r="I1019" s="11">
        <v>5</v>
      </c>
      <c r="J1019" s="5" t="s">
        <v>100</v>
      </c>
      <c r="K1019" s="10" t="s">
        <v>46</v>
      </c>
      <c r="L1019" s="5" t="s">
        <v>47</v>
      </c>
      <c r="M1019" s="5" t="s">
        <v>65</v>
      </c>
      <c r="N1019" s="5" t="s">
        <v>66</v>
      </c>
      <c r="O1019" s="12"/>
      <c r="S1019" s="13">
        <v>194</v>
      </c>
      <c r="U1019" s="13">
        <v>194</v>
      </c>
      <c r="AC1019" s="10" t="s">
        <v>2425</v>
      </c>
      <c r="AD1019" s="5" t="s">
        <v>2423</v>
      </c>
      <c r="AE1019" s="5" t="s">
        <v>98</v>
      </c>
    </row>
    <row r="1020" spans="1:31" ht="10" customHeight="1" x14ac:dyDescent="0.2">
      <c r="A1020" s="5" t="s">
        <v>40</v>
      </c>
      <c r="B1020" s="5" t="s">
        <v>41</v>
      </c>
      <c r="D1020" s="5" t="s">
        <v>2426</v>
      </c>
      <c r="E1020" s="10" t="s">
        <v>345</v>
      </c>
      <c r="F1020" s="5" t="s">
        <v>104</v>
      </c>
      <c r="G1020" s="5" t="s">
        <v>464</v>
      </c>
      <c r="I1020" s="11">
        <v>5</v>
      </c>
      <c r="J1020" s="5" t="s">
        <v>100</v>
      </c>
      <c r="K1020" s="10" t="s">
        <v>46</v>
      </c>
      <c r="L1020" s="5" t="s">
        <v>47</v>
      </c>
      <c r="M1020" s="5" t="s">
        <v>65</v>
      </c>
      <c r="N1020" s="5" t="s">
        <v>66</v>
      </c>
      <c r="O1020" s="12"/>
      <c r="S1020" s="13">
        <v>18</v>
      </c>
      <c r="U1020" s="13">
        <v>18</v>
      </c>
      <c r="AC1020" s="10" t="s">
        <v>2427</v>
      </c>
      <c r="AD1020" s="5" t="s">
        <v>2423</v>
      </c>
      <c r="AE1020" s="5" t="s">
        <v>98</v>
      </c>
    </row>
    <row r="1021" spans="1:31" ht="10" customHeight="1" x14ac:dyDescent="0.2">
      <c r="A1021" s="5" t="s">
        <v>40</v>
      </c>
      <c r="B1021" s="5" t="s">
        <v>41</v>
      </c>
      <c r="D1021" s="5" t="s">
        <v>2428</v>
      </c>
      <c r="E1021" s="10" t="s">
        <v>345</v>
      </c>
      <c r="F1021" s="5" t="s">
        <v>104</v>
      </c>
      <c r="G1021" s="5" t="s">
        <v>464</v>
      </c>
      <c r="I1021" s="11">
        <v>5</v>
      </c>
      <c r="J1021" s="5" t="s">
        <v>100</v>
      </c>
      <c r="K1021" s="10" t="s">
        <v>46</v>
      </c>
      <c r="L1021" s="5" t="s">
        <v>47</v>
      </c>
      <c r="M1021" s="5" t="s">
        <v>65</v>
      </c>
      <c r="N1021" s="5" t="s">
        <v>66</v>
      </c>
      <c r="O1021" s="12"/>
      <c r="P1021" s="13">
        <v>101</v>
      </c>
      <c r="S1021" s="13">
        <v>60</v>
      </c>
      <c r="U1021" s="13">
        <v>60</v>
      </c>
      <c r="AC1021" s="10" t="s">
        <v>2429</v>
      </c>
      <c r="AD1021" s="5" t="s">
        <v>2423</v>
      </c>
      <c r="AE1021" s="5" t="s">
        <v>98</v>
      </c>
    </row>
    <row r="1022" spans="1:31" ht="10" customHeight="1" x14ac:dyDescent="0.2">
      <c r="A1022" s="5" t="s">
        <v>40</v>
      </c>
      <c r="B1022" s="5" t="s">
        <v>41</v>
      </c>
      <c r="D1022" s="5" t="s">
        <v>2430</v>
      </c>
      <c r="E1022" s="10" t="s">
        <v>345</v>
      </c>
      <c r="F1022" s="5" t="s">
        <v>104</v>
      </c>
      <c r="G1022" s="5" t="s">
        <v>464</v>
      </c>
      <c r="I1022" s="11">
        <v>5</v>
      </c>
      <c r="J1022" s="5" t="s">
        <v>100</v>
      </c>
      <c r="K1022" s="10" t="s">
        <v>46</v>
      </c>
      <c r="L1022" s="5" t="s">
        <v>47</v>
      </c>
      <c r="M1022" s="5" t="s">
        <v>65</v>
      </c>
      <c r="N1022" s="5" t="s">
        <v>66</v>
      </c>
      <c r="O1022" s="12"/>
      <c r="S1022" s="13">
        <v>175</v>
      </c>
      <c r="U1022" s="13">
        <v>175</v>
      </c>
      <c r="AC1022" s="10" t="s">
        <v>2431</v>
      </c>
      <c r="AD1022" s="5" t="s">
        <v>2423</v>
      </c>
      <c r="AE1022" s="5" t="s">
        <v>98</v>
      </c>
    </row>
    <row r="1023" spans="1:31" ht="10" customHeight="1" x14ac:dyDescent="0.2">
      <c r="A1023" s="5" t="s">
        <v>40</v>
      </c>
      <c r="B1023" s="5" t="s">
        <v>41</v>
      </c>
      <c r="D1023" s="5" t="s">
        <v>2432</v>
      </c>
      <c r="E1023" s="10" t="s">
        <v>345</v>
      </c>
      <c r="F1023" s="5" t="s">
        <v>104</v>
      </c>
      <c r="G1023" s="5" t="s">
        <v>464</v>
      </c>
      <c r="I1023" s="11">
        <v>5</v>
      </c>
      <c r="J1023" s="5" t="s">
        <v>100</v>
      </c>
      <c r="K1023" s="10" t="s">
        <v>46</v>
      </c>
      <c r="L1023" s="5" t="s">
        <v>47</v>
      </c>
      <c r="M1023" s="5" t="s">
        <v>65</v>
      </c>
      <c r="N1023" s="5" t="s">
        <v>66</v>
      </c>
      <c r="O1023" s="12"/>
      <c r="P1023" s="13">
        <v>109</v>
      </c>
      <c r="S1023" s="13">
        <v>40</v>
      </c>
      <c r="U1023" s="13">
        <v>40</v>
      </c>
      <c r="AC1023" s="10" t="s">
        <v>2433</v>
      </c>
      <c r="AD1023" s="5" t="s">
        <v>2423</v>
      </c>
      <c r="AE1023" s="5" t="s">
        <v>98</v>
      </c>
    </row>
    <row r="1024" spans="1:31" ht="10" customHeight="1" x14ac:dyDescent="0.2">
      <c r="A1024" s="5" t="s">
        <v>40</v>
      </c>
      <c r="B1024" s="5" t="s">
        <v>41</v>
      </c>
      <c r="D1024" s="5" t="s">
        <v>2434</v>
      </c>
      <c r="E1024" s="10" t="s">
        <v>345</v>
      </c>
      <c r="F1024" s="5" t="s">
        <v>104</v>
      </c>
      <c r="G1024" s="5" t="s">
        <v>464</v>
      </c>
      <c r="I1024" s="11">
        <v>5</v>
      </c>
      <c r="J1024" s="5" t="s">
        <v>100</v>
      </c>
      <c r="K1024" s="10" t="s">
        <v>46</v>
      </c>
      <c r="L1024" s="5" t="s">
        <v>47</v>
      </c>
      <c r="M1024" s="5" t="s">
        <v>65</v>
      </c>
      <c r="N1024" s="5" t="s">
        <v>66</v>
      </c>
      <c r="O1024" s="12"/>
      <c r="S1024" s="13">
        <v>3549</v>
      </c>
      <c r="U1024" s="13">
        <v>3549</v>
      </c>
      <c r="AC1024" s="10" t="s">
        <v>2435</v>
      </c>
      <c r="AD1024" s="5" t="s">
        <v>2436</v>
      </c>
      <c r="AE1024" s="5" t="s">
        <v>98</v>
      </c>
    </row>
    <row r="1025" spans="1:31" ht="10" customHeight="1" x14ac:dyDescent="0.2">
      <c r="A1025" s="5" t="s">
        <v>40</v>
      </c>
      <c r="B1025" s="5" t="s">
        <v>41</v>
      </c>
      <c r="D1025" s="5" t="s">
        <v>2437</v>
      </c>
      <c r="E1025" s="10" t="s">
        <v>345</v>
      </c>
      <c r="F1025" s="5" t="s">
        <v>104</v>
      </c>
      <c r="G1025" s="5" t="s">
        <v>464</v>
      </c>
      <c r="I1025" s="11">
        <v>5</v>
      </c>
      <c r="J1025" s="5" t="s">
        <v>100</v>
      </c>
      <c r="K1025" s="10" t="s">
        <v>46</v>
      </c>
      <c r="L1025" s="5" t="s">
        <v>47</v>
      </c>
      <c r="M1025" s="5" t="s">
        <v>65</v>
      </c>
      <c r="N1025" s="5" t="s">
        <v>66</v>
      </c>
      <c r="O1025" s="12"/>
      <c r="S1025" s="13">
        <v>194</v>
      </c>
      <c r="U1025" s="13">
        <v>194</v>
      </c>
      <c r="AC1025" s="10" t="s">
        <v>2438</v>
      </c>
      <c r="AD1025" s="5" t="s">
        <v>2436</v>
      </c>
      <c r="AE1025" s="5" t="s">
        <v>98</v>
      </c>
    </row>
    <row r="1026" spans="1:31" ht="10" customHeight="1" x14ac:dyDescent="0.2">
      <c r="A1026" s="5" t="s">
        <v>40</v>
      </c>
      <c r="B1026" s="5" t="s">
        <v>41</v>
      </c>
      <c r="D1026" s="5" t="s">
        <v>2439</v>
      </c>
      <c r="E1026" s="10" t="s">
        <v>345</v>
      </c>
      <c r="F1026" s="5" t="s">
        <v>104</v>
      </c>
      <c r="G1026" s="5" t="s">
        <v>464</v>
      </c>
      <c r="I1026" s="11">
        <v>5</v>
      </c>
      <c r="J1026" s="5" t="s">
        <v>100</v>
      </c>
      <c r="K1026" s="10" t="s">
        <v>46</v>
      </c>
      <c r="L1026" s="5" t="s">
        <v>47</v>
      </c>
      <c r="M1026" s="5" t="s">
        <v>65</v>
      </c>
      <c r="N1026" s="5" t="s">
        <v>66</v>
      </c>
      <c r="O1026" s="12"/>
      <c r="S1026" s="13">
        <v>50</v>
      </c>
      <c r="U1026" s="13">
        <v>50</v>
      </c>
      <c r="AC1026" s="10" t="s">
        <v>2440</v>
      </c>
      <c r="AD1026" s="5" t="s">
        <v>2436</v>
      </c>
      <c r="AE1026" s="5" t="s">
        <v>98</v>
      </c>
    </row>
    <row r="1027" spans="1:31" ht="10" customHeight="1" x14ac:dyDescent="0.2">
      <c r="A1027" s="5" t="s">
        <v>40</v>
      </c>
      <c r="B1027" s="5" t="s">
        <v>41</v>
      </c>
      <c r="D1027" s="5" t="s">
        <v>2441</v>
      </c>
      <c r="E1027" s="10" t="s">
        <v>345</v>
      </c>
      <c r="F1027" s="5" t="s">
        <v>104</v>
      </c>
      <c r="G1027" s="5" t="s">
        <v>464</v>
      </c>
      <c r="I1027" s="11">
        <v>5</v>
      </c>
      <c r="J1027" s="5" t="s">
        <v>100</v>
      </c>
      <c r="K1027" s="10" t="s">
        <v>46</v>
      </c>
      <c r="L1027" s="5" t="s">
        <v>47</v>
      </c>
      <c r="M1027" s="5" t="s">
        <v>65</v>
      </c>
      <c r="N1027" s="5" t="s">
        <v>66</v>
      </c>
      <c r="O1027" s="12"/>
      <c r="P1027" s="13">
        <v>576</v>
      </c>
      <c r="S1027" s="13">
        <v>395</v>
      </c>
      <c r="U1027" s="13">
        <v>395</v>
      </c>
      <c r="AC1027" s="10" t="s">
        <v>2442</v>
      </c>
      <c r="AD1027" s="5" t="s">
        <v>2436</v>
      </c>
      <c r="AE1027" s="5" t="s">
        <v>98</v>
      </c>
    </row>
    <row r="1028" spans="1:31" ht="10" customHeight="1" x14ac:dyDescent="0.2">
      <c r="A1028" s="5" t="s">
        <v>40</v>
      </c>
      <c r="B1028" s="5" t="s">
        <v>41</v>
      </c>
      <c r="D1028" s="5" t="s">
        <v>2443</v>
      </c>
      <c r="E1028" s="10" t="s">
        <v>345</v>
      </c>
      <c r="F1028" s="5" t="s">
        <v>104</v>
      </c>
      <c r="G1028" s="5" t="s">
        <v>464</v>
      </c>
      <c r="I1028" s="11">
        <v>5</v>
      </c>
      <c r="J1028" s="5" t="s">
        <v>100</v>
      </c>
      <c r="K1028" s="10" t="s">
        <v>46</v>
      </c>
      <c r="L1028" s="5" t="s">
        <v>47</v>
      </c>
      <c r="M1028" s="5" t="s">
        <v>65</v>
      </c>
      <c r="N1028" s="5" t="s">
        <v>66</v>
      </c>
      <c r="O1028" s="12"/>
      <c r="P1028" s="13">
        <v>123</v>
      </c>
      <c r="S1028" s="13">
        <v>115</v>
      </c>
      <c r="U1028" s="13">
        <v>115</v>
      </c>
      <c r="AC1028" s="10" t="s">
        <v>2444</v>
      </c>
      <c r="AD1028" s="5" t="s">
        <v>2436</v>
      </c>
      <c r="AE1028" s="5" t="s">
        <v>98</v>
      </c>
    </row>
    <row r="1029" spans="1:31" ht="10" customHeight="1" x14ac:dyDescent="0.2">
      <c r="A1029" s="5" t="s">
        <v>40</v>
      </c>
      <c r="B1029" s="5" t="s">
        <v>41</v>
      </c>
      <c r="D1029" s="5" t="s">
        <v>2445</v>
      </c>
      <c r="E1029" s="10" t="s">
        <v>345</v>
      </c>
      <c r="F1029" s="5" t="s">
        <v>104</v>
      </c>
      <c r="G1029" s="5" t="s">
        <v>464</v>
      </c>
      <c r="I1029" s="11">
        <v>5</v>
      </c>
      <c r="J1029" s="5" t="s">
        <v>100</v>
      </c>
      <c r="K1029" s="10" t="s">
        <v>46</v>
      </c>
      <c r="L1029" s="5" t="s">
        <v>47</v>
      </c>
      <c r="M1029" s="5" t="s">
        <v>65</v>
      </c>
      <c r="N1029" s="5" t="s">
        <v>66</v>
      </c>
      <c r="O1029" s="12"/>
      <c r="P1029" s="13">
        <v>284</v>
      </c>
      <c r="S1029" s="13">
        <v>50</v>
      </c>
      <c r="U1029" s="13">
        <v>50</v>
      </c>
      <c r="AC1029" s="10" t="s">
        <v>2446</v>
      </c>
      <c r="AD1029" s="5" t="s">
        <v>2436</v>
      </c>
      <c r="AE1029" s="5" t="s">
        <v>98</v>
      </c>
    </row>
    <row r="1030" spans="1:31" ht="10" customHeight="1" x14ac:dyDescent="0.2">
      <c r="A1030" s="5" t="s">
        <v>40</v>
      </c>
      <c r="B1030" s="5" t="s">
        <v>41</v>
      </c>
      <c r="D1030" s="5" t="s">
        <v>2447</v>
      </c>
      <c r="E1030" s="10" t="s">
        <v>345</v>
      </c>
      <c r="F1030" s="5" t="s">
        <v>104</v>
      </c>
      <c r="G1030" s="5" t="s">
        <v>464</v>
      </c>
      <c r="I1030" s="11">
        <v>5</v>
      </c>
      <c r="J1030" s="5" t="s">
        <v>100</v>
      </c>
      <c r="K1030" s="10" t="s">
        <v>46</v>
      </c>
      <c r="L1030" s="5" t="s">
        <v>47</v>
      </c>
      <c r="M1030" s="5" t="s">
        <v>65</v>
      </c>
      <c r="N1030" s="5" t="s">
        <v>66</v>
      </c>
      <c r="O1030" s="12"/>
      <c r="P1030" s="13">
        <v>27331</v>
      </c>
      <c r="S1030" s="13">
        <v>19283</v>
      </c>
      <c r="U1030" s="13">
        <v>19283</v>
      </c>
      <c r="AC1030" s="10" t="s">
        <v>2448</v>
      </c>
      <c r="AD1030" s="5" t="s">
        <v>2449</v>
      </c>
      <c r="AE1030" s="5" t="s">
        <v>98</v>
      </c>
    </row>
    <row r="1031" spans="1:31" ht="10" customHeight="1" x14ac:dyDescent="0.2">
      <c r="A1031" s="5" t="s">
        <v>40</v>
      </c>
      <c r="B1031" s="5" t="s">
        <v>41</v>
      </c>
      <c r="D1031" s="5" t="s">
        <v>2450</v>
      </c>
      <c r="E1031" s="10" t="s">
        <v>345</v>
      </c>
      <c r="F1031" s="5" t="s">
        <v>104</v>
      </c>
      <c r="G1031" s="5" t="s">
        <v>464</v>
      </c>
      <c r="I1031" s="11">
        <v>5</v>
      </c>
      <c r="J1031" s="5" t="s">
        <v>100</v>
      </c>
      <c r="K1031" s="10" t="s">
        <v>46</v>
      </c>
      <c r="L1031" s="5" t="s">
        <v>47</v>
      </c>
      <c r="M1031" s="5" t="s">
        <v>65</v>
      </c>
      <c r="N1031" s="5" t="s">
        <v>66</v>
      </c>
      <c r="O1031" s="12"/>
      <c r="P1031" s="13">
        <v>233</v>
      </c>
      <c r="S1031" s="13">
        <v>80</v>
      </c>
      <c r="U1031" s="13">
        <v>80</v>
      </c>
      <c r="AC1031" s="10" t="s">
        <v>2451</v>
      </c>
      <c r="AD1031" s="5" t="s">
        <v>2449</v>
      </c>
      <c r="AE1031" s="5" t="s">
        <v>98</v>
      </c>
    </row>
    <row r="1032" spans="1:31" ht="10" customHeight="1" x14ac:dyDescent="0.2">
      <c r="A1032" s="5" t="s">
        <v>40</v>
      </c>
      <c r="B1032" s="5" t="s">
        <v>41</v>
      </c>
      <c r="D1032" s="5" t="s">
        <v>2452</v>
      </c>
      <c r="E1032" s="10" t="s">
        <v>345</v>
      </c>
      <c r="F1032" s="5" t="s">
        <v>104</v>
      </c>
      <c r="G1032" s="5" t="s">
        <v>464</v>
      </c>
      <c r="I1032" s="11">
        <v>5</v>
      </c>
      <c r="J1032" s="5" t="s">
        <v>100</v>
      </c>
      <c r="K1032" s="10" t="s">
        <v>46</v>
      </c>
      <c r="L1032" s="5" t="s">
        <v>47</v>
      </c>
      <c r="M1032" s="5" t="s">
        <v>65</v>
      </c>
      <c r="N1032" s="5" t="s">
        <v>66</v>
      </c>
      <c r="O1032" s="12"/>
      <c r="P1032" s="13">
        <v>2024</v>
      </c>
      <c r="S1032" s="13">
        <v>2229</v>
      </c>
      <c r="U1032" s="13">
        <v>2229</v>
      </c>
      <c r="AC1032" s="10" t="s">
        <v>2453</v>
      </c>
      <c r="AD1032" s="5" t="s">
        <v>2449</v>
      </c>
      <c r="AE1032" s="5" t="s">
        <v>98</v>
      </c>
    </row>
    <row r="1033" spans="1:31" ht="10" customHeight="1" x14ac:dyDescent="0.2">
      <c r="A1033" s="5" t="s">
        <v>40</v>
      </c>
      <c r="B1033" s="5" t="s">
        <v>41</v>
      </c>
      <c r="D1033" s="5" t="s">
        <v>2454</v>
      </c>
      <c r="E1033" s="10" t="s">
        <v>345</v>
      </c>
      <c r="F1033" s="5" t="s">
        <v>104</v>
      </c>
      <c r="G1033" s="5" t="s">
        <v>464</v>
      </c>
      <c r="I1033" s="11">
        <v>5</v>
      </c>
      <c r="J1033" s="5" t="s">
        <v>100</v>
      </c>
      <c r="K1033" s="10" t="s">
        <v>46</v>
      </c>
      <c r="L1033" s="5" t="s">
        <v>47</v>
      </c>
      <c r="M1033" s="5" t="s">
        <v>65</v>
      </c>
      <c r="N1033" s="5" t="s">
        <v>66</v>
      </c>
      <c r="O1033" s="12"/>
      <c r="P1033" s="13">
        <v>5330</v>
      </c>
      <c r="S1033" s="13">
        <v>6228</v>
      </c>
      <c r="U1033" s="13">
        <v>6228</v>
      </c>
      <c r="AC1033" s="10" t="s">
        <v>2455</v>
      </c>
      <c r="AD1033" s="5" t="s">
        <v>2449</v>
      </c>
      <c r="AE1033" s="5" t="s">
        <v>98</v>
      </c>
    </row>
    <row r="1034" spans="1:31" ht="10" customHeight="1" x14ac:dyDescent="0.2">
      <c r="A1034" s="5" t="s">
        <v>40</v>
      </c>
      <c r="B1034" s="5" t="s">
        <v>41</v>
      </c>
      <c r="D1034" s="5" t="s">
        <v>2456</v>
      </c>
      <c r="E1034" s="10" t="s">
        <v>345</v>
      </c>
      <c r="F1034" s="5" t="s">
        <v>104</v>
      </c>
      <c r="G1034" s="5" t="s">
        <v>464</v>
      </c>
      <c r="I1034" s="11">
        <v>5</v>
      </c>
      <c r="J1034" s="5" t="s">
        <v>100</v>
      </c>
      <c r="K1034" s="10" t="s">
        <v>46</v>
      </c>
      <c r="L1034" s="5" t="s">
        <v>47</v>
      </c>
      <c r="M1034" s="5" t="s">
        <v>65</v>
      </c>
      <c r="N1034" s="5" t="s">
        <v>66</v>
      </c>
      <c r="O1034" s="12"/>
      <c r="P1034" s="13">
        <v>17557</v>
      </c>
      <c r="S1034" s="13">
        <v>13907</v>
      </c>
      <c r="U1034" s="13">
        <v>13907</v>
      </c>
      <c r="AC1034" s="10" t="s">
        <v>2457</v>
      </c>
      <c r="AD1034" s="5" t="s">
        <v>2449</v>
      </c>
      <c r="AE1034" s="5" t="s">
        <v>98</v>
      </c>
    </row>
    <row r="1035" spans="1:31" ht="10" customHeight="1" x14ac:dyDescent="0.2">
      <c r="A1035" s="5" t="s">
        <v>40</v>
      </c>
      <c r="B1035" s="5" t="s">
        <v>41</v>
      </c>
      <c r="D1035" s="5" t="s">
        <v>2458</v>
      </c>
      <c r="E1035" s="10" t="s">
        <v>345</v>
      </c>
      <c r="F1035" s="5" t="s">
        <v>104</v>
      </c>
      <c r="G1035" s="5" t="s">
        <v>464</v>
      </c>
      <c r="I1035" s="11">
        <v>5</v>
      </c>
      <c r="J1035" s="5" t="s">
        <v>100</v>
      </c>
      <c r="K1035" s="10" t="s">
        <v>46</v>
      </c>
      <c r="L1035" s="5" t="s">
        <v>47</v>
      </c>
      <c r="M1035" s="5" t="s">
        <v>65</v>
      </c>
      <c r="N1035" s="5" t="s">
        <v>66</v>
      </c>
      <c r="O1035" s="12"/>
      <c r="P1035" s="13">
        <v>4482</v>
      </c>
      <c r="S1035" s="13">
        <v>6855</v>
      </c>
      <c r="U1035" s="13">
        <v>6855</v>
      </c>
      <c r="AC1035" s="10" t="s">
        <v>2459</v>
      </c>
      <c r="AD1035" s="5" t="s">
        <v>2449</v>
      </c>
      <c r="AE1035" s="5" t="s">
        <v>98</v>
      </c>
    </row>
    <row r="1036" spans="1:31" ht="10" customHeight="1" x14ac:dyDescent="0.2">
      <c r="A1036" s="5" t="s">
        <v>40</v>
      </c>
      <c r="B1036" s="5" t="s">
        <v>41</v>
      </c>
      <c r="D1036" s="5" t="s">
        <v>2460</v>
      </c>
      <c r="E1036" s="10" t="s">
        <v>345</v>
      </c>
      <c r="F1036" s="5" t="s">
        <v>104</v>
      </c>
      <c r="G1036" s="5" t="s">
        <v>464</v>
      </c>
      <c r="I1036" s="11">
        <v>5</v>
      </c>
      <c r="J1036" s="5" t="s">
        <v>100</v>
      </c>
      <c r="K1036" s="10" t="s">
        <v>46</v>
      </c>
      <c r="L1036" s="5" t="s">
        <v>47</v>
      </c>
      <c r="M1036" s="5" t="s">
        <v>65</v>
      </c>
      <c r="N1036" s="5" t="s">
        <v>66</v>
      </c>
      <c r="O1036" s="12"/>
      <c r="P1036" s="13">
        <v>36023</v>
      </c>
      <c r="S1036" s="13">
        <v>58114</v>
      </c>
      <c r="U1036" s="13">
        <v>58114</v>
      </c>
      <c r="AC1036" s="10" t="s">
        <v>2461</v>
      </c>
      <c r="AD1036" s="5" t="s">
        <v>2462</v>
      </c>
      <c r="AE1036" s="5" t="s">
        <v>98</v>
      </c>
    </row>
    <row r="1037" spans="1:31" ht="10" customHeight="1" x14ac:dyDescent="0.2">
      <c r="A1037" s="5" t="s">
        <v>40</v>
      </c>
      <c r="B1037" s="5" t="s">
        <v>41</v>
      </c>
      <c r="D1037" s="5" t="s">
        <v>2463</v>
      </c>
      <c r="E1037" s="10" t="s">
        <v>345</v>
      </c>
      <c r="F1037" s="5" t="s">
        <v>104</v>
      </c>
      <c r="G1037" s="5" t="s">
        <v>464</v>
      </c>
      <c r="I1037" s="11">
        <v>5</v>
      </c>
      <c r="J1037" s="5" t="s">
        <v>100</v>
      </c>
      <c r="K1037" s="10" t="s">
        <v>46</v>
      </c>
      <c r="L1037" s="5" t="s">
        <v>47</v>
      </c>
      <c r="M1037" s="5" t="s">
        <v>65</v>
      </c>
      <c r="N1037" s="5" t="s">
        <v>66</v>
      </c>
      <c r="O1037" s="12"/>
      <c r="P1037" s="13">
        <v>61</v>
      </c>
      <c r="S1037" s="13">
        <v>390</v>
      </c>
      <c r="U1037" s="13">
        <v>390</v>
      </c>
      <c r="AC1037" s="10" t="s">
        <v>2464</v>
      </c>
      <c r="AD1037" s="5" t="s">
        <v>2462</v>
      </c>
      <c r="AE1037" s="5" t="s">
        <v>98</v>
      </c>
    </row>
    <row r="1038" spans="1:31" ht="10" customHeight="1" x14ac:dyDescent="0.2">
      <c r="A1038" s="5" t="s">
        <v>40</v>
      </c>
      <c r="B1038" s="5" t="s">
        <v>41</v>
      </c>
      <c r="D1038" s="5" t="s">
        <v>2465</v>
      </c>
      <c r="E1038" s="10" t="s">
        <v>345</v>
      </c>
      <c r="F1038" s="5" t="s">
        <v>104</v>
      </c>
      <c r="G1038" s="5" t="s">
        <v>464</v>
      </c>
      <c r="I1038" s="11">
        <v>5</v>
      </c>
      <c r="J1038" s="5" t="s">
        <v>100</v>
      </c>
      <c r="K1038" s="10" t="s">
        <v>46</v>
      </c>
      <c r="L1038" s="5" t="s">
        <v>47</v>
      </c>
      <c r="M1038" s="5" t="s">
        <v>65</v>
      </c>
      <c r="N1038" s="5" t="s">
        <v>66</v>
      </c>
      <c r="O1038" s="12"/>
      <c r="P1038" s="13">
        <v>95</v>
      </c>
      <c r="S1038" s="13">
        <v>59</v>
      </c>
      <c r="U1038" s="13">
        <v>59</v>
      </c>
      <c r="AC1038" s="10" t="s">
        <v>2466</v>
      </c>
      <c r="AD1038" s="5" t="s">
        <v>2462</v>
      </c>
      <c r="AE1038" s="5" t="s">
        <v>98</v>
      </c>
    </row>
    <row r="1039" spans="1:31" ht="10" customHeight="1" x14ac:dyDescent="0.2">
      <c r="A1039" s="5" t="s">
        <v>40</v>
      </c>
      <c r="B1039" s="5" t="s">
        <v>41</v>
      </c>
      <c r="D1039" s="5" t="s">
        <v>2467</v>
      </c>
      <c r="E1039" s="10" t="s">
        <v>345</v>
      </c>
      <c r="F1039" s="5" t="s">
        <v>104</v>
      </c>
      <c r="G1039" s="5" t="s">
        <v>464</v>
      </c>
      <c r="I1039" s="11">
        <v>5</v>
      </c>
      <c r="J1039" s="5" t="s">
        <v>100</v>
      </c>
      <c r="K1039" s="10" t="s">
        <v>46</v>
      </c>
      <c r="L1039" s="5" t="s">
        <v>47</v>
      </c>
      <c r="M1039" s="5" t="s">
        <v>65</v>
      </c>
      <c r="N1039" s="5" t="s">
        <v>66</v>
      </c>
      <c r="O1039" s="12"/>
      <c r="P1039" s="13">
        <v>198</v>
      </c>
      <c r="S1039" s="13">
        <v>594</v>
      </c>
      <c r="U1039" s="13">
        <v>594</v>
      </c>
      <c r="AC1039" s="10" t="s">
        <v>2468</v>
      </c>
      <c r="AD1039" s="5" t="s">
        <v>2462</v>
      </c>
      <c r="AE1039" s="5" t="s">
        <v>98</v>
      </c>
    </row>
    <row r="1040" spans="1:31" ht="10" customHeight="1" x14ac:dyDescent="0.2">
      <c r="A1040" s="5" t="s">
        <v>40</v>
      </c>
      <c r="B1040" s="5" t="s">
        <v>41</v>
      </c>
      <c r="D1040" s="5" t="s">
        <v>2469</v>
      </c>
      <c r="E1040" s="10" t="s">
        <v>345</v>
      </c>
      <c r="F1040" s="5" t="s">
        <v>104</v>
      </c>
      <c r="G1040" s="5" t="s">
        <v>464</v>
      </c>
      <c r="I1040" s="11">
        <v>5</v>
      </c>
      <c r="J1040" s="5" t="s">
        <v>100</v>
      </c>
      <c r="K1040" s="10" t="s">
        <v>46</v>
      </c>
      <c r="L1040" s="5" t="s">
        <v>47</v>
      </c>
      <c r="M1040" s="5" t="s">
        <v>65</v>
      </c>
      <c r="N1040" s="5" t="s">
        <v>66</v>
      </c>
      <c r="O1040" s="12"/>
      <c r="P1040" s="13">
        <v>5314</v>
      </c>
      <c r="S1040" s="13">
        <v>5867</v>
      </c>
      <c r="U1040" s="13">
        <v>5867</v>
      </c>
      <c r="AC1040" s="10" t="s">
        <v>2470</v>
      </c>
      <c r="AD1040" s="5" t="s">
        <v>2462</v>
      </c>
      <c r="AE1040" s="5" t="s">
        <v>98</v>
      </c>
    </row>
    <row r="1041" spans="1:31" ht="10" customHeight="1" x14ac:dyDescent="0.2">
      <c r="A1041" s="5" t="s">
        <v>40</v>
      </c>
      <c r="B1041" s="5" t="s">
        <v>41</v>
      </c>
      <c r="D1041" s="5" t="s">
        <v>2471</v>
      </c>
      <c r="E1041" s="10" t="s">
        <v>345</v>
      </c>
      <c r="F1041" s="5" t="s">
        <v>104</v>
      </c>
      <c r="G1041" s="5" t="s">
        <v>464</v>
      </c>
      <c r="I1041" s="11">
        <v>5</v>
      </c>
      <c r="J1041" s="5" t="s">
        <v>100</v>
      </c>
      <c r="K1041" s="10" t="s">
        <v>46</v>
      </c>
      <c r="L1041" s="5" t="s">
        <v>47</v>
      </c>
      <c r="M1041" s="5" t="s">
        <v>65</v>
      </c>
      <c r="N1041" s="5" t="s">
        <v>66</v>
      </c>
      <c r="O1041" s="12"/>
      <c r="P1041" s="13">
        <v>8777</v>
      </c>
      <c r="S1041" s="13">
        <v>14431</v>
      </c>
      <c r="U1041" s="13">
        <v>14431</v>
      </c>
      <c r="AC1041" s="10" t="s">
        <v>2472</v>
      </c>
      <c r="AD1041" s="5" t="s">
        <v>2462</v>
      </c>
      <c r="AE1041" s="5" t="s">
        <v>98</v>
      </c>
    </row>
    <row r="1042" spans="1:31" ht="10" customHeight="1" x14ac:dyDescent="0.2">
      <c r="A1042" s="5" t="s">
        <v>40</v>
      </c>
      <c r="B1042" s="5" t="s">
        <v>41</v>
      </c>
      <c r="D1042" s="5" t="s">
        <v>2473</v>
      </c>
      <c r="E1042" s="10" t="s">
        <v>345</v>
      </c>
      <c r="F1042" s="5" t="s">
        <v>104</v>
      </c>
      <c r="G1042" s="5" t="s">
        <v>464</v>
      </c>
      <c r="I1042" s="11">
        <v>5</v>
      </c>
      <c r="J1042" s="5" t="s">
        <v>100</v>
      </c>
      <c r="K1042" s="10" t="s">
        <v>46</v>
      </c>
      <c r="L1042" s="5" t="s">
        <v>47</v>
      </c>
      <c r="M1042" s="5" t="s">
        <v>65</v>
      </c>
      <c r="N1042" s="5" t="s">
        <v>66</v>
      </c>
      <c r="O1042" s="12"/>
      <c r="P1042" s="13">
        <v>7202</v>
      </c>
      <c r="S1042" s="13">
        <v>11516</v>
      </c>
      <c r="U1042" s="13">
        <v>11516</v>
      </c>
      <c r="AC1042" s="10" t="s">
        <v>2474</v>
      </c>
      <c r="AD1042" s="5" t="s">
        <v>2462</v>
      </c>
      <c r="AE1042" s="5" t="s">
        <v>98</v>
      </c>
    </row>
    <row r="1043" spans="1:31" ht="10" customHeight="1" x14ac:dyDescent="0.2">
      <c r="A1043" s="5" t="s">
        <v>40</v>
      </c>
      <c r="B1043" s="5" t="s">
        <v>41</v>
      </c>
      <c r="D1043" s="5" t="s">
        <v>2475</v>
      </c>
      <c r="E1043" s="10" t="s">
        <v>345</v>
      </c>
      <c r="F1043" s="5" t="s">
        <v>104</v>
      </c>
      <c r="G1043" s="5" t="s">
        <v>464</v>
      </c>
      <c r="I1043" s="11">
        <v>5</v>
      </c>
      <c r="J1043" s="5" t="s">
        <v>100</v>
      </c>
      <c r="K1043" s="10" t="s">
        <v>46</v>
      </c>
      <c r="L1043" s="5" t="s">
        <v>47</v>
      </c>
      <c r="M1043" s="5" t="s">
        <v>65</v>
      </c>
      <c r="N1043" s="5" t="s">
        <v>66</v>
      </c>
      <c r="O1043" s="12"/>
      <c r="P1043" s="13">
        <v>20147</v>
      </c>
      <c r="S1043" s="13">
        <v>21585</v>
      </c>
      <c r="U1043" s="13">
        <v>21585</v>
      </c>
      <c r="AC1043" s="10" t="s">
        <v>2476</v>
      </c>
      <c r="AD1043" s="5" t="s">
        <v>2477</v>
      </c>
      <c r="AE1043" s="5" t="s">
        <v>98</v>
      </c>
    </row>
    <row r="1044" spans="1:31" ht="10" customHeight="1" x14ac:dyDescent="0.2">
      <c r="A1044" s="5" t="s">
        <v>40</v>
      </c>
      <c r="B1044" s="5" t="s">
        <v>41</v>
      </c>
      <c r="D1044" s="5" t="s">
        <v>2478</v>
      </c>
      <c r="E1044" s="10" t="s">
        <v>345</v>
      </c>
      <c r="F1044" s="5" t="s">
        <v>104</v>
      </c>
      <c r="G1044" s="5" t="s">
        <v>464</v>
      </c>
      <c r="I1044" s="11">
        <v>5</v>
      </c>
      <c r="J1044" s="5" t="s">
        <v>100</v>
      </c>
      <c r="K1044" s="10" t="s">
        <v>46</v>
      </c>
      <c r="L1044" s="5" t="s">
        <v>47</v>
      </c>
      <c r="M1044" s="5" t="s">
        <v>65</v>
      </c>
      <c r="N1044" s="5" t="s">
        <v>66</v>
      </c>
      <c r="O1044" s="12"/>
      <c r="S1044" s="13">
        <v>613</v>
      </c>
      <c r="U1044" s="13">
        <v>613</v>
      </c>
      <c r="AC1044" s="10" t="s">
        <v>2479</v>
      </c>
      <c r="AD1044" s="5" t="s">
        <v>2477</v>
      </c>
      <c r="AE1044" s="5" t="s">
        <v>98</v>
      </c>
    </row>
    <row r="1045" spans="1:31" ht="10" customHeight="1" x14ac:dyDescent="0.2">
      <c r="A1045" s="5" t="s">
        <v>40</v>
      </c>
      <c r="B1045" s="5" t="s">
        <v>41</v>
      </c>
      <c r="D1045" s="5" t="s">
        <v>2480</v>
      </c>
      <c r="E1045" s="10" t="s">
        <v>345</v>
      </c>
      <c r="F1045" s="5" t="s">
        <v>104</v>
      </c>
      <c r="G1045" s="5" t="s">
        <v>464</v>
      </c>
      <c r="I1045" s="11">
        <v>5</v>
      </c>
      <c r="J1045" s="5" t="s">
        <v>100</v>
      </c>
      <c r="K1045" s="10" t="s">
        <v>46</v>
      </c>
      <c r="L1045" s="5" t="s">
        <v>47</v>
      </c>
      <c r="M1045" s="5" t="s">
        <v>65</v>
      </c>
      <c r="N1045" s="5" t="s">
        <v>66</v>
      </c>
      <c r="O1045" s="12"/>
      <c r="S1045" s="13">
        <v>81</v>
      </c>
      <c r="U1045" s="13">
        <v>81</v>
      </c>
      <c r="AC1045" s="10" t="s">
        <v>2481</v>
      </c>
      <c r="AD1045" s="5" t="s">
        <v>2477</v>
      </c>
      <c r="AE1045" s="5" t="s">
        <v>98</v>
      </c>
    </row>
    <row r="1046" spans="1:31" ht="10" customHeight="1" x14ac:dyDescent="0.2">
      <c r="A1046" s="5" t="s">
        <v>40</v>
      </c>
      <c r="B1046" s="5" t="s">
        <v>41</v>
      </c>
      <c r="D1046" s="5" t="s">
        <v>2482</v>
      </c>
      <c r="E1046" s="10" t="s">
        <v>345</v>
      </c>
      <c r="F1046" s="5" t="s">
        <v>104</v>
      </c>
      <c r="G1046" s="5" t="s">
        <v>464</v>
      </c>
      <c r="I1046" s="11">
        <v>5</v>
      </c>
      <c r="J1046" s="5" t="s">
        <v>100</v>
      </c>
      <c r="K1046" s="10" t="s">
        <v>46</v>
      </c>
      <c r="L1046" s="5" t="s">
        <v>47</v>
      </c>
      <c r="M1046" s="5" t="s">
        <v>65</v>
      </c>
      <c r="N1046" s="5" t="s">
        <v>66</v>
      </c>
      <c r="O1046" s="12"/>
      <c r="S1046" s="13">
        <v>1360</v>
      </c>
      <c r="U1046" s="13">
        <v>1360</v>
      </c>
      <c r="AC1046" s="10" t="s">
        <v>2483</v>
      </c>
      <c r="AD1046" s="5" t="s">
        <v>2477</v>
      </c>
      <c r="AE1046" s="5" t="s">
        <v>98</v>
      </c>
    </row>
    <row r="1047" spans="1:31" ht="10" customHeight="1" x14ac:dyDescent="0.2">
      <c r="A1047" s="5" t="s">
        <v>40</v>
      </c>
      <c r="B1047" s="5" t="s">
        <v>41</v>
      </c>
      <c r="D1047" s="5" t="s">
        <v>2484</v>
      </c>
      <c r="E1047" s="10" t="s">
        <v>345</v>
      </c>
      <c r="F1047" s="5" t="s">
        <v>104</v>
      </c>
      <c r="G1047" s="5" t="s">
        <v>464</v>
      </c>
      <c r="I1047" s="11">
        <v>5</v>
      </c>
      <c r="J1047" s="5" t="s">
        <v>100</v>
      </c>
      <c r="K1047" s="10" t="s">
        <v>46</v>
      </c>
      <c r="L1047" s="5" t="s">
        <v>47</v>
      </c>
      <c r="M1047" s="5" t="s">
        <v>65</v>
      </c>
      <c r="N1047" s="5" t="s">
        <v>66</v>
      </c>
      <c r="O1047" s="12"/>
      <c r="P1047" s="13">
        <v>595</v>
      </c>
      <c r="S1047" s="13">
        <v>1301</v>
      </c>
      <c r="U1047" s="13">
        <v>1301</v>
      </c>
      <c r="AC1047" s="10" t="s">
        <v>2485</v>
      </c>
      <c r="AD1047" s="5" t="s">
        <v>2477</v>
      </c>
      <c r="AE1047" s="5" t="s">
        <v>98</v>
      </c>
    </row>
    <row r="1048" spans="1:31" ht="10" customHeight="1" x14ac:dyDescent="0.2">
      <c r="A1048" s="5" t="s">
        <v>40</v>
      </c>
      <c r="B1048" s="5" t="s">
        <v>41</v>
      </c>
      <c r="D1048" s="5" t="s">
        <v>2486</v>
      </c>
      <c r="E1048" s="10" t="s">
        <v>345</v>
      </c>
      <c r="F1048" s="5" t="s">
        <v>104</v>
      </c>
      <c r="G1048" s="5" t="s">
        <v>464</v>
      </c>
      <c r="I1048" s="11">
        <v>5</v>
      </c>
      <c r="J1048" s="5" t="s">
        <v>100</v>
      </c>
      <c r="K1048" s="10" t="s">
        <v>46</v>
      </c>
      <c r="L1048" s="5" t="s">
        <v>47</v>
      </c>
      <c r="M1048" s="5" t="s">
        <v>65</v>
      </c>
      <c r="N1048" s="5" t="s">
        <v>66</v>
      </c>
      <c r="O1048" s="12"/>
      <c r="P1048" s="13">
        <v>6722</v>
      </c>
      <c r="S1048" s="13">
        <v>7986</v>
      </c>
      <c r="U1048" s="13">
        <v>7986</v>
      </c>
      <c r="AC1048" s="10" t="s">
        <v>2487</v>
      </c>
      <c r="AD1048" s="5" t="s">
        <v>2477</v>
      </c>
      <c r="AE1048" s="5" t="s">
        <v>98</v>
      </c>
    </row>
    <row r="1049" spans="1:31" ht="10" customHeight="1" x14ac:dyDescent="0.2">
      <c r="A1049" s="5" t="s">
        <v>40</v>
      </c>
      <c r="B1049" s="5" t="s">
        <v>41</v>
      </c>
      <c r="D1049" s="5" t="s">
        <v>2488</v>
      </c>
      <c r="E1049" s="10" t="s">
        <v>345</v>
      </c>
      <c r="F1049" s="5" t="s">
        <v>104</v>
      </c>
      <c r="G1049" s="5" t="s">
        <v>464</v>
      </c>
      <c r="I1049" s="11">
        <v>5</v>
      </c>
      <c r="J1049" s="5" t="s">
        <v>100</v>
      </c>
      <c r="K1049" s="10" t="s">
        <v>46</v>
      </c>
      <c r="L1049" s="5" t="s">
        <v>47</v>
      </c>
      <c r="M1049" s="5" t="s">
        <v>65</v>
      </c>
      <c r="N1049" s="5" t="s">
        <v>66</v>
      </c>
      <c r="O1049" s="12"/>
      <c r="P1049" s="13">
        <v>187</v>
      </c>
      <c r="S1049" s="13">
        <v>2198</v>
      </c>
      <c r="U1049" s="13">
        <v>2198</v>
      </c>
      <c r="AC1049" s="10" t="s">
        <v>2489</v>
      </c>
      <c r="AD1049" s="5" t="s">
        <v>2477</v>
      </c>
      <c r="AE1049" s="5" t="s">
        <v>98</v>
      </c>
    </row>
    <row r="1050" spans="1:31" ht="10" customHeight="1" x14ac:dyDescent="0.2">
      <c r="A1050" s="5" t="s">
        <v>40</v>
      </c>
      <c r="B1050" s="5" t="s">
        <v>41</v>
      </c>
      <c r="D1050" s="5" t="s">
        <v>2490</v>
      </c>
      <c r="E1050" s="10" t="s">
        <v>345</v>
      </c>
      <c r="F1050" s="5" t="s">
        <v>104</v>
      </c>
      <c r="G1050" s="5" t="s">
        <v>464</v>
      </c>
      <c r="I1050" s="11">
        <v>5</v>
      </c>
      <c r="J1050" s="5" t="s">
        <v>100</v>
      </c>
      <c r="K1050" s="10" t="s">
        <v>46</v>
      </c>
      <c r="L1050" s="5" t="s">
        <v>47</v>
      </c>
      <c r="M1050" s="5" t="s">
        <v>65</v>
      </c>
      <c r="N1050" s="5" t="s">
        <v>66</v>
      </c>
      <c r="O1050" s="12"/>
      <c r="P1050" s="13">
        <v>13225</v>
      </c>
      <c r="S1050" s="13">
        <v>22330</v>
      </c>
      <c r="U1050" s="13">
        <v>22330</v>
      </c>
      <c r="AC1050" s="10" t="s">
        <v>2491</v>
      </c>
      <c r="AD1050" s="5" t="s">
        <v>2492</v>
      </c>
      <c r="AE1050" s="5" t="s">
        <v>98</v>
      </c>
    </row>
    <row r="1051" spans="1:31" ht="10" customHeight="1" x14ac:dyDescent="0.2">
      <c r="A1051" s="5" t="s">
        <v>40</v>
      </c>
      <c r="B1051" s="5" t="s">
        <v>41</v>
      </c>
      <c r="D1051" s="5" t="s">
        <v>2493</v>
      </c>
      <c r="E1051" s="10" t="s">
        <v>345</v>
      </c>
      <c r="F1051" s="5" t="s">
        <v>104</v>
      </c>
      <c r="G1051" s="5" t="s">
        <v>464</v>
      </c>
      <c r="I1051" s="11">
        <v>5</v>
      </c>
      <c r="J1051" s="5" t="s">
        <v>100</v>
      </c>
      <c r="K1051" s="10" t="s">
        <v>46</v>
      </c>
      <c r="L1051" s="5" t="s">
        <v>47</v>
      </c>
      <c r="M1051" s="5" t="s">
        <v>65</v>
      </c>
      <c r="N1051" s="5" t="s">
        <v>66</v>
      </c>
      <c r="O1051" s="12"/>
      <c r="P1051" s="13">
        <v>198</v>
      </c>
      <c r="S1051" s="13">
        <v>217</v>
      </c>
      <c r="U1051" s="13">
        <v>217</v>
      </c>
      <c r="AC1051" s="10" t="s">
        <v>2494</v>
      </c>
      <c r="AD1051" s="5" t="s">
        <v>2492</v>
      </c>
      <c r="AE1051" s="5" t="s">
        <v>98</v>
      </c>
    </row>
    <row r="1052" spans="1:31" ht="10" customHeight="1" x14ac:dyDescent="0.2">
      <c r="A1052" s="5" t="s">
        <v>40</v>
      </c>
      <c r="B1052" s="5" t="s">
        <v>41</v>
      </c>
      <c r="D1052" s="5" t="s">
        <v>2495</v>
      </c>
      <c r="E1052" s="10" t="s">
        <v>345</v>
      </c>
      <c r="F1052" s="5" t="s">
        <v>104</v>
      </c>
      <c r="G1052" s="5" t="s">
        <v>464</v>
      </c>
      <c r="I1052" s="11">
        <v>5</v>
      </c>
      <c r="J1052" s="5" t="s">
        <v>100</v>
      </c>
      <c r="K1052" s="10" t="s">
        <v>46</v>
      </c>
      <c r="L1052" s="5" t="s">
        <v>47</v>
      </c>
      <c r="M1052" s="5" t="s">
        <v>65</v>
      </c>
      <c r="N1052" s="5" t="s">
        <v>66</v>
      </c>
      <c r="O1052" s="12"/>
      <c r="P1052" s="13">
        <v>1260</v>
      </c>
      <c r="S1052" s="13">
        <v>1819</v>
      </c>
      <c r="U1052" s="13">
        <v>1819</v>
      </c>
      <c r="AC1052" s="10" t="s">
        <v>2496</v>
      </c>
      <c r="AD1052" s="5" t="s">
        <v>2492</v>
      </c>
      <c r="AE1052" s="5" t="s">
        <v>98</v>
      </c>
    </row>
    <row r="1053" spans="1:31" ht="10" customHeight="1" x14ac:dyDescent="0.2">
      <c r="A1053" s="5" t="s">
        <v>40</v>
      </c>
      <c r="B1053" s="5" t="s">
        <v>41</v>
      </c>
      <c r="D1053" s="5" t="s">
        <v>2497</v>
      </c>
      <c r="E1053" s="10" t="s">
        <v>345</v>
      </c>
      <c r="F1053" s="5" t="s">
        <v>104</v>
      </c>
      <c r="G1053" s="5" t="s">
        <v>464</v>
      </c>
      <c r="I1053" s="11">
        <v>5</v>
      </c>
      <c r="J1053" s="5" t="s">
        <v>100</v>
      </c>
      <c r="K1053" s="10" t="s">
        <v>46</v>
      </c>
      <c r="L1053" s="5" t="s">
        <v>47</v>
      </c>
      <c r="M1053" s="5" t="s">
        <v>65</v>
      </c>
      <c r="N1053" s="5" t="s">
        <v>66</v>
      </c>
      <c r="O1053" s="12"/>
      <c r="P1053" s="13">
        <v>809</v>
      </c>
      <c r="S1053" s="13">
        <v>1176</v>
      </c>
      <c r="U1053" s="13">
        <v>1176</v>
      </c>
      <c r="AC1053" s="10" t="s">
        <v>2498</v>
      </c>
      <c r="AD1053" s="5" t="s">
        <v>2492</v>
      </c>
      <c r="AE1053" s="5" t="s">
        <v>98</v>
      </c>
    </row>
    <row r="1054" spans="1:31" ht="10" customHeight="1" x14ac:dyDescent="0.2">
      <c r="A1054" s="5" t="s">
        <v>40</v>
      </c>
      <c r="B1054" s="5" t="s">
        <v>41</v>
      </c>
      <c r="D1054" s="5" t="s">
        <v>2499</v>
      </c>
      <c r="E1054" s="10" t="s">
        <v>345</v>
      </c>
      <c r="F1054" s="5" t="s">
        <v>104</v>
      </c>
      <c r="G1054" s="5" t="s">
        <v>464</v>
      </c>
      <c r="I1054" s="11">
        <v>5</v>
      </c>
      <c r="J1054" s="5" t="s">
        <v>100</v>
      </c>
      <c r="K1054" s="10" t="s">
        <v>46</v>
      </c>
      <c r="L1054" s="5" t="s">
        <v>47</v>
      </c>
      <c r="M1054" s="5" t="s">
        <v>65</v>
      </c>
      <c r="N1054" s="5" t="s">
        <v>66</v>
      </c>
      <c r="O1054" s="12"/>
      <c r="P1054" s="13">
        <v>8941</v>
      </c>
      <c r="S1054" s="13">
        <v>10705</v>
      </c>
      <c r="U1054" s="13">
        <v>10705</v>
      </c>
      <c r="AC1054" s="10" t="s">
        <v>2500</v>
      </c>
      <c r="AD1054" s="5" t="s">
        <v>2492</v>
      </c>
      <c r="AE1054" s="5" t="s">
        <v>98</v>
      </c>
    </row>
    <row r="1055" spans="1:31" ht="10" customHeight="1" x14ac:dyDescent="0.2">
      <c r="A1055" s="5" t="s">
        <v>40</v>
      </c>
      <c r="B1055" s="5" t="s">
        <v>41</v>
      </c>
      <c r="D1055" s="5" t="s">
        <v>2501</v>
      </c>
      <c r="E1055" s="10" t="s">
        <v>345</v>
      </c>
      <c r="F1055" s="5" t="s">
        <v>104</v>
      </c>
      <c r="G1055" s="5" t="s">
        <v>464</v>
      </c>
      <c r="I1055" s="11">
        <v>5</v>
      </c>
      <c r="J1055" s="5" t="s">
        <v>100</v>
      </c>
      <c r="K1055" s="10" t="s">
        <v>46</v>
      </c>
      <c r="L1055" s="5" t="s">
        <v>47</v>
      </c>
      <c r="M1055" s="5" t="s">
        <v>65</v>
      </c>
      <c r="N1055" s="5" t="s">
        <v>66</v>
      </c>
      <c r="O1055" s="12"/>
      <c r="P1055" s="13">
        <v>1517</v>
      </c>
      <c r="S1055" s="13">
        <v>408</v>
      </c>
      <c r="U1055" s="13">
        <v>408</v>
      </c>
      <c r="AC1055" s="10" t="s">
        <v>2502</v>
      </c>
      <c r="AD1055" s="5" t="s">
        <v>2492</v>
      </c>
      <c r="AE1055" s="5" t="s">
        <v>98</v>
      </c>
    </row>
    <row r="1056" spans="1:31" ht="10" customHeight="1" x14ac:dyDescent="0.2">
      <c r="A1056" s="5" t="s">
        <v>40</v>
      </c>
      <c r="B1056" s="5" t="s">
        <v>41</v>
      </c>
      <c r="D1056" s="5" t="s">
        <v>2503</v>
      </c>
      <c r="E1056" s="10" t="s">
        <v>345</v>
      </c>
      <c r="F1056" s="5" t="s">
        <v>104</v>
      </c>
      <c r="G1056" s="5" t="s">
        <v>464</v>
      </c>
      <c r="I1056" s="11">
        <v>5</v>
      </c>
      <c r="J1056" s="5" t="s">
        <v>100</v>
      </c>
      <c r="K1056" s="10" t="s">
        <v>46</v>
      </c>
      <c r="L1056" s="5" t="s">
        <v>47</v>
      </c>
      <c r="M1056" s="5" t="s">
        <v>65</v>
      </c>
      <c r="N1056" s="5" t="s">
        <v>66</v>
      </c>
      <c r="O1056" s="12"/>
      <c r="S1056" s="13">
        <v>10182</v>
      </c>
      <c r="U1056" s="13">
        <v>10182</v>
      </c>
      <c r="AC1056" s="10" t="s">
        <v>2504</v>
      </c>
      <c r="AD1056" s="5" t="s">
        <v>2505</v>
      </c>
      <c r="AE1056" s="5" t="s">
        <v>98</v>
      </c>
    </row>
    <row r="1057" spans="1:31" ht="10" customHeight="1" x14ac:dyDescent="0.2">
      <c r="A1057" s="5" t="s">
        <v>40</v>
      </c>
      <c r="B1057" s="5" t="s">
        <v>41</v>
      </c>
      <c r="D1057" s="5" t="s">
        <v>2506</v>
      </c>
      <c r="E1057" s="10" t="s">
        <v>345</v>
      </c>
      <c r="F1057" s="5" t="s">
        <v>104</v>
      </c>
      <c r="G1057" s="5" t="s">
        <v>464</v>
      </c>
      <c r="I1057" s="11">
        <v>5</v>
      </c>
      <c r="J1057" s="5" t="s">
        <v>100</v>
      </c>
      <c r="K1057" s="10" t="s">
        <v>46</v>
      </c>
      <c r="L1057" s="5" t="s">
        <v>47</v>
      </c>
      <c r="M1057" s="5" t="s">
        <v>65</v>
      </c>
      <c r="N1057" s="5" t="s">
        <v>66</v>
      </c>
      <c r="O1057" s="12"/>
      <c r="S1057" s="13">
        <v>198</v>
      </c>
      <c r="U1057" s="13">
        <v>198</v>
      </c>
      <c r="AC1057" s="10" t="s">
        <v>2507</v>
      </c>
      <c r="AD1057" s="5" t="s">
        <v>2505</v>
      </c>
      <c r="AE1057" s="5" t="s">
        <v>98</v>
      </c>
    </row>
    <row r="1058" spans="1:31" ht="10" customHeight="1" x14ac:dyDescent="0.2">
      <c r="A1058" s="5" t="s">
        <v>40</v>
      </c>
      <c r="B1058" s="5" t="s">
        <v>41</v>
      </c>
      <c r="D1058" s="5" t="s">
        <v>2508</v>
      </c>
      <c r="E1058" s="10" t="s">
        <v>345</v>
      </c>
      <c r="F1058" s="5" t="s">
        <v>104</v>
      </c>
      <c r="G1058" s="5" t="s">
        <v>464</v>
      </c>
      <c r="I1058" s="11">
        <v>5</v>
      </c>
      <c r="J1058" s="5" t="s">
        <v>100</v>
      </c>
      <c r="K1058" s="10" t="s">
        <v>46</v>
      </c>
      <c r="L1058" s="5" t="s">
        <v>47</v>
      </c>
      <c r="M1058" s="5" t="s">
        <v>65</v>
      </c>
      <c r="N1058" s="5" t="s">
        <v>66</v>
      </c>
      <c r="O1058" s="12"/>
      <c r="S1058" s="13">
        <v>391</v>
      </c>
      <c r="U1058" s="13">
        <v>391</v>
      </c>
      <c r="AC1058" s="10" t="s">
        <v>2509</v>
      </c>
      <c r="AD1058" s="5" t="s">
        <v>2505</v>
      </c>
      <c r="AE1058" s="5" t="s">
        <v>98</v>
      </c>
    </row>
    <row r="1059" spans="1:31" ht="10" customHeight="1" x14ac:dyDescent="0.2">
      <c r="A1059" s="5" t="s">
        <v>40</v>
      </c>
      <c r="B1059" s="5" t="s">
        <v>41</v>
      </c>
      <c r="D1059" s="5" t="s">
        <v>2510</v>
      </c>
      <c r="E1059" s="10" t="s">
        <v>345</v>
      </c>
      <c r="F1059" s="5" t="s">
        <v>104</v>
      </c>
      <c r="G1059" s="5" t="s">
        <v>464</v>
      </c>
      <c r="I1059" s="11">
        <v>5</v>
      </c>
      <c r="J1059" s="5" t="s">
        <v>100</v>
      </c>
      <c r="K1059" s="10" t="s">
        <v>46</v>
      </c>
      <c r="L1059" s="5" t="s">
        <v>47</v>
      </c>
      <c r="M1059" s="5" t="s">
        <v>65</v>
      </c>
      <c r="N1059" s="5" t="s">
        <v>66</v>
      </c>
      <c r="O1059" s="12"/>
      <c r="S1059" s="13">
        <v>731</v>
      </c>
      <c r="U1059" s="13">
        <v>731</v>
      </c>
      <c r="AC1059" s="10" t="s">
        <v>2511</v>
      </c>
      <c r="AD1059" s="5" t="s">
        <v>2505</v>
      </c>
      <c r="AE1059" s="5" t="s">
        <v>98</v>
      </c>
    </row>
    <row r="1060" spans="1:31" ht="10" customHeight="1" x14ac:dyDescent="0.2">
      <c r="A1060" s="5" t="s">
        <v>40</v>
      </c>
      <c r="B1060" s="5" t="s">
        <v>41</v>
      </c>
      <c r="D1060" s="5" t="s">
        <v>2512</v>
      </c>
      <c r="E1060" s="10" t="s">
        <v>345</v>
      </c>
      <c r="F1060" s="5" t="s">
        <v>104</v>
      </c>
      <c r="G1060" s="5" t="s">
        <v>464</v>
      </c>
      <c r="I1060" s="11">
        <v>5</v>
      </c>
      <c r="J1060" s="5" t="s">
        <v>100</v>
      </c>
      <c r="K1060" s="10" t="s">
        <v>46</v>
      </c>
      <c r="L1060" s="5" t="s">
        <v>47</v>
      </c>
      <c r="M1060" s="5" t="s">
        <v>65</v>
      </c>
      <c r="N1060" s="5" t="s">
        <v>66</v>
      </c>
      <c r="O1060" s="12"/>
      <c r="S1060" s="13">
        <v>4814</v>
      </c>
      <c r="U1060" s="13">
        <v>4814</v>
      </c>
      <c r="AC1060" s="10" t="s">
        <v>2513</v>
      </c>
      <c r="AD1060" s="5" t="s">
        <v>2505</v>
      </c>
      <c r="AE1060" s="5" t="s">
        <v>98</v>
      </c>
    </row>
    <row r="1061" spans="1:31" ht="10" customHeight="1" x14ac:dyDescent="0.2">
      <c r="A1061" s="5" t="s">
        <v>40</v>
      </c>
      <c r="B1061" s="5" t="s">
        <v>41</v>
      </c>
      <c r="D1061" s="5" t="s">
        <v>2514</v>
      </c>
      <c r="E1061" s="10" t="s">
        <v>345</v>
      </c>
      <c r="F1061" s="5" t="s">
        <v>104</v>
      </c>
      <c r="G1061" s="5" t="s">
        <v>464</v>
      </c>
      <c r="I1061" s="11">
        <v>5</v>
      </c>
      <c r="J1061" s="5" t="s">
        <v>100</v>
      </c>
      <c r="K1061" s="10" t="s">
        <v>46</v>
      </c>
      <c r="L1061" s="5" t="s">
        <v>47</v>
      </c>
      <c r="M1061" s="5" t="s">
        <v>65</v>
      </c>
      <c r="N1061" s="5" t="s">
        <v>66</v>
      </c>
      <c r="O1061" s="12"/>
      <c r="S1061" s="13">
        <v>1063</v>
      </c>
      <c r="U1061" s="13">
        <v>1063</v>
      </c>
      <c r="AC1061" s="10" t="s">
        <v>2515</v>
      </c>
      <c r="AD1061" s="5" t="s">
        <v>2505</v>
      </c>
      <c r="AE1061" s="5" t="s">
        <v>98</v>
      </c>
    </row>
    <row r="1062" spans="1:31" ht="10" customHeight="1" x14ac:dyDescent="0.2">
      <c r="A1062" s="5" t="s">
        <v>40</v>
      </c>
      <c r="B1062" s="5" t="s">
        <v>41</v>
      </c>
      <c r="D1062" s="5" t="s">
        <v>2516</v>
      </c>
      <c r="E1062" s="10" t="s">
        <v>345</v>
      </c>
      <c r="F1062" s="5" t="s">
        <v>104</v>
      </c>
      <c r="G1062" s="5" t="s">
        <v>464</v>
      </c>
      <c r="I1062" s="11">
        <v>5</v>
      </c>
      <c r="J1062" s="5" t="s">
        <v>100</v>
      </c>
      <c r="K1062" s="10" t="s">
        <v>46</v>
      </c>
      <c r="L1062" s="5" t="s">
        <v>47</v>
      </c>
      <c r="M1062" s="5" t="s">
        <v>65</v>
      </c>
      <c r="N1062" s="5" t="s">
        <v>66</v>
      </c>
      <c r="O1062" s="12"/>
      <c r="S1062" s="13">
        <v>5002</v>
      </c>
      <c r="U1062" s="13">
        <v>5002</v>
      </c>
      <c r="AC1062" s="10" t="s">
        <v>2517</v>
      </c>
      <c r="AD1062" s="5" t="s">
        <v>2518</v>
      </c>
      <c r="AE1062" s="5" t="s">
        <v>98</v>
      </c>
    </row>
    <row r="1063" spans="1:31" ht="10" customHeight="1" x14ac:dyDescent="0.2">
      <c r="A1063" s="5" t="s">
        <v>40</v>
      </c>
      <c r="B1063" s="5" t="s">
        <v>41</v>
      </c>
      <c r="D1063" s="5" t="s">
        <v>2519</v>
      </c>
      <c r="E1063" s="10" t="s">
        <v>345</v>
      </c>
      <c r="F1063" s="5" t="s">
        <v>104</v>
      </c>
      <c r="G1063" s="5" t="s">
        <v>464</v>
      </c>
      <c r="I1063" s="11">
        <v>5</v>
      </c>
      <c r="J1063" s="5" t="s">
        <v>100</v>
      </c>
      <c r="K1063" s="10" t="s">
        <v>46</v>
      </c>
      <c r="L1063" s="5" t="s">
        <v>47</v>
      </c>
      <c r="M1063" s="5" t="s">
        <v>65</v>
      </c>
      <c r="N1063" s="5" t="s">
        <v>66</v>
      </c>
      <c r="O1063" s="12"/>
      <c r="P1063" s="13">
        <v>20</v>
      </c>
      <c r="S1063" s="13">
        <v>25</v>
      </c>
      <c r="U1063" s="13">
        <v>25</v>
      </c>
      <c r="AC1063" s="10" t="s">
        <v>2520</v>
      </c>
      <c r="AD1063" s="5" t="s">
        <v>2518</v>
      </c>
      <c r="AE1063" s="5" t="s">
        <v>98</v>
      </c>
    </row>
    <row r="1064" spans="1:31" ht="10" customHeight="1" x14ac:dyDescent="0.2">
      <c r="A1064" s="5" t="s">
        <v>40</v>
      </c>
      <c r="B1064" s="5" t="s">
        <v>41</v>
      </c>
      <c r="D1064" s="5" t="s">
        <v>2521</v>
      </c>
      <c r="E1064" s="10" t="s">
        <v>345</v>
      </c>
      <c r="F1064" s="5" t="s">
        <v>104</v>
      </c>
      <c r="G1064" s="5" t="s">
        <v>464</v>
      </c>
      <c r="I1064" s="11">
        <v>5</v>
      </c>
      <c r="J1064" s="5" t="s">
        <v>100</v>
      </c>
      <c r="K1064" s="10" t="s">
        <v>46</v>
      </c>
      <c r="L1064" s="5" t="s">
        <v>47</v>
      </c>
      <c r="M1064" s="5" t="s">
        <v>65</v>
      </c>
      <c r="N1064" s="5" t="s">
        <v>66</v>
      </c>
      <c r="O1064" s="12"/>
      <c r="S1064" s="13">
        <v>97</v>
      </c>
      <c r="U1064" s="13">
        <v>97</v>
      </c>
      <c r="AC1064" s="10" t="s">
        <v>2522</v>
      </c>
      <c r="AD1064" s="5" t="s">
        <v>2518</v>
      </c>
      <c r="AE1064" s="5" t="s">
        <v>98</v>
      </c>
    </row>
    <row r="1065" spans="1:31" ht="10" customHeight="1" x14ac:dyDescent="0.2">
      <c r="A1065" s="5" t="s">
        <v>40</v>
      </c>
      <c r="B1065" s="5" t="s">
        <v>41</v>
      </c>
      <c r="D1065" s="5" t="s">
        <v>2523</v>
      </c>
      <c r="E1065" s="10" t="s">
        <v>345</v>
      </c>
      <c r="F1065" s="5" t="s">
        <v>104</v>
      </c>
      <c r="G1065" s="5" t="s">
        <v>464</v>
      </c>
      <c r="I1065" s="11">
        <v>5</v>
      </c>
      <c r="J1065" s="5" t="s">
        <v>100</v>
      </c>
      <c r="K1065" s="10" t="s">
        <v>46</v>
      </c>
      <c r="L1065" s="5" t="s">
        <v>47</v>
      </c>
      <c r="M1065" s="5" t="s">
        <v>65</v>
      </c>
      <c r="N1065" s="5" t="s">
        <v>66</v>
      </c>
      <c r="O1065" s="12"/>
      <c r="S1065" s="13">
        <v>60</v>
      </c>
      <c r="U1065" s="13">
        <v>60</v>
      </c>
      <c r="AC1065" s="10" t="s">
        <v>2524</v>
      </c>
      <c r="AD1065" s="5" t="s">
        <v>2518</v>
      </c>
      <c r="AE1065" s="5" t="s">
        <v>98</v>
      </c>
    </row>
    <row r="1066" spans="1:31" ht="10" customHeight="1" x14ac:dyDescent="0.2">
      <c r="A1066" s="5" t="s">
        <v>40</v>
      </c>
      <c r="B1066" s="5" t="s">
        <v>41</v>
      </c>
      <c r="D1066" s="5" t="s">
        <v>2525</v>
      </c>
      <c r="E1066" s="10" t="s">
        <v>345</v>
      </c>
      <c r="F1066" s="5" t="s">
        <v>104</v>
      </c>
      <c r="G1066" s="5" t="s">
        <v>464</v>
      </c>
      <c r="I1066" s="11">
        <v>5</v>
      </c>
      <c r="J1066" s="5" t="s">
        <v>100</v>
      </c>
      <c r="K1066" s="10" t="s">
        <v>46</v>
      </c>
      <c r="L1066" s="5" t="s">
        <v>47</v>
      </c>
      <c r="M1066" s="5" t="s">
        <v>65</v>
      </c>
      <c r="N1066" s="5" t="s">
        <v>66</v>
      </c>
      <c r="O1066" s="12"/>
      <c r="P1066" s="13">
        <v>4829</v>
      </c>
      <c r="S1066" s="13">
        <v>6060</v>
      </c>
      <c r="U1066" s="13">
        <v>6060</v>
      </c>
      <c r="AC1066" s="10" t="s">
        <v>2526</v>
      </c>
      <c r="AD1066" s="5" t="s">
        <v>2518</v>
      </c>
      <c r="AE1066" s="5" t="s">
        <v>98</v>
      </c>
    </row>
    <row r="1067" spans="1:31" ht="10" customHeight="1" x14ac:dyDescent="0.2">
      <c r="A1067" s="5" t="s">
        <v>40</v>
      </c>
      <c r="B1067" s="5" t="s">
        <v>41</v>
      </c>
      <c r="D1067" s="5" t="s">
        <v>2527</v>
      </c>
      <c r="E1067" s="10" t="s">
        <v>345</v>
      </c>
      <c r="F1067" s="5" t="s">
        <v>104</v>
      </c>
      <c r="G1067" s="5" t="s">
        <v>464</v>
      </c>
      <c r="I1067" s="11">
        <v>5</v>
      </c>
      <c r="J1067" s="5" t="s">
        <v>100</v>
      </c>
      <c r="K1067" s="10" t="s">
        <v>46</v>
      </c>
      <c r="L1067" s="5" t="s">
        <v>47</v>
      </c>
      <c r="M1067" s="5" t="s">
        <v>65</v>
      </c>
      <c r="N1067" s="5" t="s">
        <v>66</v>
      </c>
      <c r="O1067" s="12"/>
      <c r="P1067" s="13">
        <v>50</v>
      </c>
      <c r="S1067" s="13">
        <v>40</v>
      </c>
      <c r="U1067" s="13">
        <v>40</v>
      </c>
      <c r="AC1067" s="10" t="s">
        <v>2528</v>
      </c>
      <c r="AD1067" s="5" t="s">
        <v>2518</v>
      </c>
      <c r="AE1067" s="5" t="s">
        <v>98</v>
      </c>
    </row>
    <row r="1068" spans="1:31" ht="10" customHeight="1" x14ac:dyDescent="0.2">
      <c r="A1068" s="5" t="s">
        <v>40</v>
      </c>
      <c r="B1068" s="5" t="s">
        <v>41</v>
      </c>
      <c r="D1068" s="5" t="s">
        <v>2529</v>
      </c>
      <c r="E1068" s="10" t="s">
        <v>345</v>
      </c>
      <c r="F1068" s="5" t="s">
        <v>104</v>
      </c>
      <c r="G1068" s="5" t="s">
        <v>464</v>
      </c>
      <c r="I1068" s="11">
        <v>5</v>
      </c>
      <c r="J1068" s="5" t="s">
        <v>100</v>
      </c>
      <c r="K1068" s="10" t="s">
        <v>46</v>
      </c>
      <c r="L1068" s="5" t="s">
        <v>47</v>
      </c>
      <c r="M1068" s="5" t="s">
        <v>65</v>
      </c>
      <c r="N1068" s="5" t="s">
        <v>66</v>
      </c>
      <c r="O1068" s="12"/>
      <c r="S1068" s="13">
        <v>95060</v>
      </c>
      <c r="U1068" s="13">
        <v>95060</v>
      </c>
      <c r="AC1068" s="10" t="s">
        <v>2530</v>
      </c>
      <c r="AD1068" s="5" t="s">
        <v>2531</v>
      </c>
      <c r="AE1068" s="5" t="s">
        <v>98</v>
      </c>
    </row>
    <row r="1069" spans="1:31" ht="10" customHeight="1" x14ac:dyDescent="0.2">
      <c r="A1069" s="5" t="s">
        <v>40</v>
      </c>
      <c r="B1069" s="5" t="s">
        <v>41</v>
      </c>
      <c r="D1069" s="5" t="s">
        <v>2532</v>
      </c>
      <c r="E1069" s="10" t="s">
        <v>345</v>
      </c>
      <c r="F1069" s="5" t="s">
        <v>104</v>
      </c>
      <c r="G1069" s="5" t="s">
        <v>464</v>
      </c>
      <c r="I1069" s="11">
        <v>5</v>
      </c>
      <c r="J1069" s="5" t="s">
        <v>100</v>
      </c>
      <c r="K1069" s="10" t="s">
        <v>46</v>
      </c>
      <c r="L1069" s="5" t="s">
        <v>47</v>
      </c>
      <c r="M1069" s="5" t="s">
        <v>65</v>
      </c>
      <c r="N1069" s="5" t="s">
        <v>66</v>
      </c>
      <c r="O1069" s="12"/>
      <c r="S1069" s="13">
        <v>667</v>
      </c>
      <c r="U1069" s="13">
        <v>667</v>
      </c>
      <c r="AC1069" s="10" t="s">
        <v>2533</v>
      </c>
      <c r="AD1069" s="5" t="s">
        <v>2531</v>
      </c>
      <c r="AE1069" s="5" t="s">
        <v>98</v>
      </c>
    </row>
    <row r="1070" spans="1:31" ht="10" customHeight="1" x14ac:dyDescent="0.2">
      <c r="A1070" s="5" t="s">
        <v>40</v>
      </c>
      <c r="B1070" s="5" t="s">
        <v>41</v>
      </c>
      <c r="D1070" s="5" t="s">
        <v>2534</v>
      </c>
      <c r="E1070" s="10" t="s">
        <v>345</v>
      </c>
      <c r="F1070" s="5" t="s">
        <v>104</v>
      </c>
      <c r="G1070" s="5" t="s">
        <v>464</v>
      </c>
      <c r="I1070" s="11">
        <v>5</v>
      </c>
      <c r="J1070" s="5" t="s">
        <v>100</v>
      </c>
      <c r="K1070" s="10" t="s">
        <v>46</v>
      </c>
      <c r="L1070" s="5" t="s">
        <v>47</v>
      </c>
      <c r="M1070" s="5" t="s">
        <v>65</v>
      </c>
      <c r="N1070" s="5" t="s">
        <v>66</v>
      </c>
      <c r="O1070" s="12"/>
      <c r="S1070" s="13">
        <v>2847</v>
      </c>
      <c r="U1070" s="13">
        <v>2847</v>
      </c>
      <c r="AC1070" s="10" t="s">
        <v>2535</v>
      </c>
      <c r="AD1070" s="5" t="s">
        <v>2531</v>
      </c>
      <c r="AE1070" s="5" t="s">
        <v>98</v>
      </c>
    </row>
    <row r="1071" spans="1:31" ht="10" customHeight="1" x14ac:dyDescent="0.2">
      <c r="A1071" s="5" t="s">
        <v>40</v>
      </c>
      <c r="B1071" s="5" t="s">
        <v>41</v>
      </c>
      <c r="D1071" s="5" t="s">
        <v>2536</v>
      </c>
      <c r="E1071" s="10" t="s">
        <v>345</v>
      </c>
      <c r="F1071" s="5" t="s">
        <v>104</v>
      </c>
      <c r="G1071" s="5" t="s">
        <v>464</v>
      </c>
      <c r="I1071" s="11">
        <v>5</v>
      </c>
      <c r="J1071" s="5" t="s">
        <v>100</v>
      </c>
      <c r="K1071" s="10" t="s">
        <v>46</v>
      </c>
      <c r="L1071" s="5" t="s">
        <v>47</v>
      </c>
      <c r="M1071" s="5" t="s">
        <v>65</v>
      </c>
      <c r="N1071" s="5" t="s">
        <v>66</v>
      </c>
      <c r="O1071" s="12"/>
      <c r="S1071" s="13">
        <v>1866</v>
      </c>
      <c r="U1071" s="13">
        <v>1866</v>
      </c>
      <c r="AC1071" s="10" t="s">
        <v>2537</v>
      </c>
      <c r="AD1071" s="5" t="s">
        <v>2531</v>
      </c>
      <c r="AE1071" s="5" t="s">
        <v>98</v>
      </c>
    </row>
    <row r="1072" spans="1:31" ht="10" customHeight="1" x14ac:dyDescent="0.2">
      <c r="A1072" s="5" t="s">
        <v>40</v>
      </c>
      <c r="B1072" s="5" t="s">
        <v>41</v>
      </c>
      <c r="D1072" s="5" t="s">
        <v>2538</v>
      </c>
      <c r="E1072" s="10" t="s">
        <v>345</v>
      </c>
      <c r="F1072" s="5" t="s">
        <v>104</v>
      </c>
      <c r="G1072" s="5" t="s">
        <v>464</v>
      </c>
      <c r="I1072" s="11">
        <v>5</v>
      </c>
      <c r="J1072" s="5" t="s">
        <v>100</v>
      </c>
      <c r="K1072" s="10" t="s">
        <v>46</v>
      </c>
      <c r="L1072" s="5" t="s">
        <v>47</v>
      </c>
      <c r="M1072" s="5" t="s">
        <v>65</v>
      </c>
      <c r="N1072" s="5" t="s">
        <v>66</v>
      </c>
      <c r="O1072" s="12"/>
      <c r="S1072" s="13">
        <v>7944</v>
      </c>
      <c r="U1072" s="13">
        <v>7944</v>
      </c>
      <c r="AC1072" s="10" t="s">
        <v>2539</v>
      </c>
      <c r="AD1072" s="5" t="s">
        <v>2531</v>
      </c>
      <c r="AE1072" s="5" t="s">
        <v>98</v>
      </c>
    </row>
    <row r="1073" spans="1:33" ht="10" customHeight="1" x14ac:dyDescent="0.2">
      <c r="A1073" s="5" t="s">
        <v>40</v>
      </c>
      <c r="B1073" s="5" t="s">
        <v>41</v>
      </c>
      <c r="D1073" s="5" t="s">
        <v>2540</v>
      </c>
      <c r="E1073" s="10" t="s">
        <v>345</v>
      </c>
      <c r="F1073" s="5" t="s">
        <v>104</v>
      </c>
      <c r="G1073" s="5" t="s">
        <v>464</v>
      </c>
      <c r="I1073" s="11">
        <v>5</v>
      </c>
      <c r="J1073" s="5" t="s">
        <v>100</v>
      </c>
      <c r="K1073" s="10" t="s">
        <v>46</v>
      </c>
      <c r="L1073" s="5" t="s">
        <v>47</v>
      </c>
      <c r="M1073" s="5" t="s">
        <v>65</v>
      </c>
      <c r="N1073" s="5" t="s">
        <v>66</v>
      </c>
      <c r="O1073" s="12"/>
      <c r="S1073" s="13">
        <v>25508</v>
      </c>
      <c r="U1073" s="13">
        <v>25508</v>
      </c>
      <c r="AC1073" s="10" t="s">
        <v>2541</v>
      </c>
      <c r="AD1073" s="5" t="s">
        <v>2531</v>
      </c>
      <c r="AE1073" s="5" t="s">
        <v>98</v>
      </c>
    </row>
    <row r="1074" spans="1:33" ht="10" customHeight="1" x14ac:dyDescent="0.2">
      <c r="A1074" s="5" t="s">
        <v>40</v>
      </c>
      <c r="B1074" s="5" t="s">
        <v>41</v>
      </c>
      <c r="D1074" s="5" t="s">
        <v>2542</v>
      </c>
      <c r="E1074" s="10" t="s">
        <v>345</v>
      </c>
      <c r="F1074" s="5" t="s">
        <v>104</v>
      </c>
      <c r="G1074" s="5" t="s">
        <v>464</v>
      </c>
      <c r="I1074" s="11">
        <v>5</v>
      </c>
      <c r="J1074" s="5" t="s">
        <v>100</v>
      </c>
      <c r="K1074" s="10" t="s">
        <v>46</v>
      </c>
      <c r="L1074" s="5" t="s">
        <v>47</v>
      </c>
      <c r="M1074" s="5" t="s">
        <v>65</v>
      </c>
      <c r="N1074" s="5" t="s">
        <v>66</v>
      </c>
      <c r="O1074" s="12"/>
      <c r="S1074" s="13">
        <v>15208</v>
      </c>
      <c r="U1074" s="13">
        <v>15208</v>
      </c>
      <c r="AC1074" s="10" t="s">
        <v>2543</v>
      </c>
      <c r="AD1074" s="5" t="s">
        <v>2544</v>
      </c>
      <c r="AE1074" s="5" t="s">
        <v>98</v>
      </c>
    </row>
    <row r="1075" spans="1:33" ht="10" customHeight="1" x14ac:dyDescent="0.2">
      <c r="A1075" s="5" t="s">
        <v>40</v>
      </c>
      <c r="B1075" s="5" t="s">
        <v>41</v>
      </c>
      <c r="D1075" s="5" t="s">
        <v>2545</v>
      </c>
      <c r="E1075" s="10" t="s">
        <v>345</v>
      </c>
      <c r="F1075" s="5" t="s">
        <v>104</v>
      </c>
      <c r="G1075" s="5" t="s">
        <v>464</v>
      </c>
      <c r="I1075" s="11">
        <v>5</v>
      </c>
      <c r="J1075" s="5" t="s">
        <v>100</v>
      </c>
      <c r="K1075" s="10" t="s">
        <v>46</v>
      </c>
      <c r="L1075" s="5" t="s">
        <v>47</v>
      </c>
      <c r="M1075" s="5" t="s">
        <v>65</v>
      </c>
      <c r="N1075" s="5" t="s">
        <v>66</v>
      </c>
      <c r="O1075" s="12"/>
      <c r="S1075" s="13">
        <v>56</v>
      </c>
      <c r="U1075" s="13">
        <v>56</v>
      </c>
      <c r="AC1075" s="10" t="s">
        <v>2546</v>
      </c>
      <c r="AD1075" s="5" t="s">
        <v>2544</v>
      </c>
      <c r="AE1075" s="5" t="s">
        <v>98</v>
      </c>
    </row>
    <row r="1076" spans="1:33" ht="10" customHeight="1" x14ac:dyDescent="0.2">
      <c r="A1076" s="5" t="s">
        <v>40</v>
      </c>
      <c r="B1076" s="5" t="s">
        <v>41</v>
      </c>
      <c r="D1076" s="5" t="s">
        <v>2547</v>
      </c>
      <c r="E1076" s="10" t="s">
        <v>345</v>
      </c>
      <c r="F1076" s="5" t="s">
        <v>104</v>
      </c>
      <c r="G1076" s="5" t="s">
        <v>464</v>
      </c>
      <c r="I1076" s="11">
        <v>5</v>
      </c>
      <c r="J1076" s="5" t="s">
        <v>100</v>
      </c>
      <c r="K1076" s="10" t="s">
        <v>46</v>
      </c>
      <c r="L1076" s="5" t="s">
        <v>47</v>
      </c>
      <c r="M1076" s="5" t="s">
        <v>65</v>
      </c>
      <c r="N1076" s="5" t="s">
        <v>66</v>
      </c>
      <c r="O1076" s="12"/>
      <c r="S1076" s="13">
        <v>175</v>
      </c>
      <c r="U1076" s="13">
        <v>175</v>
      </c>
      <c r="AC1076" s="10" t="s">
        <v>2548</v>
      </c>
      <c r="AD1076" s="5" t="s">
        <v>2544</v>
      </c>
      <c r="AE1076" s="5" t="s">
        <v>98</v>
      </c>
    </row>
    <row r="1077" spans="1:33" ht="10" customHeight="1" x14ac:dyDescent="0.2">
      <c r="A1077" s="5" t="s">
        <v>40</v>
      </c>
      <c r="B1077" s="5" t="s">
        <v>41</v>
      </c>
      <c r="D1077" s="5" t="s">
        <v>2549</v>
      </c>
      <c r="E1077" s="10" t="s">
        <v>345</v>
      </c>
      <c r="F1077" s="5" t="s">
        <v>104</v>
      </c>
      <c r="G1077" s="5" t="s">
        <v>464</v>
      </c>
      <c r="I1077" s="11">
        <v>5</v>
      </c>
      <c r="J1077" s="5" t="s">
        <v>100</v>
      </c>
      <c r="K1077" s="10" t="s">
        <v>46</v>
      </c>
      <c r="L1077" s="5" t="s">
        <v>47</v>
      </c>
      <c r="M1077" s="5" t="s">
        <v>65</v>
      </c>
      <c r="N1077" s="5" t="s">
        <v>66</v>
      </c>
      <c r="O1077" s="12"/>
      <c r="P1077" s="13">
        <v>15</v>
      </c>
      <c r="S1077" s="13">
        <v>681</v>
      </c>
      <c r="U1077" s="13">
        <v>681</v>
      </c>
      <c r="AC1077" s="10" t="s">
        <v>2550</v>
      </c>
      <c r="AD1077" s="5" t="s">
        <v>2544</v>
      </c>
      <c r="AE1077" s="5" t="s">
        <v>98</v>
      </c>
    </row>
    <row r="1078" spans="1:33" ht="10" customHeight="1" x14ac:dyDescent="0.2">
      <c r="A1078" s="5" t="s">
        <v>40</v>
      </c>
      <c r="B1078" s="5" t="s">
        <v>41</v>
      </c>
      <c r="D1078" s="5" t="s">
        <v>2551</v>
      </c>
      <c r="E1078" s="10" t="s">
        <v>345</v>
      </c>
      <c r="F1078" s="5" t="s">
        <v>104</v>
      </c>
      <c r="G1078" s="5" t="s">
        <v>464</v>
      </c>
      <c r="I1078" s="11">
        <v>5</v>
      </c>
      <c r="J1078" s="5" t="s">
        <v>100</v>
      </c>
      <c r="K1078" s="10" t="s">
        <v>46</v>
      </c>
      <c r="L1078" s="5" t="s">
        <v>47</v>
      </c>
      <c r="M1078" s="5" t="s">
        <v>65</v>
      </c>
      <c r="N1078" s="5" t="s">
        <v>66</v>
      </c>
      <c r="O1078" s="12"/>
      <c r="P1078" s="13">
        <v>1192</v>
      </c>
      <c r="S1078" s="13">
        <v>968</v>
      </c>
      <c r="U1078" s="13">
        <v>968</v>
      </c>
      <c r="AC1078" s="10" t="s">
        <v>2552</v>
      </c>
      <c r="AD1078" s="5" t="s">
        <v>2544</v>
      </c>
      <c r="AE1078" s="5" t="s">
        <v>98</v>
      </c>
    </row>
    <row r="1079" spans="1:33" ht="10" customHeight="1" x14ac:dyDescent="0.2">
      <c r="A1079" s="5" t="s">
        <v>40</v>
      </c>
      <c r="B1079" s="5" t="s">
        <v>41</v>
      </c>
      <c r="D1079" s="5" t="s">
        <v>2553</v>
      </c>
      <c r="E1079" s="10" t="s">
        <v>345</v>
      </c>
      <c r="F1079" s="5" t="s">
        <v>104</v>
      </c>
      <c r="G1079" s="5" t="s">
        <v>464</v>
      </c>
      <c r="I1079" s="11">
        <v>5</v>
      </c>
      <c r="J1079" s="5" t="s">
        <v>100</v>
      </c>
      <c r="K1079" s="10" t="s">
        <v>46</v>
      </c>
      <c r="L1079" s="5" t="s">
        <v>47</v>
      </c>
      <c r="M1079" s="5" t="s">
        <v>65</v>
      </c>
      <c r="N1079" s="5" t="s">
        <v>66</v>
      </c>
      <c r="O1079" s="12"/>
      <c r="P1079" s="13">
        <v>197</v>
      </c>
      <c r="S1079" s="13">
        <v>1736</v>
      </c>
      <c r="U1079" s="13">
        <v>1736</v>
      </c>
      <c r="AC1079" s="10" t="s">
        <v>2554</v>
      </c>
      <c r="AD1079" s="5" t="s">
        <v>2544</v>
      </c>
      <c r="AE1079" s="5" t="s">
        <v>98</v>
      </c>
    </row>
    <row r="1080" spans="1:33" ht="10" customHeight="1" x14ac:dyDescent="0.2">
      <c r="A1080" s="5" t="s">
        <v>40</v>
      </c>
      <c r="B1080" s="5" t="s">
        <v>41</v>
      </c>
      <c r="D1080" s="5" t="s">
        <v>2555</v>
      </c>
      <c r="E1080" s="10" t="s">
        <v>53</v>
      </c>
      <c r="F1080" s="5" t="s">
        <v>2556</v>
      </c>
      <c r="I1080" s="11">
        <v>5</v>
      </c>
      <c r="J1080" s="5" t="s">
        <v>100</v>
      </c>
      <c r="K1080" s="10" t="s">
        <v>46</v>
      </c>
      <c r="L1080" s="5" t="s">
        <v>47</v>
      </c>
      <c r="M1080" s="5" t="s">
        <v>65</v>
      </c>
      <c r="N1080" s="5" t="s">
        <v>66</v>
      </c>
      <c r="O1080" s="12"/>
      <c r="P1080" s="13">
        <v>7246</v>
      </c>
      <c r="S1080" s="13">
        <v>0</v>
      </c>
      <c r="U1080" s="13">
        <v>0</v>
      </c>
      <c r="AC1080" s="10" t="s">
        <v>2557</v>
      </c>
      <c r="AD1080" s="5" t="s">
        <v>112</v>
      </c>
      <c r="AE1080" s="5" t="s">
        <v>98</v>
      </c>
      <c r="AG1080" s="5" t="s">
        <v>2558</v>
      </c>
    </row>
    <row r="1081" spans="1:33" ht="10" customHeight="1" x14ac:dyDescent="0.2">
      <c r="A1081" s="5" t="s">
        <v>40</v>
      </c>
      <c r="B1081" s="5" t="s">
        <v>41</v>
      </c>
      <c r="D1081" s="5" t="s">
        <v>2559</v>
      </c>
      <c r="E1081" s="10" t="s">
        <v>53</v>
      </c>
      <c r="F1081" s="5" t="s">
        <v>2556</v>
      </c>
      <c r="I1081" s="11">
        <v>5</v>
      </c>
      <c r="J1081" s="5" t="s">
        <v>100</v>
      </c>
      <c r="K1081" s="10" t="s">
        <v>46</v>
      </c>
      <c r="L1081" s="5" t="s">
        <v>47</v>
      </c>
      <c r="M1081" s="5" t="s">
        <v>65</v>
      </c>
      <c r="N1081" s="5" t="s">
        <v>66</v>
      </c>
      <c r="O1081" s="12"/>
      <c r="P1081" s="13">
        <v>198653</v>
      </c>
      <c r="S1081" s="13">
        <v>0</v>
      </c>
      <c r="U1081" s="13">
        <v>0</v>
      </c>
      <c r="AC1081" s="10" t="s">
        <v>2560</v>
      </c>
      <c r="AD1081" s="5" t="s">
        <v>112</v>
      </c>
      <c r="AE1081" s="5" t="s">
        <v>98</v>
      </c>
      <c r="AG1081" s="5" t="s">
        <v>2561</v>
      </c>
    </row>
    <row r="1082" spans="1:33" ht="10" customHeight="1" x14ac:dyDescent="0.2">
      <c r="A1082" s="5" t="s">
        <v>40</v>
      </c>
      <c r="B1082" s="5" t="s">
        <v>41</v>
      </c>
      <c r="D1082" s="5" t="s">
        <v>2562</v>
      </c>
      <c r="E1082" s="10" t="s">
        <v>53</v>
      </c>
      <c r="F1082" s="5" t="s">
        <v>2556</v>
      </c>
      <c r="I1082" s="11">
        <v>5</v>
      </c>
      <c r="J1082" s="5" t="s">
        <v>100</v>
      </c>
      <c r="K1082" s="10" t="s">
        <v>46</v>
      </c>
      <c r="L1082" s="5" t="s">
        <v>47</v>
      </c>
      <c r="M1082" s="5" t="s">
        <v>65</v>
      </c>
      <c r="N1082" s="5" t="s">
        <v>66</v>
      </c>
      <c r="O1082" s="12"/>
      <c r="P1082" s="13">
        <v>40000</v>
      </c>
      <c r="S1082" s="13">
        <v>0</v>
      </c>
      <c r="U1082" s="13">
        <v>0</v>
      </c>
      <c r="AC1082" s="10" t="s">
        <v>2563</v>
      </c>
      <c r="AD1082" s="5" t="s">
        <v>112</v>
      </c>
      <c r="AE1082" s="5" t="s">
        <v>98</v>
      </c>
      <c r="AG1082" s="5" t="s">
        <v>2564</v>
      </c>
    </row>
    <row r="1083" spans="1:33" ht="10" customHeight="1" x14ac:dyDescent="0.2">
      <c r="A1083" s="5" t="s">
        <v>40</v>
      </c>
      <c r="B1083" s="5" t="s">
        <v>41</v>
      </c>
      <c r="D1083" s="5" t="s">
        <v>2565</v>
      </c>
      <c r="E1083" s="10" t="s">
        <v>53</v>
      </c>
      <c r="F1083" s="5" t="s">
        <v>2556</v>
      </c>
      <c r="I1083" s="11">
        <v>5</v>
      </c>
      <c r="J1083" s="5" t="s">
        <v>100</v>
      </c>
      <c r="K1083" s="10" t="s">
        <v>46</v>
      </c>
      <c r="L1083" s="5" t="s">
        <v>47</v>
      </c>
      <c r="M1083" s="5" t="s">
        <v>65</v>
      </c>
      <c r="N1083" s="5" t="s">
        <v>66</v>
      </c>
      <c r="O1083" s="12"/>
      <c r="P1083" s="13">
        <v>55000</v>
      </c>
      <c r="S1083" s="13">
        <v>0</v>
      </c>
      <c r="U1083" s="13">
        <v>0</v>
      </c>
      <c r="AC1083" s="10" t="s">
        <v>2566</v>
      </c>
      <c r="AD1083" s="5" t="s">
        <v>112</v>
      </c>
      <c r="AE1083" s="5" t="s">
        <v>98</v>
      </c>
      <c r="AG1083" s="5" t="s">
        <v>2567</v>
      </c>
    </row>
    <row r="1084" spans="1:33" ht="10" customHeight="1" x14ac:dyDescent="0.2">
      <c r="A1084" s="5" t="s">
        <v>40</v>
      </c>
      <c r="B1084" s="5" t="s">
        <v>41</v>
      </c>
      <c r="D1084" s="5" t="s">
        <v>2568</v>
      </c>
      <c r="E1084" s="10" t="s">
        <v>53</v>
      </c>
      <c r="F1084" s="5" t="s">
        <v>2556</v>
      </c>
      <c r="I1084" s="11">
        <v>5</v>
      </c>
      <c r="J1084" s="5" t="s">
        <v>100</v>
      </c>
      <c r="K1084" s="10" t="s">
        <v>46</v>
      </c>
      <c r="L1084" s="5" t="s">
        <v>47</v>
      </c>
      <c r="M1084" s="5" t="s">
        <v>65</v>
      </c>
      <c r="N1084" s="5" t="s">
        <v>66</v>
      </c>
      <c r="O1084" s="12"/>
      <c r="P1084" s="13">
        <v>1445</v>
      </c>
      <c r="S1084" s="13">
        <v>0</v>
      </c>
      <c r="U1084" s="13">
        <v>0</v>
      </c>
      <c r="AC1084" s="10" t="s">
        <v>2569</v>
      </c>
      <c r="AD1084" s="5" t="s">
        <v>112</v>
      </c>
      <c r="AE1084" s="5" t="s">
        <v>98</v>
      </c>
      <c r="AG1084" s="5" t="s">
        <v>2570</v>
      </c>
    </row>
    <row r="1085" spans="1:33" ht="10" customHeight="1" x14ac:dyDescent="0.2">
      <c r="A1085" s="5" t="s">
        <v>40</v>
      </c>
      <c r="B1085" s="5" t="s">
        <v>41</v>
      </c>
      <c r="D1085" s="5" t="s">
        <v>2571</v>
      </c>
      <c r="E1085" s="10" t="s">
        <v>53</v>
      </c>
      <c r="F1085" s="5" t="s">
        <v>2556</v>
      </c>
      <c r="I1085" s="11">
        <v>5</v>
      </c>
      <c r="J1085" s="5" t="s">
        <v>100</v>
      </c>
      <c r="K1085" s="10" t="s">
        <v>46</v>
      </c>
      <c r="L1085" s="5" t="s">
        <v>47</v>
      </c>
      <c r="M1085" s="5" t="s">
        <v>65</v>
      </c>
      <c r="N1085" s="5" t="s">
        <v>66</v>
      </c>
      <c r="O1085" s="12"/>
      <c r="P1085" s="13">
        <v>21800</v>
      </c>
      <c r="S1085" s="13">
        <v>0</v>
      </c>
      <c r="U1085" s="13">
        <v>0</v>
      </c>
      <c r="AC1085" s="10" t="s">
        <v>2572</v>
      </c>
      <c r="AD1085" s="5" t="s">
        <v>112</v>
      </c>
      <c r="AE1085" s="5" t="s">
        <v>98</v>
      </c>
      <c r="AG1085" s="5" t="s">
        <v>360</v>
      </c>
    </row>
    <row r="1086" spans="1:33" ht="10" customHeight="1" x14ac:dyDescent="0.2">
      <c r="A1086" s="5" t="s">
        <v>40</v>
      </c>
      <c r="B1086" s="5" t="s">
        <v>41</v>
      </c>
      <c r="D1086" s="5" t="s">
        <v>2573</v>
      </c>
      <c r="E1086" s="10" t="s">
        <v>53</v>
      </c>
      <c r="F1086" s="5" t="s">
        <v>2556</v>
      </c>
      <c r="I1086" s="11">
        <v>5</v>
      </c>
      <c r="J1086" s="5" t="s">
        <v>100</v>
      </c>
      <c r="K1086" s="10" t="s">
        <v>46</v>
      </c>
      <c r="L1086" s="5" t="s">
        <v>47</v>
      </c>
      <c r="M1086" s="5" t="s">
        <v>65</v>
      </c>
      <c r="N1086" s="5" t="s">
        <v>66</v>
      </c>
      <c r="O1086" s="12"/>
      <c r="P1086" s="13">
        <v>29622</v>
      </c>
      <c r="S1086" s="13">
        <v>0</v>
      </c>
      <c r="U1086" s="13">
        <v>0</v>
      </c>
      <c r="AC1086" s="10" t="s">
        <v>2574</v>
      </c>
      <c r="AD1086" s="5" t="s">
        <v>112</v>
      </c>
      <c r="AE1086" s="5" t="s">
        <v>98</v>
      </c>
      <c r="AG1086" s="5" t="s">
        <v>2575</v>
      </c>
    </row>
    <row r="1087" spans="1:33" ht="10" customHeight="1" x14ac:dyDescent="0.2">
      <c r="A1087" s="5" t="s">
        <v>40</v>
      </c>
      <c r="B1087" s="5" t="s">
        <v>41</v>
      </c>
      <c r="D1087" s="5" t="s">
        <v>2576</v>
      </c>
      <c r="E1087" s="10" t="s">
        <v>53</v>
      </c>
      <c r="F1087" s="5" t="s">
        <v>2556</v>
      </c>
      <c r="I1087" s="11">
        <v>5</v>
      </c>
      <c r="J1087" s="5" t="s">
        <v>100</v>
      </c>
      <c r="K1087" s="10" t="s">
        <v>46</v>
      </c>
      <c r="L1087" s="5" t="s">
        <v>47</v>
      </c>
      <c r="M1087" s="5" t="s">
        <v>65</v>
      </c>
      <c r="N1087" s="5" t="s">
        <v>66</v>
      </c>
      <c r="O1087" s="12"/>
      <c r="P1087" s="13">
        <v>84236</v>
      </c>
      <c r="S1087" s="13">
        <v>0</v>
      </c>
      <c r="U1087" s="13">
        <v>0</v>
      </c>
      <c r="AC1087" s="10" t="s">
        <v>2577</v>
      </c>
      <c r="AD1087" s="5" t="s">
        <v>112</v>
      </c>
      <c r="AE1087" s="5" t="s">
        <v>98</v>
      </c>
    </row>
    <row r="1088" spans="1:33" ht="10" customHeight="1" x14ac:dyDescent="0.2">
      <c r="A1088" s="5" t="s">
        <v>40</v>
      </c>
      <c r="B1088" s="5" t="s">
        <v>41</v>
      </c>
      <c r="D1088" s="5" t="s">
        <v>2578</v>
      </c>
      <c r="E1088" s="10" t="s">
        <v>53</v>
      </c>
      <c r="F1088" s="5" t="s">
        <v>2556</v>
      </c>
      <c r="I1088" s="11">
        <v>5</v>
      </c>
      <c r="J1088" s="5" t="s">
        <v>100</v>
      </c>
      <c r="K1088" s="10" t="s">
        <v>46</v>
      </c>
      <c r="L1088" s="5" t="s">
        <v>47</v>
      </c>
      <c r="M1088" s="5" t="s">
        <v>65</v>
      </c>
      <c r="N1088" s="5" t="s">
        <v>66</v>
      </c>
      <c r="O1088" s="12"/>
      <c r="P1088" s="13">
        <v>50444</v>
      </c>
      <c r="S1088" s="13">
        <v>0</v>
      </c>
      <c r="U1088" s="13">
        <v>0</v>
      </c>
      <c r="AC1088" s="10" t="s">
        <v>2579</v>
      </c>
      <c r="AD1088" s="5" t="s">
        <v>112</v>
      </c>
      <c r="AE1088" s="5" t="s">
        <v>98</v>
      </c>
      <c r="AG1088" s="5" t="s">
        <v>366</v>
      </c>
    </row>
    <row r="1089" spans="1:33" ht="10" customHeight="1" x14ac:dyDescent="0.2">
      <c r="A1089" s="5" t="s">
        <v>40</v>
      </c>
      <c r="B1089" s="5" t="s">
        <v>41</v>
      </c>
      <c r="D1089" s="5" t="s">
        <v>2580</v>
      </c>
      <c r="E1089" s="10" t="s">
        <v>345</v>
      </c>
      <c r="F1089" s="5" t="s">
        <v>2581</v>
      </c>
      <c r="G1089" s="5" t="s">
        <v>346</v>
      </c>
      <c r="H1089" s="5" t="s">
        <v>347</v>
      </c>
      <c r="I1089" s="11">
        <v>1</v>
      </c>
      <c r="J1089" s="5" t="s">
        <v>45</v>
      </c>
      <c r="K1089" s="10" t="s">
        <v>46</v>
      </c>
      <c r="L1089" s="5" t="s">
        <v>47</v>
      </c>
      <c r="M1089" s="5" t="s">
        <v>115</v>
      </c>
      <c r="N1089" s="5" t="s">
        <v>116</v>
      </c>
      <c r="O1089" s="12"/>
      <c r="AC1089" s="10" t="s">
        <v>2582</v>
      </c>
      <c r="AD1089" s="5" t="s">
        <v>2583</v>
      </c>
      <c r="AE1089" s="5" t="s">
        <v>113</v>
      </c>
      <c r="AG1089" s="5" t="s">
        <v>350</v>
      </c>
    </row>
    <row r="1090" spans="1:33" ht="10" customHeight="1" x14ac:dyDescent="0.2">
      <c r="A1090" s="5" t="s">
        <v>40</v>
      </c>
      <c r="B1090" s="5" t="s">
        <v>41</v>
      </c>
      <c r="D1090" s="5" t="s">
        <v>2584</v>
      </c>
      <c r="E1090" s="10" t="s">
        <v>345</v>
      </c>
      <c r="F1090" s="5" t="s">
        <v>2581</v>
      </c>
      <c r="G1090" s="5" t="s">
        <v>346</v>
      </c>
      <c r="H1090" s="5" t="s">
        <v>175</v>
      </c>
      <c r="I1090" s="11">
        <v>1</v>
      </c>
      <c r="J1090" s="5" t="s">
        <v>45</v>
      </c>
      <c r="K1090" s="10" t="s">
        <v>46</v>
      </c>
      <c r="L1090" s="5" t="s">
        <v>47</v>
      </c>
      <c r="M1090" s="5" t="s">
        <v>115</v>
      </c>
      <c r="N1090" s="5" t="s">
        <v>116</v>
      </c>
      <c r="O1090" s="12"/>
      <c r="AC1090" s="10" t="s">
        <v>2585</v>
      </c>
      <c r="AD1090" s="5" t="s">
        <v>2583</v>
      </c>
      <c r="AE1090" s="5" t="s">
        <v>113</v>
      </c>
      <c r="AG1090" s="5" t="s">
        <v>175</v>
      </c>
    </row>
    <row r="1091" spans="1:33" ht="10" customHeight="1" x14ac:dyDescent="0.2">
      <c r="A1091" s="5" t="s">
        <v>40</v>
      </c>
      <c r="B1091" s="5" t="s">
        <v>41</v>
      </c>
      <c r="D1091" s="5" t="s">
        <v>2586</v>
      </c>
      <c r="E1091" s="10" t="s">
        <v>345</v>
      </c>
      <c r="F1091" s="5" t="s">
        <v>2581</v>
      </c>
      <c r="G1091" s="5" t="s">
        <v>346</v>
      </c>
      <c r="H1091" s="5" t="s">
        <v>354</v>
      </c>
      <c r="I1091" s="11">
        <v>1</v>
      </c>
      <c r="J1091" s="5" t="s">
        <v>45</v>
      </c>
      <c r="K1091" s="10" t="s">
        <v>46</v>
      </c>
      <c r="L1091" s="5" t="s">
        <v>47</v>
      </c>
      <c r="M1091" s="5" t="s">
        <v>115</v>
      </c>
      <c r="N1091" s="5" t="s">
        <v>116</v>
      </c>
      <c r="O1091" s="12"/>
      <c r="AC1091" s="10" t="s">
        <v>2587</v>
      </c>
      <c r="AD1091" s="5" t="s">
        <v>2583</v>
      </c>
      <c r="AE1091" s="5" t="s">
        <v>113</v>
      </c>
      <c r="AG1091" s="5" t="s">
        <v>354</v>
      </c>
    </row>
    <row r="1092" spans="1:33" ht="10" customHeight="1" x14ac:dyDescent="0.2">
      <c r="A1092" s="5" t="s">
        <v>40</v>
      </c>
      <c r="B1092" s="5" t="s">
        <v>41</v>
      </c>
      <c r="D1092" s="5" t="s">
        <v>2588</v>
      </c>
      <c r="E1092" s="10" t="s">
        <v>345</v>
      </c>
      <c r="F1092" s="5" t="s">
        <v>2581</v>
      </c>
      <c r="G1092" s="5" t="s">
        <v>346</v>
      </c>
      <c r="H1092" s="5" t="s">
        <v>357</v>
      </c>
      <c r="I1092" s="11">
        <v>1</v>
      </c>
      <c r="J1092" s="5" t="s">
        <v>45</v>
      </c>
      <c r="K1092" s="10" t="s">
        <v>46</v>
      </c>
      <c r="L1092" s="5" t="s">
        <v>47</v>
      </c>
      <c r="M1092" s="5" t="s">
        <v>115</v>
      </c>
      <c r="N1092" s="5" t="s">
        <v>116</v>
      </c>
      <c r="O1092" s="12"/>
      <c r="AC1092" s="10" t="s">
        <v>2589</v>
      </c>
      <c r="AD1092" s="5" t="s">
        <v>2583</v>
      </c>
      <c r="AE1092" s="5" t="s">
        <v>113</v>
      </c>
    </row>
    <row r="1093" spans="1:33" ht="10" customHeight="1" x14ac:dyDescent="0.2">
      <c r="A1093" s="5" t="s">
        <v>40</v>
      </c>
      <c r="B1093" s="5" t="s">
        <v>41</v>
      </c>
      <c r="D1093" s="5" t="s">
        <v>2590</v>
      </c>
      <c r="E1093" s="10" t="s">
        <v>345</v>
      </c>
      <c r="F1093" s="5" t="s">
        <v>2581</v>
      </c>
      <c r="G1093" s="5" t="s">
        <v>346</v>
      </c>
      <c r="H1093" s="5" t="s">
        <v>363</v>
      </c>
      <c r="I1093" s="11">
        <v>1</v>
      </c>
      <c r="J1093" s="5" t="s">
        <v>45</v>
      </c>
      <c r="K1093" s="10" t="s">
        <v>46</v>
      </c>
      <c r="L1093" s="5" t="s">
        <v>47</v>
      </c>
      <c r="M1093" s="5" t="s">
        <v>115</v>
      </c>
      <c r="N1093" s="5" t="s">
        <v>116</v>
      </c>
      <c r="O1093" s="12"/>
      <c r="AC1093" s="10" t="s">
        <v>2591</v>
      </c>
      <c r="AD1093" s="5" t="s">
        <v>2583</v>
      </c>
      <c r="AE1093" s="5" t="s">
        <v>113</v>
      </c>
    </row>
    <row r="1094" spans="1:33" ht="10" customHeight="1" x14ac:dyDescent="0.2">
      <c r="A1094" s="5" t="s">
        <v>40</v>
      </c>
      <c r="B1094" s="5" t="s">
        <v>41</v>
      </c>
      <c r="D1094" s="5" t="s">
        <v>2592</v>
      </c>
      <c r="E1094" s="10" t="s">
        <v>345</v>
      </c>
      <c r="F1094" s="5" t="s">
        <v>2581</v>
      </c>
      <c r="G1094" s="5" t="s">
        <v>346</v>
      </c>
      <c r="H1094" s="5" t="s">
        <v>366</v>
      </c>
      <c r="I1094" s="11">
        <v>1</v>
      </c>
      <c r="J1094" s="5" t="s">
        <v>45</v>
      </c>
      <c r="K1094" s="10" t="s">
        <v>46</v>
      </c>
      <c r="L1094" s="5" t="s">
        <v>47</v>
      </c>
      <c r="M1094" s="5" t="s">
        <v>115</v>
      </c>
      <c r="N1094" s="5" t="s">
        <v>116</v>
      </c>
      <c r="O1094" s="12"/>
      <c r="AC1094" s="10" t="s">
        <v>2593</v>
      </c>
      <c r="AD1094" s="5" t="s">
        <v>2583</v>
      </c>
      <c r="AE1094" s="5" t="s">
        <v>113</v>
      </c>
    </row>
    <row r="1095" spans="1:33" ht="10" customHeight="1" x14ac:dyDescent="0.2">
      <c r="A1095" s="5" t="s">
        <v>40</v>
      </c>
      <c r="B1095" s="5" t="s">
        <v>41</v>
      </c>
      <c r="D1095" s="5" t="s">
        <v>2594</v>
      </c>
      <c r="E1095" s="10" t="s">
        <v>345</v>
      </c>
      <c r="F1095" s="5" t="s">
        <v>2581</v>
      </c>
      <c r="G1095" s="5" t="s">
        <v>346</v>
      </c>
      <c r="H1095" s="5" t="s">
        <v>369</v>
      </c>
      <c r="I1095" s="11">
        <v>1</v>
      </c>
      <c r="J1095" s="5" t="s">
        <v>45</v>
      </c>
      <c r="K1095" s="10" t="s">
        <v>46</v>
      </c>
      <c r="L1095" s="5" t="s">
        <v>47</v>
      </c>
      <c r="M1095" s="5" t="s">
        <v>115</v>
      </c>
      <c r="N1095" s="5" t="s">
        <v>116</v>
      </c>
      <c r="O1095" s="12"/>
      <c r="AC1095" s="10" t="s">
        <v>2595</v>
      </c>
      <c r="AD1095" s="5" t="s">
        <v>2583</v>
      </c>
      <c r="AE1095" s="5" t="s">
        <v>113</v>
      </c>
    </row>
    <row r="1096" spans="1:33" ht="10" customHeight="1" x14ac:dyDescent="0.2">
      <c r="A1096" s="5" t="s">
        <v>40</v>
      </c>
      <c r="B1096" s="5" t="s">
        <v>41</v>
      </c>
      <c r="D1096" s="5" t="s">
        <v>2596</v>
      </c>
      <c r="E1096" s="10" t="s">
        <v>345</v>
      </c>
      <c r="F1096" s="5" t="s">
        <v>2581</v>
      </c>
      <c r="G1096" s="5" t="s">
        <v>373</v>
      </c>
      <c r="H1096" s="5" t="s">
        <v>357</v>
      </c>
      <c r="I1096" s="11">
        <v>1</v>
      </c>
      <c r="J1096" s="5" t="s">
        <v>45</v>
      </c>
      <c r="K1096" s="10" t="s">
        <v>46</v>
      </c>
      <c r="L1096" s="5" t="s">
        <v>47</v>
      </c>
      <c r="M1096" s="5" t="s">
        <v>115</v>
      </c>
      <c r="N1096" s="5" t="s">
        <v>116</v>
      </c>
      <c r="O1096" s="12"/>
      <c r="S1096" s="13">
        <v>79962</v>
      </c>
      <c r="U1096" s="13">
        <v>79962</v>
      </c>
      <c r="AC1096" s="10" t="s">
        <v>2597</v>
      </c>
      <c r="AD1096" s="5" t="s">
        <v>2598</v>
      </c>
      <c r="AE1096" s="5" t="s">
        <v>113</v>
      </c>
      <c r="AG1096" s="5" t="s">
        <v>2599</v>
      </c>
    </row>
    <row r="1097" spans="1:33" ht="10" customHeight="1" x14ac:dyDescent="0.2">
      <c r="A1097" s="5" t="s">
        <v>40</v>
      </c>
      <c r="B1097" s="5" t="s">
        <v>41</v>
      </c>
      <c r="D1097" s="5" t="s">
        <v>2600</v>
      </c>
      <c r="E1097" s="10" t="s">
        <v>345</v>
      </c>
      <c r="F1097" s="5" t="s">
        <v>2581</v>
      </c>
      <c r="G1097" s="5" t="s">
        <v>373</v>
      </c>
      <c r="H1097" s="5" t="s">
        <v>357</v>
      </c>
      <c r="I1097" s="11">
        <v>1</v>
      </c>
      <c r="J1097" s="5" t="s">
        <v>45</v>
      </c>
      <c r="K1097" s="10" t="s">
        <v>46</v>
      </c>
      <c r="L1097" s="5" t="s">
        <v>47</v>
      </c>
      <c r="M1097" s="5" t="s">
        <v>115</v>
      </c>
      <c r="N1097" s="5" t="s">
        <v>116</v>
      </c>
      <c r="O1097" s="12"/>
      <c r="S1097" s="13">
        <v>105136</v>
      </c>
      <c r="U1097" s="13">
        <v>105136</v>
      </c>
      <c r="AC1097" s="10" t="s">
        <v>2601</v>
      </c>
      <c r="AD1097" s="5" t="s">
        <v>2598</v>
      </c>
      <c r="AE1097" s="5" t="s">
        <v>113</v>
      </c>
      <c r="AG1097" s="5" t="s">
        <v>2602</v>
      </c>
    </row>
    <row r="1098" spans="1:33" ht="10" customHeight="1" x14ac:dyDescent="0.2">
      <c r="A1098" s="5" t="s">
        <v>40</v>
      </c>
      <c r="B1098" s="5" t="s">
        <v>41</v>
      </c>
      <c r="D1098" s="5" t="s">
        <v>2603</v>
      </c>
      <c r="E1098" s="10" t="s">
        <v>345</v>
      </c>
      <c r="F1098" s="5" t="s">
        <v>2581</v>
      </c>
      <c r="G1098" s="5" t="s">
        <v>373</v>
      </c>
      <c r="H1098" s="5" t="s">
        <v>357</v>
      </c>
      <c r="I1098" s="11">
        <v>1</v>
      </c>
      <c r="J1098" s="5" t="s">
        <v>45</v>
      </c>
      <c r="K1098" s="10" t="s">
        <v>46</v>
      </c>
      <c r="L1098" s="5" t="s">
        <v>47</v>
      </c>
      <c r="M1098" s="5" t="s">
        <v>115</v>
      </c>
      <c r="N1098" s="5" t="s">
        <v>116</v>
      </c>
      <c r="O1098" s="12"/>
      <c r="S1098" s="13">
        <v>297999</v>
      </c>
      <c r="U1098" s="13">
        <v>297999</v>
      </c>
      <c r="AC1098" s="10" t="s">
        <v>2604</v>
      </c>
      <c r="AD1098" s="5" t="s">
        <v>2598</v>
      </c>
      <c r="AE1098" s="5" t="s">
        <v>113</v>
      </c>
      <c r="AG1098" s="5" t="s">
        <v>2605</v>
      </c>
    </row>
    <row r="1099" spans="1:33" ht="10" customHeight="1" x14ac:dyDescent="0.2">
      <c r="A1099" s="5" t="s">
        <v>40</v>
      </c>
      <c r="B1099" s="5" t="s">
        <v>41</v>
      </c>
      <c r="D1099" s="5" t="s">
        <v>2606</v>
      </c>
      <c r="E1099" s="10" t="s">
        <v>345</v>
      </c>
      <c r="F1099" s="5" t="s">
        <v>2581</v>
      </c>
      <c r="G1099" s="5" t="s">
        <v>373</v>
      </c>
      <c r="H1099" s="5" t="s">
        <v>357</v>
      </c>
      <c r="I1099" s="11">
        <v>1</v>
      </c>
      <c r="J1099" s="5" t="s">
        <v>45</v>
      </c>
      <c r="K1099" s="10" t="s">
        <v>46</v>
      </c>
      <c r="L1099" s="5" t="s">
        <v>47</v>
      </c>
      <c r="M1099" s="5" t="s">
        <v>115</v>
      </c>
      <c r="N1099" s="5" t="s">
        <v>116</v>
      </c>
      <c r="O1099" s="12"/>
      <c r="S1099" s="13">
        <v>16409</v>
      </c>
      <c r="U1099" s="13">
        <v>16409</v>
      </c>
      <c r="AC1099" s="10" t="s">
        <v>2607</v>
      </c>
      <c r="AD1099" s="5" t="s">
        <v>2598</v>
      </c>
      <c r="AE1099" s="5" t="s">
        <v>113</v>
      </c>
      <c r="AG1099" s="5" t="s">
        <v>2608</v>
      </c>
    </row>
    <row r="1100" spans="1:33" ht="10" customHeight="1" x14ac:dyDescent="0.2">
      <c r="A1100" s="5" t="s">
        <v>40</v>
      </c>
      <c r="B1100" s="5" t="s">
        <v>41</v>
      </c>
      <c r="D1100" s="5" t="s">
        <v>2609</v>
      </c>
      <c r="E1100" s="10" t="s">
        <v>345</v>
      </c>
      <c r="F1100" s="5" t="s">
        <v>2581</v>
      </c>
      <c r="G1100" s="5" t="s">
        <v>373</v>
      </c>
      <c r="H1100" s="5" t="s">
        <v>357</v>
      </c>
      <c r="I1100" s="11">
        <v>1</v>
      </c>
      <c r="J1100" s="5" t="s">
        <v>45</v>
      </c>
      <c r="K1100" s="10" t="s">
        <v>46</v>
      </c>
      <c r="L1100" s="5" t="s">
        <v>47</v>
      </c>
      <c r="M1100" s="5" t="s">
        <v>115</v>
      </c>
      <c r="N1100" s="5" t="s">
        <v>116</v>
      </c>
      <c r="O1100" s="12"/>
      <c r="S1100" s="13">
        <v>259191</v>
      </c>
      <c r="U1100" s="13">
        <v>259191</v>
      </c>
      <c r="AC1100" s="10" t="s">
        <v>2610</v>
      </c>
      <c r="AD1100" s="5" t="s">
        <v>2598</v>
      </c>
      <c r="AE1100" s="5" t="s">
        <v>113</v>
      </c>
      <c r="AG1100" s="5" t="s">
        <v>2611</v>
      </c>
    </row>
    <row r="1101" spans="1:33" ht="10" customHeight="1" x14ac:dyDescent="0.2">
      <c r="A1101" s="5" t="s">
        <v>40</v>
      </c>
      <c r="B1101" s="5" t="s">
        <v>41</v>
      </c>
      <c r="D1101" s="5" t="s">
        <v>2612</v>
      </c>
      <c r="E1101" s="10" t="s">
        <v>345</v>
      </c>
      <c r="F1101" s="5" t="s">
        <v>2581</v>
      </c>
      <c r="G1101" s="5" t="s">
        <v>373</v>
      </c>
      <c r="H1101" s="5" t="s">
        <v>357</v>
      </c>
      <c r="I1101" s="11">
        <v>1</v>
      </c>
      <c r="J1101" s="5" t="s">
        <v>45</v>
      </c>
      <c r="K1101" s="10" t="s">
        <v>46</v>
      </c>
      <c r="L1101" s="5" t="s">
        <v>47</v>
      </c>
      <c r="M1101" s="5" t="s">
        <v>115</v>
      </c>
      <c r="N1101" s="5" t="s">
        <v>116</v>
      </c>
      <c r="O1101" s="12"/>
      <c r="S1101" s="13">
        <v>31452</v>
      </c>
      <c r="U1101" s="13">
        <v>31452</v>
      </c>
      <c r="AC1101" s="10" t="s">
        <v>2613</v>
      </c>
      <c r="AD1101" s="5" t="s">
        <v>2598</v>
      </c>
      <c r="AE1101" s="5" t="s">
        <v>113</v>
      </c>
      <c r="AG1101" s="5" t="s">
        <v>2614</v>
      </c>
    </row>
    <row r="1102" spans="1:33" ht="10" customHeight="1" x14ac:dyDescent="0.2">
      <c r="A1102" s="5" t="s">
        <v>40</v>
      </c>
      <c r="B1102" s="5" t="s">
        <v>41</v>
      </c>
      <c r="D1102" s="5" t="s">
        <v>2615</v>
      </c>
      <c r="E1102" s="10" t="s">
        <v>345</v>
      </c>
      <c r="F1102" s="5" t="s">
        <v>2581</v>
      </c>
      <c r="G1102" s="5" t="s">
        <v>373</v>
      </c>
      <c r="H1102" s="5" t="s">
        <v>357</v>
      </c>
      <c r="I1102" s="11">
        <v>1</v>
      </c>
      <c r="J1102" s="5" t="s">
        <v>45</v>
      </c>
      <c r="K1102" s="10" t="s">
        <v>46</v>
      </c>
      <c r="L1102" s="5" t="s">
        <v>47</v>
      </c>
      <c r="M1102" s="5" t="s">
        <v>115</v>
      </c>
      <c r="N1102" s="5" t="s">
        <v>116</v>
      </c>
      <c r="O1102" s="12"/>
      <c r="S1102" s="13">
        <v>28138</v>
      </c>
      <c r="U1102" s="13">
        <v>28138</v>
      </c>
      <c r="AC1102" s="10" t="s">
        <v>2616</v>
      </c>
      <c r="AD1102" s="5" t="s">
        <v>2598</v>
      </c>
      <c r="AE1102" s="5" t="s">
        <v>113</v>
      </c>
      <c r="AG1102" s="5" t="s">
        <v>2617</v>
      </c>
    </row>
    <row r="1103" spans="1:33" ht="10" customHeight="1" x14ac:dyDescent="0.2">
      <c r="A1103" s="5" t="s">
        <v>40</v>
      </c>
      <c r="B1103" s="5" t="s">
        <v>41</v>
      </c>
      <c r="D1103" s="5" t="s">
        <v>2618</v>
      </c>
      <c r="E1103" s="10" t="s">
        <v>345</v>
      </c>
      <c r="F1103" s="5" t="s">
        <v>2581</v>
      </c>
      <c r="G1103" s="5" t="s">
        <v>373</v>
      </c>
      <c r="H1103" s="5" t="s">
        <v>357</v>
      </c>
      <c r="I1103" s="11">
        <v>1</v>
      </c>
      <c r="J1103" s="5" t="s">
        <v>45</v>
      </c>
      <c r="K1103" s="10" t="s">
        <v>46</v>
      </c>
      <c r="L1103" s="5" t="s">
        <v>47</v>
      </c>
      <c r="M1103" s="5" t="s">
        <v>115</v>
      </c>
      <c r="N1103" s="5" t="s">
        <v>116</v>
      </c>
      <c r="O1103" s="12"/>
      <c r="S1103" s="13">
        <v>965</v>
      </c>
      <c r="U1103" s="13">
        <v>965</v>
      </c>
      <c r="AC1103" s="10" t="s">
        <v>2619</v>
      </c>
      <c r="AD1103" s="5" t="s">
        <v>2598</v>
      </c>
      <c r="AE1103" s="5" t="s">
        <v>113</v>
      </c>
      <c r="AG1103" s="5" t="s">
        <v>2620</v>
      </c>
    </row>
    <row r="1104" spans="1:33" ht="10" customHeight="1" x14ac:dyDescent="0.2">
      <c r="A1104" s="5" t="s">
        <v>40</v>
      </c>
      <c r="B1104" s="5" t="s">
        <v>41</v>
      </c>
      <c r="D1104" s="5" t="s">
        <v>2621</v>
      </c>
      <c r="E1104" s="10" t="s">
        <v>345</v>
      </c>
      <c r="F1104" s="5" t="s">
        <v>2581</v>
      </c>
      <c r="G1104" s="5" t="s">
        <v>373</v>
      </c>
      <c r="H1104" s="5" t="s">
        <v>357</v>
      </c>
      <c r="I1104" s="11">
        <v>1</v>
      </c>
      <c r="J1104" s="5" t="s">
        <v>45</v>
      </c>
      <c r="K1104" s="10" t="s">
        <v>46</v>
      </c>
      <c r="L1104" s="5" t="s">
        <v>47</v>
      </c>
      <c r="M1104" s="5" t="s">
        <v>115</v>
      </c>
      <c r="N1104" s="5" t="s">
        <v>116</v>
      </c>
      <c r="O1104" s="12"/>
      <c r="S1104" s="13">
        <v>117229</v>
      </c>
      <c r="U1104" s="13">
        <v>117229</v>
      </c>
      <c r="AC1104" s="10" t="s">
        <v>2622</v>
      </c>
      <c r="AD1104" s="5" t="s">
        <v>2598</v>
      </c>
      <c r="AE1104" s="5" t="s">
        <v>113</v>
      </c>
      <c r="AG1104" s="5" t="s">
        <v>2623</v>
      </c>
    </row>
    <row r="1105" spans="1:33" ht="10" customHeight="1" x14ac:dyDescent="0.2">
      <c r="A1105" s="5" t="s">
        <v>40</v>
      </c>
      <c r="B1105" s="5" t="s">
        <v>41</v>
      </c>
      <c r="D1105" s="5" t="s">
        <v>2624</v>
      </c>
      <c r="E1105" s="10" t="s">
        <v>345</v>
      </c>
      <c r="F1105" s="5" t="s">
        <v>2581</v>
      </c>
      <c r="G1105" s="5" t="s">
        <v>373</v>
      </c>
      <c r="H1105" s="5" t="s">
        <v>357</v>
      </c>
      <c r="I1105" s="11">
        <v>1</v>
      </c>
      <c r="J1105" s="5" t="s">
        <v>45</v>
      </c>
      <c r="K1105" s="10" t="s">
        <v>46</v>
      </c>
      <c r="L1105" s="5" t="s">
        <v>47</v>
      </c>
      <c r="M1105" s="5" t="s">
        <v>115</v>
      </c>
      <c r="N1105" s="5" t="s">
        <v>116</v>
      </c>
      <c r="O1105" s="12"/>
      <c r="S1105" s="13">
        <v>7800</v>
      </c>
      <c r="U1105" s="13">
        <v>7800</v>
      </c>
      <c r="AC1105" s="10" t="s">
        <v>2625</v>
      </c>
      <c r="AD1105" s="5" t="s">
        <v>2598</v>
      </c>
      <c r="AE1105" s="5" t="s">
        <v>113</v>
      </c>
      <c r="AG1105" s="5" t="s">
        <v>2626</v>
      </c>
    </row>
    <row r="1106" spans="1:33" ht="10" customHeight="1" x14ac:dyDescent="0.2">
      <c r="A1106" s="5" t="s">
        <v>40</v>
      </c>
      <c r="B1106" s="5" t="s">
        <v>41</v>
      </c>
      <c r="D1106" s="5" t="s">
        <v>2627</v>
      </c>
      <c r="E1106" s="10" t="s">
        <v>345</v>
      </c>
      <c r="F1106" s="5" t="s">
        <v>2581</v>
      </c>
      <c r="G1106" s="5" t="s">
        <v>373</v>
      </c>
      <c r="H1106" s="5" t="s">
        <v>357</v>
      </c>
      <c r="I1106" s="11">
        <v>1</v>
      </c>
      <c r="J1106" s="5" t="s">
        <v>45</v>
      </c>
      <c r="K1106" s="10" t="s">
        <v>46</v>
      </c>
      <c r="L1106" s="5" t="s">
        <v>47</v>
      </c>
      <c r="M1106" s="5" t="s">
        <v>115</v>
      </c>
      <c r="N1106" s="5" t="s">
        <v>116</v>
      </c>
      <c r="O1106" s="12"/>
      <c r="S1106" s="13">
        <v>17682</v>
      </c>
      <c r="U1106" s="13">
        <v>17682</v>
      </c>
      <c r="AC1106" s="10" t="s">
        <v>2628</v>
      </c>
      <c r="AD1106" s="5" t="s">
        <v>2598</v>
      </c>
      <c r="AE1106" s="5" t="s">
        <v>113</v>
      </c>
      <c r="AG1106" s="5" t="s">
        <v>2629</v>
      </c>
    </row>
    <row r="1107" spans="1:33" ht="10" customHeight="1" x14ac:dyDescent="0.2">
      <c r="A1107" s="5" t="s">
        <v>40</v>
      </c>
      <c r="B1107" s="5" t="s">
        <v>41</v>
      </c>
      <c r="D1107" s="5" t="s">
        <v>2630</v>
      </c>
      <c r="E1107" s="10" t="s">
        <v>345</v>
      </c>
      <c r="F1107" s="5" t="s">
        <v>2581</v>
      </c>
      <c r="G1107" s="5" t="s">
        <v>373</v>
      </c>
      <c r="H1107" s="5" t="s">
        <v>357</v>
      </c>
      <c r="I1107" s="11">
        <v>1</v>
      </c>
      <c r="J1107" s="5" t="s">
        <v>45</v>
      </c>
      <c r="K1107" s="10" t="s">
        <v>46</v>
      </c>
      <c r="L1107" s="5" t="s">
        <v>47</v>
      </c>
      <c r="M1107" s="5" t="s">
        <v>115</v>
      </c>
      <c r="N1107" s="5" t="s">
        <v>116</v>
      </c>
      <c r="O1107" s="12"/>
      <c r="S1107" s="13">
        <v>302815</v>
      </c>
      <c r="U1107" s="13">
        <v>302815</v>
      </c>
      <c r="AC1107" s="10" t="s">
        <v>2631</v>
      </c>
      <c r="AD1107" s="5" t="s">
        <v>2598</v>
      </c>
      <c r="AE1107" s="5" t="s">
        <v>113</v>
      </c>
      <c r="AG1107" s="5" t="s">
        <v>2632</v>
      </c>
    </row>
    <row r="1108" spans="1:33" ht="10" customHeight="1" x14ac:dyDescent="0.2">
      <c r="A1108" s="5" t="s">
        <v>40</v>
      </c>
      <c r="B1108" s="5" t="s">
        <v>41</v>
      </c>
      <c r="D1108" s="5" t="s">
        <v>2633</v>
      </c>
      <c r="E1108" s="10" t="s">
        <v>345</v>
      </c>
      <c r="F1108" s="5" t="s">
        <v>2581</v>
      </c>
      <c r="G1108" s="5" t="s">
        <v>373</v>
      </c>
      <c r="H1108" s="5" t="s">
        <v>357</v>
      </c>
      <c r="I1108" s="11">
        <v>1</v>
      </c>
      <c r="J1108" s="5" t="s">
        <v>45</v>
      </c>
      <c r="K1108" s="10" t="s">
        <v>46</v>
      </c>
      <c r="L1108" s="5" t="s">
        <v>47</v>
      </c>
      <c r="M1108" s="5" t="s">
        <v>115</v>
      </c>
      <c r="N1108" s="5" t="s">
        <v>116</v>
      </c>
      <c r="O1108" s="12"/>
      <c r="S1108" s="13">
        <v>56730</v>
      </c>
      <c r="U1108" s="13">
        <v>56730</v>
      </c>
      <c r="AC1108" s="10" t="s">
        <v>2634</v>
      </c>
      <c r="AD1108" s="5" t="s">
        <v>2598</v>
      </c>
      <c r="AE1108" s="5" t="s">
        <v>113</v>
      </c>
      <c r="AG1108" s="5" t="s">
        <v>2635</v>
      </c>
    </row>
    <row r="1109" spans="1:33" ht="10" customHeight="1" x14ac:dyDescent="0.2">
      <c r="A1109" s="5" t="s">
        <v>40</v>
      </c>
      <c r="B1109" s="5" t="s">
        <v>41</v>
      </c>
      <c r="D1109" s="5" t="s">
        <v>2636</v>
      </c>
      <c r="E1109" s="10" t="s">
        <v>345</v>
      </c>
      <c r="F1109" s="5" t="s">
        <v>2581</v>
      </c>
      <c r="G1109" s="5" t="s">
        <v>373</v>
      </c>
      <c r="H1109" s="5" t="s">
        <v>357</v>
      </c>
      <c r="I1109" s="11">
        <v>1</v>
      </c>
      <c r="J1109" s="5" t="s">
        <v>45</v>
      </c>
      <c r="K1109" s="10" t="s">
        <v>46</v>
      </c>
      <c r="L1109" s="5" t="s">
        <v>47</v>
      </c>
      <c r="M1109" s="5" t="s">
        <v>115</v>
      </c>
      <c r="N1109" s="5" t="s">
        <v>116</v>
      </c>
      <c r="O1109" s="12"/>
      <c r="S1109" s="13">
        <v>25600</v>
      </c>
      <c r="U1109" s="13">
        <v>25600</v>
      </c>
      <c r="AC1109" s="10" t="s">
        <v>2637</v>
      </c>
      <c r="AD1109" s="5" t="s">
        <v>2598</v>
      </c>
      <c r="AE1109" s="5" t="s">
        <v>113</v>
      </c>
      <c r="AG1109" s="5" t="s">
        <v>2638</v>
      </c>
    </row>
    <row r="1110" spans="1:33" ht="10" customHeight="1" x14ac:dyDescent="0.2">
      <c r="A1110" s="5" t="s">
        <v>40</v>
      </c>
      <c r="B1110" s="5" t="s">
        <v>41</v>
      </c>
      <c r="D1110" s="5" t="s">
        <v>2639</v>
      </c>
      <c r="E1110" s="10" t="s">
        <v>345</v>
      </c>
      <c r="F1110" s="5" t="s">
        <v>2581</v>
      </c>
      <c r="G1110" s="5" t="s">
        <v>373</v>
      </c>
      <c r="H1110" s="5" t="s">
        <v>357</v>
      </c>
      <c r="I1110" s="11">
        <v>1</v>
      </c>
      <c r="J1110" s="5" t="s">
        <v>45</v>
      </c>
      <c r="K1110" s="10" t="s">
        <v>46</v>
      </c>
      <c r="L1110" s="5" t="s">
        <v>47</v>
      </c>
      <c r="M1110" s="5" t="s">
        <v>115</v>
      </c>
      <c r="N1110" s="5" t="s">
        <v>116</v>
      </c>
      <c r="O1110" s="12"/>
      <c r="S1110" s="13">
        <v>132510</v>
      </c>
      <c r="U1110" s="13">
        <v>132510</v>
      </c>
      <c r="AC1110" s="10" t="s">
        <v>2640</v>
      </c>
      <c r="AD1110" s="5" t="s">
        <v>2598</v>
      </c>
      <c r="AE1110" s="5" t="s">
        <v>113</v>
      </c>
      <c r="AG1110" s="5" t="s">
        <v>2641</v>
      </c>
    </row>
    <row r="1111" spans="1:33" ht="10" customHeight="1" x14ac:dyDescent="0.2">
      <c r="A1111" s="5" t="s">
        <v>40</v>
      </c>
      <c r="B1111" s="5" t="s">
        <v>41</v>
      </c>
      <c r="D1111" s="5" t="s">
        <v>2642</v>
      </c>
      <c r="E1111" s="10" t="s">
        <v>345</v>
      </c>
      <c r="F1111" s="5" t="s">
        <v>2581</v>
      </c>
      <c r="G1111" s="5" t="s">
        <v>373</v>
      </c>
      <c r="H1111" s="5" t="s">
        <v>357</v>
      </c>
      <c r="I1111" s="11">
        <v>1</v>
      </c>
      <c r="J1111" s="5" t="s">
        <v>45</v>
      </c>
      <c r="K1111" s="10" t="s">
        <v>46</v>
      </c>
      <c r="L1111" s="5" t="s">
        <v>47</v>
      </c>
      <c r="M1111" s="5" t="s">
        <v>115</v>
      </c>
      <c r="N1111" s="5" t="s">
        <v>116</v>
      </c>
      <c r="O1111" s="12"/>
      <c r="S1111" s="13">
        <v>130838</v>
      </c>
      <c r="U1111" s="13">
        <v>130838</v>
      </c>
      <c r="AC1111" s="10" t="s">
        <v>2643</v>
      </c>
      <c r="AD1111" s="5" t="s">
        <v>2598</v>
      </c>
      <c r="AE1111" s="5" t="s">
        <v>113</v>
      </c>
      <c r="AG1111" s="5" t="s">
        <v>2644</v>
      </c>
    </row>
    <row r="1112" spans="1:33" ht="10" customHeight="1" x14ac:dyDescent="0.2">
      <c r="A1112" s="5" t="s">
        <v>40</v>
      </c>
      <c r="B1112" s="5" t="s">
        <v>41</v>
      </c>
      <c r="D1112" s="5" t="s">
        <v>2645</v>
      </c>
      <c r="E1112" s="10" t="s">
        <v>345</v>
      </c>
      <c r="F1112" s="5" t="s">
        <v>2581</v>
      </c>
      <c r="G1112" s="5" t="s">
        <v>373</v>
      </c>
      <c r="H1112" s="5" t="s">
        <v>357</v>
      </c>
      <c r="I1112" s="11">
        <v>1</v>
      </c>
      <c r="J1112" s="5" t="s">
        <v>45</v>
      </c>
      <c r="K1112" s="10" t="s">
        <v>46</v>
      </c>
      <c r="L1112" s="5" t="s">
        <v>47</v>
      </c>
      <c r="M1112" s="5" t="s">
        <v>115</v>
      </c>
      <c r="N1112" s="5" t="s">
        <v>116</v>
      </c>
      <c r="O1112" s="12"/>
      <c r="S1112" s="13">
        <v>5500</v>
      </c>
      <c r="U1112" s="13">
        <v>5500</v>
      </c>
      <c r="AC1112" s="10" t="s">
        <v>2646</v>
      </c>
      <c r="AD1112" s="5" t="s">
        <v>2598</v>
      </c>
      <c r="AE1112" s="5" t="s">
        <v>113</v>
      </c>
      <c r="AG1112" s="5" t="s">
        <v>2647</v>
      </c>
    </row>
    <row r="1113" spans="1:33" ht="10" customHeight="1" x14ac:dyDescent="0.2">
      <c r="A1113" s="5" t="s">
        <v>40</v>
      </c>
      <c r="B1113" s="5" t="s">
        <v>41</v>
      </c>
      <c r="D1113" s="5" t="s">
        <v>2648</v>
      </c>
      <c r="E1113" s="10" t="s">
        <v>345</v>
      </c>
      <c r="F1113" s="5" t="s">
        <v>2581</v>
      </c>
      <c r="G1113" s="5" t="s">
        <v>373</v>
      </c>
      <c r="H1113" s="5" t="s">
        <v>363</v>
      </c>
      <c r="I1113" s="11">
        <v>1</v>
      </c>
      <c r="J1113" s="5" t="s">
        <v>45</v>
      </c>
      <c r="K1113" s="10" t="s">
        <v>46</v>
      </c>
      <c r="L1113" s="5" t="s">
        <v>47</v>
      </c>
      <c r="M1113" s="5" t="s">
        <v>115</v>
      </c>
      <c r="N1113" s="5" t="s">
        <v>116</v>
      </c>
      <c r="O1113" s="12"/>
      <c r="S1113" s="13">
        <v>39412</v>
      </c>
      <c r="U1113" s="13">
        <v>39412</v>
      </c>
      <c r="AC1113" s="10" t="s">
        <v>2649</v>
      </c>
      <c r="AD1113" s="5" t="s">
        <v>2650</v>
      </c>
      <c r="AE1113" s="5" t="s">
        <v>113</v>
      </c>
      <c r="AG1113" s="5" t="s">
        <v>2651</v>
      </c>
    </row>
    <row r="1114" spans="1:33" ht="10" customHeight="1" x14ac:dyDescent="0.2">
      <c r="A1114" s="5" t="s">
        <v>40</v>
      </c>
      <c r="B1114" s="5" t="s">
        <v>41</v>
      </c>
      <c r="D1114" s="5" t="s">
        <v>2652</v>
      </c>
      <c r="E1114" s="10" t="s">
        <v>345</v>
      </c>
      <c r="F1114" s="5" t="s">
        <v>2581</v>
      </c>
      <c r="G1114" s="5" t="s">
        <v>373</v>
      </c>
      <c r="H1114" s="5" t="s">
        <v>363</v>
      </c>
      <c r="I1114" s="11">
        <v>1</v>
      </c>
      <c r="J1114" s="5" t="s">
        <v>45</v>
      </c>
      <c r="K1114" s="10" t="s">
        <v>46</v>
      </c>
      <c r="L1114" s="5" t="s">
        <v>47</v>
      </c>
      <c r="M1114" s="5" t="s">
        <v>115</v>
      </c>
      <c r="N1114" s="5" t="s">
        <v>116</v>
      </c>
      <c r="O1114" s="12"/>
      <c r="S1114" s="13">
        <v>1100</v>
      </c>
      <c r="U1114" s="13">
        <v>1100</v>
      </c>
      <c r="AC1114" s="10" t="s">
        <v>2653</v>
      </c>
      <c r="AD1114" s="5" t="s">
        <v>2650</v>
      </c>
      <c r="AE1114" s="5" t="s">
        <v>113</v>
      </c>
      <c r="AG1114" s="5" t="s">
        <v>2654</v>
      </c>
    </row>
    <row r="1115" spans="1:33" ht="10" customHeight="1" x14ac:dyDescent="0.2">
      <c r="A1115" s="5" t="s">
        <v>40</v>
      </c>
      <c r="B1115" s="5" t="s">
        <v>41</v>
      </c>
      <c r="D1115" s="5" t="s">
        <v>2655</v>
      </c>
      <c r="E1115" s="10" t="s">
        <v>345</v>
      </c>
      <c r="F1115" s="5" t="s">
        <v>2581</v>
      </c>
      <c r="G1115" s="5" t="s">
        <v>373</v>
      </c>
      <c r="H1115" s="5" t="s">
        <v>363</v>
      </c>
      <c r="I1115" s="11">
        <v>1</v>
      </c>
      <c r="J1115" s="5" t="s">
        <v>45</v>
      </c>
      <c r="K1115" s="10" t="s">
        <v>46</v>
      </c>
      <c r="L1115" s="5" t="s">
        <v>47</v>
      </c>
      <c r="M1115" s="5" t="s">
        <v>115</v>
      </c>
      <c r="N1115" s="5" t="s">
        <v>116</v>
      </c>
      <c r="O1115" s="12"/>
      <c r="S1115" s="13">
        <v>12446</v>
      </c>
      <c r="U1115" s="13">
        <v>12446</v>
      </c>
      <c r="AC1115" s="10" t="s">
        <v>2656</v>
      </c>
      <c r="AD1115" s="5" t="s">
        <v>2650</v>
      </c>
      <c r="AE1115" s="5" t="s">
        <v>113</v>
      </c>
      <c r="AG1115" s="5" t="s">
        <v>2657</v>
      </c>
    </row>
    <row r="1116" spans="1:33" ht="10" customHeight="1" x14ac:dyDescent="0.2">
      <c r="A1116" s="5" t="s">
        <v>40</v>
      </c>
      <c r="B1116" s="5" t="s">
        <v>41</v>
      </c>
      <c r="D1116" s="5" t="s">
        <v>2658</v>
      </c>
      <c r="E1116" s="10" t="s">
        <v>345</v>
      </c>
      <c r="F1116" s="5" t="s">
        <v>2581</v>
      </c>
      <c r="G1116" s="5" t="s">
        <v>373</v>
      </c>
      <c r="H1116" s="5" t="s">
        <v>363</v>
      </c>
      <c r="I1116" s="11">
        <v>1</v>
      </c>
      <c r="J1116" s="5" t="s">
        <v>45</v>
      </c>
      <c r="K1116" s="10" t="s">
        <v>46</v>
      </c>
      <c r="L1116" s="5" t="s">
        <v>47</v>
      </c>
      <c r="M1116" s="5" t="s">
        <v>115</v>
      </c>
      <c r="N1116" s="5" t="s">
        <v>116</v>
      </c>
      <c r="O1116" s="12"/>
      <c r="S1116" s="13">
        <v>16390</v>
      </c>
      <c r="U1116" s="13">
        <v>16390</v>
      </c>
      <c r="AC1116" s="10" t="s">
        <v>2659</v>
      </c>
      <c r="AD1116" s="5" t="s">
        <v>2650</v>
      </c>
      <c r="AE1116" s="5" t="s">
        <v>113</v>
      </c>
    </row>
    <row r="1117" spans="1:33" ht="10" customHeight="1" x14ac:dyDescent="0.2">
      <c r="A1117" s="5" t="s">
        <v>40</v>
      </c>
      <c r="B1117" s="5" t="s">
        <v>41</v>
      </c>
      <c r="D1117" s="5" t="s">
        <v>2660</v>
      </c>
      <c r="E1117" s="10" t="s">
        <v>345</v>
      </c>
      <c r="F1117" s="5" t="s">
        <v>2581</v>
      </c>
      <c r="G1117" s="5" t="s">
        <v>373</v>
      </c>
      <c r="H1117" s="5" t="s">
        <v>363</v>
      </c>
      <c r="I1117" s="11">
        <v>1</v>
      </c>
      <c r="J1117" s="5" t="s">
        <v>45</v>
      </c>
      <c r="K1117" s="10" t="s">
        <v>46</v>
      </c>
      <c r="L1117" s="5" t="s">
        <v>47</v>
      </c>
      <c r="M1117" s="5" t="s">
        <v>115</v>
      </c>
      <c r="N1117" s="5" t="s">
        <v>116</v>
      </c>
      <c r="O1117" s="12"/>
      <c r="S1117" s="13">
        <v>7500</v>
      </c>
      <c r="U1117" s="13">
        <v>7500</v>
      </c>
      <c r="AC1117" s="10" t="s">
        <v>2661</v>
      </c>
      <c r="AD1117" s="5" t="s">
        <v>2650</v>
      </c>
      <c r="AE1117" s="5" t="s">
        <v>113</v>
      </c>
      <c r="AG1117" s="5" t="s">
        <v>2662</v>
      </c>
    </row>
    <row r="1118" spans="1:33" ht="10" customHeight="1" x14ac:dyDescent="0.2">
      <c r="A1118" s="5" t="s">
        <v>40</v>
      </c>
      <c r="B1118" s="5" t="s">
        <v>41</v>
      </c>
      <c r="D1118" s="5" t="s">
        <v>2663</v>
      </c>
      <c r="E1118" s="10" t="s">
        <v>345</v>
      </c>
      <c r="F1118" s="5" t="s">
        <v>2581</v>
      </c>
      <c r="G1118" s="5" t="s">
        <v>373</v>
      </c>
      <c r="H1118" s="5" t="s">
        <v>366</v>
      </c>
      <c r="I1118" s="11">
        <v>1</v>
      </c>
      <c r="J1118" s="5" t="s">
        <v>45</v>
      </c>
      <c r="K1118" s="10" t="s">
        <v>46</v>
      </c>
      <c r="L1118" s="5" t="s">
        <v>47</v>
      </c>
      <c r="M1118" s="5" t="s">
        <v>115</v>
      </c>
      <c r="N1118" s="5" t="s">
        <v>116</v>
      </c>
      <c r="O1118" s="12"/>
      <c r="S1118" s="13">
        <v>248596</v>
      </c>
      <c r="U1118" s="13">
        <v>248596</v>
      </c>
      <c r="AC1118" s="10" t="s">
        <v>2664</v>
      </c>
      <c r="AD1118" s="5" t="s">
        <v>2665</v>
      </c>
      <c r="AE1118" s="5" t="s">
        <v>113</v>
      </c>
      <c r="AG1118" s="5" t="s">
        <v>2666</v>
      </c>
    </row>
    <row r="1119" spans="1:33" ht="10" customHeight="1" x14ac:dyDescent="0.2">
      <c r="A1119" s="5" t="s">
        <v>40</v>
      </c>
      <c r="B1119" s="5" t="s">
        <v>41</v>
      </c>
      <c r="D1119" s="5" t="s">
        <v>2667</v>
      </c>
      <c r="E1119" s="10" t="s">
        <v>345</v>
      </c>
      <c r="F1119" s="5" t="s">
        <v>2581</v>
      </c>
      <c r="G1119" s="5" t="s">
        <v>373</v>
      </c>
      <c r="H1119" s="5" t="s">
        <v>366</v>
      </c>
      <c r="I1119" s="11">
        <v>1</v>
      </c>
      <c r="J1119" s="5" t="s">
        <v>45</v>
      </c>
      <c r="K1119" s="10" t="s">
        <v>46</v>
      </c>
      <c r="L1119" s="5" t="s">
        <v>47</v>
      </c>
      <c r="M1119" s="5" t="s">
        <v>115</v>
      </c>
      <c r="N1119" s="5" t="s">
        <v>116</v>
      </c>
      <c r="O1119" s="12"/>
      <c r="S1119" s="13">
        <v>13795</v>
      </c>
      <c r="U1119" s="13">
        <v>13795</v>
      </c>
      <c r="AC1119" s="10" t="s">
        <v>2668</v>
      </c>
      <c r="AD1119" s="5" t="s">
        <v>2665</v>
      </c>
      <c r="AE1119" s="5" t="s">
        <v>113</v>
      </c>
      <c r="AG1119" s="5" t="s">
        <v>2669</v>
      </c>
    </row>
    <row r="1120" spans="1:33" ht="10" customHeight="1" x14ac:dyDescent="0.2">
      <c r="A1120" s="5" t="s">
        <v>40</v>
      </c>
      <c r="B1120" s="5" t="s">
        <v>41</v>
      </c>
      <c r="D1120" s="5" t="s">
        <v>2670</v>
      </c>
      <c r="E1120" s="10" t="s">
        <v>345</v>
      </c>
      <c r="F1120" s="5" t="s">
        <v>2581</v>
      </c>
      <c r="G1120" s="5" t="s">
        <v>373</v>
      </c>
      <c r="H1120" s="5" t="s">
        <v>366</v>
      </c>
      <c r="I1120" s="11">
        <v>1</v>
      </c>
      <c r="J1120" s="5" t="s">
        <v>45</v>
      </c>
      <c r="K1120" s="10" t="s">
        <v>46</v>
      </c>
      <c r="L1120" s="5" t="s">
        <v>47</v>
      </c>
      <c r="M1120" s="5" t="s">
        <v>115</v>
      </c>
      <c r="N1120" s="5" t="s">
        <v>116</v>
      </c>
      <c r="O1120" s="12"/>
      <c r="S1120" s="13">
        <v>26000</v>
      </c>
      <c r="U1120" s="13">
        <v>26000</v>
      </c>
      <c r="AC1120" s="10" t="s">
        <v>2671</v>
      </c>
      <c r="AD1120" s="5" t="s">
        <v>2665</v>
      </c>
      <c r="AE1120" s="5" t="s">
        <v>113</v>
      </c>
      <c r="AG1120" s="5" t="s">
        <v>2672</v>
      </c>
    </row>
    <row r="1121" spans="1:33" ht="10" customHeight="1" x14ac:dyDescent="0.2">
      <c r="A1121" s="5" t="s">
        <v>40</v>
      </c>
      <c r="B1121" s="5" t="s">
        <v>41</v>
      </c>
      <c r="D1121" s="5" t="s">
        <v>2673</v>
      </c>
      <c r="E1121" s="10" t="s">
        <v>345</v>
      </c>
      <c r="F1121" s="5" t="s">
        <v>2581</v>
      </c>
      <c r="G1121" s="5" t="s">
        <v>373</v>
      </c>
      <c r="H1121" s="5" t="s">
        <v>366</v>
      </c>
      <c r="I1121" s="11">
        <v>1</v>
      </c>
      <c r="J1121" s="5" t="s">
        <v>45</v>
      </c>
      <c r="K1121" s="10" t="s">
        <v>46</v>
      </c>
      <c r="L1121" s="5" t="s">
        <v>47</v>
      </c>
      <c r="M1121" s="5" t="s">
        <v>115</v>
      </c>
      <c r="N1121" s="5" t="s">
        <v>116</v>
      </c>
      <c r="O1121" s="12"/>
      <c r="S1121" s="13">
        <v>14420</v>
      </c>
      <c r="U1121" s="13">
        <v>14420</v>
      </c>
      <c r="AC1121" s="10" t="s">
        <v>2674</v>
      </c>
      <c r="AD1121" s="5" t="s">
        <v>2665</v>
      </c>
      <c r="AE1121" s="5" t="s">
        <v>113</v>
      </c>
      <c r="AG1121" s="5" t="s">
        <v>2675</v>
      </c>
    </row>
    <row r="1122" spans="1:33" ht="10" customHeight="1" x14ac:dyDescent="0.2">
      <c r="A1122" s="5" t="s">
        <v>40</v>
      </c>
      <c r="B1122" s="5" t="s">
        <v>41</v>
      </c>
      <c r="D1122" s="5" t="s">
        <v>2676</v>
      </c>
      <c r="E1122" s="10" t="s">
        <v>345</v>
      </c>
      <c r="F1122" s="5" t="s">
        <v>2581</v>
      </c>
      <c r="G1122" s="5" t="s">
        <v>373</v>
      </c>
      <c r="H1122" s="5" t="s">
        <v>366</v>
      </c>
      <c r="I1122" s="11">
        <v>1</v>
      </c>
      <c r="J1122" s="5" t="s">
        <v>45</v>
      </c>
      <c r="K1122" s="10" t="s">
        <v>46</v>
      </c>
      <c r="L1122" s="5" t="s">
        <v>47</v>
      </c>
      <c r="M1122" s="5" t="s">
        <v>115</v>
      </c>
      <c r="N1122" s="5" t="s">
        <v>116</v>
      </c>
      <c r="O1122" s="12"/>
      <c r="S1122" s="13">
        <v>2500</v>
      </c>
      <c r="U1122" s="13">
        <v>2500</v>
      </c>
      <c r="AC1122" s="10" t="s">
        <v>2677</v>
      </c>
      <c r="AD1122" s="5" t="s">
        <v>2665</v>
      </c>
      <c r="AE1122" s="5" t="s">
        <v>113</v>
      </c>
    </row>
    <row r="1123" spans="1:33" ht="10" customHeight="1" x14ac:dyDescent="0.2">
      <c r="A1123" s="5" t="s">
        <v>40</v>
      </c>
      <c r="B1123" s="5" t="s">
        <v>41</v>
      </c>
      <c r="D1123" s="5" t="s">
        <v>2678</v>
      </c>
      <c r="E1123" s="10" t="s">
        <v>345</v>
      </c>
      <c r="F1123" s="5" t="s">
        <v>2581</v>
      </c>
      <c r="G1123" s="5" t="s">
        <v>464</v>
      </c>
      <c r="I1123" s="11">
        <v>1</v>
      </c>
      <c r="J1123" s="5" t="s">
        <v>45</v>
      </c>
      <c r="K1123" s="10" t="s">
        <v>46</v>
      </c>
      <c r="L1123" s="5" t="s">
        <v>47</v>
      </c>
      <c r="M1123" s="5" t="s">
        <v>115</v>
      </c>
      <c r="N1123" s="5" t="s">
        <v>116</v>
      </c>
      <c r="O1123" s="12"/>
      <c r="S1123" s="13">
        <v>20600</v>
      </c>
      <c r="U1123" s="13">
        <v>20600</v>
      </c>
      <c r="AC1123" s="10" t="s">
        <v>2679</v>
      </c>
      <c r="AD1123" s="5" t="s">
        <v>2680</v>
      </c>
      <c r="AE1123" s="5" t="s">
        <v>113</v>
      </c>
    </row>
    <row r="1124" spans="1:33" ht="10" customHeight="1" x14ac:dyDescent="0.2">
      <c r="A1124" s="5" t="s">
        <v>40</v>
      </c>
      <c r="B1124" s="5" t="s">
        <v>41</v>
      </c>
      <c r="D1124" s="5" t="s">
        <v>2681</v>
      </c>
      <c r="E1124" s="10" t="s">
        <v>345</v>
      </c>
      <c r="F1124" s="5" t="s">
        <v>2581</v>
      </c>
      <c r="G1124" s="5" t="s">
        <v>464</v>
      </c>
      <c r="I1124" s="11">
        <v>1</v>
      </c>
      <c r="J1124" s="5" t="s">
        <v>45</v>
      </c>
      <c r="K1124" s="10" t="s">
        <v>46</v>
      </c>
      <c r="L1124" s="5" t="s">
        <v>47</v>
      </c>
      <c r="M1124" s="5" t="s">
        <v>115</v>
      </c>
      <c r="N1124" s="5" t="s">
        <v>116</v>
      </c>
      <c r="O1124" s="12"/>
      <c r="S1124" s="13">
        <v>6585</v>
      </c>
      <c r="U1124" s="13">
        <v>6585</v>
      </c>
      <c r="AC1124" s="10" t="s">
        <v>2682</v>
      </c>
      <c r="AD1124" s="5" t="s">
        <v>2680</v>
      </c>
      <c r="AE1124" s="5" t="s">
        <v>113</v>
      </c>
    </row>
    <row r="1125" spans="1:33" ht="10" customHeight="1" x14ac:dyDescent="0.2">
      <c r="A1125" s="5" t="s">
        <v>40</v>
      </c>
      <c r="B1125" s="5" t="s">
        <v>41</v>
      </c>
      <c r="D1125" s="5" t="s">
        <v>2683</v>
      </c>
      <c r="E1125" s="10" t="s">
        <v>345</v>
      </c>
      <c r="F1125" s="5" t="s">
        <v>2581</v>
      </c>
      <c r="G1125" s="5" t="s">
        <v>464</v>
      </c>
      <c r="I1125" s="11">
        <v>1</v>
      </c>
      <c r="J1125" s="5" t="s">
        <v>45</v>
      </c>
      <c r="K1125" s="10" t="s">
        <v>46</v>
      </c>
      <c r="L1125" s="5" t="s">
        <v>47</v>
      </c>
      <c r="M1125" s="5" t="s">
        <v>115</v>
      </c>
      <c r="N1125" s="5" t="s">
        <v>116</v>
      </c>
      <c r="O1125" s="12"/>
      <c r="S1125" s="13">
        <v>52777</v>
      </c>
      <c r="U1125" s="13">
        <v>52777</v>
      </c>
      <c r="AC1125" s="10" t="s">
        <v>2684</v>
      </c>
      <c r="AD1125" s="5" t="s">
        <v>2680</v>
      </c>
      <c r="AE1125" s="5" t="s">
        <v>113</v>
      </c>
    </row>
    <row r="1126" spans="1:33" ht="10" customHeight="1" x14ac:dyDescent="0.2">
      <c r="A1126" s="5" t="s">
        <v>40</v>
      </c>
      <c r="B1126" s="5" t="s">
        <v>41</v>
      </c>
      <c r="D1126" s="5" t="s">
        <v>2685</v>
      </c>
      <c r="E1126" s="10" t="s">
        <v>345</v>
      </c>
      <c r="F1126" s="5" t="s">
        <v>2581</v>
      </c>
      <c r="G1126" s="5" t="s">
        <v>464</v>
      </c>
      <c r="I1126" s="11">
        <v>1</v>
      </c>
      <c r="J1126" s="5" t="s">
        <v>45</v>
      </c>
      <c r="K1126" s="10" t="s">
        <v>46</v>
      </c>
      <c r="L1126" s="5" t="s">
        <v>47</v>
      </c>
      <c r="M1126" s="5" t="s">
        <v>115</v>
      </c>
      <c r="N1126" s="5" t="s">
        <v>116</v>
      </c>
      <c r="O1126" s="12"/>
      <c r="S1126" s="13">
        <v>54300</v>
      </c>
      <c r="U1126" s="13">
        <v>54300</v>
      </c>
      <c r="AC1126" s="10" t="s">
        <v>2686</v>
      </c>
      <c r="AD1126" s="5" t="s">
        <v>2687</v>
      </c>
      <c r="AE1126" s="5" t="s">
        <v>113</v>
      </c>
    </row>
    <row r="1127" spans="1:33" ht="10" customHeight="1" x14ac:dyDescent="0.2">
      <c r="A1127" s="5" t="s">
        <v>40</v>
      </c>
      <c r="B1127" s="5" t="s">
        <v>41</v>
      </c>
      <c r="D1127" s="5" t="s">
        <v>2688</v>
      </c>
      <c r="E1127" s="10" t="s">
        <v>345</v>
      </c>
      <c r="F1127" s="5" t="s">
        <v>2581</v>
      </c>
      <c r="G1127" s="5" t="s">
        <v>464</v>
      </c>
      <c r="I1127" s="11">
        <v>1</v>
      </c>
      <c r="J1127" s="5" t="s">
        <v>45</v>
      </c>
      <c r="K1127" s="10" t="s">
        <v>46</v>
      </c>
      <c r="L1127" s="5" t="s">
        <v>47</v>
      </c>
      <c r="M1127" s="5" t="s">
        <v>115</v>
      </c>
      <c r="N1127" s="5" t="s">
        <v>116</v>
      </c>
      <c r="O1127" s="12"/>
      <c r="S1127" s="13">
        <v>5639</v>
      </c>
      <c r="U1127" s="13">
        <v>5639</v>
      </c>
      <c r="AC1127" s="10" t="s">
        <v>2689</v>
      </c>
      <c r="AD1127" s="5" t="s">
        <v>2687</v>
      </c>
      <c r="AE1127" s="5" t="s">
        <v>113</v>
      </c>
    </row>
    <row r="1128" spans="1:33" ht="10" customHeight="1" x14ac:dyDescent="0.2">
      <c r="A1128" s="5" t="s">
        <v>40</v>
      </c>
      <c r="B1128" s="5" t="s">
        <v>41</v>
      </c>
      <c r="D1128" s="5" t="s">
        <v>2690</v>
      </c>
      <c r="E1128" s="10" t="s">
        <v>345</v>
      </c>
      <c r="F1128" s="5" t="s">
        <v>2581</v>
      </c>
      <c r="G1128" s="5" t="s">
        <v>464</v>
      </c>
      <c r="I1128" s="11">
        <v>1</v>
      </c>
      <c r="J1128" s="5" t="s">
        <v>45</v>
      </c>
      <c r="K1128" s="10" t="s">
        <v>46</v>
      </c>
      <c r="L1128" s="5" t="s">
        <v>47</v>
      </c>
      <c r="M1128" s="5" t="s">
        <v>115</v>
      </c>
      <c r="N1128" s="5" t="s">
        <v>116</v>
      </c>
      <c r="O1128" s="12"/>
      <c r="S1128" s="13">
        <v>45197</v>
      </c>
      <c r="U1128" s="13">
        <v>45197</v>
      </c>
      <c r="AC1128" s="10" t="s">
        <v>2691</v>
      </c>
      <c r="AD1128" s="5" t="s">
        <v>2687</v>
      </c>
      <c r="AE1128" s="5" t="s">
        <v>113</v>
      </c>
    </row>
    <row r="1129" spans="1:33" ht="10" customHeight="1" x14ac:dyDescent="0.2">
      <c r="A1129" s="5" t="s">
        <v>40</v>
      </c>
      <c r="B1129" s="5" t="s">
        <v>41</v>
      </c>
      <c r="D1129" s="5" t="s">
        <v>2692</v>
      </c>
      <c r="E1129" s="10" t="s">
        <v>345</v>
      </c>
      <c r="F1129" s="5" t="s">
        <v>2581</v>
      </c>
      <c r="G1129" s="5" t="s">
        <v>464</v>
      </c>
      <c r="I1129" s="11">
        <v>1</v>
      </c>
      <c r="J1129" s="5" t="s">
        <v>45</v>
      </c>
      <c r="K1129" s="10" t="s">
        <v>46</v>
      </c>
      <c r="L1129" s="5" t="s">
        <v>47</v>
      </c>
      <c r="M1129" s="5" t="s">
        <v>115</v>
      </c>
      <c r="N1129" s="5" t="s">
        <v>116</v>
      </c>
      <c r="O1129" s="12"/>
      <c r="S1129" s="13">
        <v>189573</v>
      </c>
      <c r="U1129" s="13">
        <v>189573</v>
      </c>
      <c r="AC1129" s="10" t="s">
        <v>2693</v>
      </c>
      <c r="AD1129" s="5" t="s">
        <v>2694</v>
      </c>
      <c r="AE1129" s="5" t="s">
        <v>113</v>
      </c>
    </row>
    <row r="1130" spans="1:33" ht="10" customHeight="1" x14ac:dyDescent="0.2">
      <c r="A1130" s="5" t="s">
        <v>40</v>
      </c>
      <c r="B1130" s="5" t="s">
        <v>41</v>
      </c>
      <c r="D1130" s="5" t="s">
        <v>2695</v>
      </c>
      <c r="E1130" s="10" t="s">
        <v>345</v>
      </c>
      <c r="F1130" s="5" t="s">
        <v>2581</v>
      </c>
      <c r="G1130" s="5" t="s">
        <v>464</v>
      </c>
      <c r="I1130" s="11">
        <v>1</v>
      </c>
      <c r="J1130" s="5" t="s">
        <v>45</v>
      </c>
      <c r="K1130" s="10" t="s">
        <v>46</v>
      </c>
      <c r="L1130" s="5" t="s">
        <v>47</v>
      </c>
      <c r="M1130" s="5" t="s">
        <v>115</v>
      </c>
      <c r="N1130" s="5" t="s">
        <v>116</v>
      </c>
      <c r="O1130" s="12"/>
      <c r="S1130" s="13">
        <v>11145</v>
      </c>
      <c r="U1130" s="13">
        <v>11145</v>
      </c>
      <c r="AC1130" s="10" t="s">
        <v>2696</v>
      </c>
      <c r="AD1130" s="5" t="s">
        <v>2694</v>
      </c>
      <c r="AE1130" s="5" t="s">
        <v>113</v>
      </c>
    </row>
    <row r="1131" spans="1:33" ht="10" customHeight="1" x14ac:dyDescent="0.2">
      <c r="A1131" s="5" t="s">
        <v>40</v>
      </c>
      <c r="B1131" s="5" t="s">
        <v>41</v>
      </c>
      <c r="D1131" s="5" t="s">
        <v>2697</v>
      </c>
      <c r="E1131" s="10" t="s">
        <v>345</v>
      </c>
      <c r="F1131" s="5" t="s">
        <v>2581</v>
      </c>
      <c r="G1131" s="5" t="s">
        <v>464</v>
      </c>
      <c r="I1131" s="11">
        <v>1</v>
      </c>
      <c r="J1131" s="5" t="s">
        <v>45</v>
      </c>
      <c r="K1131" s="10" t="s">
        <v>46</v>
      </c>
      <c r="L1131" s="5" t="s">
        <v>47</v>
      </c>
      <c r="M1131" s="5" t="s">
        <v>115</v>
      </c>
      <c r="N1131" s="5" t="s">
        <v>116</v>
      </c>
      <c r="O1131" s="12"/>
      <c r="S1131" s="13">
        <v>97281</v>
      </c>
      <c r="U1131" s="13">
        <v>97281</v>
      </c>
      <c r="AC1131" s="10" t="s">
        <v>2698</v>
      </c>
      <c r="AD1131" s="5" t="s">
        <v>2694</v>
      </c>
      <c r="AE1131" s="5" t="s">
        <v>113</v>
      </c>
    </row>
    <row r="1132" spans="1:33" ht="10" customHeight="1" x14ac:dyDescent="0.2">
      <c r="A1132" s="5" t="s">
        <v>40</v>
      </c>
      <c r="B1132" s="5" t="s">
        <v>41</v>
      </c>
      <c r="D1132" s="5" t="s">
        <v>2699</v>
      </c>
      <c r="E1132" s="10" t="s">
        <v>345</v>
      </c>
      <c r="F1132" s="5" t="s">
        <v>2581</v>
      </c>
      <c r="G1132" s="5" t="s">
        <v>464</v>
      </c>
      <c r="I1132" s="11">
        <v>1</v>
      </c>
      <c r="J1132" s="5" t="s">
        <v>45</v>
      </c>
      <c r="K1132" s="10" t="s">
        <v>46</v>
      </c>
      <c r="L1132" s="5" t="s">
        <v>47</v>
      </c>
      <c r="M1132" s="5" t="s">
        <v>115</v>
      </c>
      <c r="N1132" s="5" t="s">
        <v>116</v>
      </c>
      <c r="O1132" s="12"/>
      <c r="S1132" s="13">
        <v>12624</v>
      </c>
      <c r="U1132" s="13">
        <v>12624</v>
      </c>
      <c r="AC1132" s="10" t="s">
        <v>2700</v>
      </c>
      <c r="AD1132" s="5" t="s">
        <v>2701</v>
      </c>
      <c r="AE1132" s="5" t="s">
        <v>113</v>
      </c>
    </row>
    <row r="1133" spans="1:33" ht="10" customHeight="1" x14ac:dyDescent="0.2">
      <c r="A1133" s="5" t="s">
        <v>40</v>
      </c>
      <c r="B1133" s="5" t="s">
        <v>41</v>
      </c>
      <c r="D1133" s="5" t="s">
        <v>2702</v>
      </c>
      <c r="E1133" s="10" t="s">
        <v>345</v>
      </c>
      <c r="F1133" s="5" t="s">
        <v>2581</v>
      </c>
      <c r="G1133" s="5" t="s">
        <v>464</v>
      </c>
      <c r="I1133" s="11">
        <v>1</v>
      </c>
      <c r="J1133" s="5" t="s">
        <v>45</v>
      </c>
      <c r="K1133" s="10" t="s">
        <v>46</v>
      </c>
      <c r="L1133" s="5" t="s">
        <v>47</v>
      </c>
      <c r="M1133" s="5" t="s">
        <v>115</v>
      </c>
      <c r="N1133" s="5" t="s">
        <v>116</v>
      </c>
      <c r="O1133" s="12"/>
      <c r="S1133" s="13">
        <v>420</v>
      </c>
      <c r="U1133" s="13">
        <v>420</v>
      </c>
      <c r="AC1133" s="10" t="s">
        <v>2703</v>
      </c>
      <c r="AD1133" s="5" t="s">
        <v>2701</v>
      </c>
      <c r="AE1133" s="5" t="s">
        <v>113</v>
      </c>
    </row>
    <row r="1134" spans="1:33" ht="10" customHeight="1" x14ac:dyDescent="0.2">
      <c r="A1134" s="5" t="s">
        <v>40</v>
      </c>
      <c r="B1134" s="5" t="s">
        <v>41</v>
      </c>
      <c r="D1134" s="5" t="s">
        <v>2704</v>
      </c>
      <c r="E1134" s="10" t="s">
        <v>345</v>
      </c>
      <c r="F1134" s="5" t="s">
        <v>2581</v>
      </c>
      <c r="G1134" s="5" t="s">
        <v>464</v>
      </c>
      <c r="I1134" s="11">
        <v>1</v>
      </c>
      <c r="J1134" s="5" t="s">
        <v>45</v>
      </c>
      <c r="K1134" s="10" t="s">
        <v>46</v>
      </c>
      <c r="L1134" s="5" t="s">
        <v>47</v>
      </c>
      <c r="M1134" s="5" t="s">
        <v>115</v>
      </c>
      <c r="N1134" s="5" t="s">
        <v>116</v>
      </c>
      <c r="O1134" s="12"/>
      <c r="S1134" s="13">
        <v>3365</v>
      </c>
      <c r="U1134" s="13">
        <v>3365</v>
      </c>
      <c r="AC1134" s="10" t="s">
        <v>2705</v>
      </c>
      <c r="AD1134" s="5" t="s">
        <v>2701</v>
      </c>
      <c r="AE1134" s="5" t="s">
        <v>113</v>
      </c>
    </row>
    <row r="1135" spans="1:33" ht="10" customHeight="1" x14ac:dyDescent="0.2">
      <c r="A1135" s="5" t="s">
        <v>40</v>
      </c>
      <c r="B1135" s="5" t="s">
        <v>41</v>
      </c>
      <c r="D1135" s="5" t="s">
        <v>2706</v>
      </c>
      <c r="E1135" s="10" t="s">
        <v>345</v>
      </c>
      <c r="F1135" s="5" t="s">
        <v>2581</v>
      </c>
      <c r="G1135" s="5" t="s">
        <v>464</v>
      </c>
      <c r="I1135" s="11">
        <v>1</v>
      </c>
      <c r="J1135" s="5" t="s">
        <v>45</v>
      </c>
      <c r="K1135" s="10" t="s">
        <v>46</v>
      </c>
      <c r="L1135" s="5" t="s">
        <v>47</v>
      </c>
      <c r="M1135" s="5" t="s">
        <v>115</v>
      </c>
      <c r="N1135" s="5" t="s">
        <v>116</v>
      </c>
      <c r="O1135" s="12"/>
      <c r="S1135" s="13">
        <v>147453</v>
      </c>
      <c r="U1135" s="13">
        <v>147453</v>
      </c>
      <c r="AC1135" s="10" t="s">
        <v>2707</v>
      </c>
      <c r="AD1135" s="5" t="s">
        <v>2708</v>
      </c>
      <c r="AE1135" s="5" t="s">
        <v>113</v>
      </c>
    </row>
    <row r="1136" spans="1:33" ht="10" customHeight="1" x14ac:dyDescent="0.2">
      <c r="A1136" s="5" t="s">
        <v>40</v>
      </c>
      <c r="B1136" s="5" t="s">
        <v>41</v>
      </c>
      <c r="D1136" s="5" t="s">
        <v>2709</v>
      </c>
      <c r="E1136" s="10" t="s">
        <v>345</v>
      </c>
      <c r="F1136" s="5" t="s">
        <v>2581</v>
      </c>
      <c r="G1136" s="5" t="s">
        <v>464</v>
      </c>
      <c r="I1136" s="11">
        <v>1</v>
      </c>
      <c r="J1136" s="5" t="s">
        <v>45</v>
      </c>
      <c r="K1136" s="10" t="s">
        <v>46</v>
      </c>
      <c r="L1136" s="5" t="s">
        <v>47</v>
      </c>
      <c r="M1136" s="5" t="s">
        <v>115</v>
      </c>
      <c r="N1136" s="5" t="s">
        <v>116</v>
      </c>
      <c r="O1136" s="12"/>
      <c r="S1136" s="13">
        <v>10499</v>
      </c>
      <c r="U1136" s="13">
        <v>10499</v>
      </c>
      <c r="AC1136" s="10" t="s">
        <v>2710</v>
      </c>
      <c r="AD1136" s="5" t="s">
        <v>2708</v>
      </c>
      <c r="AE1136" s="5" t="s">
        <v>113</v>
      </c>
    </row>
    <row r="1137" spans="1:31" ht="10" customHeight="1" x14ac:dyDescent="0.2">
      <c r="A1137" s="5" t="s">
        <v>40</v>
      </c>
      <c r="B1137" s="5" t="s">
        <v>41</v>
      </c>
      <c r="D1137" s="5" t="s">
        <v>2711</v>
      </c>
      <c r="E1137" s="10" t="s">
        <v>345</v>
      </c>
      <c r="F1137" s="5" t="s">
        <v>2581</v>
      </c>
      <c r="G1137" s="5" t="s">
        <v>464</v>
      </c>
      <c r="I1137" s="11">
        <v>1</v>
      </c>
      <c r="J1137" s="5" t="s">
        <v>45</v>
      </c>
      <c r="K1137" s="10" t="s">
        <v>46</v>
      </c>
      <c r="L1137" s="5" t="s">
        <v>47</v>
      </c>
      <c r="M1137" s="5" t="s">
        <v>115</v>
      </c>
      <c r="N1137" s="5" t="s">
        <v>116</v>
      </c>
      <c r="O1137" s="12"/>
      <c r="S1137" s="13">
        <v>101239</v>
      </c>
      <c r="U1137" s="13">
        <v>101239</v>
      </c>
      <c r="AC1137" s="10" t="s">
        <v>2712</v>
      </c>
      <c r="AD1137" s="5" t="s">
        <v>2708</v>
      </c>
      <c r="AE1137" s="5" t="s">
        <v>113</v>
      </c>
    </row>
    <row r="1138" spans="1:31" ht="10" customHeight="1" x14ac:dyDescent="0.2">
      <c r="A1138" s="5" t="s">
        <v>40</v>
      </c>
      <c r="B1138" s="5" t="s">
        <v>41</v>
      </c>
      <c r="D1138" s="5" t="s">
        <v>2713</v>
      </c>
      <c r="E1138" s="10" t="s">
        <v>345</v>
      </c>
      <c r="F1138" s="5" t="s">
        <v>2581</v>
      </c>
      <c r="G1138" s="5" t="s">
        <v>464</v>
      </c>
      <c r="I1138" s="11">
        <v>1</v>
      </c>
      <c r="J1138" s="5" t="s">
        <v>45</v>
      </c>
      <c r="K1138" s="10" t="s">
        <v>46</v>
      </c>
      <c r="L1138" s="5" t="s">
        <v>47</v>
      </c>
      <c r="M1138" s="5" t="s">
        <v>115</v>
      </c>
      <c r="N1138" s="5" t="s">
        <v>116</v>
      </c>
      <c r="O1138" s="12"/>
      <c r="S1138" s="13">
        <v>259191</v>
      </c>
      <c r="U1138" s="13">
        <v>259191</v>
      </c>
      <c r="AC1138" s="10" t="s">
        <v>2714</v>
      </c>
      <c r="AD1138" s="5" t="s">
        <v>2708</v>
      </c>
      <c r="AE1138" s="5" t="s">
        <v>113</v>
      </c>
    </row>
    <row r="1139" spans="1:31" ht="10" customHeight="1" x14ac:dyDescent="0.2">
      <c r="A1139" s="5" t="s">
        <v>40</v>
      </c>
      <c r="B1139" s="5" t="s">
        <v>41</v>
      </c>
      <c r="D1139" s="5" t="s">
        <v>2715</v>
      </c>
      <c r="E1139" s="10" t="s">
        <v>345</v>
      </c>
      <c r="F1139" s="5" t="s">
        <v>2581</v>
      </c>
      <c r="G1139" s="5" t="s">
        <v>464</v>
      </c>
      <c r="I1139" s="11">
        <v>1</v>
      </c>
      <c r="J1139" s="5" t="s">
        <v>45</v>
      </c>
      <c r="K1139" s="10" t="s">
        <v>46</v>
      </c>
      <c r="L1139" s="5" t="s">
        <v>47</v>
      </c>
      <c r="M1139" s="5" t="s">
        <v>115</v>
      </c>
      <c r="N1139" s="5" t="s">
        <v>116</v>
      </c>
      <c r="O1139" s="12"/>
      <c r="S1139" s="13">
        <v>12973</v>
      </c>
      <c r="U1139" s="13">
        <v>12973</v>
      </c>
      <c r="AC1139" s="10" t="s">
        <v>2716</v>
      </c>
      <c r="AD1139" s="5" t="s">
        <v>2717</v>
      </c>
      <c r="AE1139" s="5" t="s">
        <v>113</v>
      </c>
    </row>
    <row r="1140" spans="1:31" ht="10" customHeight="1" x14ac:dyDescent="0.2">
      <c r="A1140" s="5" t="s">
        <v>40</v>
      </c>
      <c r="B1140" s="5" t="s">
        <v>41</v>
      </c>
      <c r="D1140" s="5" t="s">
        <v>2718</v>
      </c>
      <c r="E1140" s="10" t="s">
        <v>345</v>
      </c>
      <c r="F1140" s="5" t="s">
        <v>2581</v>
      </c>
      <c r="G1140" s="5" t="s">
        <v>464</v>
      </c>
      <c r="I1140" s="11">
        <v>1</v>
      </c>
      <c r="J1140" s="5" t="s">
        <v>45</v>
      </c>
      <c r="K1140" s="10" t="s">
        <v>46</v>
      </c>
      <c r="L1140" s="5" t="s">
        <v>47</v>
      </c>
      <c r="M1140" s="5" t="s">
        <v>115</v>
      </c>
      <c r="N1140" s="5" t="s">
        <v>116</v>
      </c>
      <c r="O1140" s="12"/>
      <c r="S1140" s="13">
        <v>1551</v>
      </c>
      <c r="U1140" s="13">
        <v>1551</v>
      </c>
      <c r="AC1140" s="10" t="s">
        <v>2719</v>
      </c>
      <c r="AD1140" s="5" t="s">
        <v>2717</v>
      </c>
      <c r="AE1140" s="5" t="s">
        <v>113</v>
      </c>
    </row>
    <row r="1141" spans="1:31" ht="10" customHeight="1" x14ac:dyDescent="0.2">
      <c r="A1141" s="5" t="s">
        <v>40</v>
      </c>
      <c r="B1141" s="5" t="s">
        <v>41</v>
      </c>
      <c r="D1141" s="5" t="s">
        <v>2720</v>
      </c>
      <c r="E1141" s="10" t="s">
        <v>345</v>
      </c>
      <c r="F1141" s="5" t="s">
        <v>2581</v>
      </c>
      <c r="G1141" s="5" t="s">
        <v>464</v>
      </c>
      <c r="I1141" s="11">
        <v>1</v>
      </c>
      <c r="J1141" s="5" t="s">
        <v>45</v>
      </c>
      <c r="K1141" s="10" t="s">
        <v>46</v>
      </c>
      <c r="L1141" s="5" t="s">
        <v>47</v>
      </c>
      <c r="M1141" s="5" t="s">
        <v>115</v>
      </c>
      <c r="N1141" s="5" t="s">
        <v>116</v>
      </c>
      <c r="O1141" s="12"/>
      <c r="S1141" s="13">
        <v>16928</v>
      </c>
      <c r="U1141" s="13">
        <v>16928</v>
      </c>
      <c r="AC1141" s="10" t="s">
        <v>2721</v>
      </c>
      <c r="AD1141" s="5" t="s">
        <v>2717</v>
      </c>
      <c r="AE1141" s="5" t="s">
        <v>113</v>
      </c>
    </row>
    <row r="1142" spans="1:31" ht="10" customHeight="1" x14ac:dyDescent="0.2">
      <c r="A1142" s="5" t="s">
        <v>40</v>
      </c>
      <c r="B1142" s="5" t="s">
        <v>41</v>
      </c>
      <c r="D1142" s="5" t="s">
        <v>2722</v>
      </c>
      <c r="E1142" s="10" t="s">
        <v>345</v>
      </c>
      <c r="F1142" s="5" t="s">
        <v>2581</v>
      </c>
      <c r="G1142" s="5" t="s">
        <v>464</v>
      </c>
      <c r="I1142" s="11">
        <v>1</v>
      </c>
      <c r="J1142" s="5" t="s">
        <v>45</v>
      </c>
      <c r="K1142" s="10" t="s">
        <v>46</v>
      </c>
      <c r="L1142" s="5" t="s">
        <v>47</v>
      </c>
      <c r="M1142" s="5" t="s">
        <v>115</v>
      </c>
      <c r="N1142" s="5" t="s">
        <v>116</v>
      </c>
      <c r="O1142" s="12"/>
      <c r="S1142" s="13">
        <v>8640</v>
      </c>
      <c r="U1142" s="13">
        <v>8640</v>
      </c>
      <c r="AC1142" s="10" t="s">
        <v>2723</v>
      </c>
      <c r="AD1142" s="5" t="s">
        <v>2724</v>
      </c>
      <c r="AE1142" s="5" t="s">
        <v>113</v>
      </c>
    </row>
    <row r="1143" spans="1:31" ht="10" customHeight="1" x14ac:dyDescent="0.2">
      <c r="A1143" s="5" t="s">
        <v>40</v>
      </c>
      <c r="B1143" s="5" t="s">
        <v>41</v>
      </c>
      <c r="D1143" s="5" t="s">
        <v>2725</v>
      </c>
      <c r="E1143" s="10" t="s">
        <v>345</v>
      </c>
      <c r="F1143" s="5" t="s">
        <v>2581</v>
      </c>
      <c r="G1143" s="5" t="s">
        <v>464</v>
      </c>
      <c r="I1143" s="11">
        <v>1</v>
      </c>
      <c r="J1143" s="5" t="s">
        <v>45</v>
      </c>
      <c r="K1143" s="10" t="s">
        <v>46</v>
      </c>
      <c r="L1143" s="5" t="s">
        <v>47</v>
      </c>
      <c r="M1143" s="5" t="s">
        <v>115</v>
      </c>
      <c r="N1143" s="5" t="s">
        <v>116</v>
      </c>
      <c r="O1143" s="12"/>
      <c r="S1143" s="13">
        <v>2163</v>
      </c>
      <c r="U1143" s="13">
        <v>2163</v>
      </c>
      <c r="AC1143" s="10" t="s">
        <v>2726</v>
      </c>
      <c r="AD1143" s="5" t="s">
        <v>2724</v>
      </c>
      <c r="AE1143" s="5" t="s">
        <v>113</v>
      </c>
    </row>
    <row r="1144" spans="1:31" ht="10" customHeight="1" x14ac:dyDescent="0.2">
      <c r="A1144" s="5" t="s">
        <v>40</v>
      </c>
      <c r="B1144" s="5" t="s">
        <v>41</v>
      </c>
      <c r="D1144" s="5" t="s">
        <v>2727</v>
      </c>
      <c r="E1144" s="10" t="s">
        <v>345</v>
      </c>
      <c r="F1144" s="5" t="s">
        <v>2581</v>
      </c>
      <c r="G1144" s="5" t="s">
        <v>464</v>
      </c>
      <c r="I1144" s="11">
        <v>1</v>
      </c>
      <c r="J1144" s="5" t="s">
        <v>45</v>
      </c>
      <c r="K1144" s="10" t="s">
        <v>46</v>
      </c>
      <c r="L1144" s="5" t="s">
        <v>47</v>
      </c>
      <c r="M1144" s="5" t="s">
        <v>115</v>
      </c>
      <c r="N1144" s="5" t="s">
        <v>116</v>
      </c>
      <c r="O1144" s="12"/>
      <c r="S1144" s="13">
        <v>17335</v>
      </c>
      <c r="U1144" s="13">
        <v>17335</v>
      </c>
      <c r="AC1144" s="10" t="s">
        <v>2728</v>
      </c>
      <c r="AD1144" s="5" t="s">
        <v>2724</v>
      </c>
      <c r="AE1144" s="5" t="s">
        <v>113</v>
      </c>
    </row>
    <row r="1145" spans="1:31" ht="10" customHeight="1" x14ac:dyDescent="0.2">
      <c r="A1145" s="5" t="s">
        <v>40</v>
      </c>
      <c r="B1145" s="5" t="s">
        <v>41</v>
      </c>
      <c r="D1145" s="5" t="s">
        <v>2729</v>
      </c>
      <c r="E1145" s="10" t="s">
        <v>345</v>
      </c>
      <c r="F1145" s="5" t="s">
        <v>2581</v>
      </c>
      <c r="G1145" s="5" t="s">
        <v>464</v>
      </c>
      <c r="I1145" s="11">
        <v>1</v>
      </c>
      <c r="J1145" s="5" t="s">
        <v>45</v>
      </c>
      <c r="K1145" s="10" t="s">
        <v>46</v>
      </c>
      <c r="L1145" s="5" t="s">
        <v>47</v>
      </c>
      <c r="M1145" s="5" t="s">
        <v>115</v>
      </c>
      <c r="N1145" s="5" t="s">
        <v>116</v>
      </c>
      <c r="O1145" s="12"/>
      <c r="S1145" s="13">
        <v>107</v>
      </c>
      <c r="U1145" s="13">
        <v>107</v>
      </c>
      <c r="AC1145" s="10" t="s">
        <v>2730</v>
      </c>
      <c r="AD1145" s="5" t="s">
        <v>2731</v>
      </c>
      <c r="AE1145" s="5" t="s">
        <v>113</v>
      </c>
    </row>
    <row r="1146" spans="1:31" ht="10" customHeight="1" x14ac:dyDescent="0.2">
      <c r="A1146" s="5" t="s">
        <v>40</v>
      </c>
      <c r="B1146" s="5" t="s">
        <v>41</v>
      </c>
      <c r="D1146" s="5" t="s">
        <v>2732</v>
      </c>
      <c r="E1146" s="10" t="s">
        <v>345</v>
      </c>
      <c r="F1146" s="5" t="s">
        <v>2581</v>
      </c>
      <c r="G1146" s="5" t="s">
        <v>464</v>
      </c>
      <c r="I1146" s="11">
        <v>1</v>
      </c>
      <c r="J1146" s="5" t="s">
        <v>45</v>
      </c>
      <c r="K1146" s="10" t="s">
        <v>46</v>
      </c>
      <c r="L1146" s="5" t="s">
        <v>47</v>
      </c>
      <c r="M1146" s="5" t="s">
        <v>115</v>
      </c>
      <c r="N1146" s="5" t="s">
        <v>116</v>
      </c>
      <c r="O1146" s="12"/>
      <c r="S1146" s="13">
        <v>858</v>
      </c>
      <c r="U1146" s="13">
        <v>858</v>
      </c>
      <c r="AC1146" s="10" t="s">
        <v>2733</v>
      </c>
      <c r="AD1146" s="5" t="s">
        <v>2731</v>
      </c>
      <c r="AE1146" s="5" t="s">
        <v>113</v>
      </c>
    </row>
    <row r="1147" spans="1:31" ht="10" customHeight="1" x14ac:dyDescent="0.2">
      <c r="A1147" s="5" t="s">
        <v>40</v>
      </c>
      <c r="B1147" s="5" t="s">
        <v>41</v>
      </c>
      <c r="D1147" s="5" t="s">
        <v>2734</v>
      </c>
      <c r="E1147" s="10" t="s">
        <v>345</v>
      </c>
      <c r="F1147" s="5" t="s">
        <v>2581</v>
      </c>
      <c r="G1147" s="5" t="s">
        <v>464</v>
      </c>
      <c r="I1147" s="11">
        <v>1</v>
      </c>
      <c r="J1147" s="5" t="s">
        <v>45</v>
      </c>
      <c r="K1147" s="10" t="s">
        <v>46</v>
      </c>
      <c r="L1147" s="5" t="s">
        <v>47</v>
      </c>
      <c r="M1147" s="5" t="s">
        <v>115</v>
      </c>
      <c r="N1147" s="5" t="s">
        <v>116</v>
      </c>
      <c r="O1147" s="12"/>
      <c r="S1147" s="13">
        <v>42801</v>
      </c>
      <c r="U1147" s="13">
        <v>42801</v>
      </c>
      <c r="AC1147" s="10" t="s">
        <v>2735</v>
      </c>
      <c r="AD1147" s="5" t="s">
        <v>2736</v>
      </c>
      <c r="AE1147" s="5" t="s">
        <v>113</v>
      </c>
    </row>
    <row r="1148" spans="1:31" ht="10" customHeight="1" x14ac:dyDescent="0.2">
      <c r="A1148" s="5" t="s">
        <v>40</v>
      </c>
      <c r="B1148" s="5" t="s">
        <v>41</v>
      </c>
      <c r="D1148" s="5" t="s">
        <v>2737</v>
      </c>
      <c r="E1148" s="10" t="s">
        <v>345</v>
      </c>
      <c r="F1148" s="5" t="s">
        <v>2581</v>
      </c>
      <c r="G1148" s="5" t="s">
        <v>464</v>
      </c>
      <c r="I1148" s="11">
        <v>1</v>
      </c>
      <c r="J1148" s="5" t="s">
        <v>45</v>
      </c>
      <c r="K1148" s="10" t="s">
        <v>46</v>
      </c>
      <c r="L1148" s="5" t="s">
        <v>47</v>
      </c>
      <c r="M1148" s="5" t="s">
        <v>115</v>
      </c>
      <c r="N1148" s="5" t="s">
        <v>116</v>
      </c>
      <c r="O1148" s="12"/>
      <c r="S1148" s="13">
        <v>8256</v>
      </c>
      <c r="U1148" s="13">
        <v>8256</v>
      </c>
      <c r="AC1148" s="10" t="s">
        <v>2738</v>
      </c>
      <c r="AD1148" s="5" t="s">
        <v>2736</v>
      </c>
      <c r="AE1148" s="5" t="s">
        <v>113</v>
      </c>
    </row>
    <row r="1149" spans="1:31" ht="10" customHeight="1" x14ac:dyDescent="0.2">
      <c r="A1149" s="5" t="s">
        <v>40</v>
      </c>
      <c r="B1149" s="5" t="s">
        <v>41</v>
      </c>
      <c r="D1149" s="5" t="s">
        <v>2739</v>
      </c>
      <c r="E1149" s="10" t="s">
        <v>345</v>
      </c>
      <c r="F1149" s="5" t="s">
        <v>2581</v>
      </c>
      <c r="G1149" s="5" t="s">
        <v>464</v>
      </c>
      <c r="I1149" s="11">
        <v>1</v>
      </c>
      <c r="J1149" s="5" t="s">
        <v>45</v>
      </c>
      <c r="K1149" s="10" t="s">
        <v>46</v>
      </c>
      <c r="L1149" s="5" t="s">
        <v>47</v>
      </c>
      <c r="M1149" s="5" t="s">
        <v>115</v>
      </c>
      <c r="N1149" s="5" t="s">
        <v>116</v>
      </c>
      <c r="O1149" s="12"/>
      <c r="S1149" s="13">
        <v>66172</v>
      </c>
      <c r="U1149" s="13">
        <v>66172</v>
      </c>
      <c r="AC1149" s="10" t="s">
        <v>2740</v>
      </c>
      <c r="AD1149" s="5" t="s">
        <v>2736</v>
      </c>
      <c r="AE1149" s="5" t="s">
        <v>2741</v>
      </c>
    </row>
    <row r="1150" spans="1:31" ht="10" customHeight="1" x14ac:dyDescent="0.2">
      <c r="A1150" s="5" t="s">
        <v>40</v>
      </c>
      <c r="B1150" s="5" t="s">
        <v>41</v>
      </c>
      <c r="D1150" s="5" t="s">
        <v>2742</v>
      </c>
      <c r="E1150" s="10" t="s">
        <v>345</v>
      </c>
      <c r="F1150" s="5" t="s">
        <v>2581</v>
      </c>
      <c r="G1150" s="5" t="s">
        <v>464</v>
      </c>
      <c r="I1150" s="11">
        <v>1</v>
      </c>
      <c r="J1150" s="5" t="s">
        <v>45</v>
      </c>
      <c r="K1150" s="10" t="s">
        <v>46</v>
      </c>
      <c r="L1150" s="5" t="s">
        <v>47</v>
      </c>
      <c r="M1150" s="5" t="s">
        <v>115</v>
      </c>
      <c r="N1150" s="5" t="s">
        <v>116</v>
      </c>
      <c r="O1150" s="12"/>
      <c r="S1150" s="13">
        <v>6800</v>
      </c>
      <c r="U1150" s="13">
        <v>6800</v>
      </c>
      <c r="AC1150" s="10" t="s">
        <v>2743</v>
      </c>
      <c r="AD1150" s="5" t="s">
        <v>2744</v>
      </c>
      <c r="AE1150" s="5" t="s">
        <v>113</v>
      </c>
    </row>
    <row r="1151" spans="1:31" ht="10" customHeight="1" x14ac:dyDescent="0.2">
      <c r="A1151" s="5" t="s">
        <v>40</v>
      </c>
      <c r="B1151" s="5" t="s">
        <v>41</v>
      </c>
      <c r="D1151" s="5" t="s">
        <v>2745</v>
      </c>
      <c r="E1151" s="10" t="s">
        <v>345</v>
      </c>
      <c r="F1151" s="5" t="s">
        <v>2581</v>
      </c>
      <c r="G1151" s="5" t="s">
        <v>464</v>
      </c>
      <c r="I1151" s="11">
        <v>1</v>
      </c>
      <c r="J1151" s="5" t="s">
        <v>45</v>
      </c>
      <c r="K1151" s="10" t="s">
        <v>46</v>
      </c>
      <c r="L1151" s="5" t="s">
        <v>47</v>
      </c>
      <c r="M1151" s="5" t="s">
        <v>115</v>
      </c>
      <c r="N1151" s="5" t="s">
        <v>116</v>
      </c>
      <c r="O1151" s="12"/>
      <c r="S1151" s="13">
        <v>1000</v>
      </c>
      <c r="U1151" s="13">
        <v>1000</v>
      </c>
      <c r="AC1151" s="10" t="s">
        <v>2746</v>
      </c>
      <c r="AD1151" s="5" t="s">
        <v>2744</v>
      </c>
      <c r="AE1151" s="5" t="s">
        <v>113</v>
      </c>
    </row>
    <row r="1152" spans="1:31" ht="10" customHeight="1" x14ac:dyDescent="0.2">
      <c r="A1152" s="5" t="s">
        <v>40</v>
      </c>
      <c r="B1152" s="5" t="s">
        <v>41</v>
      </c>
      <c r="D1152" s="5" t="s">
        <v>2747</v>
      </c>
      <c r="E1152" s="10" t="s">
        <v>345</v>
      </c>
      <c r="F1152" s="5" t="s">
        <v>2581</v>
      </c>
      <c r="G1152" s="5" t="s">
        <v>464</v>
      </c>
      <c r="I1152" s="11">
        <v>1</v>
      </c>
      <c r="J1152" s="5" t="s">
        <v>45</v>
      </c>
      <c r="K1152" s="10" t="s">
        <v>46</v>
      </c>
      <c r="L1152" s="5" t="s">
        <v>47</v>
      </c>
      <c r="M1152" s="5" t="s">
        <v>115</v>
      </c>
      <c r="N1152" s="5" t="s">
        <v>116</v>
      </c>
      <c r="O1152" s="12"/>
      <c r="S1152" s="13">
        <v>15906</v>
      </c>
      <c r="U1152" s="13">
        <v>15906</v>
      </c>
      <c r="AC1152" s="10" t="s">
        <v>2748</v>
      </c>
      <c r="AD1152" s="5" t="s">
        <v>2749</v>
      </c>
      <c r="AE1152" s="5" t="s">
        <v>113</v>
      </c>
    </row>
    <row r="1153" spans="1:33" ht="10" customHeight="1" x14ac:dyDescent="0.2">
      <c r="A1153" s="5" t="s">
        <v>40</v>
      </c>
      <c r="B1153" s="5" t="s">
        <v>41</v>
      </c>
      <c r="D1153" s="5" t="s">
        <v>2750</v>
      </c>
      <c r="E1153" s="10" t="s">
        <v>345</v>
      </c>
      <c r="F1153" s="5" t="s">
        <v>2581</v>
      </c>
      <c r="G1153" s="5" t="s">
        <v>464</v>
      </c>
      <c r="I1153" s="11">
        <v>1</v>
      </c>
      <c r="J1153" s="5" t="s">
        <v>45</v>
      </c>
      <c r="K1153" s="10" t="s">
        <v>46</v>
      </c>
      <c r="L1153" s="5" t="s">
        <v>47</v>
      </c>
      <c r="M1153" s="5" t="s">
        <v>115</v>
      </c>
      <c r="N1153" s="5" t="s">
        <v>116</v>
      </c>
      <c r="O1153" s="12"/>
      <c r="S1153" s="13">
        <v>935</v>
      </c>
      <c r="U1153" s="13">
        <v>935</v>
      </c>
      <c r="AC1153" s="10" t="s">
        <v>2751</v>
      </c>
      <c r="AD1153" s="5" t="s">
        <v>2749</v>
      </c>
      <c r="AE1153" s="5" t="s">
        <v>113</v>
      </c>
    </row>
    <row r="1154" spans="1:33" ht="10" customHeight="1" x14ac:dyDescent="0.2">
      <c r="A1154" s="5" t="s">
        <v>40</v>
      </c>
      <c r="B1154" s="5" t="s">
        <v>41</v>
      </c>
      <c r="D1154" s="5" t="s">
        <v>2752</v>
      </c>
      <c r="E1154" s="10" t="s">
        <v>345</v>
      </c>
      <c r="F1154" s="5" t="s">
        <v>2581</v>
      </c>
      <c r="G1154" s="5" t="s">
        <v>464</v>
      </c>
      <c r="I1154" s="11">
        <v>1</v>
      </c>
      <c r="J1154" s="5" t="s">
        <v>45</v>
      </c>
      <c r="K1154" s="10" t="s">
        <v>46</v>
      </c>
      <c r="L1154" s="5" t="s">
        <v>47</v>
      </c>
      <c r="M1154" s="5" t="s">
        <v>115</v>
      </c>
      <c r="N1154" s="5" t="s">
        <v>116</v>
      </c>
      <c r="O1154" s="12"/>
      <c r="S1154" s="13">
        <v>841</v>
      </c>
      <c r="U1154" s="13">
        <v>841</v>
      </c>
      <c r="AC1154" s="10" t="s">
        <v>2753</v>
      </c>
      <c r="AD1154" s="5" t="s">
        <v>2749</v>
      </c>
      <c r="AE1154" s="5" t="s">
        <v>113</v>
      </c>
      <c r="AG1154" s="5" t="s">
        <v>2754</v>
      </c>
    </row>
    <row r="1155" spans="1:33" ht="10" customHeight="1" x14ac:dyDescent="0.2">
      <c r="A1155" s="5" t="s">
        <v>40</v>
      </c>
      <c r="B1155" s="5" t="s">
        <v>41</v>
      </c>
      <c r="D1155" s="5" t="s">
        <v>2755</v>
      </c>
      <c r="E1155" s="10" t="s">
        <v>345</v>
      </c>
      <c r="F1155" s="5" t="s">
        <v>2581</v>
      </c>
      <c r="G1155" s="5" t="s">
        <v>464</v>
      </c>
      <c r="I1155" s="11">
        <v>1</v>
      </c>
      <c r="J1155" s="5" t="s">
        <v>45</v>
      </c>
      <c r="K1155" s="10" t="s">
        <v>46</v>
      </c>
      <c r="L1155" s="5" t="s">
        <v>47</v>
      </c>
      <c r="M1155" s="5" t="s">
        <v>115</v>
      </c>
      <c r="N1155" s="5" t="s">
        <v>116</v>
      </c>
      <c r="O1155" s="12"/>
      <c r="S1155" s="13">
        <v>234670</v>
      </c>
      <c r="U1155" s="13">
        <v>234670</v>
      </c>
      <c r="AC1155" s="10" t="s">
        <v>2756</v>
      </c>
      <c r="AD1155" s="5" t="s">
        <v>2757</v>
      </c>
      <c r="AE1155" s="5" t="s">
        <v>113</v>
      </c>
    </row>
    <row r="1156" spans="1:33" ht="10" customHeight="1" x14ac:dyDescent="0.2">
      <c r="A1156" s="5" t="s">
        <v>40</v>
      </c>
      <c r="B1156" s="5" t="s">
        <v>41</v>
      </c>
      <c r="D1156" s="5" t="s">
        <v>2758</v>
      </c>
      <c r="E1156" s="10" t="s">
        <v>345</v>
      </c>
      <c r="F1156" s="5" t="s">
        <v>2581</v>
      </c>
      <c r="G1156" s="5" t="s">
        <v>464</v>
      </c>
      <c r="I1156" s="11">
        <v>1</v>
      </c>
      <c r="J1156" s="5" t="s">
        <v>45</v>
      </c>
      <c r="K1156" s="10" t="s">
        <v>46</v>
      </c>
      <c r="L1156" s="5" t="s">
        <v>47</v>
      </c>
      <c r="M1156" s="5" t="s">
        <v>115</v>
      </c>
      <c r="N1156" s="5" t="s">
        <v>116</v>
      </c>
      <c r="O1156" s="12"/>
      <c r="S1156" s="13">
        <v>4231</v>
      </c>
      <c r="U1156" s="13">
        <v>4231</v>
      </c>
      <c r="AC1156" s="10" t="s">
        <v>2759</v>
      </c>
      <c r="AD1156" s="5" t="s">
        <v>2757</v>
      </c>
      <c r="AE1156" s="5" t="s">
        <v>113</v>
      </c>
    </row>
    <row r="1157" spans="1:33" ht="10" customHeight="1" x14ac:dyDescent="0.2">
      <c r="A1157" s="5" t="s">
        <v>40</v>
      </c>
      <c r="B1157" s="5" t="s">
        <v>41</v>
      </c>
      <c r="D1157" s="5" t="s">
        <v>2760</v>
      </c>
      <c r="E1157" s="10" t="s">
        <v>345</v>
      </c>
      <c r="F1157" s="5" t="s">
        <v>2581</v>
      </c>
      <c r="G1157" s="5" t="s">
        <v>464</v>
      </c>
      <c r="I1157" s="11">
        <v>1</v>
      </c>
      <c r="J1157" s="5" t="s">
        <v>45</v>
      </c>
      <c r="K1157" s="10" t="s">
        <v>46</v>
      </c>
      <c r="L1157" s="5" t="s">
        <v>47</v>
      </c>
      <c r="M1157" s="5" t="s">
        <v>115</v>
      </c>
      <c r="N1157" s="5" t="s">
        <v>116</v>
      </c>
      <c r="O1157" s="12"/>
      <c r="S1157" s="13">
        <v>63914</v>
      </c>
      <c r="U1157" s="13">
        <v>63914</v>
      </c>
      <c r="AC1157" s="10" t="s">
        <v>2761</v>
      </c>
      <c r="AD1157" s="5" t="s">
        <v>2757</v>
      </c>
      <c r="AE1157" s="5" t="s">
        <v>113</v>
      </c>
    </row>
    <row r="1158" spans="1:33" ht="10" customHeight="1" x14ac:dyDescent="0.2">
      <c r="A1158" s="5" t="s">
        <v>40</v>
      </c>
      <c r="B1158" s="5" t="s">
        <v>41</v>
      </c>
      <c r="D1158" s="5" t="s">
        <v>2762</v>
      </c>
      <c r="E1158" s="10" t="s">
        <v>345</v>
      </c>
      <c r="F1158" s="5" t="s">
        <v>2581</v>
      </c>
      <c r="G1158" s="5" t="s">
        <v>464</v>
      </c>
      <c r="I1158" s="11">
        <v>1</v>
      </c>
      <c r="J1158" s="5" t="s">
        <v>45</v>
      </c>
      <c r="K1158" s="10" t="s">
        <v>46</v>
      </c>
      <c r="L1158" s="5" t="s">
        <v>47</v>
      </c>
      <c r="M1158" s="5" t="s">
        <v>115</v>
      </c>
      <c r="N1158" s="5" t="s">
        <v>116</v>
      </c>
      <c r="O1158" s="12"/>
      <c r="S1158" s="13">
        <v>56730</v>
      </c>
      <c r="U1158" s="13">
        <v>56730</v>
      </c>
      <c r="AC1158" s="10" t="s">
        <v>2763</v>
      </c>
      <c r="AD1158" s="5" t="s">
        <v>2764</v>
      </c>
      <c r="AE1158" s="5" t="s">
        <v>113</v>
      </c>
    </row>
    <row r="1159" spans="1:33" ht="10" customHeight="1" x14ac:dyDescent="0.2">
      <c r="A1159" s="5" t="s">
        <v>40</v>
      </c>
      <c r="B1159" s="5" t="s">
        <v>41</v>
      </c>
      <c r="D1159" s="5" t="s">
        <v>2765</v>
      </c>
      <c r="E1159" s="10" t="s">
        <v>345</v>
      </c>
      <c r="F1159" s="5" t="s">
        <v>2581</v>
      </c>
      <c r="G1159" s="5" t="s">
        <v>464</v>
      </c>
      <c r="I1159" s="11">
        <v>1</v>
      </c>
      <c r="J1159" s="5" t="s">
        <v>45</v>
      </c>
      <c r="K1159" s="10" t="s">
        <v>46</v>
      </c>
      <c r="L1159" s="5" t="s">
        <v>47</v>
      </c>
      <c r="M1159" s="5" t="s">
        <v>115</v>
      </c>
      <c r="N1159" s="5" t="s">
        <v>116</v>
      </c>
      <c r="O1159" s="12"/>
      <c r="S1159" s="13">
        <v>25600</v>
      </c>
      <c r="U1159" s="13">
        <v>25600</v>
      </c>
      <c r="AC1159" s="10" t="s">
        <v>2766</v>
      </c>
      <c r="AD1159" s="5" t="s">
        <v>2767</v>
      </c>
      <c r="AE1159" s="5" t="s">
        <v>113</v>
      </c>
    </row>
    <row r="1160" spans="1:33" ht="10" customHeight="1" x14ac:dyDescent="0.2">
      <c r="A1160" s="5" t="s">
        <v>40</v>
      </c>
      <c r="B1160" s="5" t="s">
        <v>41</v>
      </c>
      <c r="D1160" s="5" t="s">
        <v>2768</v>
      </c>
      <c r="E1160" s="10" t="s">
        <v>345</v>
      </c>
      <c r="F1160" s="5" t="s">
        <v>2581</v>
      </c>
      <c r="G1160" s="5" t="s">
        <v>464</v>
      </c>
      <c r="I1160" s="11">
        <v>1</v>
      </c>
      <c r="J1160" s="5" t="s">
        <v>45</v>
      </c>
      <c r="K1160" s="10" t="s">
        <v>46</v>
      </c>
      <c r="L1160" s="5" t="s">
        <v>47</v>
      </c>
      <c r="M1160" s="5" t="s">
        <v>115</v>
      </c>
      <c r="N1160" s="5" t="s">
        <v>116</v>
      </c>
      <c r="O1160" s="12"/>
      <c r="S1160" s="13">
        <v>39412</v>
      </c>
      <c r="U1160" s="13">
        <v>39412</v>
      </c>
      <c r="AC1160" s="10" t="s">
        <v>2769</v>
      </c>
      <c r="AD1160" s="5" t="s">
        <v>2770</v>
      </c>
      <c r="AE1160" s="5" t="s">
        <v>113</v>
      </c>
    </row>
    <row r="1161" spans="1:33" ht="10" customHeight="1" x14ac:dyDescent="0.2">
      <c r="A1161" s="5" t="s">
        <v>40</v>
      </c>
      <c r="B1161" s="5" t="s">
        <v>41</v>
      </c>
      <c r="D1161" s="5" t="s">
        <v>2771</v>
      </c>
      <c r="E1161" s="10" t="s">
        <v>345</v>
      </c>
      <c r="F1161" s="5" t="s">
        <v>2581</v>
      </c>
      <c r="G1161" s="5" t="s">
        <v>464</v>
      </c>
      <c r="I1161" s="11">
        <v>1</v>
      </c>
      <c r="J1161" s="5" t="s">
        <v>45</v>
      </c>
      <c r="K1161" s="10" t="s">
        <v>46</v>
      </c>
      <c r="L1161" s="5" t="s">
        <v>47</v>
      </c>
      <c r="M1161" s="5" t="s">
        <v>115</v>
      </c>
      <c r="N1161" s="5" t="s">
        <v>116</v>
      </c>
      <c r="O1161" s="12"/>
      <c r="S1161" s="13">
        <v>206747</v>
      </c>
      <c r="U1161" s="13">
        <v>206747</v>
      </c>
      <c r="AC1161" s="10" t="s">
        <v>2772</v>
      </c>
      <c r="AD1161" s="5" t="s">
        <v>2773</v>
      </c>
      <c r="AE1161" s="5" t="s">
        <v>113</v>
      </c>
    </row>
    <row r="1162" spans="1:33" ht="10" customHeight="1" x14ac:dyDescent="0.2">
      <c r="A1162" s="5" t="s">
        <v>40</v>
      </c>
      <c r="B1162" s="5" t="s">
        <v>41</v>
      </c>
      <c r="D1162" s="5" t="s">
        <v>2774</v>
      </c>
      <c r="E1162" s="10" t="s">
        <v>345</v>
      </c>
      <c r="F1162" s="5" t="s">
        <v>2581</v>
      </c>
      <c r="G1162" s="5" t="s">
        <v>464</v>
      </c>
      <c r="I1162" s="11">
        <v>1</v>
      </c>
      <c r="J1162" s="5" t="s">
        <v>45</v>
      </c>
      <c r="K1162" s="10" t="s">
        <v>46</v>
      </c>
      <c r="L1162" s="5" t="s">
        <v>47</v>
      </c>
      <c r="M1162" s="5" t="s">
        <v>115</v>
      </c>
      <c r="N1162" s="5" t="s">
        <v>116</v>
      </c>
      <c r="O1162" s="12"/>
      <c r="S1162" s="13">
        <v>3860</v>
      </c>
      <c r="U1162" s="13">
        <v>3860</v>
      </c>
      <c r="AC1162" s="10" t="s">
        <v>2775</v>
      </c>
      <c r="AD1162" s="5" t="s">
        <v>2773</v>
      </c>
      <c r="AE1162" s="5" t="s">
        <v>113</v>
      </c>
    </row>
    <row r="1163" spans="1:33" ht="10" customHeight="1" x14ac:dyDescent="0.2">
      <c r="A1163" s="5" t="s">
        <v>40</v>
      </c>
      <c r="B1163" s="5" t="s">
        <v>41</v>
      </c>
      <c r="D1163" s="5" t="s">
        <v>2776</v>
      </c>
      <c r="E1163" s="10" t="s">
        <v>345</v>
      </c>
      <c r="F1163" s="5" t="s">
        <v>2581</v>
      </c>
      <c r="G1163" s="5" t="s">
        <v>464</v>
      </c>
      <c r="I1163" s="11">
        <v>1</v>
      </c>
      <c r="J1163" s="5" t="s">
        <v>45</v>
      </c>
      <c r="K1163" s="10" t="s">
        <v>46</v>
      </c>
      <c r="L1163" s="5" t="s">
        <v>47</v>
      </c>
      <c r="M1163" s="5" t="s">
        <v>115</v>
      </c>
      <c r="N1163" s="5" t="s">
        <v>116</v>
      </c>
      <c r="O1163" s="12"/>
      <c r="S1163" s="13">
        <v>37989</v>
      </c>
      <c r="U1163" s="13">
        <v>37989</v>
      </c>
      <c r="AC1163" s="10" t="s">
        <v>2777</v>
      </c>
      <c r="AD1163" s="5" t="s">
        <v>2773</v>
      </c>
      <c r="AE1163" s="5" t="s">
        <v>113</v>
      </c>
    </row>
    <row r="1164" spans="1:33" ht="10" customHeight="1" x14ac:dyDescent="0.2">
      <c r="A1164" s="5" t="s">
        <v>40</v>
      </c>
      <c r="B1164" s="5" t="s">
        <v>41</v>
      </c>
      <c r="D1164" s="5" t="s">
        <v>2778</v>
      </c>
      <c r="E1164" s="10" t="s">
        <v>345</v>
      </c>
      <c r="F1164" s="5" t="s">
        <v>2581</v>
      </c>
      <c r="G1164" s="5" t="s">
        <v>464</v>
      </c>
      <c r="I1164" s="11">
        <v>1</v>
      </c>
      <c r="J1164" s="5" t="s">
        <v>45</v>
      </c>
      <c r="K1164" s="10" t="s">
        <v>46</v>
      </c>
      <c r="L1164" s="5" t="s">
        <v>47</v>
      </c>
      <c r="M1164" s="5" t="s">
        <v>115</v>
      </c>
      <c r="N1164" s="5" t="s">
        <v>116</v>
      </c>
      <c r="O1164" s="12"/>
      <c r="S1164" s="13">
        <v>7534</v>
      </c>
      <c r="U1164" s="13">
        <v>7534</v>
      </c>
      <c r="AC1164" s="10" t="s">
        <v>2779</v>
      </c>
      <c r="AD1164" s="5" t="s">
        <v>2780</v>
      </c>
      <c r="AE1164" s="5" t="s">
        <v>113</v>
      </c>
    </row>
    <row r="1165" spans="1:33" ht="10" customHeight="1" x14ac:dyDescent="0.2">
      <c r="A1165" s="5" t="s">
        <v>40</v>
      </c>
      <c r="B1165" s="5" t="s">
        <v>41</v>
      </c>
      <c r="D1165" s="5" t="s">
        <v>2781</v>
      </c>
      <c r="E1165" s="10" t="s">
        <v>345</v>
      </c>
      <c r="F1165" s="5" t="s">
        <v>2581</v>
      </c>
      <c r="G1165" s="5" t="s">
        <v>464</v>
      </c>
      <c r="I1165" s="11">
        <v>1</v>
      </c>
      <c r="J1165" s="5" t="s">
        <v>45</v>
      </c>
      <c r="K1165" s="10" t="s">
        <v>46</v>
      </c>
      <c r="L1165" s="5" t="s">
        <v>47</v>
      </c>
      <c r="M1165" s="5" t="s">
        <v>115</v>
      </c>
      <c r="N1165" s="5" t="s">
        <v>116</v>
      </c>
      <c r="O1165" s="12"/>
      <c r="S1165" s="13">
        <v>3381</v>
      </c>
      <c r="U1165" s="13">
        <v>3381</v>
      </c>
      <c r="AC1165" s="10" t="s">
        <v>2782</v>
      </c>
      <c r="AD1165" s="5" t="s">
        <v>2780</v>
      </c>
      <c r="AE1165" s="5" t="s">
        <v>113</v>
      </c>
    </row>
    <row r="1166" spans="1:33" ht="10" customHeight="1" x14ac:dyDescent="0.2">
      <c r="A1166" s="5" t="s">
        <v>40</v>
      </c>
      <c r="B1166" s="5" t="s">
        <v>41</v>
      </c>
      <c r="D1166" s="5" t="s">
        <v>2783</v>
      </c>
      <c r="E1166" s="10" t="s">
        <v>345</v>
      </c>
      <c r="F1166" s="5" t="s">
        <v>2581</v>
      </c>
      <c r="G1166" s="5" t="s">
        <v>464</v>
      </c>
      <c r="I1166" s="11">
        <v>1</v>
      </c>
      <c r="J1166" s="5" t="s">
        <v>45</v>
      </c>
      <c r="K1166" s="10" t="s">
        <v>46</v>
      </c>
      <c r="L1166" s="5" t="s">
        <v>47</v>
      </c>
      <c r="M1166" s="5" t="s">
        <v>115</v>
      </c>
      <c r="N1166" s="5" t="s">
        <v>116</v>
      </c>
      <c r="O1166" s="12"/>
      <c r="S1166" s="13">
        <v>2880</v>
      </c>
      <c r="U1166" s="13">
        <v>2880</v>
      </c>
      <c r="AC1166" s="10" t="s">
        <v>2784</v>
      </c>
      <c r="AD1166" s="5" t="s">
        <v>2780</v>
      </c>
      <c r="AE1166" s="5" t="s">
        <v>113</v>
      </c>
    </row>
    <row r="1167" spans="1:33" ht="10" customHeight="1" x14ac:dyDescent="0.2">
      <c r="A1167" s="5" t="s">
        <v>40</v>
      </c>
      <c r="B1167" s="5" t="s">
        <v>41</v>
      </c>
      <c r="D1167" s="5" t="s">
        <v>2785</v>
      </c>
      <c r="E1167" s="10" t="s">
        <v>345</v>
      </c>
      <c r="F1167" s="5" t="s">
        <v>124</v>
      </c>
      <c r="G1167" s="5" t="s">
        <v>346</v>
      </c>
      <c r="H1167" s="5" t="s">
        <v>347</v>
      </c>
      <c r="I1167" s="11">
        <v>1</v>
      </c>
      <c r="J1167" s="5" t="s">
        <v>45</v>
      </c>
      <c r="K1167" s="10" t="s">
        <v>46</v>
      </c>
      <c r="L1167" s="5" t="s">
        <v>47</v>
      </c>
      <c r="M1167" s="5" t="s">
        <v>115</v>
      </c>
      <c r="N1167" s="5" t="s">
        <v>116</v>
      </c>
      <c r="O1167" s="12"/>
      <c r="P1167" s="13">
        <v>86682</v>
      </c>
      <c r="S1167" s="13">
        <v>92152</v>
      </c>
      <c r="U1167" s="13">
        <v>92152</v>
      </c>
      <c r="AC1167" s="10" t="s">
        <v>2786</v>
      </c>
      <c r="AD1167" s="5" t="s">
        <v>2787</v>
      </c>
      <c r="AE1167" s="5" t="s">
        <v>119</v>
      </c>
    </row>
    <row r="1168" spans="1:33" ht="10" customHeight="1" x14ac:dyDescent="0.2">
      <c r="A1168" s="5" t="s">
        <v>40</v>
      </c>
      <c r="B1168" s="5" t="s">
        <v>41</v>
      </c>
      <c r="D1168" s="5" t="s">
        <v>2788</v>
      </c>
      <c r="E1168" s="10" t="s">
        <v>345</v>
      </c>
      <c r="F1168" s="5" t="s">
        <v>124</v>
      </c>
      <c r="G1168" s="5" t="s">
        <v>346</v>
      </c>
      <c r="H1168" s="5" t="s">
        <v>175</v>
      </c>
      <c r="I1168" s="11">
        <v>1</v>
      </c>
      <c r="J1168" s="5" t="s">
        <v>45</v>
      </c>
      <c r="K1168" s="10" t="s">
        <v>46</v>
      </c>
      <c r="L1168" s="5" t="s">
        <v>47</v>
      </c>
      <c r="M1168" s="5" t="s">
        <v>115</v>
      </c>
      <c r="N1168" s="5" t="s">
        <v>116</v>
      </c>
      <c r="O1168" s="12"/>
      <c r="P1168" s="13">
        <v>1959990</v>
      </c>
      <c r="S1168" s="13">
        <v>4558163</v>
      </c>
      <c r="U1168" s="13">
        <v>4558163</v>
      </c>
      <c r="AC1168" s="10" t="s">
        <v>2789</v>
      </c>
      <c r="AD1168" s="5" t="s">
        <v>2787</v>
      </c>
      <c r="AE1168" s="5" t="s">
        <v>119</v>
      </c>
    </row>
    <row r="1169" spans="1:33" ht="10" customHeight="1" x14ac:dyDescent="0.2">
      <c r="A1169" s="5" t="s">
        <v>40</v>
      </c>
      <c r="B1169" s="5" t="s">
        <v>41</v>
      </c>
      <c r="D1169" s="5" t="s">
        <v>2790</v>
      </c>
      <c r="E1169" s="10" t="s">
        <v>345</v>
      </c>
      <c r="F1169" s="5" t="s">
        <v>124</v>
      </c>
      <c r="G1169" s="5" t="s">
        <v>346</v>
      </c>
      <c r="H1169" s="5" t="s">
        <v>354</v>
      </c>
      <c r="I1169" s="11">
        <v>1</v>
      </c>
      <c r="J1169" s="5" t="s">
        <v>45</v>
      </c>
      <c r="K1169" s="10" t="s">
        <v>46</v>
      </c>
      <c r="L1169" s="5" t="s">
        <v>47</v>
      </c>
      <c r="M1169" s="5" t="s">
        <v>115</v>
      </c>
      <c r="N1169" s="5" t="s">
        <v>116</v>
      </c>
      <c r="O1169" s="12"/>
      <c r="P1169" s="13">
        <v>77417</v>
      </c>
      <c r="S1169" s="13">
        <v>136692</v>
      </c>
      <c r="U1169" s="13">
        <v>136692</v>
      </c>
      <c r="AC1169" s="10" t="s">
        <v>2791</v>
      </c>
      <c r="AD1169" s="5" t="s">
        <v>2787</v>
      </c>
      <c r="AE1169" s="5" t="s">
        <v>119</v>
      </c>
    </row>
    <row r="1170" spans="1:33" ht="10" customHeight="1" x14ac:dyDescent="0.2">
      <c r="A1170" s="5" t="s">
        <v>40</v>
      </c>
      <c r="B1170" s="5" t="s">
        <v>41</v>
      </c>
      <c r="D1170" s="5" t="s">
        <v>2792</v>
      </c>
      <c r="E1170" s="10" t="s">
        <v>345</v>
      </c>
      <c r="F1170" s="5" t="s">
        <v>124</v>
      </c>
      <c r="G1170" s="5" t="s">
        <v>346</v>
      </c>
      <c r="H1170" s="5" t="s">
        <v>357</v>
      </c>
      <c r="I1170" s="11">
        <v>1</v>
      </c>
      <c r="J1170" s="5" t="s">
        <v>45</v>
      </c>
      <c r="K1170" s="10" t="s">
        <v>46</v>
      </c>
      <c r="L1170" s="5" t="s">
        <v>47</v>
      </c>
      <c r="M1170" s="5" t="s">
        <v>115</v>
      </c>
      <c r="N1170" s="5" t="s">
        <v>116</v>
      </c>
      <c r="O1170" s="12"/>
      <c r="P1170" s="13">
        <v>535327</v>
      </c>
      <c r="S1170" s="13">
        <v>911969</v>
      </c>
      <c r="U1170" s="13">
        <v>911969</v>
      </c>
      <c r="AC1170" s="10" t="s">
        <v>2793</v>
      </c>
      <c r="AD1170" s="5" t="s">
        <v>2787</v>
      </c>
      <c r="AE1170" s="5" t="s">
        <v>119</v>
      </c>
    </row>
    <row r="1171" spans="1:33" ht="10" customHeight="1" x14ac:dyDescent="0.2">
      <c r="A1171" s="5" t="s">
        <v>40</v>
      </c>
      <c r="B1171" s="5" t="s">
        <v>41</v>
      </c>
      <c r="D1171" s="5" t="s">
        <v>2794</v>
      </c>
      <c r="E1171" s="10" t="s">
        <v>345</v>
      </c>
      <c r="F1171" s="5" t="s">
        <v>124</v>
      </c>
      <c r="G1171" s="5" t="s">
        <v>346</v>
      </c>
      <c r="H1171" s="5" t="s">
        <v>366</v>
      </c>
      <c r="I1171" s="11">
        <v>1</v>
      </c>
      <c r="J1171" s="5" t="s">
        <v>45</v>
      </c>
      <c r="K1171" s="10" t="s">
        <v>46</v>
      </c>
      <c r="L1171" s="5" t="s">
        <v>47</v>
      </c>
      <c r="M1171" s="5" t="s">
        <v>115</v>
      </c>
      <c r="N1171" s="5" t="s">
        <v>116</v>
      </c>
      <c r="O1171" s="12"/>
      <c r="P1171" s="13">
        <v>1106810</v>
      </c>
      <c r="S1171" s="13">
        <v>1834441</v>
      </c>
      <c r="U1171" s="13">
        <v>1834441</v>
      </c>
      <c r="AC1171" s="10" t="s">
        <v>2795</v>
      </c>
      <c r="AD1171" s="5" t="s">
        <v>2787</v>
      </c>
      <c r="AE1171" s="5" t="s">
        <v>119</v>
      </c>
    </row>
    <row r="1172" spans="1:33" ht="10" customHeight="1" x14ac:dyDescent="0.2">
      <c r="A1172" s="5" t="s">
        <v>40</v>
      </c>
      <c r="B1172" s="5" t="s">
        <v>41</v>
      </c>
      <c r="D1172" s="5" t="s">
        <v>2796</v>
      </c>
      <c r="E1172" s="10" t="s">
        <v>345</v>
      </c>
      <c r="F1172" s="5" t="s">
        <v>124</v>
      </c>
      <c r="G1172" s="5" t="s">
        <v>346</v>
      </c>
      <c r="H1172" s="5" t="s">
        <v>369</v>
      </c>
      <c r="I1172" s="11">
        <v>1</v>
      </c>
      <c r="J1172" s="5" t="s">
        <v>45</v>
      </c>
      <c r="K1172" s="10" t="s">
        <v>46</v>
      </c>
      <c r="L1172" s="5" t="s">
        <v>47</v>
      </c>
      <c r="M1172" s="5" t="s">
        <v>115</v>
      </c>
      <c r="N1172" s="5" t="s">
        <v>116</v>
      </c>
      <c r="O1172" s="12"/>
      <c r="P1172" s="13">
        <v>76985</v>
      </c>
      <c r="S1172" s="13">
        <v>82196</v>
      </c>
      <c r="U1172" s="13">
        <v>82196</v>
      </c>
      <c r="AC1172" s="10" t="s">
        <v>2797</v>
      </c>
      <c r="AD1172" s="5" t="s">
        <v>2787</v>
      </c>
      <c r="AE1172" s="5" t="s">
        <v>119</v>
      </c>
    </row>
    <row r="1173" spans="1:33" ht="10" customHeight="1" x14ac:dyDescent="0.2">
      <c r="A1173" s="5" t="s">
        <v>40</v>
      </c>
      <c r="B1173" s="5" t="s">
        <v>41</v>
      </c>
      <c r="D1173" s="5" t="s">
        <v>2798</v>
      </c>
      <c r="E1173" s="10" t="s">
        <v>345</v>
      </c>
      <c r="F1173" s="5" t="s">
        <v>124</v>
      </c>
      <c r="G1173" s="5" t="s">
        <v>346</v>
      </c>
      <c r="I1173" s="11">
        <v>1</v>
      </c>
      <c r="J1173" s="5" t="s">
        <v>45</v>
      </c>
      <c r="K1173" s="10" t="s">
        <v>46</v>
      </c>
      <c r="L1173" s="5" t="s">
        <v>47</v>
      </c>
      <c r="M1173" s="5" t="s">
        <v>115</v>
      </c>
      <c r="N1173" s="5" t="s">
        <v>116</v>
      </c>
      <c r="O1173" s="12"/>
      <c r="S1173" s="13">
        <v>134039</v>
      </c>
      <c r="U1173" s="13">
        <v>134039</v>
      </c>
      <c r="AC1173" s="10" t="s">
        <v>2799</v>
      </c>
      <c r="AD1173" s="5" t="s">
        <v>2787</v>
      </c>
      <c r="AE1173" s="5" t="s">
        <v>119</v>
      </c>
    </row>
    <row r="1174" spans="1:33" ht="10" customHeight="1" x14ac:dyDescent="0.2">
      <c r="A1174" s="5" t="s">
        <v>40</v>
      </c>
      <c r="B1174" s="5" t="s">
        <v>41</v>
      </c>
      <c r="D1174" s="5" t="s">
        <v>2800</v>
      </c>
      <c r="E1174" s="10" t="s">
        <v>345</v>
      </c>
      <c r="F1174" s="5" t="s">
        <v>124</v>
      </c>
      <c r="G1174" s="5" t="s">
        <v>346</v>
      </c>
      <c r="I1174" s="11">
        <v>1</v>
      </c>
      <c r="J1174" s="5" t="s">
        <v>45</v>
      </c>
      <c r="K1174" s="10" t="s">
        <v>46</v>
      </c>
      <c r="L1174" s="5" t="s">
        <v>47</v>
      </c>
      <c r="M1174" s="5" t="s">
        <v>115</v>
      </c>
      <c r="N1174" s="5" t="s">
        <v>116</v>
      </c>
      <c r="O1174" s="12"/>
      <c r="S1174" s="13">
        <v>1176</v>
      </c>
      <c r="U1174" s="13">
        <v>1176</v>
      </c>
      <c r="AC1174" s="10" t="s">
        <v>2801</v>
      </c>
      <c r="AD1174" s="5" t="s">
        <v>2787</v>
      </c>
      <c r="AE1174" s="5" t="s">
        <v>119</v>
      </c>
    </row>
    <row r="1175" spans="1:33" ht="10" customHeight="1" x14ac:dyDescent="0.2">
      <c r="A1175" s="5" t="s">
        <v>40</v>
      </c>
      <c r="B1175" s="5" t="s">
        <v>41</v>
      </c>
      <c r="D1175" s="5" t="s">
        <v>2802</v>
      </c>
      <c r="E1175" s="10" t="s">
        <v>345</v>
      </c>
      <c r="F1175" s="5" t="s">
        <v>124</v>
      </c>
      <c r="G1175" s="5" t="s">
        <v>346</v>
      </c>
      <c r="I1175" s="11">
        <v>1</v>
      </c>
      <c r="J1175" s="5" t="s">
        <v>45</v>
      </c>
      <c r="K1175" s="10" t="s">
        <v>46</v>
      </c>
      <c r="L1175" s="5" t="s">
        <v>47</v>
      </c>
      <c r="M1175" s="5" t="s">
        <v>115</v>
      </c>
      <c r="N1175" s="5" t="s">
        <v>116</v>
      </c>
      <c r="O1175" s="12"/>
      <c r="P1175" s="13">
        <v>168178</v>
      </c>
      <c r="S1175" s="13">
        <v>5930</v>
      </c>
      <c r="U1175" s="13">
        <v>5930</v>
      </c>
      <c r="AC1175" s="10" t="s">
        <v>2803</v>
      </c>
      <c r="AD1175" s="5" t="s">
        <v>2787</v>
      </c>
      <c r="AE1175" s="5" t="s">
        <v>119</v>
      </c>
    </row>
    <row r="1176" spans="1:33" ht="10" customHeight="1" x14ac:dyDescent="0.2">
      <c r="A1176" s="5" t="s">
        <v>40</v>
      </c>
      <c r="B1176" s="5" t="s">
        <v>41</v>
      </c>
      <c r="D1176" s="5" t="s">
        <v>2804</v>
      </c>
      <c r="E1176" s="10" t="s">
        <v>345</v>
      </c>
      <c r="F1176" s="5" t="s">
        <v>124</v>
      </c>
      <c r="G1176" s="5" t="s">
        <v>346</v>
      </c>
      <c r="I1176" s="11">
        <v>1</v>
      </c>
      <c r="J1176" s="5" t="s">
        <v>45</v>
      </c>
      <c r="K1176" s="10" t="s">
        <v>46</v>
      </c>
      <c r="L1176" s="5" t="s">
        <v>47</v>
      </c>
      <c r="M1176" s="5" t="s">
        <v>115</v>
      </c>
      <c r="N1176" s="5" t="s">
        <v>116</v>
      </c>
      <c r="O1176" s="12"/>
      <c r="P1176" s="13">
        <v>104090</v>
      </c>
      <c r="S1176" s="13">
        <v>121827</v>
      </c>
      <c r="U1176" s="13">
        <v>121827</v>
      </c>
      <c r="AC1176" s="10" t="s">
        <v>2805</v>
      </c>
      <c r="AD1176" s="5" t="s">
        <v>2787</v>
      </c>
      <c r="AE1176" s="5" t="s">
        <v>119</v>
      </c>
    </row>
    <row r="1177" spans="1:33" ht="10" customHeight="1" x14ac:dyDescent="0.2">
      <c r="A1177" s="5" t="s">
        <v>40</v>
      </c>
      <c r="B1177" s="5" t="s">
        <v>41</v>
      </c>
      <c r="D1177" s="5" t="s">
        <v>2806</v>
      </c>
      <c r="E1177" s="10" t="s">
        <v>345</v>
      </c>
      <c r="F1177" s="5" t="s">
        <v>124</v>
      </c>
      <c r="G1177" s="5" t="s">
        <v>346</v>
      </c>
      <c r="I1177" s="11">
        <v>1</v>
      </c>
      <c r="J1177" s="5" t="s">
        <v>45</v>
      </c>
      <c r="K1177" s="10" t="s">
        <v>46</v>
      </c>
      <c r="L1177" s="5" t="s">
        <v>47</v>
      </c>
      <c r="M1177" s="5" t="s">
        <v>115</v>
      </c>
      <c r="N1177" s="5" t="s">
        <v>116</v>
      </c>
      <c r="O1177" s="12"/>
      <c r="P1177" s="13">
        <v>115600</v>
      </c>
      <c r="S1177" s="13">
        <v>107405</v>
      </c>
      <c r="U1177" s="13">
        <v>107405</v>
      </c>
      <c r="AC1177" s="10" t="s">
        <v>2807</v>
      </c>
      <c r="AD1177" s="5" t="s">
        <v>2787</v>
      </c>
      <c r="AE1177" s="5" t="s">
        <v>119</v>
      </c>
    </row>
    <row r="1178" spans="1:33" ht="10" customHeight="1" x14ac:dyDescent="0.2">
      <c r="A1178" s="5" t="s">
        <v>40</v>
      </c>
      <c r="B1178" s="5" t="s">
        <v>41</v>
      </c>
      <c r="D1178" s="5" t="s">
        <v>2808</v>
      </c>
      <c r="E1178" s="10" t="s">
        <v>345</v>
      </c>
      <c r="F1178" s="5" t="s">
        <v>124</v>
      </c>
      <c r="G1178" s="5" t="s">
        <v>346</v>
      </c>
      <c r="I1178" s="11">
        <v>1</v>
      </c>
      <c r="J1178" s="5" t="s">
        <v>45</v>
      </c>
      <c r="K1178" s="10" t="s">
        <v>46</v>
      </c>
      <c r="L1178" s="5" t="s">
        <v>47</v>
      </c>
      <c r="M1178" s="5" t="s">
        <v>115</v>
      </c>
      <c r="N1178" s="5" t="s">
        <v>116</v>
      </c>
      <c r="O1178" s="12"/>
      <c r="P1178" s="13">
        <v>14339</v>
      </c>
      <c r="S1178" s="13">
        <v>32000</v>
      </c>
      <c r="U1178" s="13">
        <v>32000</v>
      </c>
      <c r="AC1178" s="10" t="s">
        <v>2809</v>
      </c>
      <c r="AD1178" s="5" t="s">
        <v>2787</v>
      </c>
      <c r="AE1178" s="5" t="s">
        <v>119</v>
      </c>
    </row>
    <row r="1179" spans="1:33" ht="10" customHeight="1" x14ac:dyDescent="0.2">
      <c r="A1179" s="5" t="s">
        <v>40</v>
      </c>
      <c r="B1179" s="5" t="s">
        <v>41</v>
      </c>
      <c r="D1179" s="5" t="s">
        <v>2810</v>
      </c>
      <c r="E1179" s="10" t="s">
        <v>345</v>
      </c>
      <c r="F1179" s="5" t="s">
        <v>124</v>
      </c>
      <c r="G1179" s="5" t="s">
        <v>346</v>
      </c>
      <c r="I1179" s="11">
        <v>1</v>
      </c>
      <c r="J1179" s="5" t="s">
        <v>45</v>
      </c>
      <c r="K1179" s="10" t="s">
        <v>46</v>
      </c>
      <c r="L1179" s="5" t="s">
        <v>47</v>
      </c>
      <c r="M1179" s="5" t="s">
        <v>115</v>
      </c>
      <c r="N1179" s="5" t="s">
        <v>116</v>
      </c>
      <c r="O1179" s="12"/>
      <c r="P1179" s="13">
        <v>100245</v>
      </c>
      <c r="S1179" s="13">
        <v>48460</v>
      </c>
      <c r="U1179" s="13">
        <v>48460</v>
      </c>
      <c r="AC1179" s="10" t="s">
        <v>2811</v>
      </c>
      <c r="AD1179" s="5" t="s">
        <v>2787</v>
      </c>
      <c r="AE1179" s="5" t="s">
        <v>119</v>
      </c>
    </row>
    <row r="1180" spans="1:33" ht="10" customHeight="1" x14ac:dyDescent="0.2">
      <c r="A1180" s="5" t="s">
        <v>40</v>
      </c>
      <c r="B1180" s="5" t="s">
        <v>41</v>
      </c>
      <c r="D1180" s="5" t="s">
        <v>2812</v>
      </c>
      <c r="E1180" s="10" t="s">
        <v>345</v>
      </c>
      <c r="F1180" s="5" t="s">
        <v>124</v>
      </c>
      <c r="G1180" s="5" t="s">
        <v>346</v>
      </c>
      <c r="I1180" s="11">
        <v>1</v>
      </c>
      <c r="J1180" s="5" t="s">
        <v>45</v>
      </c>
      <c r="K1180" s="10" t="s">
        <v>46</v>
      </c>
      <c r="L1180" s="5" t="s">
        <v>47</v>
      </c>
      <c r="M1180" s="5" t="s">
        <v>115</v>
      </c>
      <c r="N1180" s="5" t="s">
        <v>116</v>
      </c>
      <c r="O1180" s="12"/>
      <c r="P1180" s="13">
        <v>120992</v>
      </c>
      <c r="S1180" s="13">
        <v>54946</v>
      </c>
      <c r="U1180" s="13">
        <v>54946</v>
      </c>
      <c r="AC1180" s="10" t="s">
        <v>2813</v>
      </c>
      <c r="AD1180" s="5" t="s">
        <v>2787</v>
      </c>
      <c r="AE1180" s="5" t="s">
        <v>119</v>
      </c>
    </row>
    <row r="1181" spans="1:33" ht="10" customHeight="1" x14ac:dyDescent="0.2">
      <c r="A1181" s="5" t="s">
        <v>40</v>
      </c>
      <c r="B1181" s="5" t="s">
        <v>41</v>
      </c>
      <c r="D1181" s="5" t="s">
        <v>2814</v>
      </c>
      <c r="E1181" s="10" t="s">
        <v>345</v>
      </c>
      <c r="F1181" s="5" t="s">
        <v>124</v>
      </c>
      <c r="G1181" s="5" t="s">
        <v>346</v>
      </c>
      <c r="I1181" s="11">
        <v>1</v>
      </c>
      <c r="J1181" s="5" t="s">
        <v>45</v>
      </c>
      <c r="K1181" s="10" t="s">
        <v>46</v>
      </c>
      <c r="L1181" s="5" t="s">
        <v>47</v>
      </c>
      <c r="M1181" s="5" t="s">
        <v>115</v>
      </c>
      <c r="N1181" s="5" t="s">
        <v>116</v>
      </c>
      <c r="O1181" s="12"/>
      <c r="P1181" s="13">
        <v>134216</v>
      </c>
      <c r="S1181" s="13">
        <v>76322</v>
      </c>
      <c r="U1181" s="13">
        <v>76322</v>
      </c>
      <c r="AC1181" s="10" t="s">
        <v>2815</v>
      </c>
      <c r="AD1181" s="5" t="s">
        <v>2787</v>
      </c>
      <c r="AE1181" s="5" t="s">
        <v>119</v>
      </c>
    </row>
    <row r="1182" spans="1:33" ht="10" customHeight="1" x14ac:dyDescent="0.2">
      <c r="A1182" s="5" t="s">
        <v>40</v>
      </c>
      <c r="B1182" s="5" t="s">
        <v>41</v>
      </c>
      <c r="D1182" s="5" t="s">
        <v>2785</v>
      </c>
      <c r="E1182" s="10" t="s">
        <v>345</v>
      </c>
      <c r="F1182" s="5" t="s">
        <v>124</v>
      </c>
      <c r="G1182" s="5" t="s">
        <v>346</v>
      </c>
      <c r="H1182" s="5" t="s">
        <v>347</v>
      </c>
      <c r="I1182" s="11">
        <v>1</v>
      </c>
      <c r="J1182" s="5" t="s">
        <v>45</v>
      </c>
      <c r="K1182" s="10" t="s">
        <v>46</v>
      </c>
      <c r="L1182" s="5" t="s">
        <v>47</v>
      </c>
      <c r="M1182" s="5" t="s">
        <v>115</v>
      </c>
      <c r="N1182" s="5" t="s">
        <v>116</v>
      </c>
      <c r="O1182" s="12"/>
      <c r="P1182" s="13">
        <v>82697</v>
      </c>
      <c r="S1182" s="13">
        <v>83596</v>
      </c>
      <c r="U1182" s="13">
        <v>83596</v>
      </c>
      <c r="AC1182" s="10" t="s">
        <v>2786</v>
      </c>
      <c r="AD1182" s="5" t="s">
        <v>2816</v>
      </c>
      <c r="AE1182" s="5" t="s">
        <v>119</v>
      </c>
      <c r="AG1182" s="5" t="s">
        <v>350</v>
      </c>
    </row>
    <row r="1183" spans="1:33" ht="10" customHeight="1" x14ac:dyDescent="0.2">
      <c r="A1183" s="5" t="s">
        <v>40</v>
      </c>
      <c r="B1183" s="5" t="s">
        <v>41</v>
      </c>
      <c r="D1183" s="5" t="s">
        <v>2788</v>
      </c>
      <c r="E1183" s="10" t="s">
        <v>345</v>
      </c>
      <c r="F1183" s="5" t="s">
        <v>124</v>
      </c>
      <c r="G1183" s="5" t="s">
        <v>346</v>
      </c>
      <c r="H1183" s="5" t="s">
        <v>175</v>
      </c>
      <c r="I1183" s="11">
        <v>1</v>
      </c>
      <c r="J1183" s="5" t="s">
        <v>45</v>
      </c>
      <c r="K1183" s="10" t="s">
        <v>46</v>
      </c>
      <c r="L1183" s="5" t="s">
        <v>47</v>
      </c>
      <c r="M1183" s="5" t="s">
        <v>115</v>
      </c>
      <c r="N1183" s="5" t="s">
        <v>116</v>
      </c>
      <c r="O1183" s="12"/>
      <c r="P1183" s="13">
        <v>4628213</v>
      </c>
      <c r="S1183" s="13">
        <v>282604</v>
      </c>
      <c r="U1183" s="13">
        <v>282604</v>
      </c>
      <c r="AC1183" s="10" t="s">
        <v>2789</v>
      </c>
      <c r="AD1183" s="5" t="s">
        <v>2816</v>
      </c>
      <c r="AE1183" s="5" t="s">
        <v>119</v>
      </c>
      <c r="AG1183" s="5" t="s">
        <v>175</v>
      </c>
    </row>
    <row r="1184" spans="1:33" ht="10" customHeight="1" x14ac:dyDescent="0.2">
      <c r="A1184" s="5" t="s">
        <v>40</v>
      </c>
      <c r="B1184" s="5" t="s">
        <v>41</v>
      </c>
      <c r="D1184" s="5" t="s">
        <v>2790</v>
      </c>
      <c r="E1184" s="10" t="s">
        <v>345</v>
      </c>
      <c r="F1184" s="5" t="s">
        <v>124</v>
      </c>
      <c r="G1184" s="5" t="s">
        <v>346</v>
      </c>
      <c r="H1184" s="5" t="s">
        <v>354</v>
      </c>
      <c r="I1184" s="11">
        <v>1</v>
      </c>
      <c r="J1184" s="5" t="s">
        <v>45</v>
      </c>
      <c r="K1184" s="10" t="s">
        <v>46</v>
      </c>
      <c r="L1184" s="5" t="s">
        <v>47</v>
      </c>
      <c r="M1184" s="5" t="s">
        <v>115</v>
      </c>
      <c r="N1184" s="5" t="s">
        <v>116</v>
      </c>
      <c r="O1184" s="12"/>
      <c r="P1184" s="13">
        <v>91627</v>
      </c>
      <c r="S1184" s="13">
        <v>136872</v>
      </c>
      <c r="U1184" s="13">
        <v>136872</v>
      </c>
      <c r="AC1184" s="10" t="s">
        <v>2791</v>
      </c>
      <c r="AD1184" s="5" t="s">
        <v>2816</v>
      </c>
      <c r="AE1184" s="5" t="s">
        <v>119</v>
      </c>
      <c r="AG1184" s="5" t="s">
        <v>354</v>
      </c>
    </row>
    <row r="1185" spans="1:33" ht="10" customHeight="1" x14ac:dyDescent="0.2">
      <c r="A1185" s="5" t="s">
        <v>40</v>
      </c>
      <c r="B1185" s="5" t="s">
        <v>41</v>
      </c>
      <c r="D1185" s="5" t="s">
        <v>2792</v>
      </c>
      <c r="E1185" s="10" t="s">
        <v>345</v>
      </c>
      <c r="F1185" s="5" t="s">
        <v>124</v>
      </c>
      <c r="G1185" s="5" t="s">
        <v>346</v>
      </c>
      <c r="H1185" s="5" t="s">
        <v>357</v>
      </c>
      <c r="I1185" s="11">
        <v>1</v>
      </c>
      <c r="J1185" s="5" t="s">
        <v>45</v>
      </c>
      <c r="K1185" s="10" t="s">
        <v>46</v>
      </c>
      <c r="L1185" s="5" t="s">
        <v>47</v>
      </c>
      <c r="M1185" s="5" t="s">
        <v>115</v>
      </c>
      <c r="N1185" s="5" t="s">
        <v>116</v>
      </c>
      <c r="O1185" s="12"/>
      <c r="P1185" s="13">
        <v>950971</v>
      </c>
      <c r="S1185" s="13">
        <v>23521</v>
      </c>
      <c r="U1185" s="13">
        <v>23521</v>
      </c>
      <c r="AC1185" s="10" t="s">
        <v>2793</v>
      </c>
      <c r="AD1185" s="5" t="s">
        <v>2816</v>
      </c>
      <c r="AE1185" s="5" t="s">
        <v>119</v>
      </c>
      <c r="AG1185" s="5" t="s">
        <v>2817</v>
      </c>
    </row>
    <row r="1186" spans="1:33" ht="10" customHeight="1" x14ac:dyDescent="0.2">
      <c r="A1186" s="5" t="s">
        <v>40</v>
      </c>
      <c r="B1186" s="5" t="s">
        <v>41</v>
      </c>
      <c r="D1186" s="5" t="s">
        <v>2818</v>
      </c>
      <c r="E1186" s="10" t="s">
        <v>345</v>
      </c>
      <c r="F1186" s="5" t="s">
        <v>124</v>
      </c>
      <c r="G1186" s="5" t="s">
        <v>346</v>
      </c>
      <c r="H1186" s="5" t="s">
        <v>363</v>
      </c>
      <c r="I1186" s="11">
        <v>1</v>
      </c>
      <c r="J1186" s="5" t="s">
        <v>45</v>
      </c>
      <c r="K1186" s="10" t="s">
        <v>46</v>
      </c>
      <c r="L1186" s="5" t="s">
        <v>47</v>
      </c>
      <c r="M1186" s="5" t="s">
        <v>115</v>
      </c>
      <c r="N1186" s="5" t="s">
        <v>116</v>
      </c>
      <c r="O1186" s="12"/>
      <c r="P1186" s="13">
        <v>100673</v>
      </c>
      <c r="S1186" s="13">
        <v>154029</v>
      </c>
      <c r="U1186" s="13">
        <v>154029</v>
      </c>
      <c r="AC1186" s="10" t="s">
        <v>2819</v>
      </c>
      <c r="AD1186" s="5" t="s">
        <v>2816</v>
      </c>
      <c r="AE1186" s="5" t="s">
        <v>119</v>
      </c>
    </row>
    <row r="1187" spans="1:33" ht="10" customHeight="1" x14ac:dyDescent="0.2">
      <c r="A1187" s="5" t="s">
        <v>40</v>
      </c>
      <c r="B1187" s="5" t="s">
        <v>41</v>
      </c>
      <c r="D1187" s="5" t="s">
        <v>2794</v>
      </c>
      <c r="E1187" s="10" t="s">
        <v>345</v>
      </c>
      <c r="F1187" s="5" t="s">
        <v>124</v>
      </c>
      <c r="G1187" s="5" t="s">
        <v>346</v>
      </c>
      <c r="H1187" s="5" t="s">
        <v>366</v>
      </c>
      <c r="I1187" s="11">
        <v>1</v>
      </c>
      <c r="J1187" s="5" t="s">
        <v>45</v>
      </c>
      <c r="K1187" s="10" t="s">
        <v>46</v>
      </c>
      <c r="L1187" s="5" t="s">
        <v>47</v>
      </c>
      <c r="M1187" s="5" t="s">
        <v>115</v>
      </c>
      <c r="N1187" s="5" t="s">
        <v>116</v>
      </c>
      <c r="O1187" s="12"/>
      <c r="P1187" s="13">
        <v>1187380</v>
      </c>
      <c r="S1187" s="13">
        <v>1816641</v>
      </c>
      <c r="U1187" s="13">
        <v>1816641</v>
      </c>
      <c r="AC1187" s="10" t="s">
        <v>2795</v>
      </c>
      <c r="AD1187" s="5" t="s">
        <v>2816</v>
      </c>
      <c r="AE1187" s="5" t="s">
        <v>119</v>
      </c>
    </row>
    <row r="1188" spans="1:33" ht="10" customHeight="1" x14ac:dyDescent="0.2">
      <c r="A1188" s="5" t="s">
        <v>40</v>
      </c>
      <c r="B1188" s="5" t="s">
        <v>41</v>
      </c>
      <c r="D1188" s="5" t="s">
        <v>2796</v>
      </c>
      <c r="E1188" s="10" t="s">
        <v>345</v>
      </c>
      <c r="F1188" s="5" t="s">
        <v>124</v>
      </c>
      <c r="G1188" s="5" t="s">
        <v>346</v>
      </c>
      <c r="H1188" s="5" t="s">
        <v>369</v>
      </c>
      <c r="I1188" s="11">
        <v>1</v>
      </c>
      <c r="J1188" s="5" t="s">
        <v>45</v>
      </c>
      <c r="K1188" s="10" t="s">
        <v>46</v>
      </c>
      <c r="L1188" s="5" t="s">
        <v>47</v>
      </c>
      <c r="M1188" s="5" t="s">
        <v>115</v>
      </c>
      <c r="N1188" s="5" t="s">
        <v>116</v>
      </c>
      <c r="O1188" s="12"/>
      <c r="P1188" s="13">
        <v>87684</v>
      </c>
      <c r="S1188" s="13">
        <v>88492</v>
      </c>
      <c r="U1188" s="13">
        <v>88492</v>
      </c>
      <c r="AC1188" s="10" t="s">
        <v>2797</v>
      </c>
      <c r="AD1188" s="5" t="s">
        <v>2816</v>
      </c>
      <c r="AE1188" s="5" t="s">
        <v>119</v>
      </c>
      <c r="AG1188" s="5" t="s">
        <v>371</v>
      </c>
    </row>
    <row r="1189" spans="1:33" ht="10" customHeight="1" x14ac:dyDescent="0.2">
      <c r="A1189" s="5" t="s">
        <v>40</v>
      </c>
      <c r="B1189" s="5" t="s">
        <v>41</v>
      </c>
      <c r="D1189" s="5" t="s">
        <v>2820</v>
      </c>
      <c r="E1189" s="10" t="s">
        <v>345</v>
      </c>
      <c r="F1189" s="5" t="s">
        <v>124</v>
      </c>
      <c r="G1189" s="5" t="s">
        <v>373</v>
      </c>
      <c r="H1189" s="5" t="s">
        <v>357</v>
      </c>
      <c r="I1189" s="11">
        <v>1</v>
      </c>
      <c r="J1189" s="5" t="s">
        <v>45</v>
      </c>
      <c r="K1189" s="10" t="s">
        <v>46</v>
      </c>
      <c r="L1189" s="5" t="s">
        <v>47</v>
      </c>
      <c r="M1189" s="5" t="s">
        <v>115</v>
      </c>
      <c r="N1189" s="5" t="s">
        <v>116</v>
      </c>
      <c r="O1189" s="12"/>
      <c r="P1189" s="13">
        <v>115958</v>
      </c>
      <c r="S1189" s="13">
        <v>177416</v>
      </c>
      <c r="U1189" s="13">
        <v>177416</v>
      </c>
      <c r="AC1189" s="10" t="s">
        <v>2821</v>
      </c>
      <c r="AD1189" s="5" t="s">
        <v>2822</v>
      </c>
      <c r="AE1189" s="5" t="s">
        <v>119</v>
      </c>
      <c r="AG1189" s="5" t="s">
        <v>2823</v>
      </c>
    </row>
    <row r="1190" spans="1:33" ht="10" customHeight="1" x14ac:dyDescent="0.2">
      <c r="A1190" s="5" t="s">
        <v>40</v>
      </c>
      <c r="B1190" s="5" t="s">
        <v>41</v>
      </c>
      <c r="D1190" s="5" t="s">
        <v>2824</v>
      </c>
      <c r="E1190" s="10" t="s">
        <v>345</v>
      </c>
      <c r="F1190" s="5" t="s">
        <v>124</v>
      </c>
      <c r="G1190" s="5" t="s">
        <v>373</v>
      </c>
      <c r="H1190" s="5" t="s">
        <v>357</v>
      </c>
      <c r="I1190" s="11">
        <v>1</v>
      </c>
      <c r="J1190" s="5" t="s">
        <v>45</v>
      </c>
      <c r="K1190" s="10" t="s">
        <v>46</v>
      </c>
      <c r="L1190" s="5" t="s">
        <v>47</v>
      </c>
      <c r="M1190" s="5" t="s">
        <v>115</v>
      </c>
      <c r="N1190" s="5" t="s">
        <v>116</v>
      </c>
      <c r="O1190" s="12"/>
      <c r="P1190" s="13">
        <v>161619</v>
      </c>
      <c r="S1190" s="13">
        <v>247277</v>
      </c>
      <c r="U1190" s="13">
        <v>247277</v>
      </c>
      <c r="AC1190" s="10" t="s">
        <v>2825</v>
      </c>
      <c r="AD1190" s="5" t="s">
        <v>2822</v>
      </c>
      <c r="AE1190" s="5" t="s">
        <v>119</v>
      </c>
      <c r="AG1190" s="5" t="s">
        <v>2826</v>
      </c>
    </row>
    <row r="1191" spans="1:33" ht="10" customHeight="1" x14ac:dyDescent="0.2">
      <c r="A1191" s="5" t="s">
        <v>40</v>
      </c>
      <c r="B1191" s="5" t="s">
        <v>41</v>
      </c>
      <c r="D1191" s="5" t="s">
        <v>2827</v>
      </c>
      <c r="E1191" s="10" t="s">
        <v>345</v>
      </c>
      <c r="F1191" s="5" t="s">
        <v>124</v>
      </c>
      <c r="G1191" s="5" t="s">
        <v>373</v>
      </c>
      <c r="H1191" s="5" t="s">
        <v>357</v>
      </c>
      <c r="I1191" s="11">
        <v>1</v>
      </c>
      <c r="J1191" s="5" t="s">
        <v>45</v>
      </c>
      <c r="K1191" s="10" t="s">
        <v>46</v>
      </c>
      <c r="L1191" s="5" t="s">
        <v>47</v>
      </c>
      <c r="M1191" s="5" t="s">
        <v>115</v>
      </c>
      <c r="N1191" s="5" t="s">
        <v>116</v>
      </c>
      <c r="O1191" s="12"/>
      <c r="P1191" s="13">
        <v>31794</v>
      </c>
      <c r="S1191" s="13">
        <v>48645</v>
      </c>
      <c r="U1191" s="13">
        <v>48645</v>
      </c>
      <c r="AC1191" s="10" t="s">
        <v>2828</v>
      </c>
      <c r="AD1191" s="5" t="s">
        <v>2822</v>
      </c>
      <c r="AE1191" s="5" t="s">
        <v>119</v>
      </c>
      <c r="AG1191" s="5" t="s">
        <v>2829</v>
      </c>
    </row>
    <row r="1192" spans="1:33" ht="10" customHeight="1" x14ac:dyDescent="0.2">
      <c r="A1192" s="5" t="s">
        <v>40</v>
      </c>
      <c r="B1192" s="5" t="s">
        <v>41</v>
      </c>
      <c r="D1192" s="5" t="s">
        <v>2830</v>
      </c>
      <c r="E1192" s="10" t="s">
        <v>345</v>
      </c>
      <c r="F1192" s="5" t="s">
        <v>124</v>
      </c>
      <c r="G1192" s="5" t="s">
        <v>373</v>
      </c>
      <c r="H1192" s="5" t="s">
        <v>357</v>
      </c>
      <c r="I1192" s="11">
        <v>1</v>
      </c>
      <c r="J1192" s="5" t="s">
        <v>45</v>
      </c>
      <c r="K1192" s="10" t="s">
        <v>46</v>
      </c>
      <c r="L1192" s="5" t="s">
        <v>47</v>
      </c>
      <c r="M1192" s="5" t="s">
        <v>115</v>
      </c>
      <c r="N1192" s="5" t="s">
        <v>116</v>
      </c>
      <c r="O1192" s="12"/>
      <c r="P1192" s="13">
        <v>126902</v>
      </c>
      <c r="S1192" s="13">
        <v>194160</v>
      </c>
      <c r="U1192" s="13">
        <v>194160</v>
      </c>
      <c r="AC1192" s="10" t="s">
        <v>2831</v>
      </c>
      <c r="AD1192" s="5" t="s">
        <v>2822</v>
      </c>
      <c r="AE1192" s="5" t="s">
        <v>119</v>
      </c>
      <c r="AG1192" s="5" t="s">
        <v>2832</v>
      </c>
    </row>
    <row r="1193" spans="1:33" ht="10" customHeight="1" x14ac:dyDescent="0.2">
      <c r="A1193" s="5" t="s">
        <v>40</v>
      </c>
      <c r="B1193" s="5" t="s">
        <v>41</v>
      </c>
      <c r="D1193" s="5" t="s">
        <v>2833</v>
      </c>
      <c r="E1193" s="10" t="s">
        <v>345</v>
      </c>
      <c r="F1193" s="5" t="s">
        <v>124</v>
      </c>
      <c r="G1193" s="5" t="s">
        <v>373</v>
      </c>
      <c r="H1193" s="5" t="s">
        <v>357</v>
      </c>
      <c r="I1193" s="11">
        <v>1</v>
      </c>
      <c r="J1193" s="5" t="s">
        <v>45</v>
      </c>
      <c r="K1193" s="10" t="s">
        <v>46</v>
      </c>
      <c r="L1193" s="5" t="s">
        <v>47</v>
      </c>
      <c r="M1193" s="5" t="s">
        <v>115</v>
      </c>
      <c r="N1193" s="5" t="s">
        <v>116</v>
      </c>
      <c r="O1193" s="12"/>
      <c r="P1193" s="13">
        <v>16022</v>
      </c>
      <c r="S1193" s="13">
        <v>24514</v>
      </c>
      <c r="U1193" s="13">
        <v>24514</v>
      </c>
      <c r="AC1193" s="10" t="s">
        <v>2834</v>
      </c>
      <c r="AD1193" s="5" t="s">
        <v>2822</v>
      </c>
      <c r="AE1193" s="5" t="s">
        <v>119</v>
      </c>
      <c r="AG1193" s="5" t="s">
        <v>2835</v>
      </c>
    </row>
    <row r="1194" spans="1:33" ht="10" customHeight="1" x14ac:dyDescent="0.2">
      <c r="A1194" s="5" t="s">
        <v>40</v>
      </c>
      <c r="B1194" s="5" t="s">
        <v>41</v>
      </c>
      <c r="D1194" s="5" t="s">
        <v>2836</v>
      </c>
      <c r="E1194" s="10" t="s">
        <v>345</v>
      </c>
      <c r="F1194" s="5" t="s">
        <v>124</v>
      </c>
      <c r="G1194" s="5" t="s">
        <v>373</v>
      </c>
      <c r="H1194" s="5" t="s">
        <v>357</v>
      </c>
      <c r="I1194" s="11">
        <v>1</v>
      </c>
      <c r="J1194" s="5" t="s">
        <v>45</v>
      </c>
      <c r="K1194" s="10" t="s">
        <v>46</v>
      </c>
      <c r="L1194" s="5" t="s">
        <v>47</v>
      </c>
      <c r="M1194" s="5" t="s">
        <v>115</v>
      </c>
      <c r="N1194" s="5" t="s">
        <v>116</v>
      </c>
      <c r="O1194" s="12"/>
      <c r="P1194" s="13">
        <v>13119</v>
      </c>
      <c r="S1194" s="13">
        <v>20072</v>
      </c>
      <c r="U1194" s="13">
        <v>20072</v>
      </c>
      <c r="AC1194" s="10" t="s">
        <v>2837</v>
      </c>
      <c r="AD1194" s="5" t="s">
        <v>2822</v>
      </c>
      <c r="AE1194" s="5" t="s">
        <v>119</v>
      </c>
      <c r="AG1194" s="5" t="s">
        <v>2838</v>
      </c>
    </row>
    <row r="1195" spans="1:33" ht="10" customHeight="1" x14ac:dyDescent="0.2">
      <c r="A1195" s="5" t="s">
        <v>40</v>
      </c>
      <c r="B1195" s="5" t="s">
        <v>41</v>
      </c>
      <c r="D1195" s="5" t="s">
        <v>2839</v>
      </c>
      <c r="E1195" s="10" t="s">
        <v>345</v>
      </c>
      <c r="F1195" s="5" t="s">
        <v>124</v>
      </c>
      <c r="G1195" s="5" t="s">
        <v>373</v>
      </c>
      <c r="H1195" s="5" t="s">
        <v>357</v>
      </c>
      <c r="I1195" s="11">
        <v>1</v>
      </c>
      <c r="J1195" s="5" t="s">
        <v>45</v>
      </c>
      <c r="K1195" s="10" t="s">
        <v>46</v>
      </c>
      <c r="L1195" s="5" t="s">
        <v>47</v>
      </c>
      <c r="M1195" s="5" t="s">
        <v>115</v>
      </c>
      <c r="N1195" s="5" t="s">
        <v>116</v>
      </c>
      <c r="O1195" s="12"/>
      <c r="P1195" s="13">
        <v>5273</v>
      </c>
      <c r="S1195" s="13">
        <v>8068</v>
      </c>
      <c r="U1195" s="13">
        <v>8068</v>
      </c>
      <c r="AC1195" s="10" t="s">
        <v>2840</v>
      </c>
      <c r="AD1195" s="5" t="s">
        <v>2822</v>
      </c>
      <c r="AE1195" s="5" t="s">
        <v>119</v>
      </c>
      <c r="AG1195" s="5" t="s">
        <v>2841</v>
      </c>
    </row>
    <row r="1196" spans="1:33" ht="10" customHeight="1" x14ac:dyDescent="0.2">
      <c r="A1196" s="5" t="s">
        <v>40</v>
      </c>
      <c r="B1196" s="5" t="s">
        <v>41</v>
      </c>
      <c r="D1196" s="5" t="s">
        <v>2842</v>
      </c>
      <c r="E1196" s="10" t="s">
        <v>345</v>
      </c>
      <c r="F1196" s="5" t="s">
        <v>124</v>
      </c>
      <c r="G1196" s="5" t="s">
        <v>373</v>
      </c>
      <c r="H1196" s="5" t="s">
        <v>357</v>
      </c>
      <c r="I1196" s="11">
        <v>1</v>
      </c>
      <c r="J1196" s="5" t="s">
        <v>45</v>
      </c>
      <c r="K1196" s="10" t="s">
        <v>46</v>
      </c>
      <c r="L1196" s="5" t="s">
        <v>47</v>
      </c>
      <c r="M1196" s="5" t="s">
        <v>115</v>
      </c>
      <c r="N1196" s="5" t="s">
        <v>116</v>
      </c>
      <c r="O1196" s="12"/>
      <c r="P1196" s="13">
        <v>8829</v>
      </c>
      <c r="S1196" s="13">
        <v>13508</v>
      </c>
      <c r="U1196" s="13">
        <v>13508</v>
      </c>
      <c r="AC1196" s="10" t="s">
        <v>2843</v>
      </c>
      <c r="AD1196" s="5" t="s">
        <v>2822</v>
      </c>
      <c r="AE1196" s="5" t="s">
        <v>119</v>
      </c>
      <c r="AG1196" s="5" t="s">
        <v>2844</v>
      </c>
    </row>
    <row r="1197" spans="1:33" ht="10" customHeight="1" x14ac:dyDescent="0.2">
      <c r="A1197" s="5" t="s">
        <v>40</v>
      </c>
      <c r="B1197" s="5" t="s">
        <v>41</v>
      </c>
      <c r="D1197" s="5" t="s">
        <v>2845</v>
      </c>
      <c r="E1197" s="10" t="s">
        <v>345</v>
      </c>
      <c r="F1197" s="5" t="s">
        <v>124</v>
      </c>
      <c r="G1197" s="5" t="s">
        <v>373</v>
      </c>
      <c r="H1197" s="5" t="s">
        <v>357</v>
      </c>
      <c r="I1197" s="11">
        <v>1</v>
      </c>
      <c r="J1197" s="5" t="s">
        <v>45</v>
      </c>
      <c r="K1197" s="10" t="s">
        <v>46</v>
      </c>
      <c r="L1197" s="5" t="s">
        <v>47</v>
      </c>
      <c r="M1197" s="5" t="s">
        <v>115</v>
      </c>
      <c r="N1197" s="5" t="s">
        <v>116</v>
      </c>
      <c r="O1197" s="12"/>
      <c r="P1197" s="13">
        <v>6233</v>
      </c>
      <c r="S1197" s="13">
        <v>9536</v>
      </c>
      <c r="U1197" s="13">
        <v>9536</v>
      </c>
      <c r="AC1197" s="10" t="s">
        <v>2846</v>
      </c>
      <c r="AD1197" s="5" t="s">
        <v>2822</v>
      </c>
      <c r="AE1197" s="5" t="s">
        <v>119</v>
      </c>
      <c r="AG1197" s="5" t="s">
        <v>2847</v>
      </c>
    </row>
    <row r="1198" spans="1:33" ht="10" customHeight="1" x14ac:dyDescent="0.2">
      <c r="A1198" s="5" t="s">
        <v>40</v>
      </c>
      <c r="B1198" s="5" t="s">
        <v>41</v>
      </c>
      <c r="D1198" s="5" t="s">
        <v>2848</v>
      </c>
      <c r="E1198" s="10" t="s">
        <v>345</v>
      </c>
      <c r="F1198" s="5" t="s">
        <v>124</v>
      </c>
      <c r="G1198" s="5" t="s">
        <v>373</v>
      </c>
      <c r="H1198" s="5" t="s">
        <v>357</v>
      </c>
      <c r="I1198" s="11">
        <v>1</v>
      </c>
      <c r="J1198" s="5" t="s">
        <v>45</v>
      </c>
      <c r="K1198" s="10" t="s">
        <v>46</v>
      </c>
      <c r="L1198" s="5" t="s">
        <v>47</v>
      </c>
      <c r="M1198" s="5" t="s">
        <v>115</v>
      </c>
      <c r="N1198" s="5" t="s">
        <v>116</v>
      </c>
      <c r="O1198" s="12"/>
      <c r="P1198" s="13">
        <v>13283</v>
      </c>
      <c r="S1198" s="13">
        <v>20323</v>
      </c>
      <c r="U1198" s="13">
        <v>20323</v>
      </c>
      <c r="AC1198" s="10" t="s">
        <v>2849</v>
      </c>
      <c r="AD1198" s="5" t="s">
        <v>2822</v>
      </c>
      <c r="AE1198" s="5" t="s">
        <v>119</v>
      </c>
      <c r="AG1198" s="5" t="s">
        <v>2850</v>
      </c>
    </row>
    <row r="1199" spans="1:33" ht="10" customHeight="1" x14ac:dyDescent="0.2">
      <c r="A1199" s="5" t="s">
        <v>40</v>
      </c>
      <c r="B1199" s="5" t="s">
        <v>41</v>
      </c>
      <c r="D1199" s="5" t="s">
        <v>2851</v>
      </c>
      <c r="E1199" s="10" t="s">
        <v>345</v>
      </c>
      <c r="F1199" s="5" t="s">
        <v>124</v>
      </c>
      <c r="G1199" s="5" t="s">
        <v>373</v>
      </c>
      <c r="H1199" s="5" t="s">
        <v>357</v>
      </c>
      <c r="I1199" s="11">
        <v>1</v>
      </c>
      <c r="J1199" s="5" t="s">
        <v>45</v>
      </c>
      <c r="K1199" s="10" t="s">
        <v>46</v>
      </c>
      <c r="L1199" s="5" t="s">
        <v>47</v>
      </c>
      <c r="M1199" s="5" t="s">
        <v>115</v>
      </c>
      <c r="N1199" s="5" t="s">
        <v>116</v>
      </c>
      <c r="O1199" s="12"/>
      <c r="P1199" s="13">
        <v>43954</v>
      </c>
      <c r="S1199" s="13">
        <v>67250</v>
      </c>
      <c r="U1199" s="13">
        <v>67250</v>
      </c>
      <c r="AC1199" s="10" t="s">
        <v>2852</v>
      </c>
      <c r="AD1199" s="5" t="s">
        <v>2822</v>
      </c>
      <c r="AE1199" s="5" t="s">
        <v>119</v>
      </c>
      <c r="AG1199" s="5" t="s">
        <v>1486</v>
      </c>
    </row>
    <row r="1200" spans="1:33" ht="10" customHeight="1" x14ac:dyDescent="0.2">
      <c r="A1200" s="5" t="s">
        <v>40</v>
      </c>
      <c r="B1200" s="5" t="s">
        <v>41</v>
      </c>
      <c r="D1200" s="5" t="s">
        <v>2853</v>
      </c>
      <c r="E1200" s="10" t="s">
        <v>345</v>
      </c>
      <c r="F1200" s="5" t="s">
        <v>124</v>
      </c>
      <c r="G1200" s="5" t="s">
        <v>373</v>
      </c>
      <c r="H1200" s="5" t="s">
        <v>357</v>
      </c>
      <c r="I1200" s="11">
        <v>1</v>
      </c>
      <c r="J1200" s="5" t="s">
        <v>45</v>
      </c>
      <c r="K1200" s="10" t="s">
        <v>46</v>
      </c>
      <c r="L1200" s="5" t="s">
        <v>47</v>
      </c>
      <c r="M1200" s="5" t="s">
        <v>115</v>
      </c>
      <c r="N1200" s="5" t="s">
        <v>116</v>
      </c>
      <c r="O1200" s="12"/>
      <c r="P1200" s="13">
        <v>7622</v>
      </c>
      <c r="S1200" s="13">
        <v>11662</v>
      </c>
      <c r="U1200" s="13">
        <v>11662</v>
      </c>
      <c r="AC1200" s="10" t="s">
        <v>2854</v>
      </c>
      <c r="AD1200" s="5" t="s">
        <v>2822</v>
      </c>
      <c r="AE1200" s="5" t="s">
        <v>119</v>
      </c>
      <c r="AG1200" s="5" t="s">
        <v>2855</v>
      </c>
    </row>
    <row r="1201" spans="1:33" ht="10" customHeight="1" x14ac:dyDescent="0.2">
      <c r="A1201" s="5" t="s">
        <v>40</v>
      </c>
      <c r="B1201" s="5" t="s">
        <v>41</v>
      </c>
      <c r="D1201" s="5" t="s">
        <v>2856</v>
      </c>
      <c r="E1201" s="10" t="s">
        <v>345</v>
      </c>
      <c r="F1201" s="5" t="s">
        <v>124</v>
      </c>
      <c r="G1201" s="5" t="s">
        <v>373</v>
      </c>
      <c r="H1201" s="5" t="s">
        <v>357</v>
      </c>
      <c r="I1201" s="11">
        <v>1</v>
      </c>
      <c r="J1201" s="5" t="s">
        <v>45</v>
      </c>
      <c r="K1201" s="10" t="s">
        <v>46</v>
      </c>
      <c r="L1201" s="5" t="s">
        <v>47</v>
      </c>
      <c r="M1201" s="5" t="s">
        <v>115</v>
      </c>
      <c r="N1201" s="5" t="s">
        <v>116</v>
      </c>
      <c r="O1201" s="12"/>
      <c r="P1201" s="13">
        <v>4994</v>
      </c>
      <c r="S1201" s="13">
        <v>7641</v>
      </c>
      <c r="U1201" s="13">
        <v>7641</v>
      </c>
      <c r="AC1201" s="10" t="s">
        <v>2857</v>
      </c>
      <c r="AD1201" s="5" t="s">
        <v>2822</v>
      </c>
      <c r="AE1201" s="5" t="s">
        <v>119</v>
      </c>
      <c r="AG1201" s="5" t="s">
        <v>2858</v>
      </c>
    </row>
    <row r="1202" spans="1:33" ht="10" customHeight="1" x14ac:dyDescent="0.2">
      <c r="A1202" s="5" t="s">
        <v>40</v>
      </c>
      <c r="B1202" s="5" t="s">
        <v>41</v>
      </c>
      <c r="D1202" s="5" t="s">
        <v>2859</v>
      </c>
      <c r="E1202" s="10" t="s">
        <v>345</v>
      </c>
      <c r="F1202" s="5" t="s">
        <v>124</v>
      </c>
      <c r="G1202" s="5" t="s">
        <v>373</v>
      </c>
      <c r="H1202" s="5" t="s">
        <v>357</v>
      </c>
      <c r="I1202" s="11">
        <v>1</v>
      </c>
      <c r="J1202" s="5" t="s">
        <v>45</v>
      </c>
      <c r="K1202" s="10" t="s">
        <v>46</v>
      </c>
      <c r="L1202" s="5" t="s">
        <v>47</v>
      </c>
      <c r="M1202" s="5" t="s">
        <v>115</v>
      </c>
      <c r="N1202" s="5" t="s">
        <v>116</v>
      </c>
      <c r="O1202" s="12"/>
      <c r="P1202" s="13">
        <v>4302</v>
      </c>
      <c r="S1202" s="13">
        <v>6582</v>
      </c>
      <c r="U1202" s="13">
        <v>6582</v>
      </c>
      <c r="AC1202" s="10" t="s">
        <v>2860</v>
      </c>
      <c r="AD1202" s="5" t="s">
        <v>2822</v>
      </c>
      <c r="AE1202" s="5" t="s">
        <v>119</v>
      </c>
      <c r="AG1202" s="5" t="s">
        <v>2861</v>
      </c>
    </row>
    <row r="1203" spans="1:33" ht="10" customHeight="1" x14ac:dyDescent="0.2">
      <c r="A1203" s="5" t="s">
        <v>40</v>
      </c>
      <c r="B1203" s="5" t="s">
        <v>41</v>
      </c>
      <c r="D1203" s="5" t="s">
        <v>2862</v>
      </c>
      <c r="E1203" s="10" t="s">
        <v>345</v>
      </c>
      <c r="F1203" s="5" t="s">
        <v>124</v>
      </c>
      <c r="G1203" s="5" t="s">
        <v>373</v>
      </c>
      <c r="H1203" s="5" t="s">
        <v>357</v>
      </c>
      <c r="I1203" s="11">
        <v>1</v>
      </c>
      <c r="J1203" s="5" t="s">
        <v>45</v>
      </c>
      <c r="K1203" s="10" t="s">
        <v>46</v>
      </c>
      <c r="L1203" s="5" t="s">
        <v>47</v>
      </c>
      <c r="M1203" s="5" t="s">
        <v>115</v>
      </c>
      <c r="N1203" s="5" t="s">
        <v>116</v>
      </c>
      <c r="O1203" s="12"/>
      <c r="P1203" s="13">
        <v>59907</v>
      </c>
      <c r="S1203" s="13">
        <v>94317</v>
      </c>
      <c r="U1203" s="13">
        <v>94317</v>
      </c>
      <c r="AC1203" s="10" t="s">
        <v>2863</v>
      </c>
      <c r="AD1203" s="5" t="s">
        <v>2822</v>
      </c>
      <c r="AE1203" s="5" t="s">
        <v>119</v>
      </c>
      <c r="AG1203" s="5" t="s">
        <v>2864</v>
      </c>
    </row>
    <row r="1204" spans="1:33" ht="10" customHeight="1" x14ac:dyDescent="0.2">
      <c r="A1204" s="5" t="s">
        <v>40</v>
      </c>
      <c r="B1204" s="5" t="s">
        <v>41</v>
      </c>
      <c r="D1204" s="5" t="s">
        <v>2865</v>
      </c>
      <c r="E1204" s="10" t="s">
        <v>345</v>
      </c>
      <c r="F1204" s="5" t="s">
        <v>124</v>
      </c>
      <c r="G1204" s="5" t="s">
        <v>373</v>
      </c>
      <c r="H1204" s="5" t="s">
        <v>363</v>
      </c>
      <c r="I1204" s="11">
        <v>1</v>
      </c>
      <c r="J1204" s="5" t="s">
        <v>45</v>
      </c>
      <c r="K1204" s="10" t="s">
        <v>46</v>
      </c>
      <c r="L1204" s="5" t="s">
        <v>47</v>
      </c>
      <c r="M1204" s="5" t="s">
        <v>115</v>
      </c>
      <c r="N1204" s="5" t="s">
        <v>116</v>
      </c>
      <c r="O1204" s="12"/>
      <c r="P1204" s="13">
        <v>17150</v>
      </c>
      <c r="S1204" s="13">
        <v>26240</v>
      </c>
      <c r="U1204" s="13">
        <v>26240</v>
      </c>
      <c r="AC1204" s="10" t="s">
        <v>2866</v>
      </c>
      <c r="AD1204" s="5" t="s">
        <v>2867</v>
      </c>
      <c r="AE1204" s="5" t="s">
        <v>119</v>
      </c>
      <c r="AG1204" s="5" t="s">
        <v>2868</v>
      </c>
    </row>
    <row r="1205" spans="1:33" ht="10" customHeight="1" x14ac:dyDescent="0.2">
      <c r="A1205" s="5" t="s">
        <v>40</v>
      </c>
      <c r="B1205" s="5" t="s">
        <v>41</v>
      </c>
      <c r="D1205" s="5" t="s">
        <v>2869</v>
      </c>
      <c r="E1205" s="10" t="s">
        <v>345</v>
      </c>
      <c r="F1205" s="5" t="s">
        <v>124</v>
      </c>
      <c r="G1205" s="5" t="s">
        <v>373</v>
      </c>
      <c r="H1205" s="5" t="s">
        <v>363</v>
      </c>
      <c r="I1205" s="11">
        <v>1</v>
      </c>
      <c r="J1205" s="5" t="s">
        <v>45</v>
      </c>
      <c r="K1205" s="10" t="s">
        <v>46</v>
      </c>
      <c r="L1205" s="5" t="s">
        <v>47</v>
      </c>
      <c r="M1205" s="5" t="s">
        <v>115</v>
      </c>
      <c r="N1205" s="5" t="s">
        <v>116</v>
      </c>
      <c r="O1205" s="12"/>
      <c r="P1205" s="13">
        <v>13566</v>
      </c>
      <c r="S1205" s="13">
        <v>20756</v>
      </c>
      <c r="U1205" s="13">
        <v>20756</v>
      </c>
      <c r="AC1205" s="10" t="s">
        <v>2870</v>
      </c>
      <c r="AD1205" s="5" t="s">
        <v>2867</v>
      </c>
      <c r="AE1205" s="5" t="s">
        <v>119</v>
      </c>
      <c r="AG1205" s="5" t="s">
        <v>2871</v>
      </c>
    </row>
    <row r="1206" spans="1:33" ht="10" customHeight="1" x14ac:dyDescent="0.2">
      <c r="A1206" s="5" t="s">
        <v>40</v>
      </c>
      <c r="B1206" s="5" t="s">
        <v>41</v>
      </c>
      <c r="D1206" s="5" t="s">
        <v>2872</v>
      </c>
      <c r="E1206" s="10" t="s">
        <v>345</v>
      </c>
      <c r="F1206" s="5" t="s">
        <v>124</v>
      </c>
      <c r="G1206" s="5" t="s">
        <v>373</v>
      </c>
      <c r="H1206" s="5" t="s">
        <v>363</v>
      </c>
      <c r="I1206" s="11">
        <v>1</v>
      </c>
      <c r="J1206" s="5" t="s">
        <v>45</v>
      </c>
      <c r="K1206" s="10" t="s">
        <v>46</v>
      </c>
      <c r="L1206" s="5" t="s">
        <v>47</v>
      </c>
      <c r="M1206" s="5" t="s">
        <v>115</v>
      </c>
      <c r="N1206" s="5" t="s">
        <v>116</v>
      </c>
      <c r="O1206" s="12"/>
      <c r="P1206" s="13">
        <v>14375</v>
      </c>
      <c r="S1206" s="13">
        <v>26975</v>
      </c>
      <c r="U1206" s="13">
        <v>26975</v>
      </c>
      <c r="AC1206" s="10" t="s">
        <v>2873</v>
      </c>
      <c r="AD1206" s="5" t="s">
        <v>2867</v>
      </c>
      <c r="AE1206" s="5" t="s">
        <v>119</v>
      </c>
      <c r="AG1206" s="5" t="s">
        <v>2874</v>
      </c>
    </row>
    <row r="1207" spans="1:33" ht="10" customHeight="1" x14ac:dyDescent="0.2">
      <c r="A1207" s="5" t="s">
        <v>40</v>
      </c>
      <c r="B1207" s="5" t="s">
        <v>41</v>
      </c>
      <c r="D1207" s="5" t="s">
        <v>2875</v>
      </c>
      <c r="E1207" s="10" t="s">
        <v>345</v>
      </c>
      <c r="F1207" s="5" t="s">
        <v>124</v>
      </c>
      <c r="G1207" s="5" t="s">
        <v>373</v>
      </c>
      <c r="H1207" s="5" t="s">
        <v>363</v>
      </c>
      <c r="I1207" s="11">
        <v>1</v>
      </c>
      <c r="J1207" s="5" t="s">
        <v>45</v>
      </c>
      <c r="K1207" s="10" t="s">
        <v>46</v>
      </c>
      <c r="L1207" s="5" t="s">
        <v>47</v>
      </c>
      <c r="M1207" s="5" t="s">
        <v>115</v>
      </c>
      <c r="N1207" s="5" t="s">
        <v>116</v>
      </c>
      <c r="O1207" s="12"/>
      <c r="P1207" s="13">
        <v>9419</v>
      </c>
      <c r="S1207" s="13">
        <v>14411</v>
      </c>
      <c r="U1207" s="13">
        <v>14411</v>
      </c>
      <c r="AC1207" s="10" t="s">
        <v>2876</v>
      </c>
      <c r="AD1207" s="5" t="s">
        <v>2867</v>
      </c>
      <c r="AE1207" s="5" t="s">
        <v>119</v>
      </c>
      <c r="AG1207" s="5" t="s">
        <v>2877</v>
      </c>
    </row>
    <row r="1208" spans="1:33" ht="10" customHeight="1" x14ac:dyDescent="0.2">
      <c r="A1208" s="5" t="s">
        <v>40</v>
      </c>
      <c r="B1208" s="5" t="s">
        <v>41</v>
      </c>
      <c r="D1208" s="5" t="s">
        <v>2878</v>
      </c>
      <c r="E1208" s="10" t="s">
        <v>345</v>
      </c>
      <c r="F1208" s="5" t="s">
        <v>124</v>
      </c>
      <c r="G1208" s="5" t="s">
        <v>373</v>
      </c>
      <c r="H1208" s="5" t="s">
        <v>363</v>
      </c>
      <c r="I1208" s="11">
        <v>1</v>
      </c>
      <c r="J1208" s="5" t="s">
        <v>45</v>
      </c>
      <c r="K1208" s="10" t="s">
        <v>46</v>
      </c>
      <c r="L1208" s="5" t="s">
        <v>47</v>
      </c>
      <c r="M1208" s="5" t="s">
        <v>115</v>
      </c>
      <c r="N1208" s="5" t="s">
        <v>116</v>
      </c>
      <c r="O1208" s="12"/>
      <c r="P1208" s="13">
        <v>8520</v>
      </c>
      <c r="S1208" s="13">
        <v>13036</v>
      </c>
      <c r="U1208" s="13">
        <v>13036</v>
      </c>
      <c r="AC1208" s="10" t="s">
        <v>2879</v>
      </c>
      <c r="AD1208" s="5" t="s">
        <v>2867</v>
      </c>
      <c r="AE1208" s="5" t="s">
        <v>119</v>
      </c>
      <c r="AG1208" s="5" t="s">
        <v>2880</v>
      </c>
    </row>
    <row r="1209" spans="1:33" ht="10" customHeight="1" x14ac:dyDescent="0.2">
      <c r="A1209" s="5" t="s">
        <v>40</v>
      </c>
      <c r="B1209" s="5" t="s">
        <v>41</v>
      </c>
      <c r="D1209" s="5" t="s">
        <v>2881</v>
      </c>
      <c r="E1209" s="10" t="s">
        <v>345</v>
      </c>
      <c r="F1209" s="5" t="s">
        <v>124</v>
      </c>
      <c r="G1209" s="5" t="s">
        <v>373</v>
      </c>
      <c r="H1209" s="5" t="s">
        <v>363</v>
      </c>
      <c r="I1209" s="11">
        <v>1</v>
      </c>
      <c r="J1209" s="5" t="s">
        <v>45</v>
      </c>
      <c r="K1209" s="10" t="s">
        <v>46</v>
      </c>
      <c r="L1209" s="5" t="s">
        <v>47</v>
      </c>
      <c r="M1209" s="5" t="s">
        <v>115</v>
      </c>
      <c r="N1209" s="5" t="s">
        <v>116</v>
      </c>
      <c r="O1209" s="12"/>
      <c r="P1209" s="13">
        <v>37643</v>
      </c>
      <c r="S1209" s="13">
        <v>52611</v>
      </c>
      <c r="U1209" s="13">
        <v>52611</v>
      </c>
      <c r="AC1209" s="10" t="s">
        <v>2882</v>
      </c>
      <c r="AD1209" s="5" t="s">
        <v>2867</v>
      </c>
      <c r="AE1209" s="5" t="s">
        <v>119</v>
      </c>
      <c r="AG1209" s="5" t="s">
        <v>2883</v>
      </c>
    </row>
    <row r="1210" spans="1:33" ht="10" customHeight="1" x14ac:dyDescent="0.2">
      <c r="A1210" s="5" t="s">
        <v>40</v>
      </c>
      <c r="B1210" s="5" t="s">
        <v>41</v>
      </c>
      <c r="D1210" s="5" t="s">
        <v>2884</v>
      </c>
      <c r="E1210" s="10" t="s">
        <v>345</v>
      </c>
      <c r="F1210" s="5" t="s">
        <v>124</v>
      </c>
      <c r="G1210" s="5" t="s">
        <v>373</v>
      </c>
      <c r="H1210" s="5" t="s">
        <v>366</v>
      </c>
      <c r="I1210" s="11">
        <v>1</v>
      </c>
      <c r="J1210" s="5" t="s">
        <v>45</v>
      </c>
      <c r="K1210" s="10" t="s">
        <v>46</v>
      </c>
      <c r="L1210" s="5" t="s">
        <v>47</v>
      </c>
      <c r="M1210" s="5" t="s">
        <v>115</v>
      </c>
      <c r="N1210" s="5" t="s">
        <v>116</v>
      </c>
      <c r="O1210" s="12"/>
      <c r="P1210" s="13">
        <v>304390</v>
      </c>
      <c r="S1210" s="13">
        <v>465717</v>
      </c>
      <c r="U1210" s="13">
        <v>465717</v>
      </c>
      <c r="AC1210" s="10" t="s">
        <v>2885</v>
      </c>
      <c r="AD1210" s="5" t="s">
        <v>2886</v>
      </c>
      <c r="AE1210" s="5" t="s">
        <v>119</v>
      </c>
      <c r="AG1210" s="5" t="s">
        <v>2887</v>
      </c>
    </row>
    <row r="1211" spans="1:33" ht="10" customHeight="1" x14ac:dyDescent="0.2">
      <c r="A1211" s="5" t="s">
        <v>40</v>
      </c>
      <c r="B1211" s="5" t="s">
        <v>41</v>
      </c>
      <c r="D1211" s="5" t="s">
        <v>2888</v>
      </c>
      <c r="E1211" s="10" t="s">
        <v>345</v>
      </c>
      <c r="F1211" s="5" t="s">
        <v>124</v>
      </c>
      <c r="G1211" s="5" t="s">
        <v>373</v>
      </c>
      <c r="H1211" s="5" t="s">
        <v>366</v>
      </c>
      <c r="I1211" s="11">
        <v>1</v>
      </c>
      <c r="J1211" s="5" t="s">
        <v>45</v>
      </c>
      <c r="K1211" s="10" t="s">
        <v>46</v>
      </c>
      <c r="L1211" s="5" t="s">
        <v>47</v>
      </c>
      <c r="M1211" s="5" t="s">
        <v>115</v>
      </c>
      <c r="N1211" s="5" t="s">
        <v>116</v>
      </c>
      <c r="O1211" s="12"/>
      <c r="P1211" s="13">
        <v>452860</v>
      </c>
      <c r="S1211" s="13">
        <v>692876</v>
      </c>
      <c r="U1211" s="13">
        <v>692876</v>
      </c>
      <c r="AC1211" s="10" t="s">
        <v>2889</v>
      </c>
      <c r="AD1211" s="5" t="s">
        <v>2886</v>
      </c>
      <c r="AE1211" s="5" t="s">
        <v>119</v>
      </c>
      <c r="AG1211" s="5" t="s">
        <v>2890</v>
      </c>
    </row>
    <row r="1212" spans="1:33" ht="10" customHeight="1" x14ac:dyDescent="0.2">
      <c r="A1212" s="5" t="s">
        <v>40</v>
      </c>
      <c r="B1212" s="5" t="s">
        <v>41</v>
      </c>
      <c r="D1212" s="5" t="s">
        <v>2891</v>
      </c>
      <c r="E1212" s="10" t="s">
        <v>345</v>
      </c>
      <c r="F1212" s="5" t="s">
        <v>124</v>
      </c>
      <c r="G1212" s="5" t="s">
        <v>373</v>
      </c>
      <c r="H1212" s="5" t="s">
        <v>366</v>
      </c>
      <c r="I1212" s="11">
        <v>1</v>
      </c>
      <c r="J1212" s="5" t="s">
        <v>45</v>
      </c>
      <c r="K1212" s="10" t="s">
        <v>46</v>
      </c>
      <c r="L1212" s="5" t="s">
        <v>47</v>
      </c>
      <c r="M1212" s="5" t="s">
        <v>115</v>
      </c>
      <c r="N1212" s="5" t="s">
        <v>116</v>
      </c>
      <c r="O1212" s="12"/>
      <c r="P1212" s="13">
        <v>143782</v>
      </c>
      <c r="S1212" s="13">
        <v>219986</v>
      </c>
      <c r="U1212" s="13">
        <v>219986</v>
      </c>
      <c r="AC1212" s="10" t="s">
        <v>2892</v>
      </c>
      <c r="AD1212" s="5" t="s">
        <v>2886</v>
      </c>
      <c r="AE1212" s="5" t="s">
        <v>119</v>
      </c>
      <c r="AG1212" s="5" t="s">
        <v>2893</v>
      </c>
    </row>
    <row r="1213" spans="1:33" ht="10" customHeight="1" x14ac:dyDescent="0.2">
      <c r="A1213" s="5" t="s">
        <v>40</v>
      </c>
      <c r="B1213" s="5" t="s">
        <v>41</v>
      </c>
      <c r="D1213" s="5" t="s">
        <v>2894</v>
      </c>
      <c r="E1213" s="10" t="s">
        <v>345</v>
      </c>
      <c r="F1213" s="5" t="s">
        <v>124</v>
      </c>
      <c r="G1213" s="5" t="s">
        <v>373</v>
      </c>
      <c r="H1213" s="5" t="s">
        <v>366</v>
      </c>
      <c r="I1213" s="11">
        <v>1</v>
      </c>
      <c r="J1213" s="5" t="s">
        <v>45</v>
      </c>
      <c r="K1213" s="10" t="s">
        <v>46</v>
      </c>
      <c r="L1213" s="5" t="s">
        <v>47</v>
      </c>
      <c r="M1213" s="5" t="s">
        <v>115</v>
      </c>
      <c r="N1213" s="5" t="s">
        <v>116</v>
      </c>
      <c r="O1213" s="12"/>
      <c r="P1213" s="13">
        <v>59315</v>
      </c>
      <c r="S1213" s="13">
        <v>90752</v>
      </c>
      <c r="U1213" s="13">
        <v>90752</v>
      </c>
      <c r="AC1213" s="10" t="s">
        <v>2895</v>
      </c>
      <c r="AD1213" s="5" t="s">
        <v>2886</v>
      </c>
      <c r="AE1213" s="5" t="s">
        <v>119</v>
      </c>
      <c r="AG1213" s="5" t="s">
        <v>2896</v>
      </c>
    </row>
    <row r="1214" spans="1:33" ht="10" customHeight="1" x14ac:dyDescent="0.2">
      <c r="A1214" s="5" t="s">
        <v>40</v>
      </c>
      <c r="B1214" s="5" t="s">
        <v>41</v>
      </c>
      <c r="D1214" s="5" t="s">
        <v>2897</v>
      </c>
      <c r="E1214" s="10" t="s">
        <v>345</v>
      </c>
      <c r="F1214" s="5" t="s">
        <v>124</v>
      </c>
      <c r="G1214" s="5" t="s">
        <v>373</v>
      </c>
      <c r="H1214" s="5" t="s">
        <v>366</v>
      </c>
      <c r="I1214" s="11">
        <v>1</v>
      </c>
      <c r="J1214" s="5" t="s">
        <v>45</v>
      </c>
      <c r="K1214" s="10" t="s">
        <v>46</v>
      </c>
      <c r="L1214" s="5" t="s">
        <v>47</v>
      </c>
      <c r="M1214" s="5" t="s">
        <v>115</v>
      </c>
      <c r="N1214" s="5" t="s">
        <v>116</v>
      </c>
      <c r="O1214" s="12"/>
      <c r="P1214" s="13">
        <v>33335</v>
      </c>
      <c r="S1214" s="13">
        <v>51003</v>
      </c>
      <c r="U1214" s="13">
        <v>51003</v>
      </c>
      <c r="AC1214" s="10" t="s">
        <v>2898</v>
      </c>
      <c r="AD1214" s="5" t="s">
        <v>2886</v>
      </c>
      <c r="AE1214" s="5" t="s">
        <v>119</v>
      </c>
      <c r="AG1214" s="5" t="s">
        <v>2899</v>
      </c>
    </row>
    <row r="1215" spans="1:33" ht="10" customHeight="1" x14ac:dyDescent="0.2">
      <c r="A1215" s="5" t="s">
        <v>40</v>
      </c>
      <c r="B1215" s="5" t="s">
        <v>41</v>
      </c>
      <c r="D1215" s="5" t="s">
        <v>2900</v>
      </c>
      <c r="E1215" s="10" t="s">
        <v>345</v>
      </c>
      <c r="F1215" s="5" t="s">
        <v>124</v>
      </c>
      <c r="G1215" s="5" t="s">
        <v>373</v>
      </c>
      <c r="H1215" s="5" t="s">
        <v>366</v>
      </c>
      <c r="I1215" s="11">
        <v>1</v>
      </c>
      <c r="J1215" s="5" t="s">
        <v>45</v>
      </c>
      <c r="K1215" s="10" t="s">
        <v>46</v>
      </c>
      <c r="L1215" s="5" t="s">
        <v>47</v>
      </c>
      <c r="M1215" s="5" t="s">
        <v>115</v>
      </c>
      <c r="N1215" s="5" t="s">
        <v>116</v>
      </c>
      <c r="O1215" s="12"/>
      <c r="P1215" s="13">
        <v>19037</v>
      </c>
      <c r="S1215" s="13">
        <v>29127</v>
      </c>
      <c r="U1215" s="13">
        <v>29127</v>
      </c>
      <c r="AC1215" s="10" t="s">
        <v>2901</v>
      </c>
      <c r="AD1215" s="5" t="s">
        <v>2886</v>
      </c>
      <c r="AE1215" s="5" t="s">
        <v>119</v>
      </c>
      <c r="AG1215" s="5" t="s">
        <v>2902</v>
      </c>
    </row>
    <row r="1216" spans="1:33" ht="10" customHeight="1" x14ac:dyDescent="0.2">
      <c r="A1216" s="5" t="s">
        <v>40</v>
      </c>
      <c r="B1216" s="5" t="s">
        <v>41</v>
      </c>
      <c r="D1216" s="5" t="s">
        <v>2903</v>
      </c>
      <c r="E1216" s="10" t="s">
        <v>345</v>
      </c>
      <c r="F1216" s="5" t="s">
        <v>124</v>
      </c>
      <c r="G1216" s="5" t="s">
        <v>373</v>
      </c>
      <c r="H1216" s="5" t="s">
        <v>366</v>
      </c>
      <c r="I1216" s="11">
        <v>1</v>
      </c>
      <c r="J1216" s="5" t="s">
        <v>45</v>
      </c>
      <c r="K1216" s="10" t="s">
        <v>46</v>
      </c>
      <c r="L1216" s="5" t="s">
        <v>47</v>
      </c>
      <c r="M1216" s="5" t="s">
        <v>115</v>
      </c>
      <c r="N1216" s="5" t="s">
        <v>116</v>
      </c>
      <c r="O1216" s="12"/>
      <c r="P1216" s="13">
        <v>21518</v>
      </c>
      <c r="S1216" s="13">
        <v>32923</v>
      </c>
      <c r="U1216" s="13">
        <v>32923</v>
      </c>
      <c r="AC1216" s="10" t="s">
        <v>2904</v>
      </c>
      <c r="AD1216" s="5" t="s">
        <v>2886</v>
      </c>
      <c r="AE1216" s="5" t="s">
        <v>119</v>
      </c>
      <c r="AG1216" s="5" t="s">
        <v>2905</v>
      </c>
    </row>
    <row r="1217" spans="1:33" ht="10" customHeight="1" x14ac:dyDescent="0.2">
      <c r="A1217" s="5" t="s">
        <v>40</v>
      </c>
      <c r="B1217" s="5" t="s">
        <v>41</v>
      </c>
      <c r="D1217" s="5" t="s">
        <v>2906</v>
      </c>
      <c r="E1217" s="10" t="s">
        <v>345</v>
      </c>
      <c r="F1217" s="5" t="s">
        <v>124</v>
      </c>
      <c r="G1217" s="5" t="s">
        <v>373</v>
      </c>
      <c r="H1217" s="5" t="s">
        <v>366</v>
      </c>
      <c r="I1217" s="11">
        <v>1</v>
      </c>
      <c r="J1217" s="5" t="s">
        <v>45</v>
      </c>
      <c r="K1217" s="10" t="s">
        <v>46</v>
      </c>
      <c r="L1217" s="5" t="s">
        <v>47</v>
      </c>
      <c r="M1217" s="5" t="s">
        <v>115</v>
      </c>
      <c r="N1217" s="5" t="s">
        <v>116</v>
      </c>
      <c r="O1217" s="12"/>
      <c r="P1217" s="13">
        <v>15053</v>
      </c>
      <c r="S1217" s="13">
        <v>23031</v>
      </c>
      <c r="U1217" s="13">
        <v>23031</v>
      </c>
      <c r="AC1217" s="10" t="s">
        <v>2907</v>
      </c>
      <c r="AD1217" s="5" t="s">
        <v>2886</v>
      </c>
      <c r="AE1217" s="5" t="s">
        <v>119</v>
      </c>
      <c r="AG1217" s="5" t="s">
        <v>2908</v>
      </c>
    </row>
    <row r="1218" spans="1:33" ht="10" customHeight="1" x14ac:dyDescent="0.2">
      <c r="A1218" s="5" t="s">
        <v>40</v>
      </c>
      <c r="B1218" s="5" t="s">
        <v>41</v>
      </c>
      <c r="D1218" s="5" t="s">
        <v>2909</v>
      </c>
      <c r="E1218" s="10" t="s">
        <v>345</v>
      </c>
      <c r="F1218" s="5" t="s">
        <v>124</v>
      </c>
      <c r="G1218" s="5" t="s">
        <v>373</v>
      </c>
      <c r="H1218" s="5" t="s">
        <v>366</v>
      </c>
      <c r="I1218" s="11">
        <v>1</v>
      </c>
      <c r="J1218" s="5" t="s">
        <v>45</v>
      </c>
      <c r="K1218" s="10" t="s">
        <v>46</v>
      </c>
      <c r="L1218" s="5" t="s">
        <v>47</v>
      </c>
      <c r="M1218" s="5" t="s">
        <v>115</v>
      </c>
      <c r="N1218" s="5" t="s">
        <v>116</v>
      </c>
      <c r="O1218" s="12"/>
      <c r="P1218" s="13">
        <v>6871</v>
      </c>
      <c r="S1218" s="13">
        <v>10513</v>
      </c>
      <c r="U1218" s="13">
        <v>10513</v>
      </c>
      <c r="AC1218" s="10" t="s">
        <v>2910</v>
      </c>
      <c r="AD1218" s="5" t="s">
        <v>2886</v>
      </c>
      <c r="AE1218" s="5" t="s">
        <v>119</v>
      </c>
      <c r="AG1218" s="5" t="s">
        <v>2911</v>
      </c>
    </row>
    <row r="1219" spans="1:33" ht="10" customHeight="1" x14ac:dyDescent="0.2">
      <c r="A1219" s="5" t="s">
        <v>40</v>
      </c>
      <c r="B1219" s="5" t="s">
        <v>41</v>
      </c>
      <c r="D1219" s="5" t="s">
        <v>2912</v>
      </c>
      <c r="E1219" s="10" t="s">
        <v>345</v>
      </c>
      <c r="F1219" s="5" t="s">
        <v>124</v>
      </c>
      <c r="G1219" s="5" t="s">
        <v>373</v>
      </c>
      <c r="H1219" s="5" t="s">
        <v>366</v>
      </c>
      <c r="I1219" s="11">
        <v>1</v>
      </c>
      <c r="J1219" s="5" t="s">
        <v>45</v>
      </c>
      <c r="K1219" s="10" t="s">
        <v>46</v>
      </c>
      <c r="L1219" s="5" t="s">
        <v>47</v>
      </c>
      <c r="M1219" s="5" t="s">
        <v>115</v>
      </c>
      <c r="N1219" s="5" t="s">
        <v>116</v>
      </c>
      <c r="O1219" s="12"/>
      <c r="P1219" s="13">
        <v>7271</v>
      </c>
      <c r="S1219" s="13">
        <v>11125</v>
      </c>
      <c r="U1219" s="13">
        <v>11125</v>
      </c>
      <c r="AC1219" s="10" t="s">
        <v>2913</v>
      </c>
      <c r="AD1219" s="5" t="s">
        <v>2886</v>
      </c>
      <c r="AE1219" s="5" t="s">
        <v>119</v>
      </c>
      <c r="AG1219" s="5" t="s">
        <v>2914</v>
      </c>
    </row>
    <row r="1220" spans="1:33" ht="10" customHeight="1" x14ac:dyDescent="0.2">
      <c r="A1220" s="5" t="s">
        <v>40</v>
      </c>
      <c r="B1220" s="5" t="s">
        <v>41</v>
      </c>
      <c r="D1220" s="5" t="s">
        <v>2915</v>
      </c>
      <c r="E1220" s="10" t="s">
        <v>345</v>
      </c>
      <c r="F1220" s="5" t="s">
        <v>124</v>
      </c>
      <c r="G1220" s="5" t="s">
        <v>373</v>
      </c>
      <c r="H1220" s="5" t="s">
        <v>366</v>
      </c>
      <c r="I1220" s="11">
        <v>1</v>
      </c>
      <c r="J1220" s="5" t="s">
        <v>45</v>
      </c>
      <c r="K1220" s="10" t="s">
        <v>46</v>
      </c>
      <c r="L1220" s="5" t="s">
        <v>47</v>
      </c>
      <c r="M1220" s="5" t="s">
        <v>115</v>
      </c>
      <c r="N1220" s="5" t="s">
        <v>116</v>
      </c>
      <c r="O1220" s="12"/>
      <c r="P1220" s="13">
        <v>7561</v>
      </c>
      <c r="S1220" s="13">
        <v>11568</v>
      </c>
      <c r="U1220" s="13">
        <v>11568</v>
      </c>
      <c r="AC1220" s="10" t="s">
        <v>2916</v>
      </c>
      <c r="AD1220" s="5" t="s">
        <v>2886</v>
      </c>
      <c r="AE1220" s="5" t="s">
        <v>119</v>
      </c>
      <c r="AG1220" s="5" t="s">
        <v>2917</v>
      </c>
    </row>
    <row r="1221" spans="1:33" ht="10" customHeight="1" x14ac:dyDescent="0.2">
      <c r="A1221" s="5" t="s">
        <v>40</v>
      </c>
      <c r="B1221" s="5" t="s">
        <v>41</v>
      </c>
      <c r="D1221" s="5" t="s">
        <v>2918</v>
      </c>
      <c r="E1221" s="10" t="s">
        <v>345</v>
      </c>
      <c r="F1221" s="5" t="s">
        <v>124</v>
      </c>
      <c r="G1221" s="5" t="s">
        <v>373</v>
      </c>
      <c r="H1221" s="5" t="s">
        <v>366</v>
      </c>
      <c r="I1221" s="11">
        <v>1</v>
      </c>
      <c r="J1221" s="5" t="s">
        <v>45</v>
      </c>
      <c r="K1221" s="10" t="s">
        <v>46</v>
      </c>
      <c r="L1221" s="5" t="s">
        <v>47</v>
      </c>
      <c r="M1221" s="5" t="s">
        <v>115</v>
      </c>
      <c r="N1221" s="5" t="s">
        <v>116</v>
      </c>
      <c r="O1221" s="12"/>
      <c r="P1221" s="13">
        <v>116387</v>
      </c>
      <c r="S1221" s="13">
        <v>178020</v>
      </c>
      <c r="U1221" s="13">
        <v>178020</v>
      </c>
      <c r="AC1221" s="10" t="s">
        <v>2919</v>
      </c>
      <c r="AD1221" s="5" t="s">
        <v>2886</v>
      </c>
      <c r="AE1221" s="5" t="s">
        <v>119</v>
      </c>
      <c r="AG1221" s="5" t="s">
        <v>2920</v>
      </c>
    </row>
    <row r="1222" spans="1:33" ht="10" customHeight="1" x14ac:dyDescent="0.2">
      <c r="A1222" s="5" t="s">
        <v>40</v>
      </c>
      <c r="B1222" s="5" t="s">
        <v>41</v>
      </c>
      <c r="D1222" s="5" t="s">
        <v>2921</v>
      </c>
      <c r="E1222" s="10" t="s">
        <v>345</v>
      </c>
      <c r="F1222" s="5" t="s">
        <v>124</v>
      </c>
      <c r="G1222" s="5" t="s">
        <v>464</v>
      </c>
      <c r="I1222" s="11">
        <v>1</v>
      </c>
      <c r="J1222" s="5" t="s">
        <v>45</v>
      </c>
      <c r="K1222" s="10" t="s">
        <v>46</v>
      </c>
      <c r="L1222" s="5" t="s">
        <v>47</v>
      </c>
      <c r="M1222" s="5" t="s">
        <v>115</v>
      </c>
      <c r="N1222" s="5" t="s">
        <v>116</v>
      </c>
      <c r="O1222" s="12"/>
      <c r="P1222" s="13">
        <v>74395</v>
      </c>
      <c r="S1222" s="13">
        <v>113824</v>
      </c>
      <c r="U1222" s="13">
        <v>113824</v>
      </c>
      <c r="AC1222" s="10" t="s">
        <v>2922</v>
      </c>
      <c r="AD1222" s="5" t="s">
        <v>2923</v>
      </c>
      <c r="AE1222" s="5" t="s">
        <v>119</v>
      </c>
      <c r="AG1222" s="5" t="s">
        <v>2924</v>
      </c>
    </row>
    <row r="1223" spans="1:33" ht="10" customHeight="1" x14ac:dyDescent="0.2">
      <c r="A1223" s="5" t="s">
        <v>40</v>
      </c>
      <c r="B1223" s="5" t="s">
        <v>41</v>
      </c>
      <c r="D1223" s="5" t="s">
        <v>2925</v>
      </c>
      <c r="E1223" s="10" t="s">
        <v>345</v>
      </c>
      <c r="F1223" s="5" t="s">
        <v>124</v>
      </c>
      <c r="G1223" s="5" t="s">
        <v>464</v>
      </c>
      <c r="I1223" s="11">
        <v>1</v>
      </c>
      <c r="J1223" s="5" t="s">
        <v>45</v>
      </c>
      <c r="K1223" s="10" t="s">
        <v>46</v>
      </c>
      <c r="L1223" s="5" t="s">
        <v>47</v>
      </c>
      <c r="M1223" s="5" t="s">
        <v>115</v>
      </c>
      <c r="N1223" s="5" t="s">
        <v>116</v>
      </c>
      <c r="O1223" s="12"/>
      <c r="P1223" s="13">
        <v>1236</v>
      </c>
      <c r="S1223" s="13">
        <v>1891</v>
      </c>
      <c r="U1223" s="13">
        <v>1891</v>
      </c>
      <c r="AC1223" s="10" t="s">
        <v>2926</v>
      </c>
      <c r="AD1223" s="5" t="s">
        <v>2923</v>
      </c>
      <c r="AE1223" s="5" t="s">
        <v>119</v>
      </c>
      <c r="AG1223" s="5" t="s">
        <v>2823</v>
      </c>
    </row>
    <row r="1224" spans="1:33" ht="10" customHeight="1" x14ac:dyDescent="0.2">
      <c r="A1224" s="5" t="s">
        <v>40</v>
      </c>
      <c r="B1224" s="5" t="s">
        <v>41</v>
      </c>
      <c r="D1224" s="5" t="s">
        <v>2927</v>
      </c>
      <c r="E1224" s="10" t="s">
        <v>345</v>
      </c>
      <c r="F1224" s="5" t="s">
        <v>124</v>
      </c>
      <c r="G1224" s="5" t="s">
        <v>464</v>
      </c>
      <c r="I1224" s="11">
        <v>1</v>
      </c>
      <c r="J1224" s="5" t="s">
        <v>45</v>
      </c>
      <c r="K1224" s="10" t="s">
        <v>46</v>
      </c>
      <c r="L1224" s="5" t="s">
        <v>47</v>
      </c>
      <c r="M1224" s="5" t="s">
        <v>115</v>
      </c>
      <c r="N1224" s="5" t="s">
        <v>116</v>
      </c>
      <c r="O1224" s="12"/>
      <c r="P1224" s="13">
        <v>12361</v>
      </c>
      <c r="S1224" s="13">
        <v>18912</v>
      </c>
      <c r="U1224" s="13">
        <v>18912</v>
      </c>
      <c r="AC1224" s="10" t="s">
        <v>2928</v>
      </c>
      <c r="AD1224" s="5" t="s">
        <v>2923</v>
      </c>
      <c r="AE1224" s="5" t="s">
        <v>119</v>
      </c>
      <c r="AG1224" s="5" t="s">
        <v>2929</v>
      </c>
    </row>
    <row r="1225" spans="1:33" ht="10" customHeight="1" x14ac:dyDescent="0.2">
      <c r="A1225" s="5" t="s">
        <v>40</v>
      </c>
      <c r="B1225" s="5" t="s">
        <v>41</v>
      </c>
      <c r="D1225" s="5" t="s">
        <v>2930</v>
      </c>
      <c r="E1225" s="10" t="s">
        <v>345</v>
      </c>
      <c r="F1225" s="5" t="s">
        <v>124</v>
      </c>
      <c r="G1225" s="5" t="s">
        <v>464</v>
      </c>
      <c r="I1225" s="11">
        <v>1</v>
      </c>
      <c r="J1225" s="5" t="s">
        <v>45</v>
      </c>
      <c r="K1225" s="10" t="s">
        <v>46</v>
      </c>
      <c r="L1225" s="5" t="s">
        <v>47</v>
      </c>
      <c r="M1225" s="5" t="s">
        <v>115</v>
      </c>
      <c r="N1225" s="5" t="s">
        <v>116</v>
      </c>
      <c r="O1225" s="12"/>
      <c r="P1225" s="13">
        <v>6027</v>
      </c>
      <c r="S1225" s="13">
        <v>9221</v>
      </c>
      <c r="U1225" s="13">
        <v>9221</v>
      </c>
      <c r="AC1225" s="10" t="s">
        <v>2931</v>
      </c>
      <c r="AD1225" s="5" t="s">
        <v>2923</v>
      </c>
      <c r="AE1225" s="5" t="s">
        <v>119</v>
      </c>
      <c r="AG1225" s="5" t="s">
        <v>2823</v>
      </c>
    </row>
    <row r="1226" spans="1:33" ht="10" customHeight="1" x14ac:dyDescent="0.2">
      <c r="A1226" s="5" t="s">
        <v>40</v>
      </c>
      <c r="B1226" s="5" t="s">
        <v>41</v>
      </c>
      <c r="D1226" s="5" t="s">
        <v>2932</v>
      </c>
      <c r="E1226" s="10" t="s">
        <v>345</v>
      </c>
      <c r="F1226" s="5" t="s">
        <v>124</v>
      </c>
      <c r="G1226" s="5" t="s">
        <v>464</v>
      </c>
      <c r="I1226" s="11">
        <v>1</v>
      </c>
      <c r="J1226" s="5" t="s">
        <v>45</v>
      </c>
      <c r="K1226" s="10" t="s">
        <v>46</v>
      </c>
      <c r="L1226" s="5" t="s">
        <v>47</v>
      </c>
      <c r="M1226" s="5" t="s">
        <v>115</v>
      </c>
      <c r="N1226" s="5" t="s">
        <v>116</v>
      </c>
      <c r="O1226" s="12"/>
      <c r="P1226" s="13">
        <v>21939</v>
      </c>
      <c r="S1226" s="13">
        <v>33568</v>
      </c>
      <c r="U1226" s="13">
        <v>33568</v>
      </c>
      <c r="AC1226" s="10" t="s">
        <v>2933</v>
      </c>
      <c r="AD1226" s="5" t="s">
        <v>2923</v>
      </c>
      <c r="AE1226" s="5" t="s">
        <v>119</v>
      </c>
      <c r="AG1226" s="5" t="s">
        <v>2823</v>
      </c>
    </row>
    <row r="1227" spans="1:33" ht="10" customHeight="1" x14ac:dyDescent="0.2">
      <c r="A1227" s="5" t="s">
        <v>40</v>
      </c>
      <c r="B1227" s="5" t="s">
        <v>41</v>
      </c>
      <c r="D1227" s="5" t="s">
        <v>2934</v>
      </c>
      <c r="E1227" s="10" t="s">
        <v>345</v>
      </c>
      <c r="F1227" s="5" t="s">
        <v>124</v>
      </c>
      <c r="G1227" s="5" t="s">
        <v>464</v>
      </c>
      <c r="I1227" s="11">
        <v>1</v>
      </c>
      <c r="J1227" s="5" t="s">
        <v>45</v>
      </c>
      <c r="K1227" s="10" t="s">
        <v>46</v>
      </c>
      <c r="L1227" s="5" t="s">
        <v>47</v>
      </c>
      <c r="M1227" s="5" t="s">
        <v>115</v>
      </c>
      <c r="N1227" s="5" t="s">
        <v>116</v>
      </c>
      <c r="O1227" s="12"/>
      <c r="P1227" s="13">
        <v>145770</v>
      </c>
      <c r="S1227" s="13">
        <v>223028</v>
      </c>
      <c r="U1227" s="13">
        <v>223028</v>
      </c>
      <c r="AC1227" s="10" t="s">
        <v>2935</v>
      </c>
      <c r="AD1227" s="5" t="s">
        <v>2936</v>
      </c>
      <c r="AE1227" s="5" t="s">
        <v>119</v>
      </c>
      <c r="AG1227" s="5" t="s">
        <v>2937</v>
      </c>
    </row>
    <row r="1228" spans="1:33" ht="10" customHeight="1" x14ac:dyDescent="0.2">
      <c r="A1228" s="5" t="s">
        <v>40</v>
      </c>
      <c r="B1228" s="5" t="s">
        <v>41</v>
      </c>
      <c r="D1228" s="5" t="s">
        <v>2938</v>
      </c>
      <c r="E1228" s="10" t="s">
        <v>345</v>
      </c>
      <c r="F1228" s="5" t="s">
        <v>124</v>
      </c>
      <c r="G1228" s="5" t="s">
        <v>464</v>
      </c>
      <c r="I1228" s="11">
        <v>1</v>
      </c>
      <c r="J1228" s="5" t="s">
        <v>45</v>
      </c>
      <c r="K1228" s="10" t="s">
        <v>46</v>
      </c>
      <c r="L1228" s="5" t="s">
        <v>47</v>
      </c>
      <c r="M1228" s="5" t="s">
        <v>115</v>
      </c>
      <c r="N1228" s="5" t="s">
        <v>116</v>
      </c>
      <c r="O1228" s="12"/>
      <c r="P1228" s="13">
        <v>4861</v>
      </c>
      <c r="S1228" s="13">
        <v>7437</v>
      </c>
      <c r="U1228" s="13">
        <v>7437</v>
      </c>
      <c r="AC1228" s="10" t="s">
        <v>2939</v>
      </c>
      <c r="AD1228" s="5" t="s">
        <v>2936</v>
      </c>
      <c r="AE1228" s="5" t="s">
        <v>119</v>
      </c>
      <c r="AG1228" s="5" t="s">
        <v>2826</v>
      </c>
    </row>
    <row r="1229" spans="1:33" ht="10" customHeight="1" x14ac:dyDescent="0.2">
      <c r="A1229" s="5" t="s">
        <v>40</v>
      </c>
      <c r="B1229" s="5" t="s">
        <v>41</v>
      </c>
      <c r="D1229" s="5" t="s">
        <v>2940</v>
      </c>
      <c r="E1229" s="10" t="s">
        <v>345</v>
      </c>
      <c r="F1229" s="5" t="s">
        <v>124</v>
      </c>
      <c r="G1229" s="5" t="s">
        <v>464</v>
      </c>
      <c r="I1229" s="11">
        <v>1</v>
      </c>
      <c r="J1229" s="5" t="s">
        <v>45</v>
      </c>
      <c r="K1229" s="10" t="s">
        <v>46</v>
      </c>
      <c r="L1229" s="5" t="s">
        <v>47</v>
      </c>
      <c r="M1229" s="5" t="s">
        <v>115</v>
      </c>
      <c r="N1229" s="5" t="s">
        <v>116</v>
      </c>
      <c r="O1229" s="12"/>
      <c r="P1229" s="13">
        <v>6646</v>
      </c>
      <c r="S1229" s="13">
        <v>10168</v>
      </c>
      <c r="U1229" s="13">
        <v>10168</v>
      </c>
      <c r="AC1229" s="10" t="s">
        <v>2941</v>
      </c>
      <c r="AD1229" s="5" t="s">
        <v>2936</v>
      </c>
      <c r="AE1229" s="5" t="s">
        <v>119</v>
      </c>
      <c r="AG1229" s="5" t="s">
        <v>2826</v>
      </c>
    </row>
    <row r="1230" spans="1:33" ht="10" customHeight="1" x14ac:dyDescent="0.2">
      <c r="A1230" s="5" t="s">
        <v>40</v>
      </c>
      <c r="B1230" s="5" t="s">
        <v>41</v>
      </c>
      <c r="D1230" s="5" t="s">
        <v>2942</v>
      </c>
      <c r="E1230" s="10" t="s">
        <v>345</v>
      </c>
      <c r="F1230" s="5" t="s">
        <v>124</v>
      </c>
      <c r="G1230" s="5" t="s">
        <v>464</v>
      </c>
      <c r="I1230" s="11">
        <v>1</v>
      </c>
      <c r="J1230" s="5" t="s">
        <v>45</v>
      </c>
      <c r="K1230" s="10" t="s">
        <v>46</v>
      </c>
      <c r="L1230" s="5" t="s">
        <v>47</v>
      </c>
      <c r="M1230" s="5" t="s">
        <v>115</v>
      </c>
      <c r="N1230" s="5" t="s">
        <v>116</v>
      </c>
      <c r="O1230" s="12"/>
      <c r="P1230" s="13">
        <v>448</v>
      </c>
      <c r="S1230" s="13">
        <v>685</v>
      </c>
      <c r="U1230" s="13">
        <v>685</v>
      </c>
      <c r="AC1230" s="10" t="s">
        <v>2943</v>
      </c>
      <c r="AD1230" s="5" t="s">
        <v>2936</v>
      </c>
      <c r="AE1230" s="5" t="s">
        <v>119</v>
      </c>
      <c r="AG1230" s="5" t="s">
        <v>2826</v>
      </c>
    </row>
    <row r="1231" spans="1:33" ht="10" customHeight="1" x14ac:dyDescent="0.2">
      <c r="A1231" s="5" t="s">
        <v>40</v>
      </c>
      <c r="B1231" s="5" t="s">
        <v>41</v>
      </c>
      <c r="D1231" s="5" t="s">
        <v>2944</v>
      </c>
      <c r="E1231" s="10" t="s">
        <v>345</v>
      </c>
      <c r="F1231" s="5" t="s">
        <v>124</v>
      </c>
      <c r="G1231" s="5" t="s">
        <v>464</v>
      </c>
      <c r="I1231" s="11">
        <v>1</v>
      </c>
      <c r="J1231" s="5" t="s">
        <v>45</v>
      </c>
      <c r="K1231" s="10" t="s">
        <v>46</v>
      </c>
      <c r="L1231" s="5" t="s">
        <v>47</v>
      </c>
      <c r="M1231" s="5" t="s">
        <v>115</v>
      </c>
      <c r="N1231" s="5" t="s">
        <v>116</v>
      </c>
      <c r="O1231" s="12"/>
      <c r="P1231" s="13">
        <v>3894</v>
      </c>
      <c r="S1231" s="13">
        <v>5959</v>
      </c>
      <c r="U1231" s="13">
        <v>5959</v>
      </c>
      <c r="AC1231" s="10" t="s">
        <v>2945</v>
      </c>
      <c r="AD1231" s="5" t="s">
        <v>2936</v>
      </c>
      <c r="AE1231" s="5" t="s">
        <v>119</v>
      </c>
      <c r="AG1231" s="5" t="s">
        <v>2826</v>
      </c>
    </row>
    <row r="1232" spans="1:33" ht="10" customHeight="1" x14ac:dyDescent="0.2">
      <c r="A1232" s="5" t="s">
        <v>40</v>
      </c>
      <c r="B1232" s="5" t="s">
        <v>41</v>
      </c>
      <c r="D1232" s="5" t="s">
        <v>2946</v>
      </c>
      <c r="E1232" s="10" t="s">
        <v>345</v>
      </c>
      <c r="F1232" s="5" t="s">
        <v>124</v>
      </c>
      <c r="G1232" s="5" t="s">
        <v>464</v>
      </c>
      <c r="I1232" s="11">
        <v>1</v>
      </c>
      <c r="J1232" s="5" t="s">
        <v>45</v>
      </c>
      <c r="K1232" s="10" t="s">
        <v>46</v>
      </c>
      <c r="L1232" s="5" t="s">
        <v>47</v>
      </c>
      <c r="M1232" s="5" t="s">
        <v>115</v>
      </c>
      <c r="N1232" s="5" t="s">
        <v>116</v>
      </c>
      <c r="O1232" s="12"/>
      <c r="P1232" s="13">
        <v>15134</v>
      </c>
      <c r="S1232" s="13">
        <v>23155</v>
      </c>
      <c r="U1232" s="13">
        <v>23155</v>
      </c>
      <c r="AC1232" s="10" t="s">
        <v>2947</v>
      </c>
      <c r="AD1232" s="5" t="s">
        <v>2948</v>
      </c>
      <c r="AE1232" s="5" t="s">
        <v>119</v>
      </c>
      <c r="AG1232" s="5" t="s">
        <v>2949</v>
      </c>
    </row>
    <row r="1233" spans="1:33" ht="10" customHeight="1" x14ac:dyDescent="0.2">
      <c r="A1233" s="5" t="s">
        <v>40</v>
      </c>
      <c r="B1233" s="5" t="s">
        <v>41</v>
      </c>
      <c r="D1233" s="5" t="s">
        <v>2950</v>
      </c>
      <c r="E1233" s="10" t="s">
        <v>345</v>
      </c>
      <c r="F1233" s="5" t="s">
        <v>124</v>
      </c>
      <c r="G1233" s="5" t="s">
        <v>464</v>
      </c>
      <c r="I1233" s="11">
        <v>1</v>
      </c>
      <c r="J1233" s="5" t="s">
        <v>45</v>
      </c>
      <c r="K1233" s="10" t="s">
        <v>46</v>
      </c>
      <c r="L1233" s="5" t="s">
        <v>47</v>
      </c>
      <c r="M1233" s="5" t="s">
        <v>115</v>
      </c>
      <c r="N1233" s="5" t="s">
        <v>116</v>
      </c>
      <c r="O1233" s="12"/>
      <c r="P1233" s="13">
        <v>1515</v>
      </c>
      <c r="S1233" s="13">
        <v>2318</v>
      </c>
      <c r="U1233" s="13">
        <v>2318</v>
      </c>
      <c r="AC1233" s="10" t="s">
        <v>2951</v>
      </c>
      <c r="AD1233" s="5" t="s">
        <v>2948</v>
      </c>
      <c r="AE1233" s="5" t="s">
        <v>119</v>
      </c>
      <c r="AG1233" s="5" t="s">
        <v>2829</v>
      </c>
    </row>
    <row r="1234" spans="1:33" ht="10" customHeight="1" x14ac:dyDescent="0.2">
      <c r="A1234" s="5" t="s">
        <v>40</v>
      </c>
      <c r="B1234" s="5" t="s">
        <v>41</v>
      </c>
      <c r="D1234" s="5" t="s">
        <v>2952</v>
      </c>
      <c r="E1234" s="10" t="s">
        <v>345</v>
      </c>
      <c r="F1234" s="5" t="s">
        <v>124</v>
      </c>
      <c r="G1234" s="5" t="s">
        <v>464</v>
      </c>
      <c r="I1234" s="11">
        <v>1</v>
      </c>
      <c r="J1234" s="5" t="s">
        <v>45</v>
      </c>
      <c r="K1234" s="10" t="s">
        <v>46</v>
      </c>
      <c r="L1234" s="5" t="s">
        <v>47</v>
      </c>
      <c r="M1234" s="5" t="s">
        <v>115</v>
      </c>
      <c r="N1234" s="5" t="s">
        <v>116</v>
      </c>
      <c r="O1234" s="12"/>
      <c r="P1234" s="13">
        <v>3713</v>
      </c>
      <c r="S1234" s="13">
        <v>5681</v>
      </c>
      <c r="U1234" s="13">
        <v>5681</v>
      </c>
      <c r="AC1234" s="10" t="s">
        <v>2953</v>
      </c>
      <c r="AD1234" s="5" t="s">
        <v>2948</v>
      </c>
      <c r="AE1234" s="5" t="s">
        <v>119</v>
      </c>
      <c r="AG1234" s="5" t="s">
        <v>2829</v>
      </c>
    </row>
    <row r="1235" spans="1:33" ht="10" customHeight="1" x14ac:dyDescent="0.2">
      <c r="A1235" s="5" t="s">
        <v>40</v>
      </c>
      <c r="B1235" s="5" t="s">
        <v>41</v>
      </c>
      <c r="D1235" s="5" t="s">
        <v>2954</v>
      </c>
      <c r="E1235" s="10" t="s">
        <v>345</v>
      </c>
      <c r="F1235" s="5" t="s">
        <v>124</v>
      </c>
      <c r="G1235" s="5" t="s">
        <v>464</v>
      </c>
      <c r="I1235" s="11">
        <v>1</v>
      </c>
      <c r="J1235" s="5" t="s">
        <v>45</v>
      </c>
      <c r="K1235" s="10" t="s">
        <v>46</v>
      </c>
      <c r="L1235" s="5" t="s">
        <v>47</v>
      </c>
      <c r="M1235" s="5" t="s">
        <v>115</v>
      </c>
      <c r="N1235" s="5" t="s">
        <v>116</v>
      </c>
      <c r="O1235" s="12"/>
      <c r="P1235" s="13">
        <v>1862</v>
      </c>
      <c r="S1235" s="13">
        <v>2849</v>
      </c>
      <c r="U1235" s="13">
        <v>2849</v>
      </c>
      <c r="AC1235" s="10" t="s">
        <v>2955</v>
      </c>
      <c r="AD1235" s="5" t="s">
        <v>2948</v>
      </c>
      <c r="AE1235" s="5" t="s">
        <v>119</v>
      </c>
      <c r="AG1235" s="5" t="s">
        <v>2829</v>
      </c>
    </row>
    <row r="1236" spans="1:33" ht="10" customHeight="1" x14ac:dyDescent="0.2">
      <c r="A1236" s="5" t="s">
        <v>40</v>
      </c>
      <c r="B1236" s="5" t="s">
        <v>41</v>
      </c>
      <c r="D1236" s="5" t="s">
        <v>2956</v>
      </c>
      <c r="E1236" s="10" t="s">
        <v>345</v>
      </c>
      <c r="F1236" s="5" t="s">
        <v>124</v>
      </c>
      <c r="G1236" s="5" t="s">
        <v>464</v>
      </c>
      <c r="I1236" s="11">
        <v>1</v>
      </c>
      <c r="J1236" s="5" t="s">
        <v>45</v>
      </c>
      <c r="K1236" s="10" t="s">
        <v>46</v>
      </c>
      <c r="L1236" s="5" t="s">
        <v>47</v>
      </c>
      <c r="M1236" s="5" t="s">
        <v>115</v>
      </c>
      <c r="N1236" s="5" t="s">
        <v>116</v>
      </c>
      <c r="O1236" s="12"/>
      <c r="P1236" s="13">
        <v>9570</v>
      </c>
      <c r="S1236" s="13">
        <v>14642</v>
      </c>
      <c r="U1236" s="13">
        <v>14642</v>
      </c>
      <c r="AC1236" s="10" t="s">
        <v>2957</v>
      </c>
      <c r="AD1236" s="5" t="s">
        <v>2948</v>
      </c>
      <c r="AE1236" s="5" t="s">
        <v>119</v>
      </c>
      <c r="AG1236" s="5" t="s">
        <v>2829</v>
      </c>
    </row>
    <row r="1237" spans="1:33" ht="10" customHeight="1" x14ac:dyDescent="0.2">
      <c r="A1237" s="5" t="s">
        <v>40</v>
      </c>
      <c r="B1237" s="5" t="s">
        <v>41</v>
      </c>
      <c r="D1237" s="5" t="s">
        <v>2958</v>
      </c>
      <c r="E1237" s="10" t="s">
        <v>345</v>
      </c>
      <c r="F1237" s="5" t="s">
        <v>124</v>
      </c>
      <c r="G1237" s="5" t="s">
        <v>464</v>
      </c>
      <c r="I1237" s="11">
        <v>1</v>
      </c>
      <c r="J1237" s="5" t="s">
        <v>45</v>
      </c>
      <c r="K1237" s="10" t="s">
        <v>46</v>
      </c>
      <c r="L1237" s="5" t="s">
        <v>47</v>
      </c>
      <c r="M1237" s="5" t="s">
        <v>115</v>
      </c>
      <c r="N1237" s="5" t="s">
        <v>116</v>
      </c>
      <c r="O1237" s="12"/>
      <c r="P1237" s="13">
        <v>76017</v>
      </c>
      <c r="S1237" s="13">
        <v>116306</v>
      </c>
      <c r="U1237" s="13">
        <v>116306</v>
      </c>
      <c r="AC1237" s="10" t="s">
        <v>2959</v>
      </c>
      <c r="AD1237" s="5" t="s">
        <v>2960</v>
      </c>
      <c r="AE1237" s="5" t="s">
        <v>119</v>
      </c>
    </row>
    <row r="1238" spans="1:33" ht="10" customHeight="1" x14ac:dyDescent="0.2">
      <c r="A1238" s="5" t="s">
        <v>40</v>
      </c>
      <c r="B1238" s="5" t="s">
        <v>41</v>
      </c>
      <c r="D1238" s="5" t="s">
        <v>2961</v>
      </c>
      <c r="E1238" s="10" t="s">
        <v>345</v>
      </c>
      <c r="F1238" s="5" t="s">
        <v>124</v>
      </c>
      <c r="G1238" s="5" t="s">
        <v>464</v>
      </c>
      <c r="I1238" s="11">
        <v>1</v>
      </c>
      <c r="J1238" s="5" t="s">
        <v>45</v>
      </c>
      <c r="K1238" s="10" t="s">
        <v>46</v>
      </c>
      <c r="L1238" s="5" t="s">
        <v>47</v>
      </c>
      <c r="M1238" s="5" t="s">
        <v>115</v>
      </c>
      <c r="N1238" s="5" t="s">
        <v>116</v>
      </c>
      <c r="O1238" s="12"/>
      <c r="P1238" s="13">
        <v>306</v>
      </c>
      <c r="S1238" s="13">
        <v>468</v>
      </c>
      <c r="U1238" s="13">
        <v>468</v>
      </c>
      <c r="AC1238" s="10" t="s">
        <v>2962</v>
      </c>
      <c r="AD1238" s="5" t="s">
        <v>2960</v>
      </c>
      <c r="AE1238" s="5" t="s">
        <v>119</v>
      </c>
      <c r="AG1238" s="5" t="s">
        <v>2832</v>
      </c>
    </row>
    <row r="1239" spans="1:33" ht="10" customHeight="1" x14ac:dyDescent="0.2">
      <c r="A1239" s="5" t="s">
        <v>40</v>
      </c>
      <c r="B1239" s="5" t="s">
        <v>41</v>
      </c>
      <c r="D1239" s="5" t="s">
        <v>2963</v>
      </c>
      <c r="E1239" s="10" t="s">
        <v>345</v>
      </c>
      <c r="F1239" s="5" t="s">
        <v>124</v>
      </c>
      <c r="G1239" s="5" t="s">
        <v>464</v>
      </c>
      <c r="I1239" s="11">
        <v>1</v>
      </c>
      <c r="J1239" s="5" t="s">
        <v>45</v>
      </c>
      <c r="K1239" s="10" t="s">
        <v>46</v>
      </c>
      <c r="L1239" s="5" t="s">
        <v>47</v>
      </c>
      <c r="M1239" s="5" t="s">
        <v>115</v>
      </c>
      <c r="N1239" s="5" t="s">
        <v>116</v>
      </c>
      <c r="O1239" s="12"/>
      <c r="P1239" s="13">
        <v>703</v>
      </c>
      <c r="S1239" s="13">
        <v>1076</v>
      </c>
      <c r="U1239" s="13">
        <v>1076</v>
      </c>
      <c r="AC1239" s="10" t="s">
        <v>2964</v>
      </c>
      <c r="AD1239" s="5" t="s">
        <v>2960</v>
      </c>
      <c r="AE1239" s="5" t="s">
        <v>119</v>
      </c>
      <c r="AG1239" s="5" t="s">
        <v>2832</v>
      </c>
    </row>
    <row r="1240" spans="1:33" ht="10" customHeight="1" x14ac:dyDescent="0.2">
      <c r="A1240" s="5" t="s">
        <v>40</v>
      </c>
      <c r="B1240" s="5" t="s">
        <v>41</v>
      </c>
      <c r="D1240" s="5" t="s">
        <v>2965</v>
      </c>
      <c r="E1240" s="10" t="s">
        <v>345</v>
      </c>
      <c r="F1240" s="5" t="s">
        <v>124</v>
      </c>
      <c r="G1240" s="5" t="s">
        <v>464</v>
      </c>
      <c r="I1240" s="11">
        <v>1</v>
      </c>
      <c r="J1240" s="5" t="s">
        <v>45</v>
      </c>
      <c r="K1240" s="10" t="s">
        <v>46</v>
      </c>
      <c r="L1240" s="5" t="s">
        <v>47</v>
      </c>
      <c r="M1240" s="5" t="s">
        <v>115</v>
      </c>
      <c r="N1240" s="5" t="s">
        <v>116</v>
      </c>
      <c r="O1240" s="12"/>
      <c r="P1240" s="13">
        <v>7912</v>
      </c>
      <c r="S1240" s="13">
        <v>12105</v>
      </c>
      <c r="U1240" s="13">
        <v>12105</v>
      </c>
      <c r="AC1240" s="10" t="s">
        <v>2966</v>
      </c>
      <c r="AD1240" s="5" t="s">
        <v>2960</v>
      </c>
      <c r="AE1240" s="5" t="s">
        <v>119</v>
      </c>
      <c r="AG1240" s="5" t="s">
        <v>2832</v>
      </c>
    </row>
    <row r="1241" spans="1:33" ht="10" customHeight="1" x14ac:dyDescent="0.2">
      <c r="A1241" s="5" t="s">
        <v>40</v>
      </c>
      <c r="B1241" s="5" t="s">
        <v>41</v>
      </c>
      <c r="D1241" s="5" t="s">
        <v>2967</v>
      </c>
      <c r="E1241" s="10" t="s">
        <v>345</v>
      </c>
      <c r="F1241" s="5" t="s">
        <v>124</v>
      </c>
      <c r="G1241" s="5" t="s">
        <v>464</v>
      </c>
      <c r="I1241" s="11">
        <v>1</v>
      </c>
      <c r="J1241" s="5" t="s">
        <v>45</v>
      </c>
      <c r="K1241" s="10" t="s">
        <v>46</v>
      </c>
      <c r="L1241" s="5" t="s">
        <v>47</v>
      </c>
      <c r="M1241" s="5" t="s">
        <v>115</v>
      </c>
      <c r="N1241" s="5" t="s">
        <v>116</v>
      </c>
      <c r="O1241" s="12"/>
      <c r="P1241" s="13">
        <v>4618</v>
      </c>
      <c r="S1241" s="13">
        <v>7066</v>
      </c>
      <c r="U1241" s="13">
        <v>7066</v>
      </c>
      <c r="AC1241" s="10" t="s">
        <v>2968</v>
      </c>
      <c r="AD1241" s="5" t="s">
        <v>2960</v>
      </c>
      <c r="AE1241" s="5" t="s">
        <v>119</v>
      </c>
      <c r="AG1241" s="5" t="s">
        <v>2832</v>
      </c>
    </row>
    <row r="1242" spans="1:33" ht="10" customHeight="1" x14ac:dyDescent="0.2">
      <c r="A1242" s="5" t="s">
        <v>40</v>
      </c>
      <c r="B1242" s="5" t="s">
        <v>41</v>
      </c>
      <c r="D1242" s="5" t="s">
        <v>2969</v>
      </c>
      <c r="E1242" s="10" t="s">
        <v>345</v>
      </c>
      <c r="F1242" s="5" t="s">
        <v>124</v>
      </c>
      <c r="G1242" s="5" t="s">
        <v>464</v>
      </c>
      <c r="I1242" s="11">
        <v>1</v>
      </c>
      <c r="J1242" s="5" t="s">
        <v>45</v>
      </c>
      <c r="K1242" s="10" t="s">
        <v>46</v>
      </c>
      <c r="L1242" s="5" t="s">
        <v>47</v>
      </c>
      <c r="M1242" s="5" t="s">
        <v>115</v>
      </c>
      <c r="N1242" s="5" t="s">
        <v>116</v>
      </c>
      <c r="O1242" s="12"/>
      <c r="P1242" s="13">
        <v>14691</v>
      </c>
      <c r="S1242" s="13">
        <v>22477</v>
      </c>
      <c r="U1242" s="13">
        <v>22477</v>
      </c>
      <c r="AC1242" s="10" t="s">
        <v>2970</v>
      </c>
      <c r="AD1242" s="5" t="s">
        <v>2960</v>
      </c>
      <c r="AE1242" s="5" t="s">
        <v>119</v>
      </c>
      <c r="AG1242" s="5" t="s">
        <v>2832</v>
      </c>
    </row>
    <row r="1243" spans="1:33" ht="10" customHeight="1" x14ac:dyDescent="0.2">
      <c r="A1243" s="5" t="s">
        <v>40</v>
      </c>
      <c r="B1243" s="5" t="s">
        <v>41</v>
      </c>
      <c r="D1243" s="5" t="s">
        <v>2971</v>
      </c>
      <c r="E1243" s="10" t="s">
        <v>345</v>
      </c>
      <c r="F1243" s="5" t="s">
        <v>124</v>
      </c>
      <c r="G1243" s="5" t="s">
        <v>464</v>
      </c>
      <c r="I1243" s="11">
        <v>1</v>
      </c>
      <c r="J1243" s="5" t="s">
        <v>45</v>
      </c>
      <c r="K1243" s="10" t="s">
        <v>46</v>
      </c>
      <c r="L1243" s="5" t="s">
        <v>47</v>
      </c>
      <c r="M1243" s="5" t="s">
        <v>115</v>
      </c>
      <c r="N1243" s="5" t="s">
        <v>116</v>
      </c>
      <c r="O1243" s="12"/>
      <c r="P1243" s="13">
        <v>22655</v>
      </c>
      <c r="S1243" s="13">
        <v>34662</v>
      </c>
      <c r="U1243" s="13">
        <v>34662</v>
      </c>
      <c r="AC1243" s="10" t="s">
        <v>2972</v>
      </c>
      <c r="AD1243" s="5" t="s">
        <v>2960</v>
      </c>
      <c r="AE1243" s="5" t="s">
        <v>119</v>
      </c>
      <c r="AG1243" s="5" t="s">
        <v>2832</v>
      </c>
    </row>
    <row r="1244" spans="1:33" ht="10" customHeight="1" x14ac:dyDescent="0.2">
      <c r="A1244" s="5" t="s">
        <v>40</v>
      </c>
      <c r="B1244" s="5" t="s">
        <v>41</v>
      </c>
      <c r="D1244" s="5" t="s">
        <v>2973</v>
      </c>
      <c r="E1244" s="10" t="s">
        <v>345</v>
      </c>
      <c r="F1244" s="5" t="s">
        <v>124</v>
      </c>
      <c r="G1244" s="5" t="s">
        <v>464</v>
      </c>
      <c r="I1244" s="11">
        <v>1</v>
      </c>
      <c r="J1244" s="5" t="s">
        <v>45</v>
      </c>
      <c r="K1244" s="10" t="s">
        <v>46</v>
      </c>
      <c r="L1244" s="5" t="s">
        <v>47</v>
      </c>
      <c r="M1244" s="5" t="s">
        <v>115</v>
      </c>
      <c r="N1244" s="5" t="s">
        <v>116</v>
      </c>
      <c r="O1244" s="12"/>
      <c r="P1244" s="13">
        <v>13565</v>
      </c>
      <c r="S1244" s="13">
        <v>20754</v>
      </c>
      <c r="U1244" s="13">
        <v>20754</v>
      </c>
      <c r="AC1244" s="10" t="s">
        <v>2974</v>
      </c>
      <c r="AD1244" s="5" t="s">
        <v>2975</v>
      </c>
      <c r="AE1244" s="5" t="s">
        <v>119</v>
      </c>
      <c r="AG1244" s="5" t="s">
        <v>2976</v>
      </c>
    </row>
    <row r="1245" spans="1:33" ht="10" customHeight="1" x14ac:dyDescent="0.2">
      <c r="A1245" s="5" t="s">
        <v>40</v>
      </c>
      <c r="B1245" s="5" t="s">
        <v>41</v>
      </c>
      <c r="D1245" s="5" t="s">
        <v>2977</v>
      </c>
      <c r="E1245" s="10" t="s">
        <v>345</v>
      </c>
      <c r="F1245" s="5" t="s">
        <v>124</v>
      </c>
      <c r="G1245" s="5" t="s">
        <v>464</v>
      </c>
      <c r="I1245" s="11">
        <v>1</v>
      </c>
      <c r="J1245" s="5" t="s">
        <v>45</v>
      </c>
      <c r="K1245" s="10" t="s">
        <v>46</v>
      </c>
      <c r="L1245" s="5" t="s">
        <v>47</v>
      </c>
      <c r="M1245" s="5" t="s">
        <v>115</v>
      </c>
      <c r="N1245" s="5" t="s">
        <v>116</v>
      </c>
      <c r="O1245" s="12"/>
      <c r="P1245" s="13">
        <v>558</v>
      </c>
      <c r="S1245" s="13">
        <v>854</v>
      </c>
      <c r="U1245" s="13">
        <v>854</v>
      </c>
      <c r="AC1245" s="10" t="s">
        <v>2978</v>
      </c>
      <c r="AD1245" s="5" t="s">
        <v>2975</v>
      </c>
      <c r="AE1245" s="5" t="s">
        <v>119</v>
      </c>
      <c r="AG1245" s="5" t="s">
        <v>2835</v>
      </c>
    </row>
    <row r="1246" spans="1:33" ht="10" customHeight="1" x14ac:dyDescent="0.2">
      <c r="A1246" s="5" t="s">
        <v>40</v>
      </c>
      <c r="B1246" s="5" t="s">
        <v>41</v>
      </c>
      <c r="D1246" s="5" t="s">
        <v>2979</v>
      </c>
      <c r="E1246" s="10" t="s">
        <v>345</v>
      </c>
      <c r="F1246" s="5" t="s">
        <v>124</v>
      </c>
      <c r="G1246" s="5" t="s">
        <v>464</v>
      </c>
      <c r="I1246" s="11">
        <v>1</v>
      </c>
      <c r="J1246" s="5" t="s">
        <v>45</v>
      </c>
      <c r="K1246" s="10" t="s">
        <v>46</v>
      </c>
      <c r="L1246" s="5" t="s">
        <v>47</v>
      </c>
      <c r="M1246" s="5" t="s">
        <v>115</v>
      </c>
      <c r="N1246" s="5" t="s">
        <v>116</v>
      </c>
      <c r="O1246" s="12"/>
      <c r="P1246" s="13">
        <v>132</v>
      </c>
      <c r="S1246" s="13">
        <v>202</v>
      </c>
      <c r="U1246" s="13">
        <v>202</v>
      </c>
      <c r="AC1246" s="10" t="s">
        <v>2980</v>
      </c>
      <c r="AD1246" s="5" t="s">
        <v>2975</v>
      </c>
      <c r="AE1246" s="5" t="s">
        <v>119</v>
      </c>
      <c r="AG1246" s="5" t="s">
        <v>2835</v>
      </c>
    </row>
    <row r="1247" spans="1:33" ht="10" customHeight="1" x14ac:dyDescent="0.2">
      <c r="A1247" s="5" t="s">
        <v>40</v>
      </c>
      <c r="B1247" s="5" t="s">
        <v>41</v>
      </c>
      <c r="D1247" s="5" t="s">
        <v>2981</v>
      </c>
      <c r="E1247" s="10" t="s">
        <v>345</v>
      </c>
      <c r="F1247" s="5" t="s">
        <v>124</v>
      </c>
      <c r="G1247" s="5" t="s">
        <v>464</v>
      </c>
      <c r="I1247" s="11">
        <v>1</v>
      </c>
      <c r="J1247" s="5" t="s">
        <v>45</v>
      </c>
      <c r="K1247" s="10" t="s">
        <v>46</v>
      </c>
      <c r="L1247" s="5" t="s">
        <v>47</v>
      </c>
      <c r="M1247" s="5" t="s">
        <v>115</v>
      </c>
      <c r="N1247" s="5" t="s">
        <v>116</v>
      </c>
      <c r="O1247" s="12"/>
      <c r="P1247" s="13">
        <v>647</v>
      </c>
      <c r="S1247" s="13">
        <v>990</v>
      </c>
      <c r="U1247" s="13">
        <v>990</v>
      </c>
      <c r="AC1247" s="10" t="s">
        <v>2982</v>
      </c>
      <c r="AD1247" s="5" t="s">
        <v>2975</v>
      </c>
      <c r="AE1247" s="5" t="s">
        <v>119</v>
      </c>
      <c r="AG1247" s="5" t="s">
        <v>2835</v>
      </c>
    </row>
    <row r="1248" spans="1:33" ht="10" customHeight="1" x14ac:dyDescent="0.2">
      <c r="A1248" s="5" t="s">
        <v>40</v>
      </c>
      <c r="B1248" s="5" t="s">
        <v>41</v>
      </c>
      <c r="D1248" s="5" t="s">
        <v>2983</v>
      </c>
      <c r="E1248" s="10" t="s">
        <v>345</v>
      </c>
      <c r="F1248" s="5" t="s">
        <v>124</v>
      </c>
      <c r="G1248" s="5" t="s">
        <v>464</v>
      </c>
      <c r="I1248" s="11">
        <v>1</v>
      </c>
      <c r="J1248" s="5" t="s">
        <v>45</v>
      </c>
      <c r="K1248" s="10" t="s">
        <v>46</v>
      </c>
      <c r="L1248" s="5" t="s">
        <v>47</v>
      </c>
      <c r="M1248" s="5" t="s">
        <v>115</v>
      </c>
      <c r="N1248" s="5" t="s">
        <v>116</v>
      </c>
      <c r="O1248" s="12"/>
      <c r="P1248" s="13">
        <v>1120</v>
      </c>
      <c r="S1248" s="13">
        <v>1714</v>
      </c>
      <c r="U1248" s="13">
        <v>1714</v>
      </c>
      <c r="AC1248" s="10" t="s">
        <v>2984</v>
      </c>
      <c r="AD1248" s="5" t="s">
        <v>2975</v>
      </c>
      <c r="AE1248" s="5" t="s">
        <v>119</v>
      </c>
      <c r="AG1248" s="5" t="s">
        <v>2835</v>
      </c>
    </row>
    <row r="1249" spans="1:33" ht="10" customHeight="1" x14ac:dyDescent="0.2">
      <c r="A1249" s="5" t="s">
        <v>40</v>
      </c>
      <c r="B1249" s="5" t="s">
        <v>41</v>
      </c>
      <c r="D1249" s="5" t="s">
        <v>2985</v>
      </c>
      <c r="E1249" s="10" t="s">
        <v>345</v>
      </c>
      <c r="F1249" s="5" t="s">
        <v>124</v>
      </c>
      <c r="G1249" s="5" t="s">
        <v>464</v>
      </c>
      <c r="I1249" s="11">
        <v>1</v>
      </c>
      <c r="J1249" s="5" t="s">
        <v>45</v>
      </c>
      <c r="K1249" s="10" t="s">
        <v>46</v>
      </c>
      <c r="L1249" s="5" t="s">
        <v>47</v>
      </c>
      <c r="M1249" s="5" t="s">
        <v>115</v>
      </c>
      <c r="N1249" s="5" t="s">
        <v>116</v>
      </c>
      <c r="O1249" s="12"/>
      <c r="P1249" s="13">
        <v>10851</v>
      </c>
      <c r="S1249" s="13">
        <v>16602</v>
      </c>
      <c r="U1249" s="13">
        <v>16602</v>
      </c>
      <c r="AC1249" s="10" t="s">
        <v>2986</v>
      </c>
      <c r="AD1249" s="5" t="s">
        <v>2987</v>
      </c>
      <c r="AE1249" s="5" t="s">
        <v>119</v>
      </c>
      <c r="AG1249" s="5" t="s">
        <v>2988</v>
      </c>
    </row>
    <row r="1250" spans="1:33" ht="10" customHeight="1" x14ac:dyDescent="0.2">
      <c r="A1250" s="5" t="s">
        <v>40</v>
      </c>
      <c r="B1250" s="5" t="s">
        <v>41</v>
      </c>
      <c r="D1250" s="5" t="s">
        <v>2989</v>
      </c>
      <c r="E1250" s="10" t="s">
        <v>345</v>
      </c>
      <c r="F1250" s="5" t="s">
        <v>124</v>
      </c>
      <c r="G1250" s="5" t="s">
        <v>464</v>
      </c>
      <c r="I1250" s="11">
        <v>1</v>
      </c>
      <c r="J1250" s="5" t="s">
        <v>45</v>
      </c>
      <c r="K1250" s="10" t="s">
        <v>46</v>
      </c>
      <c r="L1250" s="5" t="s">
        <v>47</v>
      </c>
      <c r="M1250" s="5" t="s">
        <v>115</v>
      </c>
      <c r="N1250" s="5" t="s">
        <v>116</v>
      </c>
      <c r="O1250" s="12"/>
      <c r="P1250" s="13">
        <v>945</v>
      </c>
      <c r="S1250" s="13">
        <v>1446</v>
      </c>
      <c r="U1250" s="13">
        <v>1446</v>
      </c>
      <c r="AC1250" s="10" t="s">
        <v>2990</v>
      </c>
      <c r="AD1250" s="5" t="s">
        <v>2987</v>
      </c>
      <c r="AE1250" s="5" t="s">
        <v>119</v>
      </c>
      <c r="AG1250" s="5" t="s">
        <v>2838</v>
      </c>
    </row>
    <row r="1251" spans="1:33" ht="10" customHeight="1" x14ac:dyDescent="0.2">
      <c r="A1251" s="5" t="s">
        <v>40</v>
      </c>
      <c r="B1251" s="5" t="s">
        <v>41</v>
      </c>
      <c r="D1251" s="5" t="s">
        <v>2991</v>
      </c>
      <c r="E1251" s="10" t="s">
        <v>345</v>
      </c>
      <c r="F1251" s="5" t="s">
        <v>124</v>
      </c>
      <c r="G1251" s="5" t="s">
        <v>464</v>
      </c>
      <c r="I1251" s="11">
        <v>1</v>
      </c>
      <c r="J1251" s="5" t="s">
        <v>45</v>
      </c>
      <c r="K1251" s="10" t="s">
        <v>46</v>
      </c>
      <c r="L1251" s="5" t="s">
        <v>47</v>
      </c>
      <c r="M1251" s="5" t="s">
        <v>115</v>
      </c>
      <c r="N1251" s="5" t="s">
        <v>116</v>
      </c>
      <c r="O1251" s="12"/>
      <c r="P1251" s="13">
        <v>603</v>
      </c>
      <c r="S1251" s="13">
        <v>923</v>
      </c>
      <c r="U1251" s="13">
        <v>923</v>
      </c>
      <c r="AC1251" s="10" t="s">
        <v>2992</v>
      </c>
      <c r="AD1251" s="5" t="s">
        <v>2987</v>
      </c>
      <c r="AE1251" s="5" t="s">
        <v>119</v>
      </c>
      <c r="AG1251" s="5" t="s">
        <v>2838</v>
      </c>
    </row>
    <row r="1252" spans="1:33" ht="10" customHeight="1" x14ac:dyDescent="0.2">
      <c r="A1252" s="5" t="s">
        <v>40</v>
      </c>
      <c r="B1252" s="5" t="s">
        <v>41</v>
      </c>
      <c r="D1252" s="5" t="s">
        <v>2993</v>
      </c>
      <c r="E1252" s="10" t="s">
        <v>345</v>
      </c>
      <c r="F1252" s="5" t="s">
        <v>124</v>
      </c>
      <c r="G1252" s="5" t="s">
        <v>464</v>
      </c>
      <c r="I1252" s="11">
        <v>1</v>
      </c>
      <c r="J1252" s="5" t="s">
        <v>45</v>
      </c>
      <c r="K1252" s="10" t="s">
        <v>46</v>
      </c>
      <c r="L1252" s="5" t="s">
        <v>47</v>
      </c>
      <c r="M1252" s="5" t="s">
        <v>115</v>
      </c>
      <c r="N1252" s="5" t="s">
        <v>116</v>
      </c>
      <c r="O1252" s="12"/>
      <c r="P1252" s="13">
        <v>720</v>
      </c>
      <c r="S1252" s="13">
        <v>1101</v>
      </c>
      <c r="U1252" s="13">
        <v>1101</v>
      </c>
      <c r="AC1252" s="10" t="s">
        <v>2994</v>
      </c>
      <c r="AD1252" s="5" t="s">
        <v>2987</v>
      </c>
      <c r="AE1252" s="5" t="s">
        <v>119</v>
      </c>
      <c r="AG1252" s="5" t="s">
        <v>2838</v>
      </c>
    </row>
    <row r="1253" spans="1:33" ht="10" customHeight="1" x14ac:dyDescent="0.2">
      <c r="A1253" s="5" t="s">
        <v>40</v>
      </c>
      <c r="B1253" s="5" t="s">
        <v>41</v>
      </c>
      <c r="D1253" s="5" t="s">
        <v>2995</v>
      </c>
      <c r="E1253" s="10" t="s">
        <v>345</v>
      </c>
      <c r="F1253" s="5" t="s">
        <v>124</v>
      </c>
      <c r="G1253" s="5" t="s">
        <v>464</v>
      </c>
      <c r="I1253" s="11">
        <v>1</v>
      </c>
      <c r="J1253" s="5" t="s">
        <v>45</v>
      </c>
      <c r="K1253" s="10" t="s">
        <v>46</v>
      </c>
      <c r="L1253" s="5" t="s">
        <v>47</v>
      </c>
      <c r="M1253" s="5" t="s">
        <v>115</v>
      </c>
      <c r="N1253" s="5" t="s">
        <v>116</v>
      </c>
      <c r="O1253" s="12"/>
      <c r="P1253" s="13">
        <v>11091</v>
      </c>
      <c r="S1253" s="13">
        <v>16969</v>
      </c>
      <c r="U1253" s="13">
        <v>16969</v>
      </c>
      <c r="AC1253" s="10" t="s">
        <v>2996</v>
      </c>
      <c r="AD1253" s="5" t="s">
        <v>2997</v>
      </c>
      <c r="AE1253" s="5" t="s">
        <v>119</v>
      </c>
      <c r="AG1253" s="5" t="s">
        <v>2998</v>
      </c>
    </row>
    <row r="1254" spans="1:33" ht="10" customHeight="1" x14ac:dyDescent="0.2">
      <c r="A1254" s="5" t="s">
        <v>40</v>
      </c>
      <c r="B1254" s="5" t="s">
        <v>41</v>
      </c>
      <c r="D1254" s="5" t="s">
        <v>2999</v>
      </c>
      <c r="E1254" s="10" t="s">
        <v>345</v>
      </c>
      <c r="F1254" s="5" t="s">
        <v>124</v>
      </c>
      <c r="G1254" s="5" t="s">
        <v>464</v>
      </c>
      <c r="I1254" s="11">
        <v>1</v>
      </c>
      <c r="J1254" s="5" t="s">
        <v>45</v>
      </c>
      <c r="K1254" s="10" t="s">
        <v>46</v>
      </c>
      <c r="L1254" s="5" t="s">
        <v>47</v>
      </c>
      <c r="M1254" s="5" t="s">
        <v>115</v>
      </c>
      <c r="N1254" s="5" t="s">
        <v>116</v>
      </c>
      <c r="O1254" s="12"/>
      <c r="P1254" s="13">
        <v>597</v>
      </c>
      <c r="S1254" s="13">
        <v>913</v>
      </c>
      <c r="U1254" s="13">
        <v>913</v>
      </c>
      <c r="AC1254" s="10" t="s">
        <v>3000</v>
      </c>
      <c r="AD1254" s="5" t="s">
        <v>2997</v>
      </c>
      <c r="AE1254" s="5" t="s">
        <v>119</v>
      </c>
      <c r="AG1254" s="5" t="s">
        <v>2868</v>
      </c>
    </row>
    <row r="1255" spans="1:33" ht="10" customHeight="1" x14ac:dyDescent="0.2">
      <c r="A1255" s="5" t="s">
        <v>40</v>
      </c>
      <c r="B1255" s="5" t="s">
        <v>41</v>
      </c>
      <c r="D1255" s="5" t="s">
        <v>3001</v>
      </c>
      <c r="E1255" s="10" t="s">
        <v>345</v>
      </c>
      <c r="F1255" s="5" t="s">
        <v>124</v>
      </c>
      <c r="G1255" s="5" t="s">
        <v>464</v>
      </c>
      <c r="I1255" s="11">
        <v>1</v>
      </c>
      <c r="J1255" s="5" t="s">
        <v>45</v>
      </c>
      <c r="K1255" s="10" t="s">
        <v>46</v>
      </c>
      <c r="L1255" s="5" t="s">
        <v>47</v>
      </c>
      <c r="M1255" s="5" t="s">
        <v>115</v>
      </c>
      <c r="N1255" s="5" t="s">
        <v>116</v>
      </c>
      <c r="O1255" s="12"/>
      <c r="P1255" s="13">
        <v>2019</v>
      </c>
      <c r="S1255" s="13">
        <v>3089</v>
      </c>
      <c r="U1255" s="13">
        <v>3089</v>
      </c>
      <c r="AC1255" s="10" t="s">
        <v>3002</v>
      </c>
      <c r="AD1255" s="5" t="s">
        <v>2997</v>
      </c>
      <c r="AE1255" s="5" t="s">
        <v>119</v>
      </c>
      <c r="AG1255" s="5" t="s">
        <v>2868</v>
      </c>
    </row>
    <row r="1256" spans="1:33" ht="10" customHeight="1" x14ac:dyDescent="0.2">
      <c r="A1256" s="5" t="s">
        <v>40</v>
      </c>
      <c r="B1256" s="5" t="s">
        <v>41</v>
      </c>
      <c r="D1256" s="5" t="s">
        <v>3003</v>
      </c>
      <c r="E1256" s="10" t="s">
        <v>345</v>
      </c>
      <c r="F1256" s="5" t="s">
        <v>124</v>
      </c>
      <c r="G1256" s="5" t="s">
        <v>464</v>
      </c>
      <c r="I1256" s="11">
        <v>1</v>
      </c>
      <c r="J1256" s="5" t="s">
        <v>45</v>
      </c>
      <c r="K1256" s="10" t="s">
        <v>46</v>
      </c>
      <c r="L1256" s="5" t="s">
        <v>47</v>
      </c>
      <c r="M1256" s="5" t="s">
        <v>115</v>
      </c>
      <c r="N1256" s="5" t="s">
        <v>116</v>
      </c>
      <c r="O1256" s="12"/>
      <c r="P1256" s="13">
        <v>530</v>
      </c>
      <c r="S1256" s="13">
        <v>811</v>
      </c>
      <c r="U1256" s="13">
        <v>811</v>
      </c>
      <c r="AC1256" s="10" t="s">
        <v>3004</v>
      </c>
      <c r="AD1256" s="5" t="s">
        <v>2997</v>
      </c>
      <c r="AE1256" s="5" t="s">
        <v>119</v>
      </c>
      <c r="AG1256" s="5" t="s">
        <v>2868</v>
      </c>
    </row>
    <row r="1257" spans="1:33" ht="10" customHeight="1" x14ac:dyDescent="0.2">
      <c r="A1257" s="5" t="s">
        <v>40</v>
      </c>
      <c r="B1257" s="5" t="s">
        <v>41</v>
      </c>
      <c r="D1257" s="5" t="s">
        <v>3005</v>
      </c>
      <c r="E1257" s="10" t="s">
        <v>345</v>
      </c>
      <c r="F1257" s="5" t="s">
        <v>124</v>
      </c>
      <c r="G1257" s="5" t="s">
        <v>464</v>
      </c>
      <c r="I1257" s="11">
        <v>1</v>
      </c>
      <c r="J1257" s="5" t="s">
        <v>45</v>
      </c>
      <c r="K1257" s="10" t="s">
        <v>46</v>
      </c>
      <c r="L1257" s="5" t="s">
        <v>47</v>
      </c>
      <c r="M1257" s="5" t="s">
        <v>115</v>
      </c>
      <c r="N1257" s="5" t="s">
        <v>116</v>
      </c>
      <c r="O1257" s="12"/>
      <c r="P1257" s="13">
        <v>2913</v>
      </c>
      <c r="S1257" s="13">
        <v>4458</v>
      </c>
      <c r="U1257" s="13">
        <v>4458</v>
      </c>
      <c r="AC1257" s="10" t="s">
        <v>3006</v>
      </c>
      <c r="AD1257" s="5" t="s">
        <v>2997</v>
      </c>
      <c r="AE1257" s="5" t="s">
        <v>119</v>
      </c>
      <c r="AG1257" s="5" t="s">
        <v>2868</v>
      </c>
    </row>
    <row r="1258" spans="1:33" ht="10" customHeight="1" x14ac:dyDescent="0.2">
      <c r="A1258" s="5" t="s">
        <v>40</v>
      </c>
      <c r="B1258" s="5" t="s">
        <v>41</v>
      </c>
      <c r="D1258" s="5" t="s">
        <v>3007</v>
      </c>
      <c r="E1258" s="10" t="s">
        <v>345</v>
      </c>
      <c r="F1258" s="5" t="s">
        <v>124</v>
      </c>
      <c r="G1258" s="5" t="s">
        <v>464</v>
      </c>
      <c r="I1258" s="11">
        <v>1</v>
      </c>
      <c r="J1258" s="5" t="s">
        <v>45</v>
      </c>
      <c r="K1258" s="10" t="s">
        <v>46</v>
      </c>
      <c r="L1258" s="5" t="s">
        <v>47</v>
      </c>
      <c r="M1258" s="5" t="s">
        <v>115</v>
      </c>
      <c r="N1258" s="5" t="s">
        <v>116</v>
      </c>
      <c r="O1258" s="12"/>
      <c r="P1258" s="13">
        <v>165433</v>
      </c>
      <c r="S1258" s="13">
        <v>253112</v>
      </c>
      <c r="U1258" s="13">
        <v>253112</v>
      </c>
      <c r="AC1258" s="10" t="s">
        <v>3008</v>
      </c>
      <c r="AD1258" s="5" t="s">
        <v>3009</v>
      </c>
      <c r="AE1258" s="5" t="s">
        <v>119</v>
      </c>
      <c r="AG1258" s="5" t="s">
        <v>3010</v>
      </c>
    </row>
    <row r="1259" spans="1:33" ht="10" customHeight="1" x14ac:dyDescent="0.2">
      <c r="A1259" s="5" t="s">
        <v>40</v>
      </c>
      <c r="B1259" s="5" t="s">
        <v>41</v>
      </c>
      <c r="D1259" s="5" t="s">
        <v>3011</v>
      </c>
      <c r="E1259" s="10" t="s">
        <v>345</v>
      </c>
      <c r="F1259" s="5" t="s">
        <v>124</v>
      </c>
      <c r="G1259" s="5" t="s">
        <v>464</v>
      </c>
      <c r="I1259" s="11">
        <v>1</v>
      </c>
      <c r="J1259" s="5" t="s">
        <v>45</v>
      </c>
      <c r="K1259" s="10" t="s">
        <v>46</v>
      </c>
      <c r="L1259" s="5" t="s">
        <v>47</v>
      </c>
      <c r="M1259" s="5" t="s">
        <v>115</v>
      </c>
      <c r="N1259" s="5" t="s">
        <v>116</v>
      </c>
      <c r="O1259" s="12"/>
      <c r="P1259" s="13">
        <v>1991</v>
      </c>
      <c r="S1259" s="13">
        <v>3046</v>
      </c>
      <c r="U1259" s="13">
        <v>3046</v>
      </c>
      <c r="AC1259" s="10" t="s">
        <v>3012</v>
      </c>
      <c r="AD1259" s="5" t="s">
        <v>3009</v>
      </c>
      <c r="AE1259" s="5" t="s">
        <v>119</v>
      </c>
      <c r="AG1259" s="5" t="s">
        <v>2887</v>
      </c>
    </row>
    <row r="1260" spans="1:33" ht="10" customHeight="1" x14ac:dyDescent="0.2">
      <c r="A1260" s="5" t="s">
        <v>40</v>
      </c>
      <c r="B1260" s="5" t="s">
        <v>41</v>
      </c>
      <c r="D1260" s="5" t="s">
        <v>3013</v>
      </c>
      <c r="E1260" s="10" t="s">
        <v>345</v>
      </c>
      <c r="F1260" s="5" t="s">
        <v>124</v>
      </c>
      <c r="G1260" s="5" t="s">
        <v>464</v>
      </c>
      <c r="I1260" s="11">
        <v>1</v>
      </c>
      <c r="J1260" s="5" t="s">
        <v>45</v>
      </c>
      <c r="K1260" s="10" t="s">
        <v>46</v>
      </c>
      <c r="L1260" s="5" t="s">
        <v>47</v>
      </c>
      <c r="M1260" s="5" t="s">
        <v>115</v>
      </c>
      <c r="N1260" s="5" t="s">
        <v>116</v>
      </c>
      <c r="O1260" s="12"/>
      <c r="P1260" s="13">
        <v>1873</v>
      </c>
      <c r="S1260" s="13">
        <v>2866</v>
      </c>
      <c r="U1260" s="13">
        <v>2866</v>
      </c>
      <c r="AC1260" s="10" t="s">
        <v>3014</v>
      </c>
      <c r="AD1260" s="5" t="s">
        <v>3009</v>
      </c>
      <c r="AE1260" s="5" t="s">
        <v>119</v>
      </c>
      <c r="AG1260" s="5" t="s">
        <v>2887</v>
      </c>
    </row>
    <row r="1261" spans="1:33" ht="10" customHeight="1" x14ac:dyDescent="0.2">
      <c r="A1261" s="5" t="s">
        <v>40</v>
      </c>
      <c r="B1261" s="5" t="s">
        <v>41</v>
      </c>
      <c r="D1261" s="5" t="s">
        <v>3015</v>
      </c>
      <c r="E1261" s="10" t="s">
        <v>345</v>
      </c>
      <c r="F1261" s="5" t="s">
        <v>124</v>
      </c>
      <c r="G1261" s="5" t="s">
        <v>464</v>
      </c>
      <c r="I1261" s="11">
        <v>1</v>
      </c>
      <c r="J1261" s="5" t="s">
        <v>45</v>
      </c>
      <c r="K1261" s="10" t="s">
        <v>46</v>
      </c>
      <c r="L1261" s="5" t="s">
        <v>47</v>
      </c>
      <c r="M1261" s="5" t="s">
        <v>115</v>
      </c>
      <c r="N1261" s="5" t="s">
        <v>116</v>
      </c>
      <c r="O1261" s="12"/>
      <c r="P1261" s="13">
        <v>29015</v>
      </c>
      <c r="S1261" s="13">
        <v>44393</v>
      </c>
      <c r="U1261" s="13">
        <v>44393</v>
      </c>
      <c r="AC1261" s="10" t="s">
        <v>3016</v>
      </c>
      <c r="AD1261" s="5" t="s">
        <v>3009</v>
      </c>
      <c r="AE1261" s="5" t="s">
        <v>119</v>
      </c>
      <c r="AG1261" s="5" t="s">
        <v>2887</v>
      </c>
    </row>
    <row r="1262" spans="1:33" ht="10" customHeight="1" x14ac:dyDescent="0.2">
      <c r="A1262" s="5" t="s">
        <v>40</v>
      </c>
      <c r="B1262" s="5" t="s">
        <v>41</v>
      </c>
      <c r="D1262" s="5" t="s">
        <v>3017</v>
      </c>
      <c r="E1262" s="10" t="s">
        <v>345</v>
      </c>
      <c r="F1262" s="5" t="s">
        <v>124</v>
      </c>
      <c r="G1262" s="5" t="s">
        <v>464</v>
      </c>
      <c r="I1262" s="11">
        <v>1</v>
      </c>
      <c r="J1262" s="5" t="s">
        <v>45</v>
      </c>
      <c r="K1262" s="10" t="s">
        <v>46</v>
      </c>
      <c r="L1262" s="5" t="s">
        <v>47</v>
      </c>
      <c r="M1262" s="5" t="s">
        <v>115</v>
      </c>
      <c r="N1262" s="5" t="s">
        <v>116</v>
      </c>
      <c r="O1262" s="12"/>
      <c r="P1262" s="13">
        <v>22770</v>
      </c>
      <c r="S1262" s="13">
        <v>34838</v>
      </c>
      <c r="U1262" s="13">
        <v>34838</v>
      </c>
      <c r="AC1262" s="10" t="s">
        <v>3018</v>
      </c>
      <c r="AD1262" s="5" t="s">
        <v>3009</v>
      </c>
      <c r="AE1262" s="5" t="s">
        <v>119</v>
      </c>
      <c r="AG1262" s="5" t="s">
        <v>2887</v>
      </c>
    </row>
    <row r="1263" spans="1:33" ht="10" customHeight="1" x14ac:dyDescent="0.2">
      <c r="A1263" s="5" t="s">
        <v>40</v>
      </c>
      <c r="B1263" s="5" t="s">
        <v>41</v>
      </c>
      <c r="D1263" s="5" t="s">
        <v>3019</v>
      </c>
      <c r="E1263" s="10" t="s">
        <v>345</v>
      </c>
      <c r="F1263" s="5" t="s">
        <v>124</v>
      </c>
      <c r="G1263" s="5" t="s">
        <v>464</v>
      </c>
      <c r="I1263" s="11">
        <v>1</v>
      </c>
      <c r="J1263" s="5" t="s">
        <v>45</v>
      </c>
      <c r="K1263" s="10" t="s">
        <v>46</v>
      </c>
      <c r="L1263" s="5" t="s">
        <v>47</v>
      </c>
      <c r="M1263" s="5" t="s">
        <v>115</v>
      </c>
      <c r="N1263" s="5" t="s">
        <v>116</v>
      </c>
      <c r="O1263" s="12"/>
      <c r="P1263" s="13">
        <v>83308</v>
      </c>
      <c r="S1263" s="13">
        <v>127462</v>
      </c>
      <c r="U1263" s="13">
        <v>127462</v>
      </c>
      <c r="AC1263" s="10" t="s">
        <v>3020</v>
      </c>
      <c r="AD1263" s="5" t="s">
        <v>3009</v>
      </c>
      <c r="AE1263" s="5" t="s">
        <v>119</v>
      </c>
    </row>
    <row r="1264" spans="1:33" ht="10" customHeight="1" x14ac:dyDescent="0.2">
      <c r="A1264" s="5" t="s">
        <v>40</v>
      </c>
      <c r="B1264" s="5" t="s">
        <v>41</v>
      </c>
      <c r="D1264" s="5" t="s">
        <v>3021</v>
      </c>
      <c r="E1264" s="10" t="s">
        <v>345</v>
      </c>
      <c r="F1264" s="5" t="s">
        <v>124</v>
      </c>
      <c r="G1264" s="5" t="s">
        <v>464</v>
      </c>
      <c r="I1264" s="11">
        <v>1</v>
      </c>
      <c r="J1264" s="5" t="s">
        <v>45</v>
      </c>
      <c r="K1264" s="10" t="s">
        <v>46</v>
      </c>
      <c r="L1264" s="5" t="s">
        <v>47</v>
      </c>
      <c r="M1264" s="5" t="s">
        <v>115</v>
      </c>
      <c r="N1264" s="5" t="s">
        <v>116</v>
      </c>
      <c r="O1264" s="12"/>
      <c r="P1264" s="13">
        <v>386878</v>
      </c>
      <c r="S1264" s="13">
        <v>591923</v>
      </c>
      <c r="U1264" s="13">
        <v>591923</v>
      </c>
      <c r="AC1264" s="10" t="s">
        <v>3022</v>
      </c>
      <c r="AD1264" s="5" t="s">
        <v>3023</v>
      </c>
      <c r="AE1264" s="5" t="s">
        <v>119</v>
      </c>
      <c r="AG1264" s="5" t="s">
        <v>3024</v>
      </c>
    </row>
    <row r="1265" spans="1:33" ht="10" customHeight="1" x14ac:dyDescent="0.2">
      <c r="A1265" s="5" t="s">
        <v>40</v>
      </c>
      <c r="B1265" s="5" t="s">
        <v>41</v>
      </c>
      <c r="D1265" s="5" t="s">
        <v>3025</v>
      </c>
      <c r="E1265" s="10" t="s">
        <v>345</v>
      </c>
      <c r="F1265" s="5" t="s">
        <v>124</v>
      </c>
      <c r="G1265" s="5" t="s">
        <v>464</v>
      </c>
      <c r="I1265" s="11">
        <v>1</v>
      </c>
      <c r="J1265" s="5" t="s">
        <v>45</v>
      </c>
      <c r="K1265" s="10" t="s">
        <v>46</v>
      </c>
      <c r="L1265" s="5" t="s">
        <v>47</v>
      </c>
      <c r="M1265" s="5" t="s">
        <v>115</v>
      </c>
      <c r="N1265" s="5" t="s">
        <v>116</v>
      </c>
      <c r="O1265" s="12"/>
      <c r="P1265" s="13">
        <v>21082</v>
      </c>
      <c r="S1265" s="13">
        <v>32255</v>
      </c>
      <c r="U1265" s="13">
        <v>32255</v>
      </c>
      <c r="AC1265" s="10" t="s">
        <v>3026</v>
      </c>
      <c r="AD1265" s="5" t="s">
        <v>3023</v>
      </c>
      <c r="AE1265" s="5" t="s">
        <v>119</v>
      </c>
      <c r="AG1265" s="5" t="s">
        <v>2890</v>
      </c>
    </row>
    <row r="1266" spans="1:33" ht="10" customHeight="1" x14ac:dyDescent="0.2">
      <c r="A1266" s="5" t="s">
        <v>40</v>
      </c>
      <c r="B1266" s="5" t="s">
        <v>41</v>
      </c>
      <c r="D1266" s="5" t="s">
        <v>3027</v>
      </c>
      <c r="E1266" s="10" t="s">
        <v>345</v>
      </c>
      <c r="F1266" s="5" t="s">
        <v>124</v>
      </c>
      <c r="G1266" s="5" t="s">
        <v>464</v>
      </c>
      <c r="I1266" s="11">
        <v>1</v>
      </c>
      <c r="J1266" s="5" t="s">
        <v>45</v>
      </c>
      <c r="K1266" s="10" t="s">
        <v>46</v>
      </c>
      <c r="L1266" s="5" t="s">
        <v>47</v>
      </c>
      <c r="M1266" s="5" t="s">
        <v>115</v>
      </c>
      <c r="N1266" s="5" t="s">
        <v>116</v>
      </c>
      <c r="O1266" s="12"/>
      <c r="P1266" s="13">
        <v>16556</v>
      </c>
      <c r="S1266" s="13">
        <v>25331</v>
      </c>
      <c r="U1266" s="13">
        <v>25331</v>
      </c>
      <c r="AC1266" s="10" t="s">
        <v>3028</v>
      </c>
      <c r="AD1266" s="5" t="s">
        <v>3023</v>
      </c>
      <c r="AE1266" s="5" t="s">
        <v>119</v>
      </c>
      <c r="AG1266" s="5" t="s">
        <v>2890</v>
      </c>
    </row>
    <row r="1267" spans="1:33" ht="10" customHeight="1" x14ac:dyDescent="0.2">
      <c r="A1267" s="5" t="s">
        <v>40</v>
      </c>
      <c r="B1267" s="5" t="s">
        <v>41</v>
      </c>
      <c r="D1267" s="5" t="s">
        <v>3029</v>
      </c>
      <c r="E1267" s="10" t="s">
        <v>345</v>
      </c>
      <c r="F1267" s="5" t="s">
        <v>124</v>
      </c>
      <c r="G1267" s="5" t="s">
        <v>464</v>
      </c>
      <c r="I1267" s="11">
        <v>1</v>
      </c>
      <c r="J1267" s="5" t="s">
        <v>45</v>
      </c>
      <c r="K1267" s="10" t="s">
        <v>46</v>
      </c>
      <c r="L1267" s="5" t="s">
        <v>47</v>
      </c>
      <c r="M1267" s="5" t="s">
        <v>115</v>
      </c>
      <c r="N1267" s="5" t="s">
        <v>116</v>
      </c>
      <c r="O1267" s="12"/>
      <c r="P1267" s="13">
        <v>10341</v>
      </c>
      <c r="S1267" s="13">
        <v>15822</v>
      </c>
      <c r="U1267" s="13">
        <v>15822</v>
      </c>
      <c r="AC1267" s="10" t="s">
        <v>3030</v>
      </c>
      <c r="AD1267" s="5" t="s">
        <v>3023</v>
      </c>
      <c r="AE1267" s="5" t="s">
        <v>119</v>
      </c>
      <c r="AG1267" s="5" t="s">
        <v>2890</v>
      </c>
    </row>
    <row r="1268" spans="1:33" ht="10" customHeight="1" x14ac:dyDescent="0.2">
      <c r="A1268" s="5" t="s">
        <v>40</v>
      </c>
      <c r="B1268" s="5" t="s">
        <v>41</v>
      </c>
      <c r="D1268" s="5" t="s">
        <v>3031</v>
      </c>
      <c r="E1268" s="10" t="s">
        <v>345</v>
      </c>
      <c r="F1268" s="5" t="s">
        <v>124</v>
      </c>
      <c r="G1268" s="5" t="s">
        <v>464</v>
      </c>
      <c r="I1268" s="11">
        <v>1</v>
      </c>
      <c r="J1268" s="5" t="s">
        <v>45</v>
      </c>
      <c r="K1268" s="10" t="s">
        <v>46</v>
      </c>
      <c r="L1268" s="5" t="s">
        <v>47</v>
      </c>
      <c r="M1268" s="5" t="s">
        <v>115</v>
      </c>
      <c r="N1268" s="5" t="s">
        <v>116</v>
      </c>
      <c r="O1268" s="12"/>
      <c r="P1268" s="13">
        <v>18003</v>
      </c>
      <c r="S1268" s="13">
        <v>27545</v>
      </c>
      <c r="U1268" s="13">
        <v>27545</v>
      </c>
      <c r="AC1268" s="10" t="s">
        <v>3032</v>
      </c>
      <c r="AD1268" s="5" t="s">
        <v>3023</v>
      </c>
      <c r="AE1268" s="5" t="s">
        <v>119</v>
      </c>
      <c r="AG1268" s="5" t="s">
        <v>2890</v>
      </c>
    </row>
    <row r="1269" spans="1:33" ht="10" customHeight="1" x14ac:dyDescent="0.2">
      <c r="A1269" s="5" t="s">
        <v>40</v>
      </c>
      <c r="B1269" s="5" t="s">
        <v>41</v>
      </c>
      <c r="D1269" s="5" t="s">
        <v>3033</v>
      </c>
      <c r="E1269" s="10" t="s">
        <v>345</v>
      </c>
      <c r="F1269" s="5" t="s">
        <v>124</v>
      </c>
      <c r="G1269" s="5" t="s">
        <v>464</v>
      </c>
      <c r="I1269" s="11">
        <v>1</v>
      </c>
      <c r="J1269" s="5" t="s">
        <v>45</v>
      </c>
      <c r="K1269" s="10" t="s">
        <v>46</v>
      </c>
      <c r="L1269" s="5" t="s">
        <v>47</v>
      </c>
      <c r="M1269" s="5" t="s">
        <v>115</v>
      </c>
      <c r="N1269" s="5" t="s">
        <v>116</v>
      </c>
      <c r="O1269" s="12"/>
      <c r="P1269" s="13">
        <v>111389</v>
      </c>
      <c r="S1269" s="13">
        <v>170425</v>
      </c>
      <c r="U1269" s="13">
        <v>170425</v>
      </c>
      <c r="AC1269" s="10" t="s">
        <v>3034</v>
      </c>
      <c r="AD1269" s="5" t="s">
        <v>3035</v>
      </c>
      <c r="AE1269" s="5" t="s">
        <v>119</v>
      </c>
      <c r="AG1269" s="5" t="s">
        <v>3036</v>
      </c>
    </row>
    <row r="1270" spans="1:33" ht="10" customHeight="1" x14ac:dyDescent="0.2">
      <c r="A1270" s="5" t="s">
        <v>40</v>
      </c>
      <c r="B1270" s="5" t="s">
        <v>41</v>
      </c>
      <c r="D1270" s="5" t="s">
        <v>3037</v>
      </c>
      <c r="E1270" s="10" t="s">
        <v>345</v>
      </c>
      <c r="F1270" s="5" t="s">
        <v>124</v>
      </c>
      <c r="G1270" s="5" t="s">
        <v>464</v>
      </c>
      <c r="I1270" s="11">
        <v>1</v>
      </c>
      <c r="J1270" s="5" t="s">
        <v>45</v>
      </c>
      <c r="K1270" s="10" t="s">
        <v>46</v>
      </c>
      <c r="L1270" s="5" t="s">
        <v>47</v>
      </c>
      <c r="M1270" s="5" t="s">
        <v>115</v>
      </c>
      <c r="N1270" s="5" t="s">
        <v>116</v>
      </c>
      <c r="O1270" s="12"/>
      <c r="P1270" s="13">
        <v>3591</v>
      </c>
      <c r="S1270" s="13">
        <v>5494</v>
      </c>
      <c r="U1270" s="13">
        <v>5494</v>
      </c>
      <c r="AC1270" s="10" t="s">
        <v>3038</v>
      </c>
      <c r="AD1270" s="5" t="s">
        <v>3035</v>
      </c>
      <c r="AE1270" s="5" t="s">
        <v>119</v>
      </c>
      <c r="AG1270" s="5" t="s">
        <v>2893</v>
      </c>
    </row>
    <row r="1271" spans="1:33" ht="10" customHeight="1" x14ac:dyDescent="0.2">
      <c r="A1271" s="5" t="s">
        <v>40</v>
      </c>
      <c r="B1271" s="5" t="s">
        <v>41</v>
      </c>
      <c r="D1271" s="5" t="s">
        <v>3039</v>
      </c>
      <c r="E1271" s="10" t="s">
        <v>345</v>
      </c>
      <c r="F1271" s="5" t="s">
        <v>124</v>
      </c>
      <c r="G1271" s="5" t="s">
        <v>464</v>
      </c>
      <c r="I1271" s="11">
        <v>1</v>
      </c>
      <c r="J1271" s="5" t="s">
        <v>45</v>
      </c>
      <c r="K1271" s="10" t="s">
        <v>46</v>
      </c>
      <c r="L1271" s="5" t="s">
        <v>47</v>
      </c>
      <c r="M1271" s="5" t="s">
        <v>115</v>
      </c>
      <c r="N1271" s="5" t="s">
        <v>116</v>
      </c>
      <c r="O1271" s="12"/>
      <c r="P1271" s="13">
        <v>651</v>
      </c>
      <c r="S1271" s="13">
        <v>996</v>
      </c>
      <c r="U1271" s="13">
        <v>996</v>
      </c>
      <c r="AC1271" s="10" t="s">
        <v>3040</v>
      </c>
      <c r="AD1271" s="5" t="s">
        <v>3035</v>
      </c>
      <c r="AE1271" s="5" t="s">
        <v>119</v>
      </c>
      <c r="AG1271" s="5" t="s">
        <v>2893</v>
      </c>
    </row>
    <row r="1272" spans="1:33" ht="10" customHeight="1" x14ac:dyDescent="0.2">
      <c r="A1272" s="5" t="s">
        <v>40</v>
      </c>
      <c r="B1272" s="5" t="s">
        <v>41</v>
      </c>
      <c r="D1272" s="5" t="s">
        <v>3041</v>
      </c>
      <c r="E1272" s="10" t="s">
        <v>345</v>
      </c>
      <c r="F1272" s="5" t="s">
        <v>124</v>
      </c>
      <c r="G1272" s="5" t="s">
        <v>464</v>
      </c>
      <c r="I1272" s="11">
        <v>1</v>
      </c>
      <c r="J1272" s="5" t="s">
        <v>45</v>
      </c>
      <c r="K1272" s="10" t="s">
        <v>46</v>
      </c>
      <c r="L1272" s="5" t="s">
        <v>47</v>
      </c>
      <c r="M1272" s="5" t="s">
        <v>115</v>
      </c>
      <c r="N1272" s="5" t="s">
        <v>116</v>
      </c>
      <c r="O1272" s="12"/>
      <c r="P1272" s="13">
        <v>13689</v>
      </c>
      <c r="S1272" s="13">
        <v>20944</v>
      </c>
      <c r="U1272" s="13">
        <v>20944</v>
      </c>
      <c r="AC1272" s="10" t="s">
        <v>3042</v>
      </c>
      <c r="AD1272" s="5" t="s">
        <v>3035</v>
      </c>
      <c r="AE1272" s="5" t="s">
        <v>119</v>
      </c>
      <c r="AG1272" s="5" t="s">
        <v>2893</v>
      </c>
    </row>
    <row r="1273" spans="1:33" ht="10" customHeight="1" x14ac:dyDescent="0.2">
      <c r="A1273" s="5" t="s">
        <v>40</v>
      </c>
      <c r="B1273" s="5" t="s">
        <v>41</v>
      </c>
      <c r="D1273" s="5" t="s">
        <v>3043</v>
      </c>
      <c r="E1273" s="10" t="s">
        <v>345</v>
      </c>
      <c r="F1273" s="5" t="s">
        <v>124</v>
      </c>
      <c r="G1273" s="5" t="s">
        <v>464</v>
      </c>
      <c r="I1273" s="11">
        <v>1</v>
      </c>
      <c r="J1273" s="5" t="s">
        <v>45</v>
      </c>
      <c r="K1273" s="10" t="s">
        <v>46</v>
      </c>
      <c r="L1273" s="5" t="s">
        <v>47</v>
      </c>
      <c r="M1273" s="5" t="s">
        <v>115</v>
      </c>
      <c r="N1273" s="5" t="s">
        <v>116</v>
      </c>
      <c r="O1273" s="12"/>
      <c r="P1273" s="13">
        <v>13649</v>
      </c>
      <c r="S1273" s="13">
        <v>20883</v>
      </c>
      <c r="U1273" s="13">
        <v>20883</v>
      </c>
      <c r="AC1273" s="10" t="s">
        <v>3044</v>
      </c>
      <c r="AD1273" s="5" t="s">
        <v>3035</v>
      </c>
      <c r="AE1273" s="5" t="s">
        <v>119</v>
      </c>
    </row>
    <row r="1274" spans="1:33" ht="10" customHeight="1" x14ac:dyDescent="0.2">
      <c r="A1274" s="5" t="s">
        <v>40</v>
      </c>
      <c r="B1274" s="5" t="s">
        <v>41</v>
      </c>
      <c r="D1274" s="5" t="s">
        <v>3045</v>
      </c>
      <c r="E1274" s="10" t="s">
        <v>345</v>
      </c>
      <c r="F1274" s="5" t="s">
        <v>124</v>
      </c>
      <c r="G1274" s="5" t="s">
        <v>464</v>
      </c>
      <c r="I1274" s="11">
        <v>1</v>
      </c>
      <c r="J1274" s="5" t="s">
        <v>45</v>
      </c>
      <c r="K1274" s="10" t="s">
        <v>46</v>
      </c>
      <c r="L1274" s="5" t="s">
        <v>47</v>
      </c>
      <c r="M1274" s="5" t="s">
        <v>115</v>
      </c>
      <c r="N1274" s="5" t="s">
        <v>116</v>
      </c>
      <c r="O1274" s="12"/>
      <c r="P1274" s="13">
        <v>813</v>
      </c>
      <c r="S1274" s="13">
        <v>1244</v>
      </c>
      <c r="U1274" s="13">
        <v>1244</v>
      </c>
      <c r="AC1274" s="10" t="s">
        <v>3046</v>
      </c>
      <c r="AD1274" s="5" t="s">
        <v>3035</v>
      </c>
      <c r="AE1274" s="5" t="s">
        <v>119</v>
      </c>
      <c r="AG1274" s="5" t="s">
        <v>2893</v>
      </c>
    </row>
    <row r="1275" spans="1:33" ht="10" customHeight="1" x14ac:dyDescent="0.2">
      <c r="A1275" s="5" t="s">
        <v>40</v>
      </c>
      <c r="B1275" s="5" t="s">
        <v>41</v>
      </c>
      <c r="D1275" s="5" t="s">
        <v>3047</v>
      </c>
      <c r="E1275" s="10" t="s">
        <v>345</v>
      </c>
      <c r="F1275" s="5" t="s">
        <v>124</v>
      </c>
      <c r="G1275" s="5" t="s">
        <v>464</v>
      </c>
      <c r="I1275" s="11">
        <v>1</v>
      </c>
      <c r="J1275" s="5" t="s">
        <v>45</v>
      </c>
      <c r="K1275" s="10" t="s">
        <v>46</v>
      </c>
      <c r="L1275" s="5" t="s">
        <v>47</v>
      </c>
      <c r="M1275" s="5" t="s">
        <v>115</v>
      </c>
      <c r="N1275" s="5" t="s">
        <v>116</v>
      </c>
      <c r="O1275" s="12"/>
      <c r="P1275" s="13">
        <v>43910</v>
      </c>
      <c r="S1275" s="13">
        <v>67182</v>
      </c>
      <c r="U1275" s="13">
        <v>67182</v>
      </c>
      <c r="AC1275" s="10" t="s">
        <v>3048</v>
      </c>
      <c r="AD1275" s="5" t="s">
        <v>3049</v>
      </c>
      <c r="AE1275" s="5" t="s">
        <v>119</v>
      </c>
      <c r="AG1275" s="5" t="s">
        <v>3050</v>
      </c>
    </row>
    <row r="1276" spans="1:33" ht="10" customHeight="1" x14ac:dyDescent="0.2">
      <c r="A1276" s="5" t="s">
        <v>40</v>
      </c>
      <c r="B1276" s="5" t="s">
        <v>41</v>
      </c>
      <c r="D1276" s="5" t="s">
        <v>3051</v>
      </c>
      <c r="E1276" s="10" t="s">
        <v>345</v>
      </c>
      <c r="F1276" s="5" t="s">
        <v>124</v>
      </c>
      <c r="G1276" s="5" t="s">
        <v>464</v>
      </c>
      <c r="I1276" s="11">
        <v>1</v>
      </c>
      <c r="J1276" s="5" t="s">
        <v>45</v>
      </c>
      <c r="K1276" s="10" t="s">
        <v>46</v>
      </c>
      <c r="L1276" s="5" t="s">
        <v>47</v>
      </c>
      <c r="M1276" s="5" t="s">
        <v>115</v>
      </c>
      <c r="N1276" s="5" t="s">
        <v>116</v>
      </c>
      <c r="O1276" s="12"/>
      <c r="P1276" s="13">
        <v>375</v>
      </c>
      <c r="S1276" s="13">
        <v>574</v>
      </c>
      <c r="U1276" s="13">
        <v>574</v>
      </c>
      <c r="AC1276" s="10" t="s">
        <v>3052</v>
      </c>
      <c r="AD1276" s="5" t="s">
        <v>3049</v>
      </c>
      <c r="AE1276" s="5" t="s">
        <v>119</v>
      </c>
      <c r="AG1276" s="5" t="s">
        <v>2896</v>
      </c>
    </row>
    <row r="1277" spans="1:33" ht="10" customHeight="1" x14ac:dyDescent="0.2">
      <c r="A1277" s="5" t="s">
        <v>40</v>
      </c>
      <c r="B1277" s="5" t="s">
        <v>41</v>
      </c>
      <c r="D1277" s="5" t="s">
        <v>3053</v>
      </c>
      <c r="E1277" s="10" t="s">
        <v>345</v>
      </c>
      <c r="F1277" s="5" t="s">
        <v>124</v>
      </c>
      <c r="G1277" s="5" t="s">
        <v>464</v>
      </c>
      <c r="I1277" s="11">
        <v>1</v>
      </c>
      <c r="J1277" s="5" t="s">
        <v>45</v>
      </c>
      <c r="K1277" s="10" t="s">
        <v>46</v>
      </c>
      <c r="L1277" s="5" t="s">
        <v>47</v>
      </c>
      <c r="M1277" s="5" t="s">
        <v>115</v>
      </c>
      <c r="N1277" s="5" t="s">
        <v>116</v>
      </c>
      <c r="O1277" s="12"/>
      <c r="P1277" s="13">
        <v>5306</v>
      </c>
      <c r="S1277" s="13">
        <v>8118</v>
      </c>
      <c r="U1277" s="13">
        <v>8118</v>
      </c>
      <c r="AC1277" s="10" t="s">
        <v>3054</v>
      </c>
      <c r="AD1277" s="5" t="s">
        <v>3049</v>
      </c>
      <c r="AE1277" s="5" t="s">
        <v>119</v>
      </c>
      <c r="AG1277" s="5" t="s">
        <v>2896</v>
      </c>
    </row>
    <row r="1278" spans="1:33" ht="10" customHeight="1" x14ac:dyDescent="0.2">
      <c r="A1278" s="5" t="s">
        <v>40</v>
      </c>
      <c r="B1278" s="5" t="s">
        <v>41</v>
      </c>
      <c r="D1278" s="5" t="s">
        <v>3055</v>
      </c>
      <c r="E1278" s="10" t="s">
        <v>345</v>
      </c>
      <c r="F1278" s="5" t="s">
        <v>124</v>
      </c>
      <c r="G1278" s="5" t="s">
        <v>464</v>
      </c>
      <c r="I1278" s="11">
        <v>1</v>
      </c>
      <c r="J1278" s="5" t="s">
        <v>45</v>
      </c>
      <c r="K1278" s="10" t="s">
        <v>46</v>
      </c>
      <c r="L1278" s="5" t="s">
        <v>47</v>
      </c>
      <c r="M1278" s="5" t="s">
        <v>115</v>
      </c>
      <c r="N1278" s="5" t="s">
        <v>116</v>
      </c>
      <c r="O1278" s="12"/>
      <c r="P1278" s="13">
        <v>2850</v>
      </c>
      <c r="S1278" s="13">
        <v>4361</v>
      </c>
      <c r="U1278" s="13">
        <v>4361</v>
      </c>
      <c r="AC1278" s="10" t="s">
        <v>3056</v>
      </c>
      <c r="AD1278" s="5" t="s">
        <v>3049</v>
      </c>
      <c r="AE1278" s="5" t="s">
        <v>119</v>
      </c>
      <c r="AG1278" s="5" t="s">
        <v>2896</v>
      </c>
    </row>
    <row r="1279" spans="1:33" ht="10" customHeight="1" x14ac:dyDescent="0.2">
      <c r="A1279" s="5" t="s">
        <v>40</v>
      </c>
      <c r="B1279" s="5" t="s">
        <v>41</v>
      </c>
      <c r="D1279" s="5" t="s">
        <v>3057</v>
      </c>
      <c r="E1279" s="10" t="s">
        <v>345</v>
      </c>
      <c r="F1279" s="5" t="s">
        <v>124</v>
      </c>
      <c r="G1279" s="5" t="s">
        <v>464</v>
      </c>
      <c r="I1279" s="11">
        <v>1</v>
      </c>
      <c r="J1279" s="5" t="s">
        <v>45</v>
      </c>
      <c r="K1279" s="10" t="s">
        <v>46</v>
      </c>
      <c r="L1279" s="5" t="s">
        <v>47</v>
      </c>
      <c r="M1279" s="5" t="s">
        <v>115</v>
      </c>
      <c r="N1279" s="5" t="s">
        <v>116</v>
      </c>
      <c r="O1279" s="12"/>
      <c r="P1279" s="13">
        <v>6874</v>
      </c>
      <c r="S1279" s="13">
        <v>10517</v>
      </c>
      <c r="U1279" s="13">
        <v>10517</v>
      </c>
      <c r="AC1279" s="10" t="s">
        <v>3058</v>
      </c>
      <c r="AD1279" s="5" t="s">
        <v>3049</v>
      </c>
      <c r="AE1279" s="5" t="s">
        <v>119</v>
      </c>
      <c r="AG1279" s="5" t="s">
        <v>2896</v>
      </c>
    </row>
    <row r="1280" spans="1:33" ht="10" customHeight="1" x14ac:dyDescent="0.2">
      <c r="A1280" s="5" t="s">
        <v>40</v>
      </c>
      <c r="B1280" s="5" t="s">
        <v>41</v>
      </c>
      <c r="D1280" s="5" t="s">
        <v>3059</v>
      </c>
      <c r="E1280" s="10" t="s">
        <v>345</v>
      </c>
      <c r="F1280" s="5" t="s">
        <v>124</v>
      </c>
      <c r="G1280" s="5" t="s">
        <v>464</v>
      </c>
      <c r="I1280" s="11">
        <v>1</v>
      </c>
      <c r="J1280" s="5" t="s">
        <v>45</v>
      </c>
      <c r="K1280" s="10" t="s">
        <v>46</v>
      </c>
      <c r="L1280" s="5" t="s">
        <v>47</v>
      </c>
      <c r="M1280" s="5" t="s">
        <v>115</v>
      </c>
      <c r="N1280" s="5" t="s">
        <v>116</v>
      </c>
      <c r="O1280" s="12"/>
      <c r="P1280" s="13">
        <v>10478</v>
      </c>
      <c r="S1280" s="13">
        <v>16031</v>
      </c>
      <c r="U1280" s="13">
        <v>16031</v>
      </c>
      <c r="AC1280" s="10" t="s">
        <v>3060</v>
      </c>
      <c r="AD1280" s="5" t="s">
        <v>3061</v>
      </c>
      <c r="AE1280" s="5" t="s">
        <v>119</v>
      </c>
      <c r="AG1280" s="5" t="s">
        <v>3062</v>
      </c>
    </row>
    <row r="1281" spans="1:33" ht="10" customHeight="1" x14ac:dyDescent="0.2">
      <c r="A1281" s="5" t="s">
        <v>40</v>
      </c>
      <c r="B1281" s="5" t="s">
        <v>41</v>
      </c>
      <c r="D1281" s="5" t="s">
        <v>3063</v>
      </c>
      <c r="E1281" s="10" t="s">
        <v>345</v>
      </c>
      <c r="F1281" s="5" t="s">
        <v>124</v>
      </c>
      <c r="G1281" s="5" t="s">
        <v>464</v>
      </c>
      <c r="I1281" s="11">
        <v>1</v>
      </c>
      <c r="J1281" s="5" t="s">
        <v>45</v>
      </c>
      <c r="K1281" s="10" t="s">
        <v>46</v>
      </c>
      <c r="L1281" s="5" t="s">
        <v>47</v>
      </c>
      <c r="M1281" s="5" t="s">
        <v>115</v>
      </c>
      <c r="N1281" s="5" t="s">
        <v>116</v>
      </c>
      <c r="O1281" s="12"/>
      <c r="P1281" s="13">
        <v>2214</v>
      </c>
      <c r="S1281" s="13">
        <v>3387</v>
      </c>
      <c r="U1281" s="13">
        <v>3387</v>
      </c>
      <c r="AC1281" s="10" t="s">
        <v>3064</v>
      </c>
      <c r="AD1281" s="5" t="s">
        <v>3061</v>
      </c>
      <c r="AE1281" s="5" t="s">
        <v>119</v>
      </c>
      <c r="AG1281" s="5" t="s">
        <v>2899</v>
      </c>
    </row>
    <row r="1282" spans="1:33" ht="10" customHeight="1" x14ac:dyDescent="0.2">
      <c r="A1282" s="5" t="s">
        <v>40</v>
      </c>
      <c r="B1282" s="5" t="s">
        <v>41</v>
      </c>
      <c r="D1282" s="5" t="s">
        <v>3065</v>
      </c>
      <c r="E1282" s="10" t="s">
        <v>345</v>
      </c>
      <c r="F1282" s="5" t="s">
        <v>124</v>
      </c>
      <c r="G1282" s="5" t="s">
        <v>464</v>
      </c>
      <c r="I1282" s="11">
        <v>1</v>
      </c>
      <c r="J1282" s="5" t="s">
        <v>45</v>
      </c>
      <c r="K1282" s="10" t="s">
        <v>46</v>
      </c>
      <c r="L1282" s="5" t="s">
        <v>47</v>
      </c>
      <c r="M1282" s="5" t="s">
        <v>115</v>
      </c>
      <c r="N1282" s="5" t="s">
        <v>116</v>
      </c>
      <c r="O1282" s="12"/>
      <c r="P1282" s="13">
        <v>6322</v>
      </c>
      <c r="S1282" s="13">
        <v>9673</v>
      </c>
      <c r="U1282" s="13">
        <v>9673</v>
      </c>
      <c r="AC1282" s="10" t="s">
        <v>3066</v>
      </c>
      <c r="AD1282" s="5" t="s">
        <v>3061</v>
      </c>
      <c r="AE1282" s="5" t="s">
        <v>119</v>
      </c>
      <c r="AG1282" s="5" t="s">
        <v>2899</v>
      </c>
    </row>
    <row r="1283" spans="1:33" ht="10" customHeight="1" x14ac:dyDescent="0.2">
      <c r="A1283" s="5" t="s">
        <v>40</v>
      </c>
      <c r="B1283" s="5" t="s">
        <v>41</v>
      </c>
      <c r="D1283" s="5" t="s">
        <v>3067</v>
      </c>
      <c r="E1283" s="10" t="s">
        <v>345</v>
      </c>
      <c r="F1283" s="5" t="s">
        <v>124</v>
      </c>
      <c r="G1283" s="5" t="s">
        <v>464</v>
      </c>
      <c r="I1283" s="11">
        <v>1</v>
      </c>
      <c r="J1283" s="5" t="s">
        <v>45</v>
      </c>
      <c r="K1283" s="10" t="s">
        <v>46</v>
      </c>
      <c r="L1283" s="5" t="s">
        <v>47</v>
      </c>
      <c r="M1283" s="5" t="s">
        <v>115</v>
      </c>
      <c r="N1283" s="5" t="s">
        <v>116</v>
      </c>
      <c r="O1283" s="12"/>
      <c r="P1283" s="13">
        <v>5650</v>
      </c>
      <c r="S1283" s="13">
        <v>8645</v>
      </c>
      <c r="U1283" s="13">
        <v>8645</v>
      </c>
      <c r="AC1283" s="10" t="s">
        <v>3068</v>
      </c>
      <c r="AD1283" s="5" t="s">
        <v>3061</v>
      </c>
      <c r="AE1283" s="5" t="s">
        <v>119</v>
      </c>
      <c r="AG1283" s="5" t="s">
        <v>2899</v>
      </c>
    </row>
    <row r="1284" spans="1:33" ht="10" customHeight="1" x14ac:dyDescent="0.2">
      <c r="A1284" s="5" t="s">
        <v>40</v>
      </c>
      <c r="B1284" s="5" t="s">
        <v>41</v>
      </c>
      <c r="D1284" s="5" t="s">
        <v>3069</v>
      </c>
      <c r="E1284" s="10" t="s">
        <v>345</v>
      </c>
      <c r="F1284" s="5" t="s">
        <v>124</v>
      </c>
      <c r="G1284" s="5" t="s">
        <v>464</v>
      </c>
      <c r="I1284" s="11">
        <v>1</v>
      </c>
      <c r="J1284" s="5" t="s">
        <v>45</v>
      </c>
      <c r="K1284" s="10" t="s">
        <v>46</v>
      </c>
      <c r="L1284" s="5" t="s">
        <v>47</v>
      </c>
      <c r="M1284" s="5" t="s">
        <v>115</v>
      </c>
      <c r="N1284" s="5" t="s">
        <v>116</v>
      </c>
      <c r="O1284" s="12"/>
      <c r="P1284" s="13">
        <v>8671</v>
      </c>
      <c r="S1284" s="13">
        <v>13267</v>
      </c>
      <c r="U1284" s="13">
        <v>13267</v>
      </c>
      <c r="AC1284" s="10" t="s">
        <v>3070</v>
      </c>
      <c r="AD1284" s="5" t="s">
        <v>3061</v>
      </c>
      <c r="AE1284" s="5" t="s">
        <v>119</v>
      </c>
      <c r="AG1284" s="5" t="s">
        <v>2899</v>
      </c>
    </row>
    <row r="1285" spans="1:33" ht="10" customHeight="1" x14ac:dyDescent="0.2">
      <c r="A1285" s="5" t="s">
        <v>40</v>
      </c>
      <c r="B1285" s="5" t="s">
        <v>41</v>
      </c>
      <c r="D1285" s="5" t="s">
        <v>3071</v>
      </c>
      <c r="E1285" s="10" t="s">
        <v>345</v>
      </c>
      <c r="F1285" s="5" t="s">
        <v>124</v>
      </c>
      <c r="G1285" s="5" t="s">
        <v>464</v>
      </c>
      <c r="I1285" s="11">
        <v>1</v>
      </c>
      <c r="J1285" s="5" t="s">
        <v>45</v>
      </c>
      <c r="K1285" s="10" t="s">
        <v>46</v>
      </c>
      <c r="L1285" s="5" t="s">
        <v>47</v>
      </c>
      <c r="M1285" s="5" t="s">
        <v>115</v>
      </c>
      <c r="N1285" s="5" t="s">
        <v>116</v>
      </c>
      <c r="O1285" s="12"/>
      <c r="P1285" s="13">
        <v>15050</v>
      </c>
      <c r="S1285" s="13">
        <v>23027</v>
      </c>
      <c r="U1285" s="13">
        <v>23027</v>
      </c>
      <c r="AC1285" s="10" t="s">
        <v>3072</v>
      </c>
      <c r="AD1285" s="5" t="s">
        <v>3073</v>
      </c>
      <c r="AE1285" s="5" t="s">
        <v>119</v>
      </c>
    </row>
    <row r="1286" spans="1:33" ht="10" customHeight="1" x14ac:dyDescent="0.2">
      <c r="A1286" s="5" t="s">
        <v>40</v>
      </c>
      <c r="B1286" s="5" t="s">
        <v>41</v>
      </c>
      <c r="D1286" s="5" t="s">
        <v>3074</v>
      </c>
      <c r="E1286" s="10" t="s">
        <v>345</v>
      </c>
      <c r="F1286" s="5" t="s">
        <v>124</v>
      </c>
      <c r="G1286" s="5" t="s">
        <v>464</v>
      </c>
      <c r="I1286" s="11">
        <v>1</v>
      </c>
      <c r="J1286" s="5" t="s">
        <v>45</v>
      </c>
      <c r="K1286" s="10" t="s">
        <v>46</v>
      </c>
      <c r="L1286" s="5" t="s">
        <v>47</v>
      </c>
      <c r="M1286" s="5" t="s">
        <v>115</v>
      </c>
      <c r="N1286" s="5" t="s">
        <v>116</v>
      </c>
      <c r="O1286" s="12"/>
      <c r="P1286" s="13">
        <v>966</v>
      </c>
      <c r="S1286" s="13">
        <v>1478</v>
      </c>
      <c r="U1286" s="13">
        <v>1478</v>
      </c>
      <c r="AC1286" s="10" t="s">
        <v>3075</v>
      </c>
      <c r="AD1286" s="5" t="s">
        <v>3073</v>
      </c>
      <c r="AE1286" s="5" t="s">
        <v>119</v>
      </c>
      <c r="AG1286" s="5" t="s">
        <v>2902</v>
      </c>
    </row>
    <row r="1287" spans="1:33" ht="10" customHeight="1" x14ac:dyDescent="0.2">
      <c r="A1287" s="5" t="s">
        <v>40</v>
      </c>
      <c r="B1287" s="5" t="s">
        <v>41</v>
      </c>
      <c r="D1287" s="5" t="s">
        <v>3076</v>
      </c>
      <c r="E1287" s="10" t="s">
        <v>345</v>
      </c>
      <c r="F1287" s="5" t="s">
        <v>124</v>
      </c>
      <c r="G1287" s="5" t="s">
        <v>464</v>
      </c>
      <c r="I1287" s="11">
        <v>1</v>
      </c>
      <c r="J1287" s="5" t="s">
        <v>45</v>
      </c>
      <c r="K1287" s="10" t="s">
        <v>46</v>
      </c>
      <c r="L1287" s="5" t="s">
        <v>47</v>
      </c>
      <c r="M1287" s="5" t="s">
        <v>115</v>
      </c>
      <c r="N1287" s="5" t="s">
        <v>116</v>
      </c>
      <c r="O1287" s="12"/>
      <c r="P1287" s="13">
        <v>1160</v>
      </c>
      <c r="S1287" s="13">
        <v>1775</v>
      </c>
      <c r="U1287" s="13">
        <v>1775</v>
      </c>
      <c r="AC1287" s="10" t="s">
        <v>3077</v>
      </c>
      <c r="AD1287" s="5" t="s">
        <v>3073</v>
      </c>
      <c r="AE1287" s="5" t="s">
        <v>119</v>
      </c>
      <c r="AG1287" s="5" t="s">
        <v>2902</v>
      </c>
    </row>
    <row r="1288" spans="1:33" ht="10" customHeight="1" x14ac:dyDescent="0.2">
      <c r="A1288" s="5" t="s">
        <v>40</v>
      </c>
      <c r="B1288" s="5" t="s">
        <v>41</v>
      </c>
      <c r="D1288" s="5" t="s">
        <v>3078</v>
      </c>
      <c r="E1288" s="10" t="s">
        <v>345</v>
      </c>
      <c r="F1288" s="5" t="s">
        <v>124</v>
      </c>
      <c r="G1288" s="5" t="s">
        <v>464</v>
      </c>
      <c r="I1288" s="11">
        <v>1</v>
      </c>
      <c r="J1288" s="5" t="s">
        <v>45</v>
      </c>
      <c r="K1288" s="10" t="s">
        <v>46</v>
      </c>
      <c r="L1288" s="5" t="s">
        <v>47</v>
      </c>
      <c r="M1288" s="5" t="s">
        <v>115</v>
      </c>
      <c r="N1288" s="5" t="s">
        <v>116</v>
      </c>
      <c r="O1288" s="12"/>
      <c r="P1288" s="13">
        <v>1861</v>
      </c>
      <c r="S1288" s="13">
        <v>2847</v>
      </c>
      <c r="U1288" s="13">
        <v>2847</v>
      </c>
      <c r="AC1288" s="10" t="s">
        <v>3079</v>
      </c>
      <c r="AD1288" s="5" t="s">
        <v>3073</v>
      </c>
      <c r="AE1288" s="5" t="s">
        <v>119</v>
      </c>
      <c r="AG1288" s="5" t="s">
        <v>2902</v>
      </c>
    </row>
    <row r="1289" spans="1:33" ht="10" customHeight="1" x14ac:dyDescent="0.2">
      <c r="A1289" s="5" t="s">
        <v>40</v>
      </c>
      <c r="B1289" s="5" t="s">
        <v>41</v>
      </c>
      <c r="D1289" s="5" t="s">
        <v>3080</v>
      </c>
      <c r="E1289" s="10" t="s">
        <v>345</v>
      </c>
      <c r="F1289" s="5" t="s">
        <v>124</v>
      </c>
      <c r="G1289" s="5" t="s">
        <v>464</v>
      </c>
      <c r="I1289" s="11">
        <v>1</v>
      </c>
      <c r="J1289" s="5" t="s">
        <v>45</v>
      </c>
      <c r="K1289" s="10" t="s">
        <v>46</v>
      </c>
      <c r="L1289" s="5" t="s">
        <v>47</v>
      </c>
      <c r="M1289" s="5" t="s">
        <v>115</v>
      </c>
      <c r="N1289" s="5" t="s">
        <v>116</v>
      </c>
      <c r="O1289" s="12"/>
      <c r="P1289" s="13">
        <v>18203</v>
      </c>
      <c r="S1289" s="13">
        <v>27851</v>
      </c>
      <c r="U1289" s="13">
        <v>27851</v>
      </c>
      <c r="AC1289" s="10" t="s">
        <v>3081</v>
      </c>
      <c r="AD1289" s="5" t="s">
        <v>3082</v>
      </c>
      <c r="AE1289" s="5" t="s">
        <v>119</v>
      </c>
      <c r="AG1289" s="5" t="s">
        <v>3083</v>
      </c>
    </row>
    <row r="1290" spans="1:33" ht="10" customHeight="1" x14ac:dyDescent="0.2">
      <c r="A1290" s="5" t="s">
        <v>40</v>
      </c>
      <c r="B1290" s="5" t="s">
        <v>41</v>
      </c>
      <c r="D1290" s="5" t="s">
        <v>3084</v>
      </c>
      <c r="E1290" s="10" t="s">
        <v>345</v>
      </c>
      <c r="F1290" s="5" t="s">
        <v>124</v>
      </c>
      <c r="G1290" s="5" t="s">
        <v>464</v>
      </c>
      <c r="I1290" s="11">
        <v>1</v>
      </c>
      <c r="J1290" s="5" t="s">
        <v>45</v>
      </c>
      <c r="K1290" s="10" t="s">
        <v>46</v>
      </c>
      <c r="L1290" s="5" t="s">
        <v>47</v>
      </c>
      <c r="M1290" s="5" t="s">
        <v>115</v>
      </c>
      <c r="N1290" s="5" t="s">
        <v>116</v>
      </c>
      <c r="O1290" s="12"/>
      <c r="P1290" s="13">
        <v>240</v>
      </c>
      <c r="S1290" s="13">
        <v>367</v>
      </c>
      <c r="U1290" s="13">
        <v>367</v>
      </c>
      <c r="AC1290" s="10" t="s">
        <v>3085</v>
      </c>
      <c r="AD1290" s="5" t="s">
        <v>3082</v>
      </c>
      <c r="AE1290" s="5" t="s">
        <v>119</v>
      </c>
      <c r="AG1290" s="5" t="s">
        <v>2905</v>
      </c>
    </row>
    <row r="1291" spans="1:33" ht="10" customHeight="1" x14ac:dyDescent="0.2">
      <c r="A1291" s="5" t="s">
        <v>40</v>
      </c>
      <c r="B1291" s="5" t="s">
        <v>41</v>
      </c>
      <c r="D1291" s="5" t="s">
        <v>3086</v>
      </c>
      <c r="E1291" s="10" t="s">
        <v>345</v>
      </c>
      <c r="F1291" s="5" t="s">
        <v>124</v>
      </c>
      <c r="G1291" s="5" t="s">
        <v>464</v>
      </c>
      <c r="I1291" s="11">
        <v>1</v>
      </c>
      <c r="J1291" s="5" t="s">
        <v>45</v>
      </c>
      <c r="K1291" s="10" t="s">
        <v>46</v>
      </c>
      <c r="L1291" s="5" t="s">
        <v>47</v>
      </c>
      <c r="M1291" s="5" t="s">
        <v>115</v>
      </c>
      <c r="N1291" s="5" t="s">
        <v>116</v>
      </c>
      <c r="O1291" s="12"/>
      <c r="P1291" s="13">
        <v>949</v>
      </c>
      <c r="S1291" s="13">
        <v>1452</v>
      </c>
      <c r="U1291" s="13">
        <v>1452</v>
      </c>
      <c r="AC1291" s="10" t="s">
        <v>3087</v>
      </c>
      <c r="AD1291" s="5" t="s">
        <v>3082</v>
      </c>
      <c r="AE1291" s="5" t="s">
        <v>119</v>
      </c>
      <c r="AG1291" s="5" t="s">
        <v>2905</v>
      </c>
    </row>
    <row r="1292" spans="1:33" ht="10" customHeight="1" x14ac:dyDescent="0.2">
      <c r="A1292" s="5" t="s">
        <v>40</v>
      </c>
      <c r="B1292" s="5" t="s">
        <v>41</v>
      </c>
      <c r="D1292" s="5" t="s">
        <v>3088</v>
      </c>
      <c r="E1292" s="10" t="s">
        <v>345</v>
      </c>
      <c r="F1292" s="5" t="s">
        <v>124</v>
      </c>
      <c r="G1292" s="5" t="s">
        <v>464</v>
      </c>
      <c r="I1292" s="11">
        <v>1</v>
      </c>
      <c r="J1292" s="5" t="s">
        <v>45</v>
      </c>
      <c r="K1292" s="10" t="s">
        <v>46</v>
      </c>
      <c r="L1292" s="5" t="s">
        <v>47</v>
      </c>
      <c r="M1292" s="5" t="s">
        <v>115</v>
      </c>
      <c r="N1292" s="5" t="s">
        <v>116</v>
      </c>
      <c r="O1292" s="12"/>
      <c r="P1292" s="13">
        <v>1009</v>
      </c>
      <c r="S1292" s="13">
        <v>1544</v>
      </c>
      <c r="U1292" s="13">
        <v>1544</v>
      </c>
      <c r="AC1292" s="10" t="s">
        <v>3089</v>
      </c>
      <c r="AD1292" s="5" t="s">
        <v>3082</v>
      </c>
      <c r="AE1292" s="5" t="s">
        <v>119</v>
      </c>
      <c r="AG1292" s="5" t="s">
        <v>2905</v>
      </c>
    </row>
    <row r="1293" spans="1:33" ht="10" customHeight="1" x14ac:dyDescent="0.2">
      <c r="A1293" s="5" t="s">
        <v>40</v>
      </c>
      <c r="B1293" s="5" t="s">
        <v>41</v>
      </c>
      <c r="D1293" s="5" t="s">
        <v>3090</v>
      </c>
      <c r="E1293" s="10" t="s">
        <v>345</v>
      </c>
      <c r="F1293" s="5" t="s">
        <v>124</v>
      </c>
      <c r="G1293" s="5" t="s">
        <v>464</v>
      </c>
      <c r="I1293" s="11">
        <v>1</v>
      </c>
      <c r="J1293" s="5" t="s">
        <v>45</v>
      </c>
      <c r="K1293" s="10" t="s">
        <v>46</v>
      </c>
      <c r="L1293" s="5" t="s">
        <v>47</v>
      </c>
      <c r="M1293" s="5" t="s">
        <v>115</v>
      </c>
      <c r="N1293" s="5" t="s">
        <v>116</v>
      </c>
      <c r="O1293" s="12"/>
      <c r="P1293" s="13">
        <v>1117</v>
      </c>
      <c r="S1293" s="13">
        <v>1709</v>
      </c>
      <c r="U1293" s="13">
        <v>1709</v>
      </c>
      <c r="AC1293" s="10" t="s">
        <v>3091</v>
      </c>
      <c r="AD1293" s="5" t="s">
        <v>3082</v>
      </c>
      <c r="AE1293" s="5" t="s">
        <v>119</v>
      </c>
      <c r="AG1293" s="5" t="s">
        <v>2905</v>
      </c>
    </row>
    <row r="1294" spans="1:33" ht="10" customHeight="1" x14ac:dyDescent="0.2">
      <c r="A1294" s="5" t="s">
        <v>40</v>
      </c>
      <c r="B1294" s="5" t="s">
        <v>41</v>
      </c>
      <c r="D1294" s="5" t="s">
        <v>3092</v>
      </c>
      <c r="E1294" s="10" t="s">
        <v>345</v>
      </c>
      <c r="F1294" s="5" t="s">
        <v>124</v>
      </c>
      <c r="G1294" s="5" t="s">
        <v>464</v>
      </c>
      <c r="I1294" s="11">
        <v>1</v>
      </c>
      <c r="J1294" s="5" t="s">
        <v>45</v>
      </c>
      <c r="K1294" s="10" t="s">
        <v>46</v>
      </c>
      <c r="L1294" s="5" t="s">
        <v>47</v>
      </c>
      <c r="M1294" s="5" t="s">
        <v>115</v>
      </c>
      <c r="N1294" s="5" t="s">
        <v>116</v>
      </c>
      <c r="O1294" s="12"/>
      <c r="P1294" s="13">
        <v>12454</v>
      </c>
      <c r="S1294" s="13">
        <v>19055</v>
      </c>
      <c r="U1294" s="13">
        <v>19055</v>
      </c>
      <c r="AC1294" s="10" t="s">
        <v>3093</v>
      </c>
      <c r="AD1294" s="5" t="s">
        <v>3094</v>
      </c>
      <c r="AE1294" s="5" t="s">
        <v>119</v>
      </c>
    </row>
    <row r="1295" spans="1:33" ht="10" customHeight="1" x14ac:dyDescent="0.2">
      <c r="A1295" s="5" t="s">
        <v>40</v>
      </c>
      <c r="B1295" s="5" t="s">
        <v>41</v>
      </c>
      <c r="D1295" s="5" t="s">
        <v>3095</v>
      </c>
      <c r="E1295" s="10" t="s">
        <v>345</v>
      </c>
      <c r="F1295" s="5" t="s">
        <v>124</v>
      </c>
      <c r="G1295" s="5" t="s">
        <v>464</v>
      </c>
      <c r="I1295" s="11">
        <v>1</v>
      </c>
      <c r="J1295" s="5" t="s">
        <v>45</v>
      </c>
      <c r="K1295" s="10" t="s">
        <v>46</v>
      </c>
      <c r="L1295" s="5" t="s">
        <v>47</v>
      </c>
      <c r="M1295" s="5" t="s">
        <v>115</v>
      </c>
      <c r="N1295" s="5" t="s">
        <v>116</v>
      </c>
      <c r="O1295" s="12"/>
      <c r="P1295" s="13">
        <v>202</v>
      </c>
      <c r="S1295" s="13">
        <v>309</v>
      </c>
      <c r="U1295" s="13">
        <v>309</v>
      </c>
      <c r="AC1295" s="10" t="s">
        <v>3096</v>
      </c>
      <c r="AD1295" s="5" t="s">
        <v>3094</v>
      </c>
      <c r="AE1295" s="5" t="s">
        <v>119</v>
      </c>
      <c r="AG1295" s="5" t="s">
        <v>2908</v>
      </c>
    </row>
    <row r="1296" spans="1:33" ht="10" customHeight="1" x14ac:dyDescent="0.2">
      <c r="A1296" s="5" t="s">
        <v>40</v>
      </c>
      <c r="B1296" s="5" t="s">
        <v>41</v>
      </c>
      <c r="D1296" s="5" t="s">
        <v>3097</v>
      </c>
      <c r="E1296" s="10" t="s">
        <v>345</v>
      </c>
      <c r="F1296" s="5" t="s">
        <v>124</v>
      </c>
      <c r="G1296" s="5" t="s">
        <v>464</v>
      </c>
      <c r="I1296" s="11">
        <v>1</v>
      </c>
      <c r="J1296" s="5" t="s">
        <v>45</v>
      </c>
      <c r="K1296" s="10" t="s">
        <v>46</v>
      </c>
      <c r="L1296" s="5" t="s">
        <v>47</v>
      </c>
      <c r="M1296" s="5" t="s">
        <v>115</v>
      </c>
      <c r="N1296" s="5" t="s">
        <v>116</v>
      </c>
      <c r="O1296" s="12"/>
      <c r="P1296" s="13">
        <v>1244</v>
      </c>
      <c r="S1296" s="13">
        <v>1903</v>
      </c>
      <c r="U1296" s="13">
        <v>1903</v>
      </c>
      <c r="AC1296" s="10" t="s">
        <v>3098</v>
      </c>
      <c r="AD1296" s="5" t="s">
        <v>3094</v>
      </c>
      <c r="AE1296" s="5" t="s">
        <v>119</v>
      </c>
      <c r="AG1296" s="5" t="s">
        <v>2908</v>
      </c>
    </row>
    <row r="1297" spans="1:33" ht="10" customHeight="1" x14ac:dyDescent="0.2">
      <c r="A1297" s="5" t="s">
        <v>40</v>
      </c>
      <c r="B1297" s="5" t="s">
        <v>41</v>
      </c>
      <c r="D1297" s="5" t="s">
        <v>3099</v>
      </c>
      <c r="E1297" s="10" t="s">
        <v>345</v>
      </c>
      <c r="F1297" s="5" t="s">
        <v>124</v>
      </c>
      <c r="G1297" s="5" t="s">
        <v>464</v>
      </c>
      <c r="I1297" s="11">
        <v>1</v>
      </c>
      <c r="J1297" s="5" t="s">
        <v>45</v>
      </c>
      <c r="K1297" s="10" t="s">
        <v>46</v>
      </c>
      <c r="L1297" s="5" t="s">
        <v>47</v>
      </c>
      <c r="M1297" s="5" t="s">
        <v>115</v>
      </c>
      <c r="N1297" s="5" t="s">
        <v>116</v>
      </c>
      <c r="O1297" s="12"/>
      <c r="P1297" s="13">
        <v>143</v>
      </c>
      <c r="S1297" s="13">
        <v>219</v>
      </c>
      <c r="U1297" s="13">
        <v>219</v>
      </c>
      <c r="AC1297" s="10" t="s">
        <v>3100</v>
      </c>
      <c r="AD1297" s="5" t="s">
        <v>3094</v>
      </c>
      <c r="AE1297" s="5" t="s">
        <v>119</v>
      </c>
      <c r="AG1297" s="5" t="s">
        <v>2908</v>
      </c>
    </row>
    <row r="1298" spans="1:33" ht="10" customHeight="1" x14ac:dyDescent="0.2">
      <c r="A1298" s="5" t="s">
        <v>40</v>
      </c>
      <c r="B1298" s="5" t="s">
        <v>41</v>
      </c>
      <c r="D1298" s="5" t="s">
        <v>3101</v>
      </c>
      <c r="E1298" s="10" t="s">
        <v>345</v>
      </c>
      <c r="F1298" s="5" t="s">
        <v>124</v>
      </c>
      <c r="G1298" s="5" t="s">
        <v>464</v>
      </c>
      <c r="I1298" s="11">
        <v>1</v>
      </c>
      <c r="J1298" s="5" t="s">
        <v>45</v>
      </c>
      <c r="K1298" s="10" t="s">
        <v>46</v>
      </c>
      <c r="L1298" s="5" t="s">
        <v>47</v>
      </c>
      <c r="M1298" s="5" t="s">
        <v>115</v>
      </c>
      <c r="N1298" s="5" t="s">
        <v>116</v>
      </c>
      <c r="O1298" s="12"/>
      <c r="P1298" s="13">
        <v>1010</v>
      </c>
      <c r="S1298" s="13">
        <v>1545</v>
      </c>
      <c r="U1298" s="13">
        <v>1545</v>
      </c>
      <c r="AC1298" s="10" t="s">
        <v>3102</v>
      </c>
      <c r="AD1298" s="5" t="s">
        <v>3094</v>
      </c>
      <c r="AE1298" s="5" t="s">
        <v>119</v>
      </c>
      <c r="AG1298" s="5" t="s">
        <v>2908</v>
      </c>
    </row>
    <row r="1299" spans="1:33" ht="10" customHeight="1" x14ac:dyDescent="0.2">
      <c r="A1299" s="5" t="s">
        <v>40</v>
      </c>
      <c r="B1299" s="5" t="s">
        <v>41</v>
      </c>
      <c r="D1299" s="5" t="s">
        <v>3103</v>
      </c>
      <c r="E1299" s="10" t="s">
        <v>53</v>
      </c>
      <c r="F1299" s="5" t="s">
        <v>3104</v>
      </c>
      <c r="I1299" s="11">
        <v>1</v>
      </c>
      <c r="J1299" s="5" t="s">
        <v>60</v>
      </c>
      <c r="K1299" s="10" t="s">
        <v>46</v>
      </c>
      <c r="L1299" s="5" t="s">
        <v>47</v>
      </c>
      <c r="M1299" s="5" t="s">
        <v>115</v>
      </c>
      <c r="N1299" s="5" t="s">
        <v>116</v>
      </c>
      <c r="O1299" s="12"/>
      <c r="P1299" s="13">
        <v>0</v>
      </c>
      <c r="AC1299" s="10" t="s">
        <v>3105</v>
      </c>
      <c r="AD1299" s="5" t="s">
        <v>132</v>
      </c>
      <c r="AE1299" s="5" t="s">
        <v>119</v>
      </c>
      <c r="AG1299" s="5" t="s">
        <v>3106</v>
      </c>
    </row>
    <row r="1300" spans="1:33" ht="10" customHeight="1" x14ac:dyDescent="0.2">
      <c r="A1300" s="5" t="s">
        <v>40</v>
      </c>
      <c r="B1300" s="5" t="s">
        <v>41</v>
      </c>
      <c r="D1300" s="5" t="s">
        <v>3107</v>
      </c>
      <c r="E1300" s="10" t="s">
        <v>53</v>
      </c>
      <c r="F1300" s="5" t="s">
        <v>3104</v>
      </c>
      <c r="I1300" s="11">
        <v>1</v>
      </c>
      <c r="J1300" s="5" t="s">
        <v>60</v>
      </c>
      <c r="K1300" s="10" t="s">
        <v>46</v>
      </c>
      <c r="L1300" s="5" t="s">
        <v>47</v>
      </c>
      <c r="M1300" s="5" t="s">
        <v>115</v>
      </c>
      <c r="N1300" s="5" t="s">
        <v>116</v>
      </c>
      <c r="O1300" s="12"/>
      <c r="P1300" s="13">
        <v>0</v>
      </c>
      <c r="AC1300" s="10" t="s">
        <v>3108</v>
      </c>
      <c r="AD1300" s="5" t="s">
        <v>132</v>
      </c>
      <c r="AE1300" s="5" t="s">
        <v>119</v>
      </c>
      <c r="AG1300" s="5" t="s">
        <v>3109</v>
      </c>
    </row>
    <row r="1301" spans="1:33" ht="10" customHeight="1" x14ac:dyDescent="0.2">
      <c r="A1301" s="5" t="s">
        <v>40</v>
      </c>
      <c r="B1301" s="5" t="s">
        <v>41</v>
      </c>
      <c r="D1301" s="5" t="s">
        <v>3110</v>
      </c>
      <c r="E1301" s="10" t="s">
        <v>53</v>
      </c>
      <c r="F1301" s="5" t="s">
        <v>3104</v>
      </c>
      <c r="I1301" s="11">
        <v>1</v>
      </c>
      <c r="J1301" s="5" t="s">
        <v>60</v>
      </c>
      <c r="K1301" s="10" t="s">
        <v>46</v>
      </c>
      <c r="L1301" s="5" t="s">
        <v>47</v>
      </c>
      <c r="M1301" s="5" t="s">
        <v>115</v>
      </c>
      <c r="N1301" s="5" t="s">
        <v>116</v>
      </c>
      <c r="O1301" s="12"/>
      <c r="P1301" s="13">
        <v>1433048</v>
      </c>
      <c r="S1301" s="13">
        <v>0</v>
      </c>
      <c r="U1301" s="13">
        <v>0</v>
      </c>
      <c r="AC1301" s="10" t="s">
        <v>3111</v>
      </c>
      <c r="AD1301" s="5" t="s">
        <v>132</v>
      </c>
      <c r="AE1301" s="5" t="s">
        <v>119</v>
      </c>
      <c r="AG1301" s="5" t="s">
        <v>3112</v>
      </c>
    </row>
    <row r="1302" spans="1:33" ht="10" customHeight="1" x14ac:dyDescent="0.2">
      <c r="A1302" s="5" t="s">
        <v>40</v>
      </c>
      <c r="B1302" s="5" t="s">
        <v>41</v>
      </c>
      <c r="D1302" s="5" t="s">
        <v>3113</v>
      </c>
      <c r="E1302" s="10" t="s">
        <v>53</v>
      </c>
      <c r="F1302" s="5" t="s">
        <v>3104</v>
      </c>
      <c r="I1302" s="11">
        <v>1</v>
      </c>
      <c r="J1302" s="5" t="s">
        <v>60</v>
      </c>
      <c r="K1302" s="10" t="s">
        <v>46</v>
      </c>
      <c r="L1302" s="5" t="s">
        <v>47</v>
      </c>
      <c r="M1302" s="5" t="s">
        <v>115</v>
      </c>
      <c r="N1302" s="5" t="s">
        <v>116</v>
      </c>
      <c r="O1302" s="12"/>
      <c r="P1302" s="13">
        <v>75743</v>
      </c>
      <c r="Q1302" s="13">
        <v>41500</v>
      </c>
      <c r="S1302" s="13">
        <v>0</v>
      </c>
      <c r="U1302" s="13">
        <v>0</v>
      </c>
      <c r="AC1302" s="10" t="s">
        <v>3114</v>
      </c>
      <c r="AD1302" s="5" t="s">
        <v>132</v>
      </c>
      <c r="AE1302" s="5" t="s">
        <v>119</v>
      </c>
      <c r="AG1302" s="5" t="s">
        <v>3115</v>
      </c>
    </row>
    <row r="1303" spans="1:33" ht="10" customHeight="1" x14ac:dyDescent="0.2">
      <c r="A1303" s="5" t="s">
        <v>40</v>
      </c>
      <c r="B1303" s="5" t="s">
        <v>41</v>
      </c>
      <c r="D1303" s="5" t="s">
        <v>3116</v>
      </c>
      <c r="E1303" s="10" t="s">
        <v>53</v>
      </c>
      <c r="F1303" s="5" t="s">
        <v>3104</v>
      </c>
      <c r="I1303" s="11">
        <v>1</v>
      </c>
      <c r="J1303" s="5" t="s">
        <v>60</v>
      </c>
      <c r="K1303" s="10" t="s">
        <v>46</v>
      </c>
      <c r="L1303" s="5" t="s">
        <v>47</v>
      </c>
      <c r="M1303" s="5" t="s">
        <v>115</v>
      </c>
      <c r="N1303" s="5" t="s">
        <v>116</v>
      </c>
      <c r="O1303" s="12"/>
      <c r="P1303" s="13">
        <v>124567</v>
      </c>
      <c r="S1303" s="13">
        <v>0</v>
      </c>
      <c r="U1303" s="13">
        <v>0</v>
      </c>
      <c r="AC1303" s="10" t="s">
        <v>3117</v>
      </c>
      <c r="AD1303" s="5" t="s">
        <v>132</v>
      </c>
      <c r="AE1303" s="5" t="s">
        <v>119</v>
      </c>
      <c r="AG1303" s="5" t="s">
        <v>3118</v>
      </c>
    </row>
    <row r="1304" spans="1:33" ht="10" customHeight="1" x14ac:dyDescent="0.2">
      <c r="A1304" s="5" t="s">
        <v>40</v>
      </c>
      <c r="B1304" s="5" t="s">
        <v>41</v>
      </c>
      <c r="D1304" s="5" t="s">
        <v>3119</v>
      </c>
      <c r="E1304" s="10" t="s">
        <v>53</v>
      </c>
      <c r="F1304" s="5" t="s">
        <v>3104</v>
      </c>
      <c r="I1304" s="11">
        <v>1</v>
      </c>
      <c r="J1304" s="5" t="s">
        <v>60</v>
      </c>
      <c r="K1304" s="10" t="s">
        <v>46</v>
      </c>
      <c r="L1304" s="5" t="s">
        <v>47</v>
      </c>
      <c r="M1304" s="5" t="s">
        <v>115</v>
      </c>
      <c r="N1304" s="5" t="s">
        <v>116</v>
      </c>
      <c r="O1304" s="12"/>
      <c r="P1304" s="13">
        <v>0</v>
      </c>
      <c r="AC1304" s="10" t="s">
        <v>3120</v>
      </c>
      <c r="AD1304" s="5" t="s">
        <v>132</v>
      </c>
      <c r="AE1304" s="5" t="s">
        <v>119</v>
      </c>
      <c r="AG1304" s="5" t="s">
        <v>3121</v>
      </c>
    </row>
    <row r="1305" spans="1:33" ht="10" customHeight="1" x14ac:dyDescent="0.2">
      <c r="A1305" s="5" t="s">
        <v>40</v>
      </c>
      <c r="B1305" s="5" t="s">
        <v>41</v>
      </c>
      <c r="D1305" s="5" t="s">
        <v>3122</v>
      </c>
      <c r="E1305" s="10" t="s">
        <v>53</v>
      </c>
      <c r="F1305" s="5" t="s">
        <v>3104</v>
      </c>
      <c r="I1305" s="11">
        <v>1</v>
      </c>
      <c r="J1305" s="5" t="s">
        <v>60</v>
      </c>
      <c r="K1305" s="10" t="s">
        <v>46</v>
      </c>
      <c r="L1305" s="5" t="s">
        <v>47</v>
      </c>
      <c r="M1305" s="5" t="s">
        <v>115</v>
      </c>
      <c r="N1305" s="5" t="s">
        <v>116</v>
      </c>
      <c r="O1305" s="12"/>
      <c r="P1305" s="13">
        <v>0</v>
      </c>
      <c r="AC1305" s="10" t="s">
        <v>3123</v>
      </c>
      <c r="AD1305" s="5" t="s">
        <v>132</v>
      </c>
      <c r="AE1305" s="5" t="s">
        <v>119</v>
      </c>
      <c r="AG1305" s="5" t="s">
        <v>3124</v>
      </c>
    </row>
    <row r="1306" spans="1:33" ht="10" customHeight="1" x14ac:dyDescent="0.2">
      <c r="A1306" s="5" t="s">
        <v>40</v>
      </c>
      <c r="B1306" s="5" t="s">
        <v>41</v>
      </c>
      <c r="D1306" s="5" t="s">
        <v>3125</v>
      </c>
      <c r="E1306" s="10" t="s">
        <v>53</v>
      </c>
      <c r="F1306" s="5" t="s">
        <v>3104</v>
      </c>
      <c r="I1306" s="11">
        <v>1</v>
      </c>
      <c r="J1306" s="5" t="s">
        <v>60</v>
      </c>
      <c r="K1306" s="10" t="s">
        <v>46</v>
      </c>
      <c r="L1306" s="5" t="s">
        <v>47</v>
      </c>
      <c r="M1306" s="5" t="s">
        <v>115</v>
      </c>
      <c r="N1306" s="5" t="s">
        <v>116</v>
      </c>
      <c r="O1306" s="12"/>
      <c r="P1306" s="13">
        <v>0</v>
      </c>
      <c r="AC1306" s="10" t="s">
        <v>3126</v>
      </c>
      <c r="AD1306" s="5" t="s">
        <v>132</v>
      </c>
      <c r="AE1306" s="5" t="s">
        <v>119</v>
      </c>
      <c r="AG1306" s="5" t="s">
        <v>3127</v>
      </c>
    </row>
    <row r="1307" spans="1:33" ht="10" customHeight="1" x14ac:dyDescent="0.2">
      <c r="A1307" s="5" t="s">
        <v>40</v>
      </c>
      <c r="B1307" s="5" t="s">
        <v>41</v>
      </c>
      <c r="D1307" s="5" t="s">
        <v>3128</v>
      </c>
      <c r="E1307" s="10" t="s">
        <v>53</v>
      </c>
      <c r="F1307" s="5" t="s">
        <v>3104</v>
      </c>
      <c r="I1307" s="11">
        <v>1</v>
      </c>
      <c r="J1307" s="5" t="s">
        <v>60</v>
      </c>
      <c r="K1307" s="10" t="s">
        <v>46</v>
      </c>
      <c r="L1307" s="5" t="s">
        <v>47</v>
      </c>
      <c r="M1307" s="5" t="s">
        <v>115</v>
      </c>
      <c r="N1307" s="5" t="s">
        <v>116</v>
      </c>
      <c r="O1307" s="12"/>
      <c r="P1307" s="13">
        <v>0</v>
      </c>
      <c r="AC1307" s="10" t="s">
        <v>3129</v>
      </c>
      <c r="AD1307" s="5" t="s">
        <v>132</v>
      </c>
      <c r="AE1307" s="5" t="s">
        <v>119</v>
      </c>
      <c r="AG1307" s="5" t="s">
        <v>3130</v>
      </c>
    </row>
    <row r="1308" spans="1:33" ht="10" customHeight="1" x14ac:dyDescent="0.2">
      <c r="A1308" s="5" t="s">
        <v>40</v>
      </c>
      <c r="B1308" s="5" t="s">
        <v>41</v>
      </c>
      <c r="D1308" s="5" t="s">
        <v>3131</v>
      </c>
      <c r="E1308" s="10" t="s">
        <v>53</v>
      </c>
      <c r="F1308" s="5" t="s">
        <v>3104</v>
      </c>
      <c r="I1308" s="11">
        <v>1</v>
      </c>
      <c r="J1308" s="5" t="s">
        <v>60</v>
      </c>
      <c r="K1308" s="10" t="s">
        <v>46</v>
      </c>
      <c r="L1308" s="5" t="s">
        <v>47</v>
      </c>
      <c r="M1308" s="5" t="s">
        <v>115</v>
      </c>
      <c r="N1308" s="5" t="s">
        <v>116</v>
      </c>
      <c r="O1308" s="12"/>
      <c r="P1308" s="13">
        <v>0</v>
      </c>
      <c r="AC1308" s="10" t="s">
        <v>3132</v>
      </c>
      <c r="AD1308" s="5" t="s">
        <v>132</v>
      </c>
      <c r="AE1308" s="5" t="s">
        <v>119</v>
      </c>
      <c r="AG1308" s="5" t="s">
        <v>3133</v>
      </c>
    </row>
    <row r="1309" spans="1:33" ht="10" customHeight="1" x14ac:dyDescent="0.2">
      <c r="A1309" s="5" t="s">
        <v>40</v>
      </c>
      <c r="B1309" s="5" t="s">
        <v>41</v>
      </c>
      <c r="D1309" s="5" t="s">
        <v>3134</v>
      </c>
      <c r="E1309" s="10" t="s">
        <v>53</v>
      </c>
      <c r="F1309" s="5" t="s">
        <v>3104</v>
      </c>
      <c r="I1309" s="11">
        <v>1</v>
      </c>
      <c r="J1309" s="5" t="s">
        <v>60</v>
      </c>
      <c r="K1309" s="10" t="s">
        <v>46</v>
      </c>
      <c r="L1309" s="5" t="s">
        <v>47</v>
      </c>
      <c r="M1309" s="5" t="s">
        <v>115</v>
      </c>
      <c r="N1309" s="5" t="s">
        <v>116</v>
      </c>
      <c r="O1309" s="12"/>
      <c r="P1309" s="13">
        <v>0</v>
      </c>
      <c r="AC1309" s="10" t="s">
        <v>3135</v>
      </c>
      <c r="AD1309" s="5" t="s">
        <v>132</v>
      </c>
      <c r="AE1309" s="5" t="s">
        <v>119</v>
      </c>
      <c r="AG1309" s="5" t="s">
        <v>3136</v>
      </c>
    </row>
    <row r="1310" spans="1:33" ht="10" customHeight="1" x14ac:dyDescent="0.2">
      <c r="A1310" s="5" t="s">
        <v>40</v>
      </c>
      <c r="B1310" s="5" t="s">
        <v>41</v>
      </c>
      <c r="D1310" s="5" t="s">
        <v>3137</v>
      </c>
      <c r="E1310" s="10" t="s">
        <v>53</v>
      </c>
      <c r="F1310" s="5" t="s">
        <v>3104</v>
      </c>
      <c r="I1310" s="11">
        <v>1</v>
      </c>
      <c r="J1310" s="5" t="s">
        <v>60</v>
      </c>
      <c r="K1310" s="10" t="s">
        <v>46</v>
      </c>
      <c r="L1310" s="5" t="s">
        <v>47</v>
      </c>
      <c r="M1310" s="5" t="s">
        <v>115</v>
      </c>
      <c r="N1310" s="5" t="s">
        <v>116</v>
      </c>
      <c r="O1310" s="12"/>
      <c r="P1310" s="13">
        <v>0</v>
      </c>
      <c r="AC1310" s="10" t="s">
        <v>3138</v>
      </c>
      <c r="AD1310" s="5" t="s">
        <v>132</v>
      </c>
      <c r="AE1310" s="5" t="s">
        <v>119</v>
      </c>
      <c r="AG1310" s="5" t="s">
        <v>3139</v>
      </c>
    </row>
    <row r="1311" spans="1:33" ht="10" customHeight="1" x14ac:dyDescent="0.2">
      <c r="A1311" s="5" t="s">
        <v>40</v>
      </c>
      <c r="B1311" s="5" t="s">
        <v>41</v>
      </c>
      <c r="D1311" s="5" t="s">
        <v>3140</v>
      </c>
      <c r="E1311" s="10" t="s">
        <v>53</v>
      </c>
      <c r="F1311" s="5" t="s">
        <v>3104</v>
      </c>
      <c r="I1311" s="11">
        <v>1</v>
      </c>
      <c r="J1311" s="5" t="s">
        <v>60</v>
      </c>
      <c r="K1311" s="10" t="s">
        <v>46</v>
      </c>
      <c r="L1311" s="5" t="s">
        <v>47</v>
      </c>
      <c r="M1311" s="5" t="s">
        <v>115</v>
      </c>
      <c r="N1311" s="5" t="s">
        <v>116</v>
      </c>
      <c r="O1311" s="12"/>
      <c r="P1311" s="13">
        <v>0</v>
      </c>
      <c r="AC1311" s="10" t="s">
        <v>3141</v>
      </c>
      <c r="AD1311" s="5" t="s">
        <v>132</v>
      </c>
      <c r="AE1311" s="5" t="s">
        <v>119</v>
      </c>
      <c r="AG1311" s="5" t="s">
        <v>3142</v>
      </c>
    </row>
    <row r="1312" spans="1:33" ht="10" customHeight="1" x14ac:dyDescent="0.2">
      <c r="A1312" s="5" t="s">
        <v>40</v>
      </c>
      <c r="B1312" s="5" t="s">
        <v>41</v>
      </c>
      <c r="D1312" s="5" t="s">
        <v>3143</v>
      </c>
      <c r="E1312" s="10" t="s">
        <v>53</v>
      </c>
      <c r="F1312" s="5" t="s">
        <v>3104</v>
      </c>
      <c r="I1312" s="11">
        <v>1</v>
      </c>
      <c r="J1312" s="5" t="s">
        <v>60</v>
      </c>
      <c r="K1312" s="10" t="s">
        <v>46</v>
      </c>
      <c r="L1312" s="5" t="s">
        <v>47</v>
      </c>
      <c r="M1312" s="5" t="s">
        <v>115</v>
      </c>
      <c r="N1312" s="5" t="s">
        <v>116</v>
      </c>
      <c r="O1312" s="12"/>
      <c r="P1312" s="13">
        <v>2659</v>
      </c>
      <c r="S1312" s="13">
        <v>0</v>
      </c>
      <c r="U1312" s="13">
        <v>0</v>
      </c>
      <c r="AC1312" s="10" t="s">
        <v>3144</v>
      </c>
      <c r="AD1312" s="5" t="s">
        <v>132</v>
      </c>
      <c r="AE1312" s="5" t="s">
        <v>119</v>
      </c>
      <c r="AG1312" s="5" t="s">
        <v>3145</v>
      </c>
    </row>
    <row r="1313" spans="1:33" ht="10" customHeight="1" x14ac:dyDescent="0.2">
      <c r="A1313" s="5" t="s">
        <v>40</v>
      </c>
      <c r="B1313" s="5" t="s">
        <v>41</v>
      </c>
      <c r="D1313" s="5" t="s">
        <v>3146</v>
      </c>
      <c r="E1313" s="10" t="s">
        <v>53</v>
      </c>
      <c r="F1313" s="5" t="s">
        <v>3104</v>
      </c>
      <c r="I1313" s="11">
        <v>1</v>
      </c>
      <c r="J1313" s="5" t="s">
        <v>60</v>
      </c>
      <c r="K1313" s="10" t="s">
        <v>46</v>
      </c>
      <c r="L1313" s="5" t="s">
        <v>47</v>
      </c>
      <c r="M1313" s="5" t="s">
        <v>115</v>
      </c>
      <c r="N1313" s="5" t="s">
        <v>116</v>
      </c>
      <c r="O1313" s="12"/>
      <c r="P1313" s="13">
        <v>2659</v>
      </c>
      <c r="S1313" s="13">
        <v>0</v>
      </c>
      <c r="U1313" s="13">
        <v>0</v>
      </c>
      <c r="AC1313" s="10" t="s">
        <v>3147</v>
      </c>
      <c r="AD1313" s="5" t="s">
        <v>132</v>
      </c>
      <c r="AE1313" s="5" t="s">
        <v>119</v>
      </c>
      <c r="AG1313" s="5" t="s">
        <v>3148</v>
      </c>
    </row>
    <row r="1314" spans="1:33" ht="10" customHeight="1" x14ac:dyDescent="0.2">
      <c r="A1314" s="5" t="s">
        <v>40</v>
      </c>
      <c r="B1314" s="5" t="s">
        <v>41</v>
      </c>
      <c r="D1314" s="5" t="s">
        <v>3149</v>
      </c>
      <c r="E1314" s="10" t="s">
        <v>53</v>
      </c>
      <c r="F1314" s="5" t="s">
        <v>3104</v>
      </c>
      <c r="I1314" s="11">
        <v>1</v>
      </c>
      <c r="J1314" s="5" t="s">
        <v>60</v>
      </c>
      <c r="K1314" s="10" t="s">
        <v>46</v>
      </c>
      <c r="L1314" s="5" t="s">
        <v>47</v>
      </c>
      <c r="M1314" s="5" t="s">
        <v>115</v>
      </c>
      <c r="N1314" s="5" t="s">
        <v>116</v>
      </c>
      <c r="O1314" s="12"/>
      <c r="P1314" s="13">
        <v>2659</v>
      </c>
      <c r="S1314" s="13">
        <v>0</v>
      </c>
      <c r="U1314" s="13">
        <v>0</v>
      </c>
      <c r="AC1314" s="10" t="s">
        <v>3150</v>
      </c>
      <c r="AD1314" s="5" t="s">
        <v>132</v>
      </c>
      <c r="AE1314" s="5" t="s">
        <v>119</v>
      </c>
      <c r="AG1314" s="5" t="s">
        <v>3151</v>
      </c>
    </row>
    <row r="1315" spans="1:33" ht="10" customHeight="1" x14ac:dyDescent="0.2">
      <c r="A1315" s="5" t="s">
        <v>40</v>
      </c>
      <c r="B1315" s="5" t="s">
        <v>41</v>
      </c>
      <c r="D1315" s="5" t="s">
        <v>3152</v>
      </c>
      <c r="E1315" s="10" t="s">
        <v>53</v>
      </c>
      <c r="F1315" s="5" t="s">
        <v>3104</v>
      </c>
      <c r="I1315" s="11">
        <v>1</v>
      </c>
      <c r="J1315" s="5" t="s">
        <v>60</v>
      </c>
      <c r="K1315" s="10" t="s">
        <v>46</v>
      </c>
      <c r="L1315" s="5" t="s">
        <v>47</v>
      </c>
      <c r="M1315" s="5" t="s">
        <v>115</v>
      </c>
      <c r="N1315" s="5" t="s">
        <v>116</v>
      </c>
      <c r="O1315" s="12"/>
      <c r="P1315" s="13">
        <v>20862</v>
      </c>
      <c r="Q1315" s="13">
        <v>0</v>
      </c>
      <c r="AC1315" s="10" t="s">
        <v>3153</v>
      </c>
      <c r="AD1315" s="5" t="s">
        <v>132</v>
      </c>
      <c r="AE1315" s="5" t="s">
        <v>119</v>
      </c>
    </row>
    <row r="1316" spans="1:33" ht="10" customHeight="1" x14ac:dyDescent="0.2">
      <c r="A1316" s="5" t="s">
        <v>40</v>
      </c>
      <c r="B1316" s="5" t="s">
        <v>41</v>
      </c>
      <c r="D1316" s="5" t="s">
        <v>3154</v>
      </c>
      <c r="E1316" s="10" t="s">
        <v>53</v>
      </c>
      <c r="F1316" s="5" t="s">
        <v>3104</v>
      </c>
      <c r="I1316" s="11">
        <v>1</v>
      </c>
      <c r="J1316" s="5" t="s">
        <v>60</v>
      </c>
      <c r="K1316" s="10" t="s">
        <v>46</v>
      </c>
      <c r="L1316" s="5" t="s">
        <v>47</v>
      </c>
      <c r="M1316" s="5" t="s">
        <v>115</v>
      </c>
      <c r="N1316" s="5" t="s">
        <v>116</v>
      </c>
      <c r="O1316" s="12"/>
      <c r="P1316" s="13">
        <v>20862</v>
      </c>
      <c r="Q1316" s="13">
        <v>0</v>
      </c>
      <c r="AC1316" s="10" t="s">
        <v>3155</v>
      </c>
      <c r="AD1316" s="5" t="s">
        <v>132</v>
      </c>
      <c r="AE1316" s="5" t="s">
        <v>119</v>
      </c>
      <c r="AG1316" s="5" t="s">
        <v>3156</v>
      </c>
    </row>
    <row r="1317" spans="1:33" ht="10" customHeight="1" x14ac:dyDescent="0.2">
      <c r="A1317" s="5" t="s">
        <v>40</v>
      </c>
      <c r="B1317" s="5" t="s">
        <v>41</v>
      </c>
      <c r="D1317" s="5" t="s">
        <v>3157</v>
      </c>
      <c r="E1317" s="10" t="s">
        <v>53</v>
      </c>
      <c r="F1317" s="5" t="s">
        <v>3104</v>
      </c>
      <c r="I1317" s="11">
        <v>1</v>
      </c>
      <c r="J1317" s="5" t="s">
        <v>60</v>
      </c>
      <c r="K1317" s="10" t="s">
        <v>46</v>
      </c>
      <c r="L1317" s="5" t="s">
        <v>47</v>
      </c>
      <c r="M1317" s="5" t="s">
        <v>115</v>
      </c>
      <c r="N1317" s="5" t="s">
        <v>116</v>
      </c>
      <c r="O1317" s="12"/>
      <c r="P1317" s="13">
        <v>0</v>
      </c>
      <c r="AC1317" s="10" t="s">
        <v>3158</v>
      </c>
      <c r="AD1317" s="5" t="s">
        <v>3159</v>
      </c>
      <c r="AE1317" s="5" t="s">
        <v>119</v>
      </c>
    </row>
    <row r="1318" spans="1:33" ht="10" customHeight="1" x14ac:dyDescent="0.2">
      <c r="A1318" s="5" t="s">
        <v>40</v>
      </c>
      <c r="B1318" s="5" t="s">
        <v>41</v>
      </c>
      <c r="D1318" s="5" t="s">
        <v>3160</v>
      </c>
      <c r="E1318" s="10" t="s">
        <v>53</v>
      </c>
      <c r="F1318" s="5" t="s">
        <v>3104</v>
      </c>
      <c r="I1318" s="11">
        <v>1</v>
      </c>
      <c r="J1318" s="5" t="s">
        <v>60</v>
      </c>
      <c r="K1318" s="10" t="s">
        <v>46</v>
      </c>
      <c r="L1318" s="5" t="s">
        <v>47</v>
      </c>
      <c r="M1318" s="5" t="s">
        <v>115</v>
      </c>
      <c r="N1318" s="5" t="s">
        <v>116</v>
      </c>
      <c r="O1318" s="12"/>
      <c r="P1318" s="13">
        <v>0</v>
      </c>
      <c r="AC1318" s="10" t="s">
        <v>3161</v>
      </c>
      <c r="AD1318" s="5" t="s">
        <v>3159</v>
      </c>
      <c r="AE1318" s="5" t="s">
        <v>119</v>
      </c>
    </row>
    <row r="1319" spans="1:33" ht="10" customHeight="1" x14ac:dyDescent="0.2">
      <c r="A1319" s="5" t="s">
        <v>40</v>
      </c>
      <c r="B1319" s="5" t="s">
        <v>41</v>
      </c>
      <c r="D1319" s="5" t="s">
        <v>3162</v>
      </c>
      <c r="E1319" s="10" t="s">
        <v>53</v>
      </c>
      <c r="F1319" s="5" t="s">
        <v>3104</v>
      </c>
      <c r="I1319" s="11">
        <v>1</v>
      </c>
      <c r="J1319" s="5" t="s">
        <v>60</v>
      </c>
      <c r="K1319" s="10" t="s">
        <v>46</v>
      </c>
      <c r="L1319" s="5" t="s">
        <v>47</v>
      </c>
      <c r="M1319" s="5" t="s">
        <v>115</v>
      </c>
      <c r="N1319" s="5" t="s">
        <v>116</v>
      </c>
      <c r="O1319" s="12"/>
      <c r="P1319" s="13">
        <v>0</v>
      </c>
      <c r="AC1319" s="10" t="s">
        <v>3163</v>
      </c>
      <c r="AD1319" s="5" t="s">
        <v>3159</v>
      </c>
      <c r="AE1319" s="5" t="s">
        <v>119</v>
      </c>
    </row>
    <row r="1320" spans="1:33" ht="10" customHeight="1" x14ac:dyDescent="0.2">
      <c r="A1320" s="5" t="s">
        <v>40</v>
      </c>
      <c r="B1320" s="5" t="s">
        <v>41</v>
      </c>
      <c r="D1320" s="5" t="s">
        <v>3164</v>
      </c>
      <c r="E1320" s="10" t="s">
        <v>53</v>
      </c>
      <c r="F1320" s="5" t="s">
        <v>3104</v>
      </c>
      <c r="I1320" s="11">
        <v>1</v>
      </c>
      <c r="J1320" s="5" t="s">
        <v>60</v>
      </c>
      <c r="K1320" s="10" t="s">
        <v>46</v>
      </c>
      <c r="L1320" s="5" t="s">
        <v>47</v>
      </c>
      <c r="M1320" s="5" t="s">
        <v>115</v>
      </c>
      <c r="N1320" s="5" t="s">
        <v>116</v>
      </c>
      <c r="O1320" s="12"/>
      <c r="P1320" s="13">
        <v>0</v>
      </c>
      <c r="AC1320" s="10" t="s">
        <v>3165</v>
      </c>
      <c r="AD1320" s="5" t="s">
        <v>3159</v>
      </c>
      <c r="AE1320" s="5" t="s">
        <v>119</v>
      </c>
    </row>
    <row r="1321" spans="1:33" ht="10" customHeight="1" x14ac:dyDescent="0.2">
      <c r="A1321" s="5" t="s">
        <v>40</v>
      </c>
      <c r="B1321" s="5" t="s">
        <v>41</v>
      </c>
      <c r="D1321" s="5" t="s">
        <v>3166</v>
      </c>
      <c r="E1321" s="10" t="s">
        <v>53</v>
      </c>
      <c r="F1321" s="5" t="s">
        <v>3104</v>
      </c>
      <c r="I1321" s="11">
        <v>1</v>
      </c>
      <c r="J1321" s="5" t="s">
        <v>60</v>
      </c>
      <c r="K1321" s="10" t="s">
        <v>46</v>
      </c>
      <c r="L1321" s="5" t="s">
        <v>47</v>
      </c>
      <c r="M1321" s="5" t="s">
        <v>115</v>
      </c>
      <c r="N1321" s="5" t="s">
        <v>116</v>
      </c>
      <c r="O1321" s="12"/>
      <c r="P1321" s="13">
        <v>0</v>
      </c>
      <c r="AC1321" s="10" t="s">
        <v>3167</v>
      </c>
      <c r="AD1321" s="5" t="s">
        <v>3159</v>
      </c>
      <c r="AE1321" s="5" t="s">
        <v>119</v>
      </c>
    </row>
    <row r="1322" spans="1:33" ht="10" customHeight="1" x14ac:dyDescent="0.2">
      <c r="A1322" s="5" t="s">
        <v>40</v>
      </c>
      <c r="B1322" s="5" t="s">
        <v>41</v>
      </c>
      <c r="D1322" s="5" t="s">
        <v>3168</v>
      </c>
      <c r="E1322" s="10" t="s">
        <v>53</v>
      </c>
      <c r="F1322" s="5" t="s">
        <v>3104</v>
      </c>
      <c r="I1322" s="11">
        <v>1</v>
      </c>
      <c r="J1322" s="5" t="s">
        <v>60</v>
      </c>
      <c r="K1322" s="10" t="s">
        <v>46</v>
      </c>
      <c r="L1322" s="5" t="s">
        <v>47</v>
      </c>
      <c r="M1322" s="5" t="s">
        <v>115</v>
      </c>
      <c r="N1322" s="5" t="s">
        <v>116</v>
      </c>
      <c r="O1322" s="12"/>
      <c r="P1322" s="13">
        <v>0</v>
      </c>
      <c r="AC1322" s="10" t="s">
        <v>3169</v>
      </c>
      <c r="AD1322" s="5" t="s">
        <v>3159</v>
      </c>
      <c r="AE1322" s="5" t="s">
        <v>119</v>
      </c>
    </row>
    <row r="1323" spans="1:33" ht="10" customHeight="1" x14ac:dyDescent="0.2">
      <c r="A1323" s="5" t="s">
        <v>40</v>
      </c>
      <c r="B1323" s="5" t="s">
        <v>41</v>
      </c>
      <c r="D1323" s="5" t="s">
        <v>3170</v>
      </c>
      <c r="E1323" s="10" t="s">
        <v>53</v>
      </c>
      <c r="F1323" s="5" t="s">
        <v>3104</v>
      </c>
      <c r="I1323" s="11">
        <v>1</v>
      </c>
      <c r="J1323" s="5" t="s">
        <v>60</v>
      </c>
      <c r="K1323" s="10" t="s">
        <v>46</v>
      </c>
      <c r="L1323" s="5" t="s">
        <v>47</v>
      </c>
      <c r="M1323" s="5" t="s">
        <v>115</v>
      </c>
      <c r="N1323" s="5" t="s">
        <v>116</v>
      </c>
      <c r="O1323" s="12"/>
      <c r="P1323" s="13">
        <v>0</v>
      </c>
      <c r="AC1323" s="10" t="s">
        <v>3171</v>
      </c>
      <c r="AD1323" s="5" t="s">
        <v>3159</v>
      </c>
      <c r="AE1323" s="5" t="s">
        <v>119</v>
      </c>
    </row>
    <row r="1324" spans="1:33" ht="10" customHeight="1" x14ac:dyDescent="0.2">
      <c r="A1324" s="5" t="s">
        <v>40</v>
      </c>
      <c r="B1324" s="5" t="s">
        <v>41</v>
      </c>
      <c r="D1324" s="5" t="s">
        <v>3172</v>
      </c>
      <c r="E1324" s="10" t="s">
        <v>53</v>
      </c>
      <c r="F1324" s="5" t="s">
        <v>3104</v>
      </c>
      <c r="I1324" s="11">
        <v>1</v>
      </c>
      <c r="J1324" s="5" t="s">
        <v>60</v>
      </c>
      <c r="K1324" s="10" t="s">
        <v>46</v>
      </c>
      <c r="L1324" s="5" t="s">
        <v>47</v>
      </c>
      <c r="M1324" s="5" t="s">
        <v>115</v>
      </c>
      <c r="N1324" s="5" t="s">
        <v>116</v>
      </c>
      <c r="O1324" s="12"/>
      <c r="P1324" s="13">
        <v>0</v>
      </c>
      <c r="AC1324" s="10" t="s">
        <v>3173</v>
      </c>
      <c r="AD1324" s="5" t="s">
        <v>3159</v>
      </c>
      <c r="AE1324" s="5" t="s">
        <v>119</v>
      </c>
    </row>
    <row r="1325" spans="1:33" ht="10" customHeight="1" x14ac:dyDescent="0.2">
      <c r="A1325" s="5" t="s">
        <v>40</v>
      </c>
      <c r="B1325" s="5" t="s">
        <v>41</v>
      </c>
      <c r="D1325" s="5" t="s">
        <v>3174</v>
      </c>
      <c r="E1325" s="10" t="s">
        <v>53</v>
      </c>
      <c r="F1325" s="5" t="s">
        <v>3104</v>
      </c>
      <c r="I1325" s="11">
        <v>1</v>
      </c>
      <c r="J1325" s="5" t="s">
        <v>60</v>
      </c>
      <c r="K1325" s="10" t="s">
        <v>46</v>
      </c>
      <c r="L1325" s="5" t="s">
        <v>47</v>
      </c>
      <c r="M1325" s="5" t="s">
        <v>115</v>
      </c>
      <c r="N1325" s="5" t="s">
        <v>116</v>
      </c>
      <c r="O1325" s="12"/>
      <c r="P1325" s="13">
        <v>0</v>
      </c>
      <c r="AC1325" s="10" t="s">
        <v>3175</v>
      </c>
      <c r="AD1325" s="5" t="s">
        <v>3159</v>
      </c>
      <c r="AE1325" s="5" t="s">
        <v>119</v>
      </c>
    </row>
    <row r="1326" spans="1:33" ht="10" customHeight="1" x14ac:dyDescent="0.2">
      <c r="A1326" s="5" t="s">
        <v>40</v>
      </c>
      <c r="B1326" s="5" t="s">
        <v>41</v>
      </c>
      <c r="D1326" s="5" t="s">
        <v>3176</v>
      </c>
      <c r="E1326" s="10" t="s">
        <v>53</v>
      </c>
      <c r="F1326" s="5" t="s">
        <v>3104</v>
      </c>
      <c r="I1326" s="11">
        <v>1</v>
      </c>
      <c r="J1326" s="5" t="s">
        <v>60</v>
      </c>
      <c r="K1326" s="10" t="s">
        <v>46</v>
      </c>
      <c r="L1326" s="5" t="s">
        <v>47</v>
      </c>
      <c r="M1326" s="5" t="s">
        <v>115</v>
      </c>
      <c r="N1326" s="5" t="s">
        <v>116</v>
      </c>
      <c r="O1326" s="12"/>
      <c r="P1326" s="13">
        <v>0</v>
      </c>
      <c r="AC1326" s="10" t="s">
        <v>3177</v>
      </c>
      <c r="AD1326" s="5" t="s">
        <v>3159</v>
      </c>
      <c r="AE1326" s="5" t="s">
        <v>119</v>
      </c>
    </row>
    <row r="1327" spans="1:33" ht="10" customHeight="1" x14ac:dyDescent="0.2">
      <c r="A1327" s="5" t="s">
        <v>40</v>
      </c>
      <c r="B1327" s="5" t="s">
        <v>41</v>
      </c>
      <c r="D1327" s="5" t="s">
        <v>3178</v>
      </c>
      <c r="E1327" s="10" t="s">
        <v>53</v>
      </c>
      <c r="F1327" s="5" t="s">
        <v>3104</v>
      </c>
      <c r="I1327" s="11">
        <v>1</v>
      </c>
      <c r="J1327" s="5" t="s">
        <v>60</v>
      </c>
      <c r="K1327" s="10" t="s">
        <v>46</v>
      </c>
      <c r="L1327" s="5" t="s">
        <v>47</v>
      </c>
      <c r="M1327" s="5" t="s">
        <v>115</v>
      </c>
      <c r="N1327" s="5" t="s">
        <v>116</v>
      </c>
      <c r="O1327" s="12"/>
      <c r="P1327" s="13">
        <v>0</v>
      </c>
      <c r="AC1327" s="10" t="s">
        <v>3179</v>
      </c>
      <c r="AD1327" s="5" t="s">
        <v>3159</v>
      </c>
      <c r="AE1327" s="5" t="s">
        <v>119</v>
      </c>
    </row>
    <row r="1328" spans="1:33" ht="10" customHeight="1" x14ac:dyDescent="0.2">
      <c r="A1328" s="5" t="s">
        <v>40</v>
      </c>
      <c r="B1328" s="5" t="s">
        <v>41</v>
      </c>
      <c r="D1328" s="5" t="s">
        <v>3143</v>
      </c>
      <c r="E1328" s="10" t="s">
        <v>53</v>
      </c>
      <c r="F1328" s="5" t="s">
        <v>3104</v>
      </c>
      <c r="I1328" s="11">
        <v>1</v>
      </c>
      <c r="J1328" s="5" t="s">
        <v>60</v>
      </c>
      <c r="K1328" s="10" t="s">
        <v>46</v>
      </c>
      <c r="L1328" s="5" t="s">
        <v>47</v>
      </c>
      <c r="M1328" s="5" t="s">
        <v>115</v>
      </c>
      <c r="N1328" s="5" t="s">
        <v>116</v>
      </c>
      <c r="O1328" s="12"/>
      <c r="P1328" s="13">
        <v>0</v>
      </c>
      <c r="AC1328" s="10" t="s">
        <v>3144</v>
      </c>
      <c r="AD1328" s="5" t="s">
        <v>3159</v>
      </c>
      <c r="AE1328" s="5" t="s">
        <v>119</v>
      </c>
    </row>
    <row r="1329" spans="1:33" ht="10" customHeight="1" x14ac:dyDescent="0.2">
      <c r="A1329" s="5" t="s">
        <v>40</v>
      </c>
      <c r="B1329" s="5" t="s">
        <v>41</v>
      </c>
      <c r="D1329" s="5" t="s">
        <v>3180</v>
      </c>
      <c r="E1329" s="10" t="s">
        <v>53</v>
      </c>
      <c r="F1329" s="5" t="s">
        <v>3104</v>
      </c>
      <c r="I1329" s="11">
        <v>1</v>
      </c>
      <c r="J1329" s="5" t="s">
        <v>60</v>
      </c>
      <c r="K1329" s="10" t="s">
        <v>46</v>
      </c>
      <c r="L1329" s="5" t="s">
        <v>47</v>
      </c>
      <c r="M1329" s="5" t="s">
        <v>115</v>
      </c>
      <c r="N1329" s="5" t="s">
        <v>116</v>
      </c>
      <c r="O1329" s="12"/>
      <c r="P1329" s="13">
        <v>0</v>
      </c>
      <c r="AC1329" s="10" t="s">
        <v>3181</v>
      </c>
      <c r="AD1329" s="5" t="s">
        <v>3159</v>
      </c>
      <c r="AE1329" s="5" t="s">
        <v>119</v>
      </c>
    </row>
    <row r="1330" spans="1:33" ht="10" customHeight="1" x14ac:dyDescent="0.2">
      <c r="A1330" s="5" t="s">
        <v>40</v>
      </c>
      <c r="B1330" s="5" t="s">
        <v>41</v>
      </c>
      <c r="D1330" s="5" t="s">
        <v>3182</v>
      </c>
      <c r="E1330" s="10" t="s">
        <v>53</v>
      </c>
      <c r="F1330" s="5" t="s">
        <v>3104</v>
      </c>
      <c r="I1330" s="11">
        <v>1</v>
      </c>
      <c r="J1330" s="5" t="s">
        <v>60</v>
      </c>
      <c r="K1330" s="10" t="s">
        <v>46</v>
      </c>
      <c r="L1330" s="5" t="s">
        <v>47</v>
      </c>
      <c r="M1330" s="5" t="s">
        <v>115</v>
      </c>
      <c r="N1330" s="5" t="s">
        <v>116</v>
      </c>
      <c r="O1330" s="12"/>
      <c r="P1330" s="13">
        <v>0</v>
      </c>
      <c r="AC1330" s="10" t="s">
        <v>3183</v>
      </c>
      <c r="AD1330" s="5" t="s">
        <v>3159</v>
      </c>
      <c r="AE1330" s="5" t="s">
        <v>119</v>
      </c>
    </row>
    <row r="1331" spans="1:33" ht="10" customHeight="1" x14ac:dyDescent="0.2">
      <c r="A1331" s="5" t="s">
        <v>40</v>
      </c>
      <c r="B1331" s="5" t="s">
        <v>41</v>
      </c>
      <c r="D1331" s="5" t="s">
        <v>3184</v>
      </c>
      <c r="E1331" s="10" t="s">
        <v>53</v>
      </c>
      <c r="F1331" s="5" t="s">
        <v>3104</v>
      </c>
      <c r="I1331" s="11">
        <v>1</v>
      </c>
      <c r="J1331" s="5" t="s">
        <v>60</v>
      </c>
      <c r="K1331" s="10" t="s">
        <v>46</v>
      </c>
      <c r="L1331" s="5" t="s">
        <v>47</v>
      </c>
      <c r="M1331" s="5" t="s">
        <v>115</v>
      </c>
      <c r="N1331" s="5" t="s">
        <v>116</v>
      </c>
      <c r="O1331" s="12"/>
      <c r="P1331" s="13">
        <v>0</v>
      </c>
      <c r="AC1331" s="10" t="s">
        <v>3185</v>
      </c>
      <c r="AD1331" s="5" t="s">
        <v>3159</v>
      </c>
      <c r="AE1331" s="5" t="s">
        <v>119</v>
      </c>
    </row>
    <row r="1332" spans="1:33" ht="10" customHeight="1" x14ac:dyDescent="0.2">
      <c r="A1332" s="5" t="s">
        <v>40</v>
      </c>
      <c r="B1332" s="5" t="s">
        <v>41</v>
      </c>
      <c r="D1332" s="5" t="s">
        <v>3186</v>
      </c>
      <c r="E1332" s="10" t="s">
        <v>53</v>
      </c>
      <c r="F1332" s="5" t="s">
        <v>3104</v>
      </c>
      <c r="I1332" s="11">
        <v>1</v>
      </c>
      <c r="J1332" s="5" t="s">
        <v>60</v>
      </c>
      <c r="K1332" s="10" t="s">
        <v>46</v>
      </c>
      <c r="L1332" s="5" t="s">
        <v>47</v>
      </c>
      <c r="M1332" s="5" t="s">
        <v>115</v>
      </c>
      <c r="N1332" s="5" t="s">
        <v>116</v>
      </c>
      <c r="O1332" s="12"/>
      <c r="P1332" s="13">
        <v>0</v>
      </c>
      <c r="AC1332" s="10" t="s">
        <v>3187</v>
      </c>
      <c r="AD1332" s="5" t="s">
        <v>3159</v>
      </c>
      <c r="AE1332" s="5" t="s">
        <v>119</v>
      </c>
    </row>
    <row r="1333" spans="1:33" ht="10" customHeight="1" x14ac:dyDescent="0.2">
      <c r="A1333" s="5" t="s">
        <v>40</v>
      </c>
      <c r="B1333" s="5" t="s">
        <v>41</v>
      </c>
      <c r="D1333" s="5" t="s">
        <v>3188</v>
      </c>
      <c r="E1333" s="10" t="s">
        <v>345</v>
      </c>
      <c r="F1333" s="5" t="s">
        <v>3189</v>
      </c>
      <c r="G1333" s="5" t="s">
        <v>346</v>
      </c>
      <c r="H1333" s="5" t="s">
        <v>347</v>
      </c>
      <c r="I1333" s="11">
        <v>1</v>
      </c>
      <c r="J1333" s="5" t="s">
        <v>45</v>
      </c>
      <c r="K1333" s="10" t="s">
        <v>46</v>
      </c>
      <c r="L1333" s="5" t="s">
        <v>47</v>
      </c>
      <c r="M1333" s="5" t="s">
        <v>115</v>
      </c>
      <c r="N1333" s="5" t="s">
        <v>135</v>
      </c>
      <c r="O1333" s="12"/>
      <c r="AC1333" s="10" t="s">
        <v>3190</v>
      </c>
      <c r="AD1333" s="5" t="s">
        <v>3191</v>
      </c>
      <c r="AE1333" s="5" t="s">
        <v>133</v>
      </c>
      <c r="AG1333" s="5" t="s">
        <v>350</v>
      </c>
    </row>
    <row r="1334" spans="1:33" ht="10" customHeight="1" x14ac:dyDescent="0.2">
      <c r="A1334" s="5" t="s">
        <v>40</v>
      </c>
      <c r="B1334" s="5" t="s">
        <v>41</v>
      </c>
      <c r="D1334" s="5" t="s">
        <v>3192</v>
      </c>
      <c r="E1334" s="10" t="s">
        <v>345</v>
      </c>
      <c r="F1334" s="5" t="s">
        <v>3189</v>
      </c>
      <c r="G1334" s="5" t="s">
        <v>346</v>
      </c>
      <c r="H1334" s="5" t="s">
        <v>175</v>
      </c>
      <c r="I1334" s="11">
        <v>1</v>
      </c>
      <c r="J1334" s="5" t="s">
        <v>45</v>
      </c>
      <c r="K1334" s="10" t="s">
        <v>46</v>
      </c>
      <c r="L1334" s="5" t="s">
        <v>47</v>
      </c>
      <c r="M1334" s="5" t="s">
        <v>115</v>
      </c>
      <c r="N1334" s="5" t="s">
        <v>135</v>
      </c>
      <c r="O1334" s="12"/>
      <c r="AC1334" s="10" t="s">
        <v>3193</v>
      </c>
      <c r="AD1334" s="5" t="s">
        <v>3191</v>
      </c>
      <c r="AE1334" s="5" t="s">
        <v>133</v>
      </c>
      <c r="AG1334" s="5" t="s">
        <v>175</v>
      </c>
    </row>
    <row r="1335" spans="1:33" ht="10" customHeight="1" x14ac:dyDescent="0.2">
      <c r="A1335" s="5" t="s">
        <v>40</v>
      </c>
      <c r="B1335" s="5" t="s">
        <v>41</v>
      </c>
      <c r="D1335" s="5" t="s">
        <v>3194</v>
      </c>
      <c r="E1335" s="10" t="s">
        <v>345</v>
      </c>
      <c r="F1335" s="5" t="s">
        <v>3189</v>
      </c>
      <c r="G1335" s="5" t="s">
        <v>346</v>
      </c>
      <c r="H1335" s="5" t="s">
        <v>354</v>
      </c>
      <c r="I1335" s="11">
        <v>1</v>
      </c>
      <c r="J1335" s="5" t="s">
        <v>45</v>
      </c>
      <c r="K1335" s="10" t="s">
        <v>46</v>
      </c>
      <c r="L1335" s="5" t="s">
        <v>47</v>
      </c>
      <c r="M1335" s="5" t="s">
        <v>115</v>
      </c>
      <c r="N1335" s="5" t="s">
        <v>135</v>
      </c>
      <c r="O1335" s="12"/>
      <c r="AC1335" s="10" t="s">
        <v>3195</v>
      </c>
      <c r="AD1335" s="5" t="s">
        <v>3191</v>
      </c>
      <c r="AE1335" s="5" t="s">
        <v>133</v>
      </c>
      <c r="AG1335" s="5" t="s">
        <v>354</v>
      </c>
    </row>
    <row r="1336" spans="1:33" ht="10" customHeight="1" x14ac:dyDescent="0.2">
      <c r="A1336" s="5" t="s">
        <v>40</v>
      </c>
      <c r="B1336" s="5" t="s">
        <v>41</v>
      </c>
      <c r="D1336" s="5" t="s">
        <v>3196</v>
      </c>
      <c r="E1336" s="10" t="s">
        <v>345</v>
      </c>
      <c r="F1336" s="5" t="s">
        <v>3189</v>
      </c>
      <c r="G1336" s="5" t="s">
        <v>346</v>
      </c>
      <c r="H1336" s="5" t="s">
        <v>357</v>
      </c>
      <c r="I1336" s="11">
        <v>1</v>
      </c>
      <c r="J1336" s="5" t="s">
        <v>45</v>
      </c>
      <c r="K1336" s="10" t="s">
        <v>46</v>
      </c>
      <c r="L1336" s="5" t="s">
        <v>47</v>
      </c>
      <c r="M1336" s="5" t="s">
        <v>115</v>
      </c>
      <c r="N1336" s="5" t="s">
        <v>135</v>
      </c>
      <c r="O1336" s="12"/>
      <c r="AC1336" s="10" t="s">
        <v>3197</v>
      </c>
      <c r="AD1336" s="5" t="s">
        <v>3191</v>
      </c>
      <c r="AE1336" s="5" t="s">
        <v>133</v>
      </c>
      <c r="AG1336" s="5" t="s">
        <v>357</v>
      </c>
    </row>
    <row r="1337" spans="1:33" ht="10" customHeight="1" x14ac:dyDescent="0.2">
      <c r="A1337" s="5" t="s">
        <v>40</v>
      </c>
      <c r="B1337" s="5" t="s">
        <v>41</v>
      </c>
      <c r="D1337" s="5" t="s">
        <v>3198</v>
      </c>
      <c r="E1337" s="10" t="s">
        <v>345</v>
      </c>
      <c r="F1337" s="5" t="s">
        <v>3189</v>
      </c>
      <c r="G1337" s="5" t="s">
        <v>346</v>
      </c>
      <c r="H1337" s="5" t="s">
        <v>363</v>
      </c>
      <c r="I1337" s="11">
        <v>1</v>
      </c>
      <c r="J1337" s="5" t="s">
        <v>45</v>
      </c>
      <c r="K1337" s="10" t="s">
        <v>46</v>
      </c>
      <c r="L1337" s="5" t="s">
        <v>47</v>
      </c>
      <c r="M1337" s="5" t="s">
        <v>115</v>
      </c>
      <c r="N1337" s="5" t="s">
        <v>135</v>
      </c>
      <c r="O1337" s="12"/>
      <c r="AC1337" s="10" t="s">
        <v>3199</v>
      </c>
      <c r="AD1337" s="5" t="s">
        <v>3191</v>
      </c>
      <c r="AE1337" s="5" t="s">
        <v>133</v>
      </c>
    </row>
    <row r="1338" spans="1:33" ht="10" customHeight="1" x14ac:dyDescent="0.2">
      <c r="A1338" s="5" t="s">
        <v>40</v>
      </c>
      <c r="B1338" s="5" t="s">
        <v>41</v>
      </c>
      <c r="D1338" s="5" t="s">
        <v>3200</v>
      </c>
      <c r="E1338" s="10" t="s">
        <v>345</v>
      </c>
      <c r="F1338" s="5" t="s">
        <v>3189</v>
      </c>
      <c r="G1338" s="5" t="s">
        <v>346</v>
      </c>
      <c r="H1338" s="5" t="s">
        <v>366</v>
      </c>
      <c r="I1338" s="11">
        <v>1</v>
      </c>
      <c r="J1338" s="5" t="s">
        <v>45</v>
      </c>
      <c r="K1338" s="10" t="s">
        <v>46</v>
      </c>
      <c r="L1338" s="5" t="s">
        <v>47</v>
      </c>
      <c r="M1338" s="5" t="s">
        <v>115</v>
      </c>
      <c r="N1338" s="5" t="s">
        <v>135</v>
      </c>
      <c r="O1338" s="12"/>
      <c r="AC1338" s="10" t="s">
        <v>3201</v>
      </c>
      <c r="AD1338" s="5" t="s">
        <v>3191</v>
      </c>
      <c r="AE1338" s="5" t="s">
        <v>133</v>
      </c>
      <c r="AG1338" s="5" t="s">
        <v>366</v>
      </c>
    </row>
    <row r="1339" spans="1:33" ht="10" customHeight="1" x14ac:dyDescent="0.2">
      <c r="A1339" s="5" t="s">
        <v>40</v>
      </c>
      <c r="B1339" s="5" t="s">
        <v>41</v>
      </c>
      <c r="D1339" s="5" t="s">
        <v>3202</v>
      </c>
      <c r="E1339" s="10" t="s">
        <v>345</v>
      </c>
      <c r="F1339" s="5" t="s">
        <v>3189</v>
      </c>
      <c r="G1339" s="5" t="s">
        <v>346</v>
      </c>
      <c r="H1339" s="5" t="s">
        <v>369</v>
      </c>
      <c r="I1339" s="11">
        <v>1</v>
      </c>
      <c r="J1339" s="5" t="s">
        <v>45</v>
      </c>
      <c r="K1339" s="10" t="s">
        <v>46</v>
      </c>
      <c r="L1339" s="5" t="s">
        <v>47</v>
      </c>
      <c r="M1339" s="5" t="s">
        <v>115</v>
      </c>
      <c r="N1339" s="5" t="s">
        <v>135</v>
      </c>
      <c r="O1339" s="12"/>
      <c r="AC1339" s="10" t="s">
        <v>3203</v>
      </c>
      <c r="AD1339" s="5" t="s">
        <v>3191</v>
      </c>
      <c r="AE1339" s="5" t="s">
        <v>133</v>
      </c>
    </row>
    <row r="1340" spans="1:33" ht="10" customHeight="1" x14ac:dyDescent="0.2">
      <c r="A1340" s="5" t="s">
        <v>40</v>
      </c>
      <c r="B1340" s="5" t="s">
        <v>41</v>
      </c>
      <c r="D1340" s="5" t="s">
        <v>3204</v>
      </c>
      <c r="E1340" s="10" t="s">
        <v>345</v>
      </c>
      <c r="F1340" s="5" t="s">
        <v>3205</v>
      </c>
      <c r="G1340" s="5" t="s">
        <v>346</v>
      </c>
      <c r="H1340" s="5" t="s">
        <v>347</v>
      </c>
      <c r="I1340" s="11">
        <v>1</v>
      </c>
      <c r="J1340" s="5" t="s">
        <v>45</v>
      </c>
      <c r="K1340" s="10" t="s">
        <v>46</v>
      </c>
      <c r="L1340" s="5" t="s">
        <v>47</v>
      </c>
      <c r="M1340" s="5" t="s">
        <v>115</v>
      </c>
      <c r="N1340" s="5" t="s">
        <v>140</v>
      </c>
      <c r="O1340" s="12"/>
      <c r="P1340" s="13">
        <v>145257</v>
      </c>
      <c r="S1340" s="13">
        <v>227249</v>
      </c>
      <c r="U1340" s="13">
        <v>227249</v>
      </c>
      <c r="AC1340" s="10" t="s">
        <v>3206</v>
      </c>
      <c r="AD1340" s="5" t="s">
        <v>3207</v>
      </c>
      <c r="AE1340" s="5" t="s">
        <v>138</v>
      </c>
      <c r="AG1340" s="5" t="s">
        <v>350</v>
      </c>
    </row>
    <row r="1341" spans="1:33" ht="10" customHeight="1" x14ac:dyDescent="0.2">
      <c r="A1341" s="5" t="s">
        <v>40</v>
      </c>
      <c r="B1341" s="5" t="s">
        <v>41</v>
      </c>
      <c r="D1341" s="5" t="s">
        <v>3208</v>
      </c>
      <c r="E1341" s="10" t="s">
        <v>345</v>
      </c>
      <c r="F1341" s="5" t="s">
        <v>3205</v>
      </c>
      <c r="G1341" s="5" t="s">
        <v>346</v>
      </c>
      <c r="H1341" s="5" t="s">
        <v>175</v>
      </c>
      <c r="I1341" s="11">
        <v>1</v>
      </c>
      <c r="J1341" s="5" t="s">
        <v>45</v>
      </c>
      <c r="K1341" s="10" t="s">
        <v>46</v>
      </c>
      <c r="L1341" s="5" t="s">
        <v>47</v>
      </c>
      <c r="M1341" s="5" t="s">
        <v>115</v>
      </c>
      <c r="N1341" s="5" t="s">
        <v>140</v>
      </c>
      <c r="O1341" s="12"/>
      <c r="P1341" s="13">
        <v>683205</v>
      </c>
      <c r="S1341" s="13">
        <v>1362749</v>
      </c>
      <c r="U1341" s="13">
        <v>1362749</v>
      </c>
      <c r="AC1341" s="10" t="s">
        <v>3209</v>
      </c>
      <c r="AD1341" s="5" t="s">
        <v>3207</v>
      </c>
      <c r="AE1341" s="5" t="s">
        <v>138</v>
      </c>
      <c r="AG1341" s="5" t="s">
        <v>175</v>
      </c>
    </row>
    <row r="1342" spans="1:33" ht="10" customHeight="1" x14ac:dyDescent="0.2">
      <c r="A1342" s="5" t="s">
        <v>40</v>
      </c>
      <c r="B1342" s="5" t="s">
        <v>41</v>
      </c>
      <c r="D1342" s="5" t="s">
        <v>3210</v>
      </c>
      <c r="E1342" s="10" t="s">
        <v>345</v>
      </c>
      <c r="F1342" s="5" t="s">
        <v>3205</v>
      </c>
      <c r="G1342" s="5" t="s">
        <v>346</v>
      </c>
      <c r="H1342" s="5" t="s">
        <v>354</v>
      </c>
      <c r="I1342" s="11">
        <v>1</v>
      </c>
      <c r="J1342" s="5" t="s">
        <v>45</v>
      </c>
      <c r="K1342" s="10" t="s">
        <v>46</v>
      </c>
      <c r="L1342" s="5" t="s">
        <v>47</v>
      </c>
      <c r="M1342" s="5" t="s">
        <v>115</v>
      </c>
      <c r="N1342" s="5" t="s">
        <v>140</v>
      </c>
      <c r="O1342" s="12"/>
      <c r="P1342" s="13">
        <v>21617</v>
      </c>
      <c r="S1342" s="13">
        <v>31119</v>
      </c>
      <c r="U1342" s="13">
        <v>31119</v>
      </c>
      <c r="AC1342" s="10" t="s">
        <v>3211</v>
      </c>
      <c r="AD1342" s="5" t="s">
        <v>3207</v>
      </c>
      <c r="AE1342" s="5" t="s">
        <v>138</v>
      </c>
      <c r="AG1342" s="5" t="s">
        <v>354</v>
      </c>
    </row>
    <row r="1343" spans="1:33" ht="10" customHeight="1" x14ac:dyDescent="0.2">
      <c r="A1343" s="5" t="s">
        <v>40</v>
      </c>
      <c r="B1343" s="5" t="s">
        <v>41</v>
      </c>
      <c r="D1343" s="5" t="s">
        <v>3212</v>
      </c>
      <c r="E1343" s="10" t="s">
        <v>345</v>
      </c>
      <c r="F1343" s="5" t="s">
        <v>3205</v>
      </c>
      <c r="G1343" s="5" t="s">
        <v>346</v>
      </c>
      <c r="H1343" s="5" t="s">
        <v>357</v>
      </c>
      <c r="I1343" s="11">
        <v>1</v>
      </c>
      <c r="J1343" s="5" t="s">
        <v>45</v>
      </c>
      <c r="K1343" s="10" t="s">
        <v>46</v>
      </c>
      <c r="L1343" s="5" t="s">
        <v>47</v>
      </c>
      <c r="M1343" s="5" t="s">
        <v>115</v>
      </c>
      <c r="N1343" s="5" t="s">
        <v>140</v>
      </c>
      <c r="O1343" s="12"/>
      <c r="P1343" s="13">
        <v>338546</v>
      </c>
      <c r="S1343" s="13">
        <v>614217</v>
      </c>
      <c r="U1343" s="13">
        <v>614217</v>
      </c>
      <c r="AC1343" s="10" t="s">
        <v>3213</v>
      </c>
      <c r="AD1343" s="5" t="s">
        <v>3207</v>
      </c>
      <c r="AE1343" s="5" t="s">
        <v>138</v>
      </c>
    </row>
    <row r="1344" spans="1:33" ht="10" customHeight="1" x14ac:dyDescent="0.2">
      <c r="A1344" s="5" t="s">
        <v>40</v>
      </c>
      <c r="B1344" s="5" t="s">
        <v>41</v>
      </c>
      <c r="D1344" s="5" t="s">
        <v>3214</v>
      </c>
      <c r="E1344" s="10" t="s">
        <v>345</v>
      </c>
      <c r="F1344" s="5" t="s">
        <v>3205</v>
      </c>
      <c r="G1344" s="5" t="s">
        <v>346</v>
      </c>
      <c r="H1344" s="5" t="s">
        <v>366</v>
      </c>
      <c r="I1344" s="11">
        <v>1</v>
      </c>
      <c r="J1344" s="5" t="s">
        <v>45</v>
      </c>
      <c r="K1344" s="10" t="s">
        <v>46</v>
      </c>
      <c r="L1344" s="5" t="s">
        <v>47</v>
      </c>
      <c r="M1344" s="5" t="s">
        <v>115</v>
      </c>
      <c r="N1344" s="5" t="s">
        <v>140</v>
      </c>
      <c r="O1344" s="12"/>
      <c r="P1344" s="13">
        <v>58298</v>
      </c>
      <c r="S1344" s="13">
        <v>121197</v>
      </c>
      <c r="U1344" s="13">
        <v>121197</v>
      </c>
      <c r="AC1344" s="10" t="s">
        <v>3215</v>
      </c>
      <c r="AD1344" s="5" t="s">
        <v>3207</v>
      </c>
      <c r="AE1344" s="5" t="s">
        <v>138</v>
      </c>
    </row>
    <row r="1345" spans="1:33" ht="10" customHeight="1" x14ac:dyDescent="0.2">
      <c r="A1345" s="5" t="s">
        <v>40</v>
      </c>
      <c r="B1345" s="5" t="s">
        <v>41</v>
      </c>
      <c r="D1345" s="5" t="s">
        <v>3216</v>
      </c>
      <c r="E1345" s="10" t="s">
        <v>345</v>
      </c>
      <c r="F1345" s="5" t="s">
        <v>3205</v>
      </c>
      <c r="G1345" s="5" t="s">
        <v>346</v>
      </c>
      <c r="H1345" s="5" t="s">
        <v>369</v>
      </c>
      <c r="I1345" s="11">
        <v>1</v>
      </c>
      <c r="J1345" s="5" t="s">
        <v>45</v>
      </c>
      <c r="K1345" s="10" t="s">
        <v>46</v>
      </c>
      <c r="L1345" s="5" t="s">
        <v>47</v>
      </c>
      <c r="M1345" s="5" t="s">
        <v>115</v>
      </c>
      <c r="N1345" s="5" t="s">
        <v>140</v>
      </c>
      <c r="O1345" s="12"/>
      <c r="P1345" s="13">
        <v>54102</v>
      </c>
      <c r="S1345" s="13">
        <v>99993</v>
      </c>
      <c r="U1345" s="13">
        <v>99993</v>
      </c>
      <c r="AC1345" s="10" t="s">
        <v>3217</v>
      </c>
      <c r="AD1345" s="5" t="s">
        <v>3207</v>
      </c>
      <c r="AE1345" s="5" t="s">
        <v>138</v>
      </c>
      <c r="AG1345" s="5" t="s">
        <v>2570</v>
      </c>
    </row>
    <row r="1346" spans="1:33" ht="10" customHeight="1" x14ac:dyDescent="0.2">
      <c r="A1346" s="5" t="s">
        <v>40</v>
      </c>
      <c r="B1346" s="5" t="s">
        <v>41</v>
      </c>
      <c r="D1346" s="5" t="s">
        <v>3218</v>
      </c>
      <c r="E1346" s="10" t="s">
        <v>345</v>
      </c>
      <c r="F1346" s="5" t="s">
        <v>3205</v>
      </c>
      <c r="G1346" s="5" t="s">
        <v>346</v>
      </c>
      <c r="I1346" s="11">
        <v>1</v>
      </c>
      <c r="J1346" s="5" t="s">
        <v>45</v>
      </c>
      <c r="K1346" s="10" t="s">
        <v>46</v>
      </c>
      <c r="L1346" s="5" t="s">
        <v>47</v>
      </c>
      <c r="M1346" s="5" t="s">
        <v>115</v>
      </c>
      <c r="N1346" s="5" t="s">
        <v>140</v>
      </c>
      <c r="O1346" s="12"/>
      <c r="S1346" s="13">
        <v>6000</v>
      </c>
      <c r="U1346" s="13">
        <v>6000</v>
      </c>
      <c r="AC1346" s="10" t="s">
        <v>3219</v>
      </c>
      <c r="AD1346" s="5" t="s">
        <v>3207</v>
      </c>
      <c r="AE1346" s="5" t="s">
        <v>138</v>
      </c>
    </row>
    <row r="1347" spans="1:33" ht="10" customHeight="1" x14ac:dyDescent="0.2">
      <c r="A1347" s="5" t="s">
        <v>40</v>
      </c>
      <c r="B1347" s="5" t="s">
        <v>41</v>
      </c>
      <c r="D1347" s="5" t="s">
        <v>3220</v>
      </c>
      <c r="E1347" s="10" t="s">
        <v>345</v>
      </c>
      <c r="F1347" s="5" t="s">
        <v>3205</v>
      </c>
      <c r="G1347" s="5" t="s">
        <v>346</v>
      </c>
      <c r="I1347" s="11">
        <v>1</v>
      </c>
      <c r="J1347" s="5" t="s">
        <v>45</v>
      </c>
      <c r="K1347" s="10" t="s">
        <v>46</v>
      </c>
      <c r="L1347" s="5" t="s">
        <v>47</v>
      </c>
      <c r="M1347" s="5" t="s">
        <v>115</v>
      </c>
      <c r="N1347" s="5" t="s">
        <v>140</v>
      </c>
      <c r="O1347" s="12"/>
      <c r="S1347" s="13">
        <v>233200</v>
      </c>
      <c r="U1347" s="13">
        <v>233200</v>
      </c>
      <c r="AC1347" s="10" t="s">
        <v>3221</v>
      </c>
      <c r="AD1347" s="5" t="s">
        <v>3207</v>
      </c>
      <c r="AE1347" s="5" t="s">
        <v>138</v>
      </c>
    </row>
    <row r="1348" spans="1:33" ht="10" customHeight="1" x14ac:dyDescent="0.2">
      <c r="A1348" s="5" t="s">
        <v>40</v>
      </c>
      <c r="B1348" s="5" t="s">
        <v>41</v>
      </c>
      <c r="D1348" s="5" t="s">
        <v>3222</v>
      </c>
      <c r="E1348" s="10" t="s">
        <v>345</v>
      </c>
      <c r="F1348" s="5" t="s">
        <v>3205</v>
      </c>
      <c r="G1348" s="5" t="s">
        <v>373</v>
      </c>
      <c r="H1348" s="5" t="s">
        <v>357</v>
      </c>
      <c r="I1348" s="11">
        <v>1</v>
      </c>
      <c r="J1348" s="5" t="s">
        <v>45</v>
      </c>
      <c r="K1348" s="10" t="s">
        <v>46</v>
      </c>
      <c r="L1348" s="5" t="s">
        <v>47</v>
      </c>
      <c r="M1348" s="5" t="s">
        <v>115</v>
      </c>
      <c r="N1348" s="5" t="s">
        <v>140</v>
      </c>
      <c r="O1348" s="12"/>
      <c r="S1348" s="13">
        <v>122605</v>
      </c>
      <c r="U1348" s="13">
        <v>122605</v>
      </c>
      <c r="AC1348" s="10" t="s">
        <v>3223</v>
      </c>
      <c r="AD1348" s="5" t="s">
        <v>3224</v>
      </c>
      <c r="AE1348" s="5" t="s">
        <v>138</v>
      </c>
      <c r="AG1348" s="5" t="s">
        <v>3225</v>
      </c>
    </row>
    <row r="1349" spans="1:33" ht="10" customHeight="1" x14ac:dyDescent="0.2">
      <c r="A1349" s="5" t="s">
        <v>40</v>
      </c>
      <c r="B1349" s="5" t="s">
        <v>41</v>
      </c>
      <c r="D1349" s="5" t="s">
        <v>3226</v>
      </c>
      <c r="E1349" s="10" t="s">
        <v>345</v>
      </c>
      <c r="F1349" s="5" t="s">
        <v>3205</v>
      </c>
      <c r="G1349" s="5" t="s">
        <v>373</v>
      </c>
      <c r="H1349" s="5" t="s">
        <v>357</v>
      </c>
      <c r="I1349" s="11">
        <v>1</v>
      </c>
      <c r="J1349" s="5" t="s">
        <v>45</v>
      </c>
      <c r="K1349" s="10" t="s">
        <v>46</v>
      </c>
      <c r="L1349" s="5" t="s">
        <v>47</v>
      </c>
      <c r="M1349" s="5" t="s">
        <v>115</v>
      </c>
      <c r="N1349" s="5" t="s">
        <v>140</v>
      </c>
      <c r="O1349" s="12"/>
      <c r="S1349" s="13">
        <v>92392</v>
      </c>
      <c r="U1349" s="13">
        <v>92392</v>
      </c>
      <c r="AC1349" s="10" t="s">
        <v>3227</v>
      </c>
      <c r="AD1349" s="5" t="s">
        <v>3224</v>
      </c>
      <c r="AE1349" s="5" t="s">
        <v>138</v>
      </c>
      <c r="AG1349" s="5" t="s">
        <v>3228</v>
      </c>
    </row>
    <row r="1350" spans="1:33" ht="10" customHeight="1" x14ac:dyDescent="0.2">
      <c r="A1350" s="5" t="s">
        <v>40</v>
      </c>
      <c r="B1350" s="5" t="s">
        <v>41</v>
      </c>
      <c r="D1350" s="5" t="s">
        <v>3229</v>
      </c>
      <c r="E1350" s="10" t="s">
        <v>345</v>
      </c>
      <c r="F1350" s="5" t="s">
        <v>3205</v>
      </c>
      <c r="G1350" s="5" t="s">
        <v>373</v>
      </c>
      <c r="H1350" s="5" t="s">
        <v>357</v>
      </c>
      <c r="I1350" s="11">
        <v>1</v>
      </c>
      <c r="J1350" s="5" t="s">
        <v>45</v>
      </c>
      <c r="K1350" s="10" t="s">
        <v>46</v>
      </c>
      <c r="L1350" s="5" t="s">
        <v>47</v>
      </c>
      <c r="M1350" s="5" t="s">
        <v>115</v>
      </c>
      <c r="N1350" s="5" t="s">
        <v>140</v>
      </c>
      <c r="O1350" s="12"/>
      <c r="S1350" s="13">
        <v>62571</v>
      </c>
      <c r="U1350" s="13">
        <v>62571</v>
      </c>
      <c r="AC1350" s="10" t="s">
        <v>3230</v>
      </c>
      <c r="AD1350" s="5" t="s">
        <v>3224</v>
      </c>
      <c r="AE1350" s="5" t="s">
        <v>138</v>
      </c>
      <c r="AG1350" s="5" t="s">
        <v>3231</v>
      </c>
    </row>
    <row r="1351" spans="1:33" ht="10" customHeight="1" x14ac:dyDescent="0.2">
      <c r="A1351" s="5" t="s">
        <v>40</v>
      </c>
      <c r="B1351" s="5" t="s">
        <v>41</v>
      </c>
      <c r="D1351" s="5" t="s">
        <v>3232</v>
      </c>
      <c r="E1351" s="10" t="s">
        <v>345</v>
      </c>
      <c r="F1351" s="5" t="s">
        <v>3205</v>
      </c>
      <c r="G1351" s="5" t="s">
        <v>373</v>
      </c>
      <c r="H1351" s="5" t="s">
        <v>357</v>
      </c>
      <c r="I1351" s="11">
        <v>1</v>
      </c>
      <c r="J1351" s="5" t="s">
        <v>45</v>
      </c>
      <c r="K1351" s="10" t="s">
        <v>46</v>
      </c>
      <c r="L1351" s="5" t="s">
        <v>47</v>
      </c>
      <c r="M1351" s="5" t="s">
        <v>115</v>
      </c>
      <c r="N1351" s="5" t="s">
        <v>140</v>
      </c>
      <c r="O1351" s="12"/>
      <c r="S1351" s="13">
        <v>25102</v>
      </c>
      <c r="U1351" s="13">
        <v>25102</v>
      </c>
      <c r="AC1351" s="10" t="s">
        <v>3233</v>
      </c>
      <c r="AD1351" s="5" t="s">
        <v>3224</v>
      </c>
      <c r="AE1351" s="5" t="s">
        <v>138</v>
      </c>
    </row>
    <row r="1352" spans="1:33" ht="10" customHeight="1" x14ac:dyDescent="0.2">
      <c r="A1352" s="5" t="s">
        <v>40</v>
      </c>
      <c r="B1352" s="5" t="s">
        <v>41</v>
      </c>
      <c r="D1352" s="5" t="s">
        <v>3234</v>
      </c>
      <c r="E1352" s="10" t="s">
        <v>345</v>
      </c>
      <c r="F1352" s="5" t="s">
        <v>3205</v>
      </c>
      <c r="G1352" s="5" t="s">
        <v>373</v>
      </c>
      <c r="H1352" s="5" t="s">
        <v>357</v>
      </c>
      <c r="I1352" s="11">
        <v>1</v>
      </c>
      <c r="J1352" s="5" t="s">
        <v>45</v>
      </c>
      <c r="K1352" s="10" t="s">
        <v>46</v>
      </c>
      <c r="L1352" s="5" t="s">
        <v>47</v>
      </c>
      <c r="M1352" s="5" t="s">
        <v>115</v>
      </c>
      <c r="N1352" s="5" t="s">
        <v>140</v>
      </c>
      <c r="O1352" s="12"/>
      <c r="S1352" s="13">
        <v>39622</v>
      </c>
      <c r="U1352" s="13">
        <v>39622</v>
      </c>
      <c r="AC1352" s="10" t="s">
        <v>3235</v>
      </c>
      <c r="AD1352" s="5" t="s">
        <v>3224</v>
      </c>
      <c r="AE1352" s="5" t="s">
        <v>138</v>
      </c>
      <c r="AG1352" s="5" t="s">
        <v>3236</v>
      </c>
    </row>
    <row r="1353" spans="1:33" ht="10" customHeight="1" x14ac:dyDescent="0.2">
      <c r="A1353" s="5" t="s">
        <v>40</v>
      </c>
      <c r="B1353" s="5" t="s">
        <v>41</v>
      </c>
      <c r="D1353" s="5" t="s">
        <v>3237</v>
      </c>
      <c r="E1353" s="10" t="s">
        <v>345</v>
      </c>
      <c r="F1353" s="5" t="s">
        <v>3205</v>
      </c>
      <c r="G1353" s="5" t="s">
        <v>373</v>
      </c>
      <c r="H1353" s="5" t="s">
        <v>357</v>
      </c>
      <c r="I1353" s="11">
        <v>1</v>
      </c>
      <c r="J1353" s="5" t="s">
        <v>45</v>
      </c>
      <c r="K1353" s="10" t="s">
        <v>46</v>
      </c>
      <c r="L1353" s="5" t="s">
        <v>47</v>
      </c>
      <c r="M1353" s="5" t="s">
        <v>115</v>
      </c>
      <c r="N1353" s="5" t="s">
        <v>140</v>
      </c>
      <c r="O1353" s="12"/>
      <c r="S1353" s="13">
        <v>14764</v>
      </c>
      <c r="U1353" s="13">
        <v>14764</v>
      </c>
      <c r="AC1353" s="10" t="s">
        <v>3238</v>
      </c>
      <c r="AD1353" s="5" t="s">
        <v>3224</v>
      </c>
      <c r="AE1353" s="5" t="s">
        <v>138</v>
      </c>
      <c r="AG1353" s="5" t="s">
        <v>3239</v>
      </c>
    </row>
    <row r="1354" spans="1:33" ht="10" customHeight="1" x14ac:dyDescent="0.2">
      <c r="A1354" s="5" t="s">
        <v>40</v>
      </c>
      <c r="B1354" s="5" t="s">
        <v>41</v>
      </c>
      <c r="D1354" s="5" t="s">
        <v>3240</v>
      </c>
      <c r="E1354" s="10" t="s">
        <v>345</v>
      </c>
      <c r="F1354" s="5" t="s">
        <v>3205</v>
      </c>
      <c r="G1354" s="5" t="s">
        <v>373</v>
      </c>
      <c r="H1354" s="5" t="s">
        <v>357</v>
      </c>
      <c r="I1354" s="11">
        <v>1</v>
      </c>
      <c r="J1354" s="5" t="s">
        <v>45</v>
      </c>
      <c r="K1354" s="10" t="s">
        <v>46</v>
      </c>
      <c r="L1354" s="5" t="s">
        <v>47</v>
      </c>
      <c r="M1354" s="5" t="s">
        <v>115</v>
      </c>
      <c r="N1354" s="5" t="s">
        <v>140</v>
      </c>
      <c r="O1354" s="12"/>
      <c r="S1354" s="13">
        <v>11447</v>
      </c>
      <c r="U1354" s="13">
        <v>11447</v>
      </c>
      <c r="AC1354" s="10" t="s">
        <v>3241</v>
      </c>
      <c r="AD1354" s="5" t="s">
        <v>3224</v>
      </c>
      <c r="AE1354" s="5" t="s">
        <v>138</v>
      </c>
      <c r="AG1354" s="5" t="s">
        <v>3242</v>
      </c>
    </row>
    <row r="1355" spans="1:33" ht="10" customHeight="1" x14ac:dyDescent="0.2">
      <c r="A1355" s="5" t="s">
        <v>40</v>
      </c>
      <c r="B1355" s="5" t="s">
        <v>41</v>
      </c>
      <c r="D1355" s="5" t="s">
        <v>3243</v>
      </c>
      <c r="E1355" s="10" t="s">
        <v>345</v>
      </c>
      <c r="F1355" s="5" t="s">
        <v>3205</v>
      </c>
      <c r="G1355" s="5" t="s">
        <v>373</v>
      </c>
      <c r="H1355" s="5" t="s">
        <v>357</v>
      </c>
      <c r="I1355" s="11">
        <v>1</v>
      </c>
      <c r="J1355" s="5" t="s">
        <v>45</v>
      </c>
      <c r="K1355" s="10" t="s">
        <v>46</v>
      </c>
      <c r="L1355" s="5" t="s">
        <v>47</v>
      </c>
      <c r="M1355" s="5" t="s">
        <v>115</v>
      </c>
      <c r="N1355" s="5" t="s">
        <v>140</v>
      </c>
      <c r="O1355" s="12"/>
      <c r="S1355" s="13">
        <v>17197</v>
      </c>
      <c r="U1355" s="13">
        <v>17197</v>
      </c>
      <c r="AC1355" s="10" t="s">
        <v>3244</v>
      </c>
      <c r="AD1355" s="5" t="s">
        <v>3224</v>
      </c>
      <c r="AE1355" s="5" t="s">
        <v>138</v>
      </c>
      <c r="AG1355" s="5" t="s">
        <v>3245</v>
      </c>
    </row>
    <row r="1356" spans="1:33" ht="10" customHeight="1" x14ac:dyDescent="0.2">
      <c r="A1356" s="5" t="s">
        <v>40</v>
      </c>
      <c r="B1356" s="5" t="s">
        <v>41</v>
      </c>
      <c r="D1356" s="5" t="s">
        <v>3246</v>
      </c>
      <c r="E1356" s="10" t="s">
        <v>345</v>
      </c>
      <c r="F1356" s="5" t="s">
        <v>3205</v>
      </c>
      <c r="G1356" s="5" t="s">
        <v>373</v>
      </c>
      <c r="H1356" s="5" t="s">
        <v>363</v>
      </c>
      <c r="I1356" s="11">
        <v>1</v>
      </c>
      <c r="J1356" s="5" t="s">
        <v>45</v>
      </c>
      <c r="K1356" s="10" t="s">
        <v>46</v>
      </c>
      <c r="L1356" s="5" t="s">
        <v>47</v>
      </c>
      <c r="M1356" s="5" t="s">
        <v>115</v>
      </c>
      <c r="N1356" s="5" t="s">
        <v>140</v>
      </c>
      <c r="O1356" s="12"/>
      <c r="S1356" s="13">
        <v>17349</v>
      </c>
      <c r="U1356" s="13">
        <v>17349</v>
      </c>
      <c r="AC1356" s="10" t="s">
        <v>3247</v>
      </c>
      <c r="AD1356" s="5" t="s">
        <v>3248</v>
      </c>
      <c r="AE1356" s="5" t="s">
        <v>138</v>
      </c>
      <c r="AG1356" s="5" t="s">
        <v>3249</v>
      </c>
    </row>
    <row r="1357" spans="1:33" ht="10" customHeight="1" x14ac:dyDescent="0.2">
      <c r="A1357" s="5" t="s">
        <v>40</v>
      </c>
      <c r="B1357" s="5" t="s">
        <v>41</v>
      </c>
      <c r="D1357" s="5" t="s">
        <v>3250</v>
      </c>
      <c r="E1357" s="10" t="s">
        <v>345</v>
      </c>
      <c r="F1357" s="5" t="s">
        <v>3205</v>
      </c>
      <c r="G1357" s="5" t="s">
        <v>373</v>
      </c>
      <c r="H1357" s="5" t="s">
        <v>363</v>
      </c>
      <c r="I1357" s="11">
        <v>1</v>
      </c>
      <c r="J1357" s="5" t="s">
        <v>45</v>
      </c>
      <c r="K1357" s="10" t="s">
        <v>46</v>
      </c>
      <c r="L1357" s="5" t="s">
        <v>47</v>
      </c>
      <c r="M1357" s="5" t="s">
        <v>115</v>
      </c>
      <c r="N1357" s="5" t="s">
        <v>140</v>
      </c>
      <c r="O1357" s="12"/>
      <c r="S1357" s="13">
        <v>7168</v>
      </c>
      <c r="U1357" s="13">
        <v>7168</v>
      </c>
      <c r="AC1357" s="10" t="s">
        <v>3251</v>
      </c>
      <c r="AD1357" s="5" t="s">
        <v>3248</v>
      </c>
      <c r="AE1357" s="5" t="s">
        <v>138</v>
      </c>
      <c r="AG1357" s="5" t="s">
        <v>3252</v>
      </c>
    </row>
    <row r="1358" spans="1:33" ht="10" customHeight="1" x14ac:dyDescent="0.2">
      <c r="A1358" s="5" t="s">
        <v>40</v>
      </c>
      <c r="B1358" s="5" t="s">
        <v>41</v>
      </c>
      <c r="D1358" s="5" t="s">
        <v>3253</v>
      </c>
      <c r="E1358" s="10" t="s">
        <v>345</v>
      </c>
      <c r="F1358" s="5" t="s">
        <v>3205</v>
      </c>
      <c r="G1358" s="5" t="s">
        <v>373</v>
      </c>
      <c r="H1358" s="5" t="s">
        <v>363</v>
      </c>
      <c r="I1358" s="11">
        <v>1</v>
      </c>
      <c r="J1358" s="5" t="s">
        <v>45</v>
      </c>
      <c r="K1358" s="10" t="s">
        <v>46</v>
      </c>
      <c r="L1358" s="5" t="s">
        <v>47</v>
      </c>
      <c r="M1358" s="5" t="s">
        <v>115</v>
      </c>
      <c r="N1358" s="5" t="s">
        <v>140</v>
      </c>
      <c r="O1358" s="12"/>
      <c r="S1358" s="13">
        <v>4423</v>
      </c>
      <c r="U1358" s="13">
        <v>4423</v>
      </c>
      <c r="AC1358" s="10" t="s">
        <v>3254</v>
      </c>
      <c r="AD1358" s="5" t="s">
        <v>3248</v>
      </c>
      <c r="AE1358" s="5" t="s">
        <v>138</v>
      </c>
      <c r="AG1358" s="5" t="s">
        <v>3255</v>
      </c>
    </row>
    <row r="1359" spans="1:33" ht="10" customHeight="1" x14ac:dyDescent="0.2">
      <c r="A1359" s="5" t="s">
        <v>40</v>
      </c>
      <c r="B1359" s="5" t="s">
        <v>41</v>
      </c>
      <c r="D1359" s="5" t="s">
        <v>3256</v>
      </c>
      <c r="E1359" s="10" t="s">
        <v>345</v>
      </c>
      <c r="F1359" s="5" t="s">
        <v>3205</v>
      </c>
      <c r="G1359" s="5" t="s">
        <v>373</v>
      </c>
      <c r="H1359" s="5" t="s">
        <v>363</v>
      </c>
      <c r="I1359" s="11">
        <v>1</v>
      </c>
      <c r="J1359" s="5" t="s">
        <v>45</v>
      </c>
      <c r="K1359" s="10" t="s">
        <v>46</v>
      </c>
      <c r="L1359" s="5" t="s">
        <v>47</v>
      </c>
      <c r="M1359" s="5" t="s">
        <v>115</v>
      </c>
      <c r="N1359" s="5" t="s">
        <v>140</v>
      </c>
      <c r="O1359" s="12"/>
      <c r="S1359" s="13">
        <v>4853</v>
      </c>
      <c r="U1359" s="13">
        <v>4853</v>
      </c>
      <c r="AC1359" s="10" t="s">
        <v>3257</v>
      </c>
      <c r="AD1359" s="5" t="s">
        <v>3248</v>
      </c>
      <c r="AE1359" s="5" t="s">
        <v>138</v>
      </c>
      <c r="AG1359" s="5" t="s">
        <v>3258</v>
      </c>
    </row>
    <row r="1360" spans="1:33" ht="10" customHeight="1" x14ac:dyDescent="0.2">
      <c r="A1360" s="5" t="s">
        <v>40</v>
      </c>
      <c r="B1360" s="5" t="s">
        <v>41</v>
      </c>
      <c r="D1360" s="5" t="s">
        <v>3259</v>
      </c>
      <c r="E1360" s="10" t="s">
        <v>345</v>
      </c>
      <c r="F1360" s="5" t="s">
        <v>3205</v>
      </c>
      <c r="G1360" s="5" t="s">
        <v>373</v>
      </c>
      <c r="H1360" s="5" t="s">
        <v>363</v>
      </c>
      <c r="I1360" s="11">
        <v>1</v>
      </c>
      <c r="J1360" s="5" t="s">
        <v>45</v>
      </c>
      <c r="K1360" s="10" t="s">
        <v>46</v>
      </c>
      <c r="L1360" s="5" t="s">
        <v>47</v>
      </c>
      <c r="M1360" s="5" t="s">
        <v>115</v>
      </c>
      <c r="N1360" s="5" t="s">
        <v>140</v>
      </c>
      <c r="O1360" s="12"/>
      <c r="S1360" s="13">
        <v>5761</v>
      </c>
      <c r="U1360" s="13">
        <v>5761</v>
      </c>
      <c r="AC1360" s="10" t="s">
        <v>3260</v>
      </c>
      <c r="AD1360" s="5" t="s">
        <v>3248</v>
      </c>
      <c r="AE1360" s="5" t="s">
        <v>138</v>
      </c>
      <c r="AG1360" s="5" t="s">
        <v>3261</v>
      </c>
    </row>
    <row r="1361" spans="1:33" ht="10" customHeight="1" x14ac:dyDescent="0.2">
      <c r="A1361" s="5" t="s">
        <v>40</v>
      </c>
      <c r="B1361" s="5" t="s">
        <v>41</v>
      </c>
      <c r="D1361" s="5" t="s">
        <v>3262</v>
      </c>
      <c r="E1361" s="10" t="s">
        <v>345</v>
      </c>
      <c r="F1361" s="5" t="s">
        <v>3205</v>
      </c>
      <c r="G1361" s="5" t="s">
        <v>373</v>
      </c>
      <c r="H1361" s="5" t="s">
        <v>363</v>
      </c>
      <c r="I1361" s="11">
        <v>1</v>
      </c>
      <c r="J1361" s="5" t="s">
        <v>45</v>
      </c>
      <c r="K1361" s="10" t="s">
        <v>46</v>
      </c>
      <c r="L1361" s="5" t="s">
        <v>47</v>
      </c>
      <c r="M1361" s="5" t="s">
        <v>115</v>
      </c>
      <c r="N1361" s="5" t="s">
        <v>140</v>
      </c>
      <c r="O1361" s="12"/>
      <c r="S1361" s="13">
        <v>3545</v>
      </c>
      <c r="U1361" s="13">
        <v>3545</v>
      </c>
      <c r="AC1361" s="10" t="s">
        <v>3263</v>
      </c>
      <c r="AD1361" s="5" t="s">
        <v>3248</v>
      </c>
      <c r="AE1361" s="5" t="s">
        <v>138</v>
      </c>
    </row>
    <row r="1362" spans="1:33" ht="10" customHeight="1" x14ac:dyDescent="0.2">
      <c r="A1362" s="5" t="s">
        <v>40</v>
      </c>
      <c r="B1362" s="5" t="s">
        <v>41</v>
      </c>
      <c r="D1362" s="5" t="s">
        <v>3264</v>
      </c>
      <c r="E1362" s="10" t="s">
        <v>345</v>
      </c>
      <c r="F1362" s="5" t="s">
        <v>3205</v>
      </c>
      <c r="G1362" s="5" t="s">
        <v>373</v>
      </c>
      <c r="H1362" s="5" t="s">
        <v>363</v>
      </c>
      <c r="I1362" s="11">
        <v>1</v>
      </c>
      <c r="J1362" s="5" t="s">
        <v>45</v>
      </c>
      <c r="K1362" s="10" t="s">
        <v>46</v>
      </c>
      <c r="L1362" s="5" t="s">
        <v>47</v>
      </c>
      <c r="M1362" s="5" t="s">
        <v>115</v>
      </c>
      <c r="N1362" s="5" t="s">
        <v>140</v>
      </c>
      <c r="O1362" s="12"/>
      <c r="S1362" s="13">
        <v>4425</v>
      </c>
      <c r="U1362" s="13">
        <v>4425</v>
      </c>
      <c r="AC1362" s="10" t="s">
        <v>3265</v>
      </c>
      <c r="AD1362" s="5" t="s">
        <v>3248</v>
      </c>
      <c r="AE1362" s="5" t="s">
        <v>138</v>
      </c>
      <c r="AG1362" s="5" t="s">
        <v>3266</v>
      </c>
    </row>
    <row r="1363" spans="1:33" ht="10" customHeight="1" x14ac:dyDescent="0.2">
      <c r="A1363" s="5" t="s">
        <v>40</v>
      </c>
      <c r="B1363" s="5" t="s">
        <v>41</v>
      </c>
      <c r="D1363" s="5" t="s">
        <v>3267</v>
      </c>
      <c r="E1363" s="10" t="s">
        <v>345</v>
      </c>
      <c r="F1363" s="5" t="s">
        <v>3205</v>
      </c>
      <c r="G1363" s="5" t="s">
        <v>373</v>
      </c>
      <c r="H1363" s="5" t="s">
        <v>363</v>
      </c>
      <c r="I1363" s="11">
        <v>1</v>
      </c>
      <c r="J1363" s="5" t="s">
        <v>45</v>
      </c>
      <c r="K1363" s="10" t="s">
        <v>46</v>
      </c>
      <c r="L1363" s="5" t="s">
        <v>47</v>
      </c>
      <c r="M1363" s="5" t="s">
        <v>115</v>
      </c>
      <c r="N1363" s="5" t="s">
        <v>140</v>
      </c>
      <c r="O1363" s="12"/>
      <c r="S1363" s="13">
        <v>11772</v>
      </c>
      <c r="U1363" s="13">
        <v>11772</v>
      </c>
      <c r="AC1363" s="10" t="s">
        <v>3268</v>
      </c>
      <c r="AD1363" s="5" t="s">
        <v>3248</v>
      </c>
      <c r="AE1363" s="5" t="s">
        <v>138</v>
      </c>
      <c r="AG1363" s="5" t="s">
        <v>1018</v>
      </c>
    </row>
    <row r="1364" spans="1:33" ht="10" customHeight="1" x14ac:dyDescent="0.2">
      <c r="A1364" s="5" t="s">
        <v>40</v>
      </c>
      <c r="B1364" s="5" t="s">
        <v>41</v>
      </c>
      <c r="D1364" s="5" t="s">
        <v>3269</v>
      </c>
      <c r="E1364" s="10" t="s">
        <v>345</v>
      </c>
      <c r="F1364" s="5" t="s">
        <v>3205</v>
      </c>
      <c r="G1364" s="5" t="s">
        <v>373</v>
      </c>
      <c r="H1364" s="5" t="s">
        <v>366</v>
      </c>
      <c r="I1364" s="11">
        <v>1</v>
      </c>
      <c r="J1364" s="5" t="s">
        <v>45</v>
      </c>
      <c r="K1364" s="10" t="s">
        <v>46</v>
      </c>
      <c r="L1364" s="5" t="s">
        <v>47</v>
      </c>
      <c r="M1364" s="5" t="s">
        <v>115</v>
      </c>
      <c r="N1364" s="5" t="s">
        <v>140</v>
      </c>
      <c r="O1364" s="12"/>
      <c r="S1364" s="13">
        <v>53315</v>
      </c>
      <c r="U1364" s="13">
        <v>53315</v>
      </c>
      <c r="AC1364" s="10" t="s">
        <v>3270</v>
      </c>
      <c r="AD1364" s="5" t="s">
        <v>3271</v>
      </c>
      <c r="AE1364" s="5" t="s">
        <v>138</v>
      </c>
      <c r="AG1364" s="5" t="s">
        <v>3272</v>
      </c>
    </row>
    <row r="1365" spans="1:33" ht="10" customHeight="1" x14ac:dyDescent="0.2">
      <c r="A1365" s="5" t="s">
        <v>40</v>
      </c>
      <c r="B1365" s="5" t="s">
        <v>41</v>
      </c>
      <c r="D1365" s="5" t="s">
        <v>3273</v>
      </c>
      <c r="E1365" s="10" t="s">
        <v>345</v>
      </c>
      <c r="F1365" s="5" t="s">
        <v>3205</v>
      </c>
      <c r="G1365" s="5" t="s">
        <v>373</v>
      </c>
      <c r="H1365" s="5" t="s">
        <v>366</v>
      </c>
      <c r="I1365" s="11">
        <v>1</v>
      </c>
      <c r="J1365" s="5" t="s">
        <v>45</v>
      </c>
      <c r="K1365" s="10" t="s">
        <v>46</v>
      </c>
      <c r="L1365" s="5" t="s">
        <v>47</v>
      </c>
      <c r="M1365" s="5" t="s">
        <v>115</v>
      </c>
      <c r="N1365" s="5" t="s">
        <v>140</v>
      </c>
      <c r="O1365" s="12"/>
      <c r="S1365" s="13">
        <v>30918</v>
      </c>
      <c r="U1365" s="13">
        <v>30918</v>
      </c>
      <c r="AC1365" s="10" t="s">
        <v>3274</v>
      </c>
      <c r="AD1365" s="5" t="s">
        <v>3271</v>
      </c>
      <c r="AE1365" s="5" t="s">
        <v>138</v>
      </c>
      <c r="AG1365" s="5" t="s">
        <v>3275</v>
      </c>
    </row>
    <row r="1366" spans="1:33" ht="10" customHeight="1" x14ac:dyDescent="0.2">
      <c r="A1366" s="5" t="s">
        <v>40</v>
      </c>
      <c r="B1366" s="5" t="s">
        <v>41</v>
      </c>
      <c r="D1366" s="5" t="s">
        <v>3276</v>
      </c>
      <c r="E1366" s="10" t="s">
        <v>345</v>
      </c>
      <c r="F1366" s="5" t="s">
        <v>3205</v>
      </c>
      <c r="G1366" s="5" t="s">
        <v>373</v>
      </c>
      <c r="H1366" s="5" t="s">
        <v>366</v>
      </c>
      <c r="I1366" s="11">
        <v>1</v>
      </c>
      <c r="J1366" s="5" t="s">
        <v>45</v>
      </c>
      <c r="K1366" s="10" t="s">
        <v>46</v>
      </c>
      <c r="L1366" s="5" t="s">
        <v>47</v>
      </c>
      <c r="M1366" s="5" t="s">
        <v>115</v>
      </c>
      <c r="N1366" s="5" t="s">
        <v>140</v>
      </c>
      <c r="O1366" s="12"/>
      <c r="S1366" s="13">
        <v>27115</v>
      </c>
      <c r="U1366" s="13">
        <v>27115</v>
      </c>
      <c r="AC1366" s="10" t="s">
        <v>3277</v>
      </c>
      <c r="AD1366" s="5" t="s">
        <v>3271</v>
      </c>
      <c r="AE1366" s="5" t="s">
        <v>138</v>
      </c>
    </row>
    <row r="1367" spans="1:33" ht="10" customHeight="1" x14ac:dyDescent="0.2">
      <c r="A1367" s="5" t="s">
        <v>40</v>
      </c>
      <c r="B1367" s="5" t="s">
        <v>41</v>
      </c>
      <c r="D1367" s="5" t="s">
        <v>3278</v>
      </c>
      <c r="E1367" s="10" t="s">
        <v>345</v>
      </c>
      <c r="F1367" s="5" t="s">
        <v>3205</v>
      </c>
      <c r="G1367" s="5" t="s">
        <v>373</v>
      </c>
      <c r="H1367" s="5" t="s">
        <v>366</v>
      </c>
      <c r="I1367" s="11">
        <v>1</v>
      </c>
      <c r="J1367" s="5" t="s">
        <v>45</v>
      </c>
      <c r="K1367" s="10" t="s">
        <v>46</v>
      </c>
      <c r="L1367" s="5" t="s">
        <v>47</v>
      </c>
      <c r="M1367" s="5" t="s">
        <v>115</v>
      </c>
      <c r="N1367" s="5" t="s">
        <v>140</v>
      </c>
      <c r="O1367" s="12"/>
      <c r="S1367" s="13">
        <v>3098</v>
      </c>
      <c r="U1367" s="13">
        <v>3098</v>
      </c>
      <c r="AC1367" s="10" t="s">
        <v>3279</v>
      </c>
      <c r="AD1367" s="5" t="s">
        <v>3271</v>
      </c>
      <c r="AE1367" s="5" t="s">
        <v>138</v>
      </c>
      <c r="AG1367" s="5" t="s">
        <v>3280</v>
      </c>
    </row>
    <row r="1368" spans="1:33" ht="10" customHeight="1" x14ac:dyDescent="0.2">
      <c r="A1368" s="5" t="s">
        <v>40</v>
      </c>
      <c r="B1368" s="5" t="s">
        <v>41</v>
      </c>
      <c r="D1368" s="5" t="s">
        <v>3281</v>
      </c>
      <c r="E1368" s="10" t="s">
        <v>345</v>
      </c>
      <c r="F1368" s="5" t="s">
        <v>3205</v>
      </c>
      <c r="G1368" s="5" t="s">
        <v>373</v>
      </c>
      <c r="H1368" s="5" t="s">
        <v>366</v>
      </c>
      <c r="I1368" s="11">
        <v>1</v>
      </c>
      <c r="J1368" s="5" t="s">
        <v>45</v>
      </c>
      <c r="K1368" s="10" t="s">
        <v>46</v>
      </c>
      <c r="L1368" s="5" t="s">
        <v>47</v>
      </c>
      <c r="M1368" s="5" t="s">
        <v>115</v>
      </c>
      <c r="N1368" s="5" t="s">
        <v>140</v>
      </c>
      <c r="O1368" s="12"/>
      <c r="S1368" s="13">
        <v>6751</v>
      </c>
      <c r="U1368" s="13">
        <v>6751</v>
      </c>
      <c r="AC1368" s="10" t="s">
        <v>3282</v>
      </c>
      <c r="AD1368" s="5" t="s">
        <v>3271</v>
      </c>
      <c r="AE1368" s="5" t="s">
        <v>138</v>
      </c>
      <c r="AG1368" s="5" t="s">
        <v>3283</v>
      </c>
    </row>
    <row r="1369" spans="1:33" ht="10" customHeight="1" x14ac:dyDescent="0.2">
      <c r="A1369" s="5" t="s">
        <v>40</v>
      </c>
      <c r="B1369" s="5" t="s">
        <v>41</v>
      </c>
      <c r="D1369" s="5" t="s">
        <v>3284</v>
      </c>
      <c r="E1369" s="10" t="s">
        <v>345</v>
      </c>
      <c r="F1369" s="5" t="s">
        <v>3205</v>
      </c>
      <c r="G1369" s="5" t="s">
        <v>464</v>
      </c>
      <c r="I1369" s="11">
        <v>1</v>
      </c>
      <c r="J1369" s="5" t="s">
        <v>45</v>
      </c>
      <c r="K1369" s="10" t="s">
        <v>46</v>
      </c>
      <c r="L1369" s="5" t="s">
        <v>47</v>
      </c>
      <c r="M1369" s="5" t="s">
        <v>115</v>
      </c>
      <c r="N1369" s="5" t="s">
        <v>140</v>
      </c>
      <c r="O1369" s="12"/>
      <c r="S1369" s="13">
        <v>98758</v>
      </c>
      <c r="U1369" s="13">
        <v>98758</v>
      </c>
      <c r="AC1369" s="10" t="s">
        <v>3285</v>
      </c>
      <c r="AD1369" s="5" t="s">
        <v>3286</v>
      </c>
      <c r="AE1369" s="5" t="s">
        <v>138</v>
      </c>
    </row>
    <row r="1370" spans="1:33" ht="10" customHeight="1" x14ac:dyDescent="0.2">
      <c r="A1370" s="5" t="s">
        <v>40</v>
      </c>
      <c r="B1370" s="5" t="s">
        <v>41</v>
      </c>
      <c r="D1370" s="5" t="s">
        <v>3287</v>
      </c>
      <c r="E1370" s="10" t="s">
        <v>345</v>
      </c>
      <c r="F1370" s="5" t="s">
        <v>3205</v>
      </c>
      <c r="G1370" s="5" t="s">
        <v>464</v>
      </c>
      <c r="I1370" s="11">
        <v>1</v>
      </c>
      <c r="J1370" s="5" t="s">
        <v>45</v>
      </c>
      <c r="K1370" s="10" t="s">
        <v>46</v>
      </c>
      <c r="L1370" s="5" t="s">
        <v>47</v>
      </c>
      <c r="M1370" s="5" t="s">
        <v>115</v>
      </c>
      <c r="N1370" s="5" t="s">
        <v>140</v>
      </c>
      <c r="O1370" s="12"/>
      <c r="S1370" s="13">
        <v>4305</v>
      </c>
      <c r="U1370" s="13">
        <v>4305</v>
      </c>
      <c r="AC1370" s="10" t="s">
        <v>3288</v>
      </c>
      <c r="AD1370" s="5" t="s">
        <v>3286</v>
      </c>
      <c r="AE1370" s="5" t="s">
        <v>138</v>
      </c>
    </row>
    <row r="1371" spans="1:33" ht="10" customHeight="1" x14ac:dyDescent="0.2">
      <c r="A1371" s="5" t="s">
        <v>40</v>
      </c>
      <c r="B1371" s="5" t="s">
        <v>41</v>
      </c>
      <c r="D1371" s="5" t="s">
        <v>3289</v>
      </c>
      <c r="E1371" s="10" t="s">
        <v>345</v>
      </c>
      <c r="F1371" s="5" t="s">
        <v>3205</v>
      </c>
      <c r="G1371" s="5" t="s">
        <v>464</v>
      </c>
      <c r="I1371" s="11">
        <v>1</v>
      </c>
      <c r="J1371" s="5" t="s">
        <v>45</v>
      </c>
      <c r="K1371" s="10" t="s">
        <v>46</v>
      </c>
      <c r="L1371" s="5" t="s">
        <v>47</v>
      </c>
      <c r="M1371" s="5" t="s">
        <v>115</v>
      </c>
      <c r="N1371" s="5" t="s">
        <v>140</v>
      </c>
      <c r="O1371" s="12"/>
      <c r="S1371" s="13">
        <v>3928</v>
      </c>
      <c r="U1371" s="13">
        <v>3928</v>
      </c>
      <c r="AC1371" s="10" t="s">
        <v>3290</v>
      </c>
      <c r="AD1371" s="5" t="s">
        <v>3286</v>
      </c>
      <c r="AE1371" s="5" t="s">
        <v>138</v>
      </c>
    </row>
    <row r="1372" spans="1:33" ht="10" customHeight="1" x14ac:dyDescent="0.2">
      <c r="A1372" s="5" t="s">
        <v>40</v>
      </c>
      <c r="B1372" s="5" t="s">
        <v>41</v>
      </c>
      <c r="D1372" s="5" t="s">
        <v>3291</v>
      </c>
      <c r="E1372" s="10" t="s">
        <v>345</v>
      </c>
      <c r="F1372" s="5" t="s">
        <v>3205</v>
      </c>
      <c r="G1372" s="5" t="s">
        <v>464</v>
      </c>
      <c r="I1372" s="11">
        <v>1</v>
      </c>
      <c r="J1372" s="5" t="s">
        <v>45</v>
      </c>
      <c r="K1372" s="10" t="s">
        <v>46</v>
      </c>
      <c r="L1372" s="5" t="s">
        <v>47</v>
      </c>
      <c r="M1372" s="5" t="s">
        <v>115</v>
      </c>
      <c r="N1372" s="5" t="s">
        <v>140</v>
      </c>
      <c r="O1372" s="12"/>
      <c r="S1372" s="13">
        <v>15614</v>
      </c>
      <c r="U1372" s="13">
        <v>15614</v>
      </c>
      <c r="AC1372" s="10" t="s">
        <v>3292</v>
      </c>
      <c r="AD1372" s="5" t="s">
        <v>3286</v>
      </c>
      <c r="AE1372" s="5" t="s">
        <v>138</v>
      </c>
      <c r="AG1372" s="5" t="s">
        <v>371</v>
      </c>
    </row>
    <row r="1373" spans="1:33" ht="10" customHeight="1" x14ac:dyDescent="0.2">
      <c r="A1373" s="5" t="s">
        <v>40</v>
      </c>
      <c r="B1373" s="5" t="s">
        <v>41</v>
      </c>
      <c r="D1373" s="5" t="s">
        <v>3293</v>
      </c>
      <c r="E1373" s="10" t="s">
        <v>345</v>
      </c>
      <c r="F1373" s="5" t="s">
        <v>3205</v>
      </c>
      <c r="G1373" s="5" t="s">
        <v>464</v>
      </c>
      <c r="I1373" s="11">
        <v>1</v>
      </c>
      <c r="J1373" s="5" t="s">
        <v>45</v>
      </c>
      <c r="K1373" s="10" t="s">
        <v>46</v>
      </c>
      <c r="L1373" s="5" t="s">
        <v>47</v>
      </c>
      <c r="M1373" s="5" t="s">
        <v>115</v>
      </c>
      <c r="N1373" s="5" t="s">
        <v>140</v>
      </c>
      <c r="O1373" s="12"/>
      <c r="S1373" s="13">
        <v>36194</v>
      </c>
      <c r="U1373" s="13">
        <v>36194</v>
      </c>
      <c r="AC1373" s="10" t="s">
        <v>3294</v>
      </c>
      <c r="AD1373" s="5" t="s">
        <v>3295</v>
      </c>
      <c r="AE1373" s="5" t="s">
        <v>138</v>
      </c>
    </row>
    <row r="1374" spans="1:33" ht="10" customHeight="1" x14ac:dyDescent="0.2">
      <c r="A1374" s="5" t="s">
        <v>40</v>
      </c>
      <c r="B1374" s="5" t="s">
        <v>41</v>
      </c>
      <c r="D1374" s="5" t="s">
        <v>3296</v>
      </c>
      <c r="E1374" s="10" t="s">
        <v>345</v>
      </c>
      <c r="F1374" s="5" t="s">
        <v>3205</v>
      </c>
      <c r="G1374" s="5" t="s">
        <v>464</v>
      </c>
      <c r="I1374" s="11">
        <v>1</v>
      </c>
      <c r="J1374" s="5" t="s">
        <v>45</v>
      </c>
      <c r="K1374" s="10" t="s">
        <v>46</v>
      </c>
      <c r="L1374" s="5" t="s">
        <v>47</v>
      </c>
      <c r="M1374" s="5" t="s">
        <v>115</v>
      </c>
      <c r="N1374" s="5" t="s">
        <v>140</v>
      </c>
      <c r="O1374" s="12"/>
      <c r="S1374" s="13">
        <v>1725</v>
      </c>
      <c r="U1374" s="13">
        <v>1725</v>
      </c>
      <c r="AC1374" s="10" t="s">
        <v>3297</v>
      </c>
      <c r="AD1374" s="5" t="s">
        <v>3295</v>
      </c>
      <c r="AE1374" s="5" t="s">
        <v>138</v>
      </c>
    </row>
    <row r="1375" spans="1:33" ht="10" customHeight="1" x14ac:dyDescent="0.2">
      <c r="A1375" s="5" t="s">
        <v>40</v>
      </c>
      <c r="B1375" s="5" t="s">
        <v>41</v>
      </c>
      <c r="D1375" s="5" t="s">
        <v>3298</v>
      </c>
      <c r="E1375" s="10" t="s">
        <v>345</v>
      </c>
      <c r="F1375" s="5" t="s">
        <v>3205</v>
      </c>
      <c r="G1375" s="5" t="s">
        <v>464</v>
      </c>
      <c r="I1375" s="11">
        <v>1</v>
      </c>
      <c r="J1375" s="5" t="s">
        <v>45</v>
      </c>
      <c r="K1375" s="10" t="s">
        <v>46</v>
      </c>
      <c r="L1375" s="5" t="s">
        <v>47</v>
      </c>
      <c r="M1375" s="5" t="s">
        <v>115</v>
      </c>
      <c r="N1375" s="5" t="s">
        <v>140</v>
      </c>
      <c r="O1375" s="12"/>
      <c r="S1375" s="13">
        <v>2857</v>
      </c>
      <c r="U1375" s="13">
        <v>2857</v>
      </c>
      <c r="AC1375" s="10" t="s">
        <v>3299</v>
      </c>
      <c r="AD1375" s="5" t="s">
        <v>3295</v>
      </c>
      <c r="AE1375" s="5" t="s">
        <v>138</v>
      </c>
    </row>
    <row r="1376" spans="1:33" ht="10" customHeight="1" x14ac:dyDescent="0.2">
      <c r="A1376" s="5" t="s">
        <v>40</v>
      </c>
      <c r="B1376" s="5" t="s">
        <v>41</v>
      </c>
      <c r="D1376" s="5" t="s">
        <v>3300</v>
      </c>
      <c r="E1376" s="10" t="s">
        <v>345</v>
      </c>
      <c r="F1376" s="5" t="s">
        <v>3205</v>
      </c>
      <c r="G1376" s="5" t="s">
        <v>464</v>
      </c>
      <c r="I1376" s="11">
        <v>1</v>
      </c>
      <c r="J1376" s="5" t="s">
        <v>45</v>
      </c>
      <c r="K1376" s="10" t="s">
        <v>46</v>
      </c>
      <c r="L1376" s="5" t="s">
        <v>47</v>
      </c>
      <c r="M1376" s="5" t="s">
        <v>115</v>
      </c>
      <c r="N1376" s="5" t="s">
        <v>140</v>
      </c>
      <c r="O1376" s="12"/>
      <c r="S1376" s="13">
        <v>51616</v>
      </c>
      <c r="U1376" s="13">
        <v>51616</v>
      </c>
      <c r="AC1376" s="10" t="s">
        <v>3301</v>
      </c>
      <c r="AD1376" s="5" t="s">
        <v>3295</v>
      </c>
      <c r="AE1376" s="5" t="s">
        <v>138</v>
      </c>
    </row>
    <row r="1377" spans="1:33" ht="10" customHeight="1" x14ac:dyDescent="0.2">
      <c r="A1377" s="5" t="s">
        <v>40</v>
      </c>
      <c r="B1377" s="5" t="s">
        <v>41</v>
      </c>
      <c r="D1377" s="5" t="s">
        <v>3302</v>
      </c>
      <c r="E1377" s="10" t="s">
        <v>345</v>
      </c>
      <c r="F1377" s="5" t="s">
        <v>3205</v>
      </c>
      <c r="G1377" s="5" t="s">
        <v>464</v>
      </c>
      <c r="I1377" s="11">
        <v>1</v>
      </c>
      <c r="J1377" s="5" t="s">
        <v>45</v>
      </c>
      <c r="K1377" s="10" t="s">
        <v>46</v>
      </c>
      <c r="L1377" s="5" t="s">
        <v>47</v>
      </c>
      <c r="M1377" s="5" t="s">
        <v>115</v>
      </c>
      <c r="N1377" s="5" t="s">
        <v>140</v>
      </c>
      <c r="O1377" s="12"/>
      <c r="S1377" s="13">
        <v>42500</v>
      </c>
      <c r="U1377" s="13">
        <v>42500</v>
      </c>
      <c r="AC1377" s="10" t="s">
        <v>3303</v>
      </c>
      <c r="AD1377" s="5" t="s">
        <v>3304</v>
      </c>
      <c r="AE1377" s="5" t="s">
        <v>138</v>
      </c>
    </row>
    <row r="1378" spans="1:33" ht="10" customHeight="1" x14ac:dyDescent="0.2">
      <c r="A1378" s="5" t="s">
        <v>40</v>
      </c>
      <c r="B1378" s="5" t="s">
        <v>41</v>
      </c>
      <c r="D1378" s="5" t="s">
        <v>3305</v>
      </c>
      <c r="E1378" s="10" t="s">
        <v>345</v>
      </c>
      <c r="F1378" s="5" t="s">
        <v>3205</v>
      </c>
      <c r="G1378" s="5" t="s">
        <v>464</v>
      </c>
      <c r="I1378" s="11">
        <v>1</v>
      </c>
      <c r="J1378" s="5" t="s">
        <v>45</v>
      </c>
      <c r="K1378" s="10" t="s">
        <v>46</v>
      </c>
      <c r="L1378" s="5" t="s">
        <v>47</v>
      </c>
      <c r="M1378" s="5" t="s">
        <v>115</v>
      </c>
      <c r="N1378" s="5" t="s">
        <v>140</v>
      </c>
      <c r="O1378" s="12"/>
      <c r="S1378" s="13">
        <v>7026</v>
      </c>
      <c r="U1378" s="13">
        <v>7026</v>
      </c>
      <c r="AC1378" s="10" t="s">
        <v>3306</v>
      </c>
      <c r="AD1378" s="5" t="s">
        <v>3304</v>
      </c>
      <c r="AE1378" s="5" t="s">
        <v>138</v>
      </c>
    </row>
    <row r="1379" spans="1:33" ht="10" customHeight="1" x14ac:dyDescent="0.2">
      <c r="A1379" s="5" t="s">
        <v>40</v>
      </c>
      <c r="B1379" s="5" t="s">
        <v>41</v>
      </c>
      <c r="D1379" s="5" t="s">
        <v>3307</v>
      </c>
      <c r="E1379" s="10" t="s">
        <v>345</v>
      </c>
      <c r="F1379" s="5" t="s">
        <v>3205</v>
      </c>
      <c r="G1379" s="5" t="s">
        <v>464</v>
      </c>
      <c r="I1379" s="11">
        <v>1</v>
      </c>
      <c r="J1379" s="5" t="s">
        <v>45</v>
      </c>
      <c r="K1379" s="10" t="s">
        <v>46</v>
      </c>
      <c r="L1379" s="5" t="s">
        <v>47</v>
      </c>
      <c r="M1379" s="5" t="s">
        <v>115</v>
      </c>
      <c r="N1379" s="5" t="s">
        <v>140</v>
      </c>
      <c r="O1379" s="12"/>
      <c r="S1379" s="13">
        <v>4481</v>
      </c>
      <c r="U1379" s="13">
        <v>4481</v>
      </c>
      <c r="AC1379" s="10" t="s">
        <v>3308</v>
      </c>
      <c r="AD1379" s="5" t="s">
        <v>3304</v>
      </c>
      <c r="AE1379" s="5" t="s">
        <v>138</v>
      </c>
    </row>
    <row r="1380" spans="1:33" ht="10" customHeight="1" x14ac:dyDescent="0.2">
      <c r="A1380" s="5" t="s">
        <v>40</v>
      </c>
      <c r="B1380" s="5" t="s">
        <v>41</v>
      </c>
      <c r="D1380" s="5" t="s">
        <v>3309</v>
      </c>
      <c r="E1380" s="10" t="s">
        <v>345</v>
      </c>
      <c r="F1380" s="5" t="s">
        <v>3205</v>
      </c>
      <c r="G1380" s="5" t="s">
        <v>464</v>
      </c>
      <c r="I1380" s="11">
        <v>1</v>
      </c>
      <c r="J1380" s="5" t="s">
        <v>45</v>
      </c>
      <c r="K1380" s="10" t="s">
        <v>46</v>
      </c>
      <c r="L1380" s="5" t="s">
        <v>47</v>
      </c>
      <c r="M1380" s="5" t="s">
        <v>115</v>
      </c>
      <c r="N1380" s="5" t="s">
        <v>140</v>
      </c>
      <c r="O1380" s="12"/>
      <c r="S1380" s="13">
        <v>8564</v>
      </c>
      <c r="U1380" s="13">
        <v>8564</v>
      </c>
      <c r="AC1380" s="10" t="s">
        <v>3310</v>
      </c>
      <c r="AD1380" s="5" t="s">
        <v>3304</v>
      </c>
      <c r="AE1380" s="5" t="s">
        <v>138</v>
      </c>
    </row>
    <row r="1381" spans="1:33" ht="10" customHeight="1" x14ac:dyDescent="0.2">
      <c r="A1381" s="5" t="s">
        <v>40</v>
      </c>
      <c r="B1381" s="5" t="s">
        <v>41</v>
      </c>
      <c r="D1381" s="5" t="s">
        <v>3311</v>
      </c>
      <c r="E1381" s="10" t="s">
        <v>345</v>
      </c>
      <c r="F1381" s="5" t="s">
        <v>3205</v>
      </c>
      <c r="G1381" s="5" t="s">
        <v>464</v>
      </c>
      <c r="I1381" s="11">
        <v>1</v>
      </c>
      <c r="J1381" s="5" t="s">
        <v>45</v>
      </c>
      <c r="K1381" s="10" t="s">
        <v>46</v>
      </c>
      <c r="L1381" s="5" t="s">
        <v>47</v>
      </c>
      <c r="M1381" s="5" t="s">
        <v>115</v>
      </c>
      <c r="N1381" s="5" t="s">
        <v>140</v>
      </c>
      <c r="O1381" s="12"/>
      <c r="S1381" s="13">
        <v>22014</v>
      </c>
      <c r="U1381" s="13">
        <v>22014</v>
      </c>
      <c r="AC1381" s="10" t="s">
        <v>3312</v>
      </c>
      <c r="AD1381" s="5" t="s">
        <v>3313</v>
      </c>
      <c r="AE1381" s="5" t="s">
        <v>138</v>
      </c>
      <c r="AG1381" s="5" t="s">
        <v>3314</v>
      </c>
    </row>
    <row r="1382" spans="1:33" ht="10" customHeight="1" x14ac:dyDescent="0.2">
      <c r="A1382" s="5" t="s">
        <v>40</v>
      </c>
      <c r="B1382" s="5" t="s">
        <v>41</v>
      </c>
      <c r="D1382" s="5" t="s">
        <v>3315</v>
      </c>
      <c r="E1382" s="10" t="s">
        <v>345</v>
      </c>
      <c r="F1382" s="5" t="s">
        <v>3205</v>
      </c>
      <c r="G1382" s="5" t="s">
        <v>464</v>
      </c>
      <c r="I1382" s="11">
        <v>1</v>
      </c>
      <c r="J1382" s="5" t="s">
        <v>45</v>
      </c>
      <c r="K1382" s="10" t="s">
        <v>46</v>
      </c>
      <c r="L1382" s="5" t="s">
        <v>47</v>
      </c>
      <c r="M1382" s="5" t="s">
        <v>115</v>
      </c>
      <c r="N1382" s="5" t="s">
        <v>140</v>
      </c>
      <c r="O1382" s="12"/>
      <c r="S1382" s="13">
        <v>778</v>
      </c>
      <c r="U1382" s="13">
        <v>778</v>
      </c>
      <c r="AC1382" s="10" t="s">
        <v>3316</v>
      </c>
      <c r="AD1382" s="5" t="s">
        <v>3313</v>
      </c>
      <c r="AE1382" s="5" t="s">
        <v>138</v>
      </c>
    </row>
    <row r="1383" spans="1:33" ht="10" customHeight="1" x14ac:dyDescent="0.2">
      <c r="A1383" s="5" t="s">
        <v>40</v>
      </c>
      <c r="B1383" s="5" t="s">
        <v>41</v>
      </c>
      <c r="D1383" s="5" t="s">
        <v>3317</v>
      </c>
      <c r="E1383" s="10" t="s">
        <v>345</v>
      </c>
      <c r="F1383" s="5" t="s">
        <v>3205</v>
      </c>
      <c r="G1383" s="5" t="s">
        <v>464</v>
      </c>
      <c r="I1383" s="11">
        <v>1</v>
      </c>
      <c r="J1383" s="5" t="s">
        <v>45</v>
      </c>
      <c r="K1383" s="10" t="s">
        <v>46</v>
      </c>
      <c r="L1383" s="5" t="s">
        <v>47</v>
      </c>
      <c r="M1383" s="5" t="s">
        <v>115</v>
      </c>
      <c r="N1383" s="5" t="s">
        <v>140</v>
      </c>
      <c r="O1383" s="12"/>
      <c r="S1383" s="13">
        <v>227</v>
      </c>
      <c r="U1383" s="13">
        <v>227</v>
      </c>
      <c r="AC1383" s="10" t="s">
        <v>3318</v>
      </c>
      <c r="AD1383" s="5" t="s">
        <v>3313</v>
      </c>
      <c r="AE1383" s="5" t="s">
        <v>138</v>
      </c>
    </row>
    <row r="1384" spans="1:33" ht="10" customHeight="1" x14ac:dyDescent="0.2">
      <c r="A1384" s="5" t="s">
        <v>40</v>
      </c>
      <c r="B1384" s="5" t="s">
        <v>41</v>
      </c>
      <c r="D1384" s="5" t="s">
        <v>3319</v>
      </c>
      <c r="E1384" s="10" t="s">
        <v>345</v>
      </c>
      <c r="F1384" s="5" t="s">
        <v>3205</v>
      </c>
      <c r="G1384" s="5" t="s">
        <v>464</v>
      </c>
      <c r="I1384" s="11">
        <v>1</v>
      </c>
      <c r="J1384" s="5" t="s">
        <v>45</v>
      </c>
      <c r="K1384" s="10" t="s">
        <v>46</v>
      </c>
      <c r="L1384" s="5" t="s">
        <v>47</v>
      </c>
      <c r="M1384" s="5" t="s">
        <v>115</v>
      </c>
      <c r="N1384" s="5" t="s">
        <v>140</v>
      </c>
      <c r="O1384" s="12"/>
      <c r="S1384" s="13">
        <v>2083</v>
      </c>
      <c r="U1384" s="13">
        <v>2083</v>
      </c>
      <c r="AC1384" s="10" t="s">
        <v>3320</v>
      </c>
      <c r="AD1384" s="5" t="s">
        <v>3313</v>
      </c>
      <c r="AE1384" s="5" t="s">
        <v>138</v>
      </c>
      <c r="AG1384" s="5" t="s">
        <v>3321</v>
      </c>
    </row>
    <row r="1385" spans="1:33" ht="10" customHeight="1" x14ac:dyDescent="0.2">
      <c r="A1385" s="5" t="s">
        <v>40</v>
      </c>
      <c r="B1385" s="5" t="s">
        <v>41</v>
      </c>
      <c r="D1385" s="5" t="s">
        <v>3322</v>
      </c>
      <c r="E1385" s="10" t="s">
        <v>345</v>
      </c>
      <c r="F1385" s="5" t="s">
        <v>3205</v>
      </c>
      <c r="G1385" s="5" t="s">
        <v>464</v>
      </c>
      <c r="I1385" s="11">
        <v>1</v>
      </c>
      <c r="J1385" s="5" t="s">
        <v>45</v>
      </c>
      <c r="K1385" s="10" t="s">
        <v>46</v>
      </c>
      <c r="L1385" s="5" t="s">
        <v>47</v>
      </c>
      <c r="M1385" s="5" t="s">
        <v>115</v>
      </c>
      <c r="N1385" s="5" t="s">
        <v>140</v>
      </c>
      <c r="O1385" s="12"/>
      <c r="S1385" s="13">
        <v>36333</v>
      </c>
      <c r="U1385" s="13">
        <v>36333</v>
      </c>
      <c r="AC1385" s="10" t="s">
        <v>3323</v>
      </c>
      <c r="AD1385" s="5" t="s">
        <v>3324</v>
      </c>
      <c r="AE1385" s="5" t="s">
        <v>138</v>
      </c>
    </row>
    <row r="1386" spans="1:33" ht="10" customHeight="1" x14ac:dyDescent="0.2">
      <c r="A1386" s="5" t="s">
        <v>40</v>
      </c>
      <c r="B1386" s="5" t="s">
        <v>41</v>
      </c>
      <c r="D1386" s="5" t="s">
        <v>3325</v>
      </c>
      <c r="E1386" s="10" t="s">
        <v>345</v>
      </c>
      <c r="F1386" s="5" t="s">
        <v>3205</v>
      </c>
      <c r="G1386" s="5" t="s">
        <v>464</v>
      </c>
      <c r="I1386" s="11">
        <v>1</v>
      </c>
      <c r="J1386" s="5" t="s">
        <v>45</v>
      </c>
      <c r="K1386" s="10" t="s">
        <v>46</v>
      </c>
      <c r="L1386" s="5" t="s">
        <v>47</v>
      </c>
      <c r="M1386" s="5" t="s">
        <v>115</v>
      </c>
      <c r="N1386" s="5" t="s">
        <v>140</v>
      </c>
      <c r="O1386" s="12"/>
      <c r="S1386" s="13">
        <v>753</v>
      </c>
      <c r="U1386" s="13">
        <v>753</v>
      </c>
      <c r="AC1386" s="10" t="s">
        <v>3326</v>
      </c>
      <c r="AD1386" s="5" t="s">
        <v>3324</v>
      </c>
      <c r="AE1386" s="5" t="s">
        <v>138</v>
      </c>
    </row>
    <row r="1387" spans="1:33" ht="10" customHeight="1" x14ac:dyDescent="0.2">
      <c r="A1387" s="5" t="s">
        <v>40</v>
      </c>
      <c r="B1387" s="5" t="s">
        <v>41</v>
      </c>
      <c r="D1387" s="5" t="s">
        <v>3327</v>
      </c>
      <c r="E1387" s="10" t="s">
        <v>345</v>
      </c>
      <c r="F1387" s="5" t="s">
        <v>3205</v>
      </c>
      <c r="G1387" s="5" t="s">
        <v>464</v>
      </c>
      <c r="I1387" s="11">
        <v>1</v>
      </c>
      <c r="J1387" s="5" t="s">
        <v>45</v>
      </c>
      <c r="K1387" s="10" t="s">
        <v>46</v>
      </c>
      <c r="L1387" s="5" t="s">
        <v>47</v>
      </c>
      <c r="M1387" s="5" t="s">
        <v>115</v>
      </c>
      <c r="N1387" s="5" t="s">
        <v>140</v>
      </c>
      <c r="O1387" s="12"/>
      <c r="S1387" s="13">
        <v>1466</v>
      </c>
      <c r="U1387" s="13">
        <v>1466</v>
      </c>
      <c r="AC1387" s="10" t="s">
        <v>3328</v>
      </c>
      <c r="AD1387" s="5" t="s">
        <v>3324</v>
      </c>
      <c r="AE1387" s="5" t="s">
        <v>138</v>
      </c>
    </row>
    <row r="1388" spans="1:33" ht="10" customHeight="1" x14ac:dyDescent="0.2">
      <c r="A1388" s="5" t="s">
        <v>40</v>
      </c>
      <c r="B1388" s="5" t="s">
        <v>41</v>
      </c>
      <c r="D1388" s="5" t="s">
        <v>3329</v>
      </c>
      <c r="E1388" s="10" t="s">
        <v>345</v>
      </c>
      <c r="F1388" s="5" t="s">
        <v>3205</v>
      </c>
      <c r="G1388" s="5" t="s">
        <v>464</v>
      </c>
      <c r="I1388" s="11">
        <v>1</v>
      </c>
      <c r="J1388" s="5" t="s">
        <v>45</v>
      </c>
      <c r="K1388" s="10" t="s">
        <v>46</v>
      </c>
      <c r="L1388" s="5" t="s">
        <v>47</v>
      </c>
      <c r="M1388" s="5" t="s">
        <v>115</v>
      </c>
      <c r="N1388" s="5" t="s">
        <v>140</v>
      </c>
      <c r="O1388" s="12"/>
      <c r="S1388" s="13">
        <v>1070</v>
      </c>
      <c r="U1388" s="13">
        <v>1070</v>
      </c>
      <c r="AC1388" s="10" t="s">
        <v>3330</v>
      </c>
      <c r="AD1388" s="5" t="s">
        <v>3324</v>
      </c>
      <c r="AE1388" s="5" t="s">
        <v>138</v>
      </c>
    </row>
    <row r="1389" spans="1:33" ht="10" customHeight="1" x14ac:dyDescent="0.2">
      <c r="A1389" s="5" t="s">
        <v>40</v>
      </c>
      <c r="B1389" s="5" t="s">
        <v>41</v>
      </c>
      <c r="D1389" s="5" t="s">
        <v>3331</v>
      </c>
      <c r="E1389" s="10" t="s">
        <v>345</v>
      </c>
      <c r="F1389" s="5" t="s">
        <v>3205</v>
      </c>
      <c r="G1389" s="5" t="s">
        <v>464</v>
      </c>
      <c r="I1389" s="11">
        <v>1</v>
      </c>
      <c r="J1389" s="5" t="s">
        <v>45</v>
      </c>
      <c r="K1389" s="10" t="s">
        <v>46</v>
      </c>
      <c r="L1389" s="5" t="s">
        <v>47</v>
      </c>
      <c r="M1389" s="5" t="s">
        <v>115</v>
      </c>
      <c r="N1389" s="5" t="s">
        <v>140</v>
      </c>
      <c r="O1389" s="12"/>
      <c r="S1389" s="13">
        <v>10615</v>
      </c>
      <c r="U1389" s="13">
        <v>10615</v>
      </c>
      <c r="AC1389" s="10" t="s">
        <v>3332</v>
      </c>
      <c r="AD1389" s="5" t="s">
        <v>3333</v>
      </c>
      <c r="AE1389" s="5" t="s">
        <v>138</v>
      </c>
    </row>
    <row r="1390" spans="1:33" ht="10" customHeight="1" x14ac:dyDescent="0.2">
      <c r="A1390" s="5" t="s">
        <v>40</v>
      </c>
      <c r="B1390" s="5" t="s">
        <v>41</v>
      </c>
      <c r="D1390" s="5" t="s">
        <v>3334</v>
      </c>
      <c r="E1390" s="10" t="s">
        <v>345</v>
      </c>
      <c r="F1390" s="5" t="s">
        <v>3205</v>
      </c>
      <c r="G1390" s="5" t="s">
        <v>464</v>
      </c>
      <c r="I1390" s="11">
        <v>1</v>
      </c>
      <c r="J1390" s="5" t="s">
        <v>45</v>
      </c>
      <c r="K1390" s="10" t="s">
        <v>46</v>
      </c>
      <c r="L1390" s="5" t="s">
        <v>47</v>
      </c>
      <c r="M1390" s="5" t="s">
        <v>115</v>
      </c>
      <c r="N1390" s="5" t="s">
        <v>140</v>
      </c>
      <c r="O1390" s="12"/>
      <c r="S1390" s="13">
        <v>915</v>
      </c>
      <c r="U1390" s="13">
        <v>915</v>
      </c>
      <c r="AC1390" s="10" t="s">
        <v>3335</v>
      </c>
      <c r="AD1390" s="5" t="s">
        <v>3333</v>
      </c>
      <c r="AE1390" s="5" t="s">
        <v>138</v>
      </c>
    </row>
    <row r="1391" spans="1:33" ht="10" customHeight="1" x14ac:dyDescent="0.2">
      <c r="A1391" s="5" t="s">
        <v>40</v>
      </c>
      <c r="B1391" s="5" t="s">
        <v>41</v>
      </c>
      <c r="D1391" s="5" t="s">
        <v>3336</v>
      </c>
      <c r="E1391" s="10" t="s">
        <v>345</v>
      </c>
      <c r="F1391" s="5" t="s">
        <v>3205</v>
      </c>
      <c r="G1391" s="5" t="s">
        <v>464</v>
      </c>
      <c r="I1391" s="11">
        <v>1</v>
      </c>
      <c r="J1391" s="5" t="s">
        <v>45</v>
      </c>
      <c r="K1391" s="10" t="s">
        <v>46</v>
      </c>
      <c r="L1391" s="5" t="s">
        <v>47</v>
      </c>
      <c r="M1391" s="5" t="s">
        <v>115</v>
      </c>
      <c r="N1391" s="5" t="s">
        <v>140</v>
      </c>
      <c r="O1391" s="12"/>
      <c r="S1391" s="13">
        <v>1211</v>
      </c>
      <c r="U1391" s="13">
        <v>1211</v>
      </c>
      <c r="AC1391" s="10" t="s">
        <v>3337</v>
      </c>
      <c r="AD1391" s="5" t="s">
        <v>3333</v>
      </c>
      <c r="AE1391" s="5" t="s">
        <v>138</v>
      </c>
    </row>
    <row r="1392" spans="1:33" ht="10" customHeight="1" x14ac:dyDescent="0.2">
      <c r="A1392" s="5" t="s">
        <v>40</v>
      </c>
      <c r="B1392" s="5" t="s">
        <v>41</v>
      </c>
      <c r="D1392" s="5" t="s">
        <v>3338</v>
      </c>
      <c r="E1392" s="10" t="s">
        <v>345</v>
      </c>
      <c r="F1392" s="5" t="s">
        <v>3205</v>
      </c>
      <c r="G1392" s="5" t="s">
        <v>464</v>
      </c>
      <c r="I1392" s="11">
        <v>1</v>
      </c>
      <c r="J1392" s="5" t="s">
        <v>45</v>
      </c>
      <c r="K1392" s="10" t="s">
        <v>46</v>
      </c>
      <c r="L1392" s="5" t="s">
        <v>47</v>
      </c>
      <c r="M1392" s="5" t="s">
        <v>115</v>
      </c>
      <c r="N1392" s="5" t="s">
        <v>140</v>
      </c>
      <c r="O1392" s="12"/>
      <c r="S1392" s="13">
        <v>2023</v>
      </c>
      <c r="U1392" s="13">
        <v>2023</v>
      </c>
      <c r="AC1392" s="10" t="s">
        <v>3339</v>
      </c>
      <c r="AD1392" s="5" t="s">
        <v>3333</v>
      </c>
      <c r="AE1392" s="5" t="s">
        <v>138</v>
      </c>
    </row>
    <row r="1393" spans="1:33" ht="10" customHeight="1" x14ac:dyDescent="0.2">
      <c r="A1393" s="5" t="s">
        <v>40</v>
      </c>
      <c r="B1393" s="5" t="s">
        <v>41</v>
      </c>
      <c r="D1393" s="5" t="s">
        <v>3340</v>
      </c>
      <c r="E1393" s="10" t="s">
        <v>345</v>
      </c>
      <c r="F1393" s="5" t="s">
        <v>3205</v>
      </c>
      <c r="G1393" s="5" t="s">
        <v>464</v>
      </c>
      <c r="I1393" s="11">
        <v>1</v>
      </c>
      <c r="J1393" s="5" t="s">
        <v>45</v>
      </c>
      <c r="K1393" s="10" t="s">
        <v>46</v>
      </c>
      <c r="L1393" s="5" t="s">
        <v>47</v>
      </c>
      <c r="M1393" s="5" t="s">
        <v>115</v>
      </c>
      <c r="N1393" s="5" t="s">
        <v>140</v>
      </c>
      <c r="O1393" s="12"/>
      <c r="S1393" s="13">
        <v>10577</v>
      </c>
      <c r="U1393" s="13">
        <v>10577</v>
      </c>
      <c r="AC1393" s="10" t="s">
        <v>3341</v>
      </c>
      <c r="AD1393" s="5" t="s">
        <v>3342</v>
      </c>
      <c r="AE1393" s="5" t="s">
        <v>138</v>
      </c>
    </row>
    <row r="1394" spans="1:33" ht="10" customHeight="1" x14ac:dyDescent="0.2">
      <c r="A1394" s="5" t="s">
        <v>40</v>
      </c>
      <c r="B1394" s="5" t="s">
        <v>41</v>
      </c>
      <c r="D1394" s="5" t="s">
        <v>3343</v>
      </c>
      <c r="E1394" s="10" t="s">
        <v>345</v>
      </c>
      <c r="F1394" s="5" t="s">
        <v>3205</v>
      </c>
      <c r="G1394" s="5" t="s">
        <v>464</v>
      </c>
      <c r="I1394" s="11">
        <v>1</v>
      </c>
      <c r="J1394" s="5" t="s">
        <v>45</v>
      </c>
      <c r="K1394" s="10" t="s">
        <v>46</v>
      </c>
      <c r="L1394" s="5" t="s">
        <v>47</v>
      </c>
      <c r="M1394" s="5" t="s">
        <v>115</v>
      </c>
      <c r="N1394" s="5" t="s">
        <v>140</v>
      </c>
      <c r="O1394" s="12"/>
      <c r="S1394" s="13">
        <v>435</v>
      </c>
      <c r="U1394" s="13">
        <v>435</v>
      </c>
      <c r="AC1394" s="10" t="s">
        <v>3344</v>
      </c>
      <c r="AD1394" s="5" t="s">
        <v>3342</v>
      </c>
      <c r="AE1394" s="5" t="s">
        <v>138</v>
      </c>
    </row>
    <row r="1395" spans="1:33" ht="10" customHeight="1" x14ac:dyDescent="0.2">
      <c r="A1395" s="5" t="s">
        <v>40</v>
      </c>
      <c r="B1395" s="5" t="s">
        <v>41</v>
      </c>
      <c r="D1395" s="5" t="s">
        <v>3345</v>
      </c>
      <c r="E1395" s="10" t="s">
        <v>345</v>
      </c>
      <c r="F1395" s="5" t="s">
        <v>3205</v>
      </c>
      <c r="G1395" s="5" t="s">
        <v>464</v>
      </c>
      <c r="I1395" s="11">
        <v>1</v>
      </c>
      <c r="J1395" s="5" t="s">
        <v>45</v>
      </c>
      <c r="K1395" s="10" t="s">
        <v>46</v>
      </c>
      <c r="L1395" s="5" t="s">
        <v>47</v>
      </c>
      <c r="M1395" s="5" t="s">
        <v>115</v>
      </c>
      <c r="N1395" s="5" t="s">
        <v>140</v>
      </c>
      <c r="O1395" s="12"/>
      <c r="S1395" s="13">
        <v>332</v>
      </c>
      <c r="U1395" s="13">
        <v>332</v>
      </c>
      <c r="AC1395" s="10" t="s">
        <v>3346</v>
      </c>
      <c r="AD1395" s="5" t="s">
        <v>3342</v>
      </c>
      <c r="AE1395" s="5" t="s">
        <v>138</v>
      </c>
    </row>
    <row r="1396" spans="1:33" ht="10" customHeight="1" x14ac:dyDescent="0.2">
      <c r="A1396" s="5" t="s">
        <v>40</v>
      </c>
      <c r="B1396" s="5" t="s">
        <v>41</v>
      </c>
      <c r="D1396" s="5" t="s">
        <v>3347</v>
      </c>
      <c r="E1396" s="10" t="s">
        <v>345</v>
      </c>
      <c r="F1396" s="5" t="s">
        <v>3205</v>
      </c>
      <c r="G1396" s="5" t="s">
        <v>464</v>
      </c>
      <c r="I1396" s="11">
        <v>1</v>
      </c>
      <c r="J1396" s="5" t="s">
        <v>45</v>
      </c>
      <c r="K1396" s="10" t="s">
        <v>46</v>
      </c>
      <c r="L1396" s="5" t="s">
        <v>47</v>
      </c>
      <c r="M1396" s="5" t="s">
        <v>115</v>
      </c>
      <c r="N1396" s="5" t="s">
        <v>140</v>
      </c>
      <c r="O1396" s="12"/>
      <c r="S1396" s="13">
        <v>103</v>
      </c>
      <c r="U1396" s="13">
        <v>103</v>
      </c>
      <c r="AC1396" s="10" t="s">
        <v>3348</v>
      </c>
      <c r="AD1396" s="5" t="s">
        <v>3342</v>
      </c>
      <c r="AE1396" s="5" t="s">
        <v>138</v>
      </c>
    </row>
    <row r="1397" spans="1:33" ht="10" customHeight="1" x14ac:dyDescent="0.2">
      <c r="A1397" s="5" t="s">
        <v>40</v>
      </c>
      <c r="B1397" s="5" t="s">
        <v>41</v>
      </c>
      <c r="D1397" s="5" t="s">
        <v>3349</v>
      </c>
      <c r="E1397" s="10" t="s">
        <v>345</v>
      </c>
      <c r="F1397" s="5" t="s">
        <v>3205</v>
      </c>
      <c r="G1397" s="5" t="s">
        <v>464</v>
      </c>
      <c r="I1397" s="11">
        <v>1</v>
      </c>
      <c r="J1397" s="5" t="s">
        <v>45</v>
      </c>
      <c r="K1397" s="10" t="s">
        <v>46</v>
      </c>
      <c r="L1397" s="5" t="s">
        <v>47</v>
      </c>
      <c r="M1397" s="5" t="s">
        <v>115</v>
      </c>
      <c r="N1397" s="5" t="s">
        <v>140</v>
      </c>
      <c r="O1397" s="12"/>
      <c r="S1397" s="13">
        <v>15666</v>
      </c>
      <c r="U1397" s="13">
        <v>15666</v>
      </c>
      <c r="AC1397" s="10" t="s">
        <v>3350</v>
      </c>
      <c r="AD1397" s="5" t="s">
        <v>3351</v>
      </c>
      <c r="AE1397" s="5" t="s">
        <v>138</v>
      </c>
    </row>
    <row r="1398" spans="1:33" ht="10" customHeight="1" x14ac:dyDescent="0.2">
      <c r="A1398" s="5" t="s">
        <v>40</v>
      </c>
      <c r="B1398" s="5" t="s">
        <v>41</v>
      </c>
      <c r="D1398" s="5" t="s">
        <v>3352</v>
      </c>
      <c r="E1398" s="10" t="s">
        <v>345</v>
      </c>
      <c r="F1398" s="5" t="s">
        <v>3205</v>
      </c>
      <c r="G1398" s="5" t="s">
        <v>464</v>
      </c>
      <c r="I1398" s="11">
        <v>1</v>
      </c>
      <c r="J1398" s="5" t="s">
        <v>45</v>
      </c>
      <c r="K1398" s="10" t="s">
        <v>46</v>
      </c>
      <c r="L1398" s="5" t="s">
        <v>47</v>
      </c>
      <c r="M1398" s="5" t="s">
        <v>115</v>
      </c>
      <c r="N1398" s="5" t="s">
        <v>140</v>
      </c>
      <c r="O1398" s="12"/>
      <c r="S1398" s="13">
        <v>327</v>
      </c>
      <c r="U1398" s="13">
        <v>327</v>
      </c>
      <c r="AC1398" s="10" t="s">
        <v>3353</v>
      </c>
      <c r="AD1398" s="5" t="s">
        <v>3351</v>
      </c>
      <c r="AE1398" s="5" t="s">
        <v>138</v>
      </c>
    </row>
    <row r="1399" spans="1:33" ht="10" customHeight="1" x14ac:dyDescent="0.2">
      <c r="A1399" s="5" t="s">
        <v>40</v>
      </c>
      <c r="B1399" s="5" t="s">
        <v>41</v>
      </c>
      <c r="D1399" s="5" t="s">
        <v>3354</v>
      </c>
      <c r="E1399" s="10" t="s">
        <v>345</v>
      </c>
      <c r="F1399" s="5" t="s">
        <v>3205</v>
      </c>
      <c r="G1399" s="5" t="s">
        <v>464</v>
      </c>
      <c r="I1399" s="11">
        <v>1</v>
      </c>
      <c r="J1399" s="5" t="s">
        <v>45</v>
      </c>
      <c r="K1399" s="10" t="s">
        <v>46</v>
      </c>
      <c r="L1399" s="5" t="s">
        <v>47</v>
      </c>
      <c r="M1399" s="5" t="s">
        <v>115</v>
      </c>
      <c r="N1399" s="5" t="s">
        <v>140</v>
      </c>
      <c r="O1399" s="12"/>
      <c r="S1399" s="13">
        <v>722</v>
      </c>
      <c r="U1399" s="13">
        <v>722</v>
      </c>
      <c r="AC1399" s="10" t="s">
        <v>3355</v>
      </c>
      <c r="AD1399" s="5" t="s">
        <v>3351</v>
      </c>
      <c r="AE1399" s="5" t="s">
        <v>138</v>
      </c>
    </row>
    <row r="1400" spans="1:33" ht="10" customHeight="1" x14ac:dyDescent="0.2">
      <c r="A1400" s="5" t="s">
        <v>40</v>
      </c>
      <c r="B1400" s="5" t="s">
        <v>41</v>
      </c>
      <c r="D1400" s="5" t="s">
        <v>3356</v>
      </c>
      <c r="E1400" s="10" t="s">
        <v>345</v>
      </c>
      <c r="F1400" s="5" t="s">
        <v>3205</v>
      </c>
      <c r="G1400" s="5" t="s">
        <v>464</v>
      </c>
      <c r="I1400" s="11">
        <v>1</v>
      </c>
      <c r="J1400" s="5" t="s">
        <v>45</v>
      </c>
      <c r="K1400" s="10" t="s">
        <v>46</v>
      </c>
      <c r="L1400" s="5" t="s">
        <v>47</v>
      </c>
      <c r="M1400" s="5" t="s">
        <v>115</v>
      </c>
      <c r="N1400" s="5" t="s">
        <v>140</v>
      </c>
      <c r="O1400" s="12"/>
      <c r="S1400" s="13">
        <v>482</v>
      </c>
      <c r="U1400" s="13">
        <v>482</v>
      </c>
      <c r="AC1400" s="10" t="s">
        <v>3357</v>
      </c>
      <c r="AD1400" s="5" t="s">
        <v>3351</v>
      </c>
      <c r="AE1400" s="5" t="s">
        <v>138</v>
      </c>
    </row>
    <row r="1401" spans="1:33" ht="10" customHeight="1" x14ac:dyDescent="0.2">
      <c r="A1401" s="5" t="s">
        <v>40</v>
      </c>
      <c r="B1401" s="5" t="s">
        <v>41</v>
      </c>
      <c r="D1401" s="5" t="s">
        <v>3358</v>
      </c>
      <c r="E1401" s="10" t="s">
        <v>345</v>
      </c>
      <c r="F1401" s="5" t="s">
        <v>3205</v>
      </c>
      <c r="G1401" s="5" t="s">
        <v>464</v>
      </c>
      <c r="I1401" s="11">
        <v>1</v>
      </c>
      <c r="J1401" s="5" t="s">
        <v>45</v>
      </c>
      <c r="K1401" s="10" t="s">
        <v>46</v>
      </c>
      <c r="L1401" s="5" t="s">
        <v>47</v>
      </c>
      <c r="M1401" s="5" t="s">
        <v>115</v>
      </c>
      <c r="N1401" s="5" t="s">
        <v>140</v>
      </c>
      <c r="O1401" s="12"/>
      <c r="S1401" s="13">
        <v>27829</v>
      </c>
      <c r="U1401" s="13">
        <v>27829</v>
      </c>
      <c r="AC1401" s="10" t="s">
        <v>3359</v>
      </c>
      <c r="AD1401" s="5" t="s">
        <v>3360</v>
      </c>
      <c r="AE1401" s="5" t="s">
        <v>138</v>
      </c>
      <c r="AG1401" s="5" t="s">
        <v>3361</v>
      </c>
    </row>
    <row r="1402" spans="1:33" ht="10" customHeight="1" x14ac:dyDescent="0.2">
      <c r="A1402" s="5" t="s">
        <v>40</v>
      </c>
      <c r="B1402" s="5" t="s">
        <v>41</v>
      </c>
      <c r="D1402" s="5" t="s">
        <v>3362</v>
      </c>
      <c r="E1402" s="10" t="s">
        <v>345</v>
      </c>
      <c r="F1402" s="5" t="s">
        <v>3205</v>
      </c>
      <c r="G1402" s="5" t="s">
        <v>464</v>
      </c>
      <c r="I1402" s="11">
        <v>1</v>
      </c>
      <c r="J1402" s="5" t="s">
        <v>45</v>
      </c>
      <c r="K1402" s="10" t="s">
        <v>46</v>
      </c>
      <c r="L1402" s="5" t="s">
        <v>47</v>
      </c>
      <c r="M1402" s="5" t="s">
        <v>115</v>
      </c>
      <c r="N1402" s="5" t="s">
        <v>140</v>
      </c>
      <c r="O1402" s="12"/>
      <c r="S1402" s="13">
        <v>182</v>
      </c>
      <c r="U1402" s="13">
        <v>182</v>
      </c>
      <c r="AC1402" s="10" t="s">
        <v>3363</v>
      </c>
      <c r="AD1402" s="5" t="s">
        <v>3360</v>
      </c>
      <c r="AE1402" s="5" t="s">
        <v>138</v>
      </c>
    </row>
    <row r="1403" spans="1:33" ht="10" customHeight="1" x14ac:dyDescent="0.2">
      <c r="A1403" s="5" t="s">
        <v>40</v>
      </c>
      <c r="B1403" s="5" t="s">
        <v>41</v>
      </c>
      <c r="D1403" s="5" t="s">
        <v>3364</v>
      </c>
      <c r="E1403" s="10" t="s">
        <v>345</v>
      </c>
      <c r="F1403" s="5" t="s">
        <v>3205</v>
      </c>
      <c r="G1403" s="5" t="s">
        <v>464</v>
      </c>
      <c r="I1403" s="11">
        <v>1</v>
      </c>
      <c r="J1403" s="5" t="s">
        <v>45</v>
      </c>
      <c r="K1403" s="10" t="s">
        <v>46</v>
      </c>
      <c r="L1403" s="5" t="s">
        <v>47</v>
      </c>
      <c r="M1403" s="5" t="s">
        <v>115</v>
      </c>
      <c r="N1403" s="5" t="s">
        <v>140</v>
      </c>
      <c r="O1403" s="12"/>
      <c r="S1403" s="13">
        <v>880</v>
      </c>
      <c r="U1403" s="13">
        <v>880</v>
      </c>
      <c r="AC1403" s="10" t="s">
        <v>3365</v>
      </c>
      <c r="AD1403" s="5" t="s">
        <v>3360</v>
      </c>
      <c r="AE1403" s="5" t="s">
        <v>138</v>
      </c>
    </row>
    <row r="1404" spans="1:33" ht="10" customHeight="1" x14ac:dyDescent="0.2">
      <c r="A1404" s="5" t="s">
        <v>40</v>
      </c>
      <c r="B1404" s="5" t="s">
        <v>41</v>
      </c>
      <c r="D1404" s="5" t="s">
        <v>3366</v>
      </c>
      <c r="E1404" s="10" t="s">
        <v>345</v>
      </c>
      <c r="F1404" s="5" t="s">
        <v>3205</v>
      </c>
      <c r="G1404" s="5" t="s">
        <v>464</v>
      </c>
      <c r="I1404" s="11">
        <v>1</v>
      </c>
      <c r="J1404" s="5" t="s">
        <v>45</v>
      </c>
      <c r="K1404" s="10" t="s">
        <v>46</v>
      </c>
      <c r="L1404" s="5" t="s">
        <v>47</v>
      </c>
      <c r="M1404" s="5" t="s">
        <v>115</v>
      </c>
      <c r="N1404" s="5" t="s">
        <v>140</v>
      </c>
      <c r="O1404" s="12"/>
      <c r="S1404" s="13">
        <v>1457</v>
      </c>
      <c r="U1404" s="13">
        <v>1457</v>
      </c>
      <c r="AC1404" s="10" t="s">
        <v>3367</v>
      </c>
      <c r="AD1404" s="5" t="s">
        <v>3360</v>
      </c>
      <c r="AE1404" s="5" t="s">
        <v>138</v>
      </c>
      <c r="AG1404" s="5" t="s">
        <v>3368</v>
      </c>
    </row>
    <row r="1405" spans="1:33" ht="10" customHeight="1" x14ac:dyDescent="0.2">
      <c r="A1405" s="5" t="s">
        <v>40</v>
      </c>
      <c r="B1405" s="5" t="s">
        <v>41</v>
      </c>
      <c r="D1405" s="5" t="s">
        <v>3369</v>
      </c>
      <c r="E1405" s="10" t="s">
        <v>345</v>
      </c>
      <c r="F1405" s="5" t="s">
        <v>3205</v>
      </c>
      <c r="G1405" s="5" t="s">
        <v>464</v>
      </c>
      <c r="I1405" s="11">
        <v>1</v>
      </c>
      <c r="J1405" s="5" t="s">
        <v>45</v>
      </c>
      <c r="K1405" s="10" t="s">
        <v>46</v>
      </c>
      <c r="L1405" s="5" t="s">
        <v>47</v>
      </c>
      <c r="M1405" s="5" t="s">
        <v>115</v>
      </c>
      <c r="N1405" s="5" t="s">
        <v>140</v>
      </c>
      <c r="O1405" s="12"/>
      <c r="S1405" s="13">
        <v>13438</v>
      </c>
      <c r="U1405" s="13">
        <v>13438</v>
      </c>
      <c r="AC1405" s="10" t="s">
        <v>3370</v>
      </c>
      <c r="AD1405" s="5" t="s">
        <v>3371</v>
      </c>
      <c r="AE1405" s="5" t="s">
        <v>138</v>
      </c>
      <c r="AG1405" s="5" t="s">
        <v>3372</v>
      </c>
    </row>
    <row r="1406" spans="1:33" ht="10" customHeight="1" x14ac:dyDescent="0.2">
      <c r="A1406" s="5" t="s">
        <v>40</v>
      </c>
      <c r="B1406" s="5" t="s">
        <v>41</v>
      </c>
      <c r="D1406" s="5" t="s">
        <v>3373</v>
      </c>
      <c r="E1406" s="10" t="s">
        <v>345</v>
      </c>
      <c r="F1406" s="5" t="s">
        <v>3205</v>
      </c>
      <c r="G1406" s="5" t="s">
        <v>464</v>
      </c>
      <c r="I1406" s="11">
        <v>1</v>
      </c>
      <c r="J1406" s="5" t="s">
        <v>45</v>
      </c>
      <c r="K1406" s="10" t="s">
        <v>46</v>
      </c>
      <c r="L1406" s="5" t="s">
        <v>47</v>
      </c>
      <c r="M1406" s="5" t="s">
        <v>115</v>
      </c>
      <c r="N1406" s="5" t="s">
        <v>140</v>
      </c>
      <c r="O1406" s="12"/>
      <c r="S1406" s="13">
        <v>4510</v>
      </c>
      <c r="U1406" s="13">
        <v>4510</v>
      </c>
      <c r="AC1406" s="10" t="s">
        <v>3374</v>
      </c>
      <c r="AD1406" s="5" t="s">
        <v>3371</v>
      </c>
      <c r="AE1406" s="5" t="s">
        <v>138</v>
      </c>
    </row>
    <row r="1407" spans="1:33" ht="10" customHeight="1" x14ac:dyDescent="0.2">
      <c r="A1407" s="5" t="s">
        <v>40</v>
      </c>
      <c r="B1407" s="5" t="s">
        <v>41</v>
      </c>
      <c r="D1407" s="5" t="s">
        <v>3375</v>
      </c>
      <c r="E1407" s="10" t="s">
        <v>345</v>
      </c>
      <c r="F1407" s="5" t="s">
        <v>3205</v>
      </c>
      <c r="G1407" s="5" t="s">
        <v>464</v>
      </c>
      <c r="I1407" s="11">
        <v>1</v>
      </c>
      <c r="J1407" s="5" t="s">
        <v>45</v>
      </c>
      <c r="K1407" s="10" t="s">
        <v>46</v>
      </c>
      <c r="L1407" s="5" t="s">
        <v>47</v>
      </c>
      <c r="M1407" s="5" t="s">
        <v>115</v>
      </c>
      <c r="N1407" s="5" t="s">
        <v>140</v>
      </c>
      <c r="O1407" s="12"/>
      <c r="S1407" s="13">
        <v>582</v>
      </c>
      <c r="U1407" s="13">
        <v>582</v>
      </c>
      <c r="AC1407" s="10" t="s">
        <v>3376</v>
      </c>
      <c r="AD1407" s="5" t="s">
        <v>3371</v>
      </c>
      <c r="AE1407" s="5" t="s">
        <v>138</v>
      </c>
    </row>
    <row r="1408" spans="1:33" ht="10" customHeight="1" x14ac:dyDescent="0.2">
      <c r="A1408" s="5" t="s">
        <v>40</v>
      </c>
      <c r="B1408" s="5" t="s">
        <v>41</v>
      </c>
      <c r="D1408" s="5" t="s">
        <v>3377</v>
      </c>
      <c r="E1408" s="10" t="s">
        <v>345</v>
      </c>
      <c r="F1408" s="5" t="s">
        <v>3205</v>
      </c>
      <c r="G1408" s="5" t="s">
        <v>464</v>
      </c>
      <c r="I1408" s="11">
        <v>1</v>
      </c>
      <c r="J1408" s="5" t="s">
        <v>45</v>
      </c>
      <c r="K1408" s="10" t="s">
        <v>46</v>
      </c>
      <c r="L1408" s="5" t="s">
        <v>47</v>
      </c>
      <c r="M1408" s="5" t="s">
        <v>115</v>
      </c>
      <c r="N1408" s="5" t="s">
        <v>140</v>
      </c>
      <c r="O1408" s="12"/>
      <c r="S1408" s="13">
        <v>263</v>
      </c>
      <c r="U1408" s="13">
        <v>263</v>
      </c>
      <c r="AC1408" s="10" t="s">
        <v>3378</v>
      </c>
      <c r="AD1408" s="5" t="s">
        <v>3371</v>
      </c>
      <c r="AE1408" s="5" t="s">
        <v>138</v>
      </c>
    </row>
    <row r="1409" spans="1:33" ht="10" customHeight="1" x14ac:dyDescent="0.2">
      <c r="A1409" s="5" t="s">
        <v>40</v>
      </c>
      <c r="B1409" s="5" t="s">
        <v>41</v>
      </c>
      <c r="D1409" s="5" t="s">
        <v>3379</v>
      </c>
      <c r="E1409" s="10" t="s">
        <v>345</v>
      </c>
      <c r="F1409" s="5" t="s">
        <v>3205</v>
      </c>
      <c r="G1409" s="5" t="s">
        <v>464</v>
      </c>
      <c r="I1409" s="11">
        <v>1</v>
      </c>
      <c r="J1409" s="5" t="s">
        <v>45</v>
      </c>
      <c r="K1409" s="10" t="s">
        <v>46</v>
      </c>
      <c r="L1409" s="5" t="s">
        <v>47</v>
      </c>
      <c r="M1409" s="5" t="s">
        <v>115</v>
      </c>
      <c r="N1409" s="5" t="s">
        <v>140</v>
      </c>
      <c r="O1409" s="12"/>
      <c r="S1409" s="13">
        <v>22252</v>
      </c>
      <c r="U1409" s="13">
        <v>22252</v>
      </c>
      <c r="AC1409" s="10" t="s">
        <v>3380</v>
      </c>
      <c r="AD1409" s="5" t="s">
        <v>3381</v>
      </c>
      <c r="AE1409" s="5" t="s">
        <v>138</v>
      </c>
      <c r="AG1409" s="5" t="s">
        <v>3382</v>
      </c>
    </row>
    <row r="1410" spans="1:33" ht="10" customHeight="1" x14ac:dyDescent="0.2">
      <c r="A1410" s="5" t="s">
        <v>40</v>
      </c>
      <c r="B1410" s="5" t="s">
        <v>41</v>
      </c>
      <c r="D1410" s="5" t="s">
        <v>3383</v>
      </c>
      <c r="E1410" s="10" t="s">
        <v>345</v>
      </c>
      <c r="F1410" s="5" t="s">
        <v>3205</v>
      </c>
      <c r="G1410" s="5" t="s">
        <v>464</v>
      </c>
      <c r="I1410" s="11">
        <v>1</v>
      </c>
      <c r="J1410" s="5" t="s">
        <v>45</v>
      </c>
      <c r="K1410" s="10" t="s">
        <v>46</v>
      </c>
      <c r="L1410" s="5" t="s">
        <v>47</v>
      </c>
      <c r="M1410" s="5" t="s">
        <v>115</v>
      </c>
      <c r="N1410" s="5" t="s">
        <v>140</v>
      </c>
      <c r="O1410" s="12"/>
      <c r="S1410" s="13">
        <v>575</v>
      </c>
      <c r="U1410" s="13">
        <v>575</v>
      </c>
      <c r="AC1410" s="10" t="s">
        <v>3384</v>
      </c>
      <c r="AD1410" s="5" t="s">
        <v>3381</v>
      </c>
      <c r="AE1410" s="5" t="s">
        <v>138</v>
      </c>
    </row>
    <row r="1411" spans="1:33" ht="10" customHeight="1" x14ac:dyDescent="0.2">
      <c r="A1411" s="5" t="s">
        <v>40</v>
      </c>
      <c r="B1411" s="5" t="s">
        <v>41</v>
      </c>
      <c r="D1411" s="5" t="s">
        <v>3385</v>
      </c>
      <c r="E1411" s="10" t="s">
        <v>345</v>
      </c>
      <c r="F1411" s="5" t="s">
        <v>3205</v>
      </c>
      <c r="G1411" s="5" t="s">
        <v>464</v>
      </c>
      <c r="I1411" s="11">
        <v>1</v>
      </c>
      <c r="J1411" s="5" t="s">
        <v>45</v>
      </c>
      <c r="K1411" s="10" t="s">
        <v>46</v>
      </c>
      <c r="L1411" s="5" t="s">
        <v>47</v>
      </c>
      <c r="M1411" s="5" t="s">
        <v>115</v>
      </c>
      <c r="N1411" s="5" t="s">
        <v>140</v>
      </c>
      <c r="O1411" s="12"/>
      <c r="S1411" s="13">
        <v>431</v>
      </c>
      <c r="U1411" s="13">
        <v>431</v>
      </c>
      <c r="AC1411" s="10" t="s">
        <v>3386</v>
      </c>
      <c r="AD1411" s="5" t="s">
        <v>3381</v>
      </c>
      <c r="AE1411" s="5" t="s">
        <v>138</v>
      </c>
    </row>
    <row r="1412" spans="1:33" ht="10" customHeight="1" x14ac:dyDescent="0.2">
      <c r="A1412" s="5" t="s">
        <v>40</v>
      </c>
      <c r="B1412" s="5" t="s">
        <v>41</v>
      </c>
      <c r="D1412" s="5" t="s">
        <v>3387</v>
      </c>
      <c r="E1412" s="10" t="s">
        <v>345</v>
      </c>
      <c r="F1412" s="5" t="s">
        <v>3205</v>
      </c>
      <c r="G1412" s="5" t="s">
        <v>464</v>
      </c>
      <c r="I1412" s="11">
        <v>1</v>
      </c>
      <c r="J1412" s="5" t="s">
        <v>45</v>
      </c>
      <c r="K1412" s="10" t="s">
        <v>46</v>
      </c>
      <c r="L1412" s="5" t="s">
        <v>47</v>
      </c>
      <c r="M1412" s="5" t="s">
        <v>115</v>
      </c>
      <c r="N1412" s="5" t="s">
        <v>140</v>
      </c>
      <c r="O1412" s="12"/>
      <c r="S1412" s="13">
        <v>695</v>
      </c>
      <c r="U1412" s="13">
        <v>695</v>
      </c>
      <c r="AC1412" s="10" t="s">
        <v>3388</v>
      </c>
      <c r="AD1412" s="5" t="s">
        <v>3381</v>
      </c>
      <c r="AE1412" s="5" t="s">
        <v>138</v>
      </c>
    </row>
    <row r="1413" spans="1:33" ht="10" customHeight="1" x14ac:dyDescent="0.2">
      <c r="A1413" s="5" t="s">
        <v>40</v>
      </c>
      <c r="B1413" s="5" t="s">
        <v>41</v>
      </c>
      <c r="D1413" s="5" t="s">
        <v>3389</v>
      </c>
      <c r="E1413" s="10" t="s">
        <v>345</v>
      </c>
      <c r="F1413" s="5" t="s">
        <v>3205</v>
      </c>
      <c r="G1413" s="5" t="s">
        <v>464</v>
      </c>
      <c r="I1413" s="11">
        <v>1</v>
      </c>
      <c r="J1413" s="5" t="s">
        <v>45</v>
      </c>
      <c r="K1413" s="10" t="s">
        <v>46</v>
      </c>
      <c r="L1413" s="5" t="s">
        <v>47</v>
      </c>
      <c r="M1413" s="5" t="s">
        <v>115</v>
      </c>
      <c r="N1413" s="5" t="s">
        <v>140</v>
      </c>
      <c r="O1413" s="12"/>
      <c r="S1413" s="13">
        <v>9531</v>
      </c>
      <c r="U1413" s="13">
        <v>9531</v>
      </c>
      <c r="AC1413" s="10" t="s">
        <v>3390</v>
      </c>
      <c r="AD1413" s="5" t="s">
        <v>3391</v>
      </c>
      <c r="AE1413" s="5" t="s">
        <v>138</v>
      </c>
      <c r="AG1413" s="5" t="s">
        <v>3392</v>
      </c>
    </row>
    <row r="1414" spans="1:33" ht="10" customHeight="1" x14ac:dyDescent="0.2">
      <c r="A1414" s="5" t="s">
        <v>40</v>
      </c>
      <c r="B1414" s="5" t="s">
        <v>41</v>
      </c>
      <c r="D1414" s="5" t="s">
        <v>3393</v>
      </c>
      <c r="E1414" s="10" t="s">
        <v>345</v>
      </c>
      <c r="F1414" s="5" t="s">
        <v>3205</v>
      </c>
      <c r="G1414" s="5" t="s">
        <v>464</v>
      </c>
      <c r="I1414" s="11">
        <v>1</v>
      </c>
      <c r="J1414" s="5" t="s">
        <v>45</v>
      </c>
      <c r="K1414" s="10" t="s">
        <v>46</v>
      </c>
      <c r="L1414" s="5" t="s">
        <v>47</v>
      </c>
      <c r="M1414" s="5" t="s">
        <v>115</v>
      </c>
      <c r="N1414" s="5" t="s">
        <v>140</v>
      </c>
      <c r="O1414" s="12"/>
      <c r="S1414" s="13">
        <v>232</v>
      </c>
      <c r="U1414" s="13">
        <v>232</v>
      </c>
      <c r="AC1414" s="10" t="s">
        <v>3394</v>
      </c>
      <c r="AD1414" s="5" t="s">
        <v>3391</v>
      </c>
      <c r="AE1414" s="5" t="s">
        <v>138</v>
      </c>
    </row>
    <row r="1415" spans="1:33" ht="10" customHeight="1" x14ac:dyDescent="0.2">
      <c r="A1415" s="5" t="s">
        <v>40</v>
      </c>
      <c r="B1415" s="5" t="s">
        <v>41</v>
      </c>
      <c r="D1415" s="5" t="s">
        <v>3395</v>
      </c>
      <c r="E1415" s="10" t="s">
        <v>345</v>
      </c>
      <c r="F1415" s="5" t="s">
        <v>3205</v>
      </c>
      <c r="G1415" s="5" t="s">
        <v>464</v>
      </c>
      <c r="I1415" s="11">
        <v>1</v>
      </c>
      <c r="J1415" s="5" t="s">
        <v>45</v>
      </c>
      <c r="K1415" s="10" t="s">
        <v>46</v>
      </c>
      <c r="L1415" s="5" t="s">
        <v>47</v>
      </c>
      <c r="M1415" s="5" t="s">
        <v>115</v>
      </c>
      <c r="N1415" s="5" t="s">
        <v>140</v>
      </c>
      <c r="O1415" s="12"/>
      <c r="S1415" s="13">
        <v>816</v>
      </c>
      <c r="U1415" s="13">
        <v>816</v>
      </c>
      <c r="AC1415" s="10" t="s">
        <v>3396</v>
      </c>
      <c r="AD1415" s="5" t="s">
        <v>3391</v>
      </c>
      <c r="AE1415" s="5" t="s">
        <v>138</v>
      </c>
    </row>
    <row r="1416" spans="1:33" ht="10" customHeight="1" x14ac:dyDescent="0.2">
      <c r="A1416" s="5" t="s">
        <v>40</v>
      </c>
      <c r="B1416" s="5" t="s">
        <v>41</v>
      </c>
      <c r="D1416" s="5" t="s">
        <v>3397</v>
      </c>
      <c r="E1416" s="10" t="s">
        <v>345</v>
      </c>
      <c r="F1416" s="5" t="s">
        <v>3205</v>
      </c>
      <c r="G1416" s="5" t="s">
        <v>464</v>
      </c>
      <c r="I1416" s="11">
        <v>1</v>
      </c>
      <c r="J1416" s="5" t="s">
        <v>45</v>
      </c>
      <c r="K1416" s="10" t="s">
        <v>46</v>
      </c>
      <c r="L1416" s="5" t="s">
        <v>47</v>
      </c>
      <c r="M1416" s="5" t="s">
        <v>115</v>
      </c>
      <c r="N1416" s="5" t="s">
        <v>140</v>
      </c>
      <c r="O1416" s="12"/>
      <c r="S1416" s="13">
        <v>452</v>
      </c>
      <c r="U1416" s="13">
        <v>452</v>
      </c>
      <c r="AC1416" s="10" t="s">
        <v>3398</v>
      </c>
      <c r="AD1416" s="5" t="s">
        <v>3391</v>
      </c>
      <c r="AE1416" s="5" t="s">
        <v>138</v>
      </c>
    </row>
    <row r="1417" spans="1:33" ht="10" customHeight="1" x14ac:dyDescent="0.2">
      <c r="A1417" s="5" t="s">
        <v>40</v>
      </c>
      <c r="B1417" s="5" t="s">
        <v>41</v>
      </c>
      <c r="D1417" s="5" t="s">
        <v>3399</v>
      </c>
      <c r="E1417" s="10" t="s">
        <v>345</v>
      </c>
      <c r="F1417" s="5" t="s">
        <v>3205</v>
      </c>
      <c r="G1417" s="5" t="s">
        <v>464</v>
      </c>
      <c r="I1417" s="11">
        <v>1</v>
      </c>
      <c r="J1417" s="5" t="s">
        <v>45</v>
      </c>
      <c r="K1417" s="10" t="s">
        <v>46</v>
      </c>
      <c r="L1417" s="5" t="s">
        <v>47</v>
      </c>
      <c r="M1417" s="5" t="s">
        <v>115</v>
      </c>
      <c r="N1417" s="5" t="s">
        <v>140</v>
      </c>
      <c r="O1417" s="12"/>
      <c r="S1417" s="13">
        <v>7058</v>
      </c>
      <c r="U1417" s="13">
        <v>7058</v>
      </c>
      <c r="AC1417" s="10" t="s">
        <v>3400</v>
      </c>
      <c r="AD1417" s="5" t="s">
        <v>3401</v>
      </c>
      <c r="AE1417" s="5" t="s">
        <v>138</v>
      </c>
      <c r="AG1417" s="5" t="s">
        <v>3402</v>
      </c>
    </row>
    <row r="1418" spans="1:33" ht="10" customHeight="1" x14ac:dyDescent="0.2">
      <c r="A1418" s="5" t="s">
        <v>40</v>
      </c>
      <c r="B1418" s="5" t="s">
        <v>41</v>
      </c>
      <c r="D1418" s="5" t="s">
        <v>3403</v>
      </c>
      <c r="E1418" s="10" t="s">
        <v>345</v>
      </c>
      <c r="F1418" s="5" t="s">
        <v>3205</v>
      </c>
      <c r="G1418" s="5" t="s">
        <v>464</v>
      </c>
      <c r="I1418" s="11">
        <v>1</v>
      </c>
      <c r="J1418" s="5" t="s">
        <v>45</v>
      </c>
      <c r="K1418" s="10" t="s">
        <v>46</v>
      </c>
      <c r="L1418" s="5" t="s">
        <v>47</v>
      </c>
      <c r="M1418" s="5" t="s">
        <v>115</v>
      </c>
      <c r="N1418" s="5" t="s">
        <v>140</v>
      </c>
      <c r="O1418" s="12"/>
      <c r="S1418" s="13">
        <v>945</v>
      </c>
      <c r="U1418" s="13">
        <v>945</v>
      </c>
      <c r="AC1418" s="10" t="s">
        <v>3404</v>
      </c>
      <c r="AD1418" s="5" t="s">
        <v>3401</v>
      </c>
      <c r="AE1418" s="5" t="s">
        <v>138</v>
      </c>
    </row>
    <row r="1419" spans="1:33" ht="10" customHeight="1" x14ac:dyDescent="0.2">
      <c r="A1419" s="5" t="s">
        <v>40</v>
      </c>
      <c r="B1419" s="5" t="s">
        <v>41</v>
      </c>
      <c r="D1419" s="5" t="s">
        <v>3405</v>
      </c>
      <c r="E1419" s="10" t="s">
        <v>345</v>
      </c>
      <c r="F1419" s="5" t="s">
        <v>3205</v>
      </c>
      <c r="G1419" s="5" t="s">
        <v>464</v>
      </c>
      <c r="I1419" s="11">
        <v>1</v>
      </c>
      <c r="J1419" s="5" t="s">
        <v>45</v>
      </c>
      <c r="K1419" s="10" t="s">
        <v>46</v>
      </c>
      <c r="L1419" s="5" t="s">
        <v>47</v>
      </c>
      <c r="M1419" s="5" t="s">
        <v>115</v>
      </c>
      <c r="N1419" s="5" t="s">
        <v>140</v>
      </c>
      <c r="O1419" s="12"/>
      <c r="S1419" s="13">
        <v>204</v>
      </c>
      <c r="U1419" s="13">
        <v>204</v>
      </c>
      <c r="AC1419" s="10" t="s">
        <v>3406</v>
      </c>
      <c r="AD1419" s="5" t="s">
        <v>3401</v>
      </c>
      <c r="AE1419" s="5" t="s">
        <v>138</v>
      </c>
    </row>
    <row r="1420" spans="1:33" ht="10" customHeight="1" x14ac:dyDescent="0.2">
      <c r="A1420" s="5" t="s">
        <v>40</v>
      </c>
      <c r="B1420" s="5" t="s">
        <v>41</v>
      </c>
      <c r="D1420" s="5" t="s">
        <v>3407</v>
      </c>
      <c r="E1420" s="10" t="s">
        <v>345</v>
      </c>
      <c r="F1420" s="5" t="s">
        <v>3205</v>
      </c>
      <c r="G1420" s="5" t="s">
        <v>464</v>
      </c>
      <c r="I1420" s="11">
        <v>1</v>
      </c>
      <c r="J1420" s="5" t="s">
        <v>45</v>
      </c>
      <c r="K1420" s="10" t="s">
        <v>46</v>
      </c>
      <c r="L1420" s="5" t="s">
        <v>47</v>
      </c>
      <c r="M1420" s="5" t="s">
        <v>115</v>
      </c>
      <c r="N1420" s="5" t="s">
        <v>140</v>
      </c>
      <c r="O1420" s="12"/>
      <c r="S1420" s="13">
        <v>1056</v>
      </c>
      <c r="U1420" s="13">
        <v>1056</v>
      </c>
      <c r="AC1420" s="10" t="s">
        <v>3408</v>
      </c>
      <c r="AD1420" s="5" t="s">
        <v>3401</v>
      </c>
      <c r="AE1420" s="5" t="s">
        <v>138</v>
      </c>
    </row>
    <row r="1421" spans="1:33" ht="10" customHeight="1" x14ac:dyDescent="0.2">
      <c r="A1421" s="5" t="s">
        <v>40</v>
      </c>
      <c r="B1421" s="5" t="s">
        <v>41</v>
      </c>
      <c r="D1421" s="5" t="s">
        <v>3409</v>
      </c>
      <c r="E1421" s="10" t="s">
        <v>345</v>
      </c>
      <c r="F1421" s="5" t="s">
        <v>3205</v>
      </c>
      <c r="G1421" s="5" t="s">
        <v>464</v>
      </c>
      <c r="I1421" s="11">
        <v>1</v>
      </c>
      <c r="J1421" s="5" t="s">
        <v>45</v>
      </c>
      <c r="K1421" s="10" t="s">
        <v>46</v>
      </c>
      <c r="L1421" s="5" t="s">
        <v>47</v>
      </c>
      <c r="M1421" s="5" t="s">
        <v>115</v>
      </c>
      <c r="N1421" s="5" t="s">
        <v>140</v>
      </c>
      <c r="O1421" s="12"/>
      <c r="S1421" s="13">
        <v>6558</v>
      </c>
      <c r="U1421" s="13">
        <v>6558</v>
      </c>
      <c r="AC1421" s="10" t="s">
        <v>3410</v>
      </c>
      <c r="AD1421" s="5" t="s">
        <v>3411</v>
      </c>
      <c r="AE1421" s="5" t="s">
        <v>138</v>
      </c>
      <c r="AG1421" s="5" t="s">
        <v>3412</v>
      </c>
    </row>
    <row r="1422" spans="1:33" ht="10" customHeight="1" x14ac:dyDescent="0.2">
      <c r="A1422" s="5" t="s">
        <v>40</v>
      </c>
      <c r="B1422" s="5" t="s">
        <v>41</v>
      </c>
      <c r="D1422" s="5" t="s">
        <v>3413</v>
      </c>
      <c r="E1422" s="10" t="s">
        <v>345</v>
      </c>
      <c r="F1422" s="5" t="s">
        <v>3205</v>
      </c>
      <c r="G1422" s="5" t="s">
        <v>464</v>
      </c>
      <c r="I1422" s="11">
        <v>1</v>
      </c>
      <c r="J1422" s="5" t="s">
        <v>45</v>
      </c>
      <c r="K1422" s="10" t="s">
        <v>46</v>
      </c>
      <c r="L1422" s="5" t="s">
        <v>47</v>
      </c>
      <c r="M1422" s="5" t="s">
        <v>115</v>
      </c>
      <c r="N1422" s="5" t="s">
        <v>140</v>
      </c>
      <c r="O1422" s="12"/>
      <c r="S1422" s="13">
        <v>191</v>
      </c>
      <c r="U1422" s="13">
        <v>191</v>
      </c>
      <c r="AC1422" s="10" t="s">
        <v>3414</v>
      </c>
      <c r="AD1422" s="5" t="s">
        <v>3411</v>
      </c>
      <c r="AE1422" s="5" t="s">
        <v>138</v>
      </c>
    </row>
    <row r="1423" spans="1:33" ht="10" customHeight="1" x14ac:dyDescent="0.2">
      <c r="A1423" s="5" t="s">
        <v>40</v>
      </c>
      <c r="B1423" s="5" t="s">
        <v>41</v>
      </c>
      <c r="D1423" s="5" t="s">
        <v>3415</v>
      </c>
      <c r="E1423" s="10" t="s">
        <v>345</v>
      </c>
      <c r="F1423" s="5" t="s">
        <v>3205</v>
      </c>
      <c r="G1423" s="5" t="s">
        <v>464</v>
      </c>
      <c r="I1423" s="11">
        <v>1</v>
      </c>
      <c r="J1423" s="5" t="s">
        <v>45</v>
      </c>
      <c r="K1423" s="10" t="s">
        <v>46</v>
      </c>
      <c r="L1423" s="5" t="s">
        <v>47</v>
      </c>
      <c r="M1423" s="5" t="s">
        <v>115</v>
      </c>
      <c r="N1423" s="5" t="s">
        <v>140</v>
      </c>
      <c r="O1423" s="12"/>
      <c r="S1423" s="13">
        <v>781</v>
      </c>
      <c r="U1423" s="13">
        <v>781</v>
      </c>
      <c r="AC1423" s="10" t="s">
        <v>3416</v>
      </c>
      <c r="AD1423" s="5" t="s">
        <v>3411</v>
      </c>
      <c r="AE1423" s="5" t="s">
        <v>138</v>
      </c>
    </row>
    <row r="1424" spans="1:33" ht="10" customHeight="1" x14ac:dyDescent="0.2">
      <c r="A1424" s="5" t="s">
        <v>40</v>
      </c>
      <c r="B1424" s="5" t="s">
        <v>41</v>
      </c>
      <c r="D1424" s="5" t="s">
        <v>3417</v>
      </c>
      <c r="E1424" s="10" t="s">
        <v>345</v>
      </c>
      <c r="F1424" s="5" t="s">
        <v>3205</v>
      </c>
      <c r="G1424" s="5" t="s">
        <v>464</v>
      </c>
      <c r="I1424" s="11">
        <v>1</v>
      </c>
      <c r="J1424" s="5" t="s">
        <v>45</v>
      </c>
      <c r="K1424" s="10" t="s">
        <v>46</v>
      </c>
      <c r="L1424" s="5" t="s">
        <v>47</v>
      </c>
      <c r="M1424" s="5" t="s">
        <v>115</v>
      </c>
      <c r="N1424" s="5" t="s">
        <v>140</v>
      </c>
      <c r="O1424" s="12"/>
      <c r="S1424" s="13">
        <v>781</v>
      </c>
      <c r="U1424" s="13">
        <v>781</v>
      </c>
      <c r="AC1424" s="10" t="s">
        <v>3418</v>
      </c>
      <c r="AD1424" s="5" t="s">
        <v>3411</v>
      </c>
      <c r="AE1424" s="5" t="s">
        <v>138</v>
      </c>
    </row>
    <row r="1425" spans="1:33" ht="10" customHeight="1" x14ac:dyDescent="0.2">
      <c r="A1425" s="5" t="s">
        <v>40</v>
      </c>
      <c r="B1425" s="5" t="s">
        <v>41</v>
      </c>
      <c r="D1425" s="5" t="s">
        <v>3419</v>
      </c>
      <c r="E1425" s="10" t="s">
        <v>345</v>
      </c>
      <c r="F1425" s="5" t="s">
        <v>3205</v>
      </c>
      <c r="G1425" s="5" t="s">
        <v>464</v>
      </c>
      <c r="I1425" s="11">
        <v>1</v>
      </c>
      <c r="J1425" s="5" t="s">
        <v>45</v>
      </c>
      <c r="K1425" s="10" t="s">
        <v>46</v>
      </c>
      <c r="L1425" s="5" t="s">
        <v>47</v>
      </c>
      <c r="M1425" s="5" t="s">
        <v>115</v>
      </c>
      <c r="N1425" s="5" t="s">
        <v>140</v>
      </c>
      <c r="O1425" s="12"/>
      <c r="S1425" s="13">
        <v>9240</v>
      </c>
      <c r="U1425" s="13">
        <v>9240</v>
      </c>
      <c r="AC1425" s="10" t="s">
        <v>3420</v>
      </c>
      <c r="AD1425" s="5" t="s">
        <v>3421</v>
      </c>
      <c r="AE1425" s="5" t="s">
        <v>138</v>
      </c>
      <c r="AG1425" s="5" t="s">
        <v>3422</v>
      </c>
    </row>
    <row r="1426" spans="1:33" ht="10" customHeight="1" x14ac:dyDescent="0.2">
      <c r="A1426" s="5" t="s">
        <v>40</v>
      </c>
      <c r="B1426" s="5" t="s">
        <v>41</v>
      </c>
      <c r="D1426" s="5" t="s">
        <v>3423</v>
      </c>
      <c r="E1426" s="10" t="s">
        <v>345</v>
      </c>
      <c r="F1426" s="5" t="s">
        <v>3205</v>
      </c>
      <c r="G1426" s="5" t="s">
        <v>464</v>
      </c>
      <c r="I1426" s="11">
        <v>1</v>
      </c>
      <c r="J1426" s="5" t="s">
        <v>45</v>
      </c>
      <c r="K1426" s="10" t="s">
        <v>46</v>
      </c>
      <c r="L1426" s="5" t="s">
        <v>47</v>
      </c>
      <c r="M1426" s="5" t="s">
        <v>115</v>
      </c>
      <c r="N1426" s="5" t="s">
        <v>140</v>
      </c>
      <c r="O1426" s="12"/>
      <c r="S1426" s="13">
        <v>642</v>
      </c>
      <c r="U1426" s="13">
        <v>642</v>
      </c>
      <c r="AC1426" s="10" t="s">
        <v>3424</v>
      </c>
      <c r="AD1426" s="5" t="s">
        <v>3421</v>
      </c>
      <c r="AE1426" s="5" t="s">
        <v>138</v>
      </c>
    </row>
    <row r="1427" spans="1:33" ht="10" customHeight="1" x14ac:dyDescent="0.2">
      <c r="A1427" s="5" t="s">
        <v>40</v>
      </c>
      <c r="B1427" s="5" t="s">
        <v>41</v>
      </c>
      <c r="D1427" s="5" t="s">
        <v>3425</v>
      </c>
      <c r="E1427" s="10" t="s">
        <v>345</v>
      </c>
      <c r="F1427" s="5" t="s">
        <v>3205</v>
      </c>
      <c r="G1427" s="5" t="s">
        <v>464</v>
      </c>
      <c r="I1427" s="11">
        <v>1</v>
      </c>
      <c r="J1427" s="5" t="s">
        <v>45</v>
      </c>
      <c r="K1427" s="10" t="s">
        <v>46</v>
      </c>
      <c r="L1427" s="5" t="s">
        <v>47</v>
      </c>
      <c r="M1427" s="5" t="s">
        <v>115</v>
      </c>
      <c r="N1427" s="5" t="s">
        <v>140</v>
      </c>
      <c r="O1427" s="12"/>
      <c r="S1427" s="13">
        <v>83</v>
      </c>
      <c r="U1427" s="13">
        <v>83</v>
      </c>
      <c r="AC1427" s="10" t="s">
        <v>3426</v>
      </c>
      <c r="AD1427" s="5" t="s">
        <v>3421</v>
      </c>
      <c r="AE1427" s="5" t="s">
        <v>138</v>
      </c>
    </row>
    <row r="1428" spans="1:33" ht="10" customHeight="1" x14ac:dyDescent="0.2">
      <c r="A1428" s="5" t="s">
        <v>40</v>
      </c>
      <c r="B1428" s="5" t="s">
        <v>41</v>
      </c>
      <c r="D1428" s="5" t="s">
        <v>3427</v>
      </c>
      <c r="E1428" s="10" t="s">
        <v>345</v>
      </c>
      <c r="F1428" s="5" t="s">
        <v>3205</v>
      </c>
      <c r="G1428" s="5" t="s">
        <v>464</v>
      </c>
      <c r="I1428" s="11">
        <v>1</v>
      </c>
      <c r="J1428" s="5" t="s">
        <v>45</v>
      </c>
      <c r="K1428" s="10" t="s">
        <v>46</v>
      </c>
      <c r="L1428" s="5" t="s">
        <v>47</v>
      </c>
      <c r="M1428" s="5" t="s">
        <v>115</v>
      </c>
      <c r="N1428" s="5" t="s">
        <v>140</v>
      </c>
      <c r="O1428" s="12"/>
      <c r="S1428" s="13">
        <v>1926</v>
      </c>
      <c r="U1428" s="13">
        <v>1926</v>
      </c>
      <c r="AC1428" s="10" t="s">
        <v>3428</v>
      </c>
      <c r="AD1428" s="5" t="s">
        <v>3421</v>
      </c>
      <c r="AE1428" s="5" t="s">
        <v>138</v>
      </c>
      <c r="AG1428" s="5" t="s">
        <v>3429</v>
      </c>
    </row>
    <row r="1429" spans="1:33" ht="10" customHeight="1" x14ac:dyDescent="0.2">
      <c r="A1429" s="5" t="s">
        <v>40</v>
      </c>
      <c r="B1429" s="5" t="s">
        <v>41</v>
      </c>
      <c r="D1429" s="5" t="s">
        <v>3430</v>
      </c>
      <c r="E1429" s="10" t="s">
        <v>345</v>
      </c>
      <c r="F1429" s="5" t="s">
        <v>3205</v>
      </c>
      <c r="G1429" s="5" t="s">
        <v>464</v>
      </c>
      <c r="I1429" s="11">
        <v>1</v>
      </c>
      <c r="J1429" s="5" t="s">
        <v>45</v>
      </c>
      <c r="K1429" s="10" t="s">
        <v>46</v>
      </c>
      <c r="L1429" s="5" t="s">
        <v>47</v>
      </c>
      <c r="M1429" s="5" t="s">
        <v>115</v>
      </c>
      <c r="N1429" s="5" t="s">
        <v>140</v>
      </c>
      <c r="O1429" s="12"/>
      <c r="S1429" s="13">
        <v>3112</v>
      </c>
      <c r="U1429" s="13">
        <v>3112</v>
      </c>
      <c r="AC1429" s="10" t="s">
        <v>3431</v>
      </c>
      <c r="AD1429" s="5" t="s">
        <v>3432</v>
      </c>
      <c r="AE1429" s="5" t="s">
        <v>138</v>
      </c>
      <c r="AG1429" s="5" t="s">
        <v>3433</v>
      </c>
    </row>
    <row r="1430" spans="1:33" ht="10" customHeight="1" x14ac:dyDescent="0.2">
      <c r="A1430" s="5" t="s">
        <v>40</v>
      </c>
      <c r="B1430" s="5" t="s">
        <v>41</v>
      </c>
      <c r="D1430" s="5" t="s">
        <v>3434</v>
      </c>
      <c r="E1430" s="10" t="s">
        <v>345</v>
      </c>
      <c r="F1430" s="5" t="s">
        <v>3205</v>
      </c>
      <c r="G1430" s="5" t="s">
        <v>464</v>
      </c>
      <c r="I1430" s="11">
        <v>1</v>
      </c>
      <c r="J1430" s="5" t="s">
        <v>45</v>
      </c>
      <c r="K1430" s="10" t="s">
        <v>46</v>
      </c>
      <c r="L1430" s="5" t="s">
        <v>47</v>
      </c>
      <c r="M1430" s="5" t="s">
        <v>115</v>
      </c>
      <c r="N1430" s="5" t="s">
        <v>140</v>
      </c>
      <c r="O1430" s="12"/>
      <c r="S1430" s="13">
        <v>14641</v>
      </c>
      <c r="U1430" s="13">
        <v>14641</v>
      </c>
      <c r="AC1430" s="10" t="s">
        <v>3435</v>
      </c>
      <c r="AD1430" s="5" t="s">
        <v>3432</v>
      </c>
      <c r="AE1430" s="5" t="s">
        <v>138</v>
      </c>
    </row>
    <row r="1431" spans="1:33" ht="10" customHeight="1" x14ac:dyDescent="0.2">
      <c r="A1431" s="5" t="s">
        <v>40</v>
      </c>
      <c r="B1431" s="5" t="s">
        <v>41</v>
      </c>
      <c r="D1431" s="5" t="s">
        <v>3436</v>
      </c>
      <c r="E1431" s="10" t="s">
        <v>345</v>
      </c>
      <c r="F1431" s="5" t="s">
        <v>3205</v>
      </c>
      <c r="G1431" s="5" t="s">
        <v>464</v>
      </c>
      <c r="I1431" s="11">
        <v>1</v>
      </c>
      <c r="J1431" s="5" t="s">
        <v>45</v>
      </c>
      <c r="K1431" s="10" t="s">
        <v>46</v>
      </c>
      <c r="L1431" s="5" t="s">
        <v>47</v>
      </c>
      <c r="M1431" s="5" t="s">
        <v>115</v>
      </c>
      <c r="N1431" s="5" t="s">
        <v>140</v>
      </c>
      <c r="O1431" s="12"/>
      <c r="S1431" s="13">
        <v>3020</v>
      </c>
      <c r="U1431" s="13">
        <v>3020</v>
      </c>
      <c r="AC1431" s="10" t="s">
        <v>3437</v>
      </c>
      <c r="AD1431" s="5" t="s">
        <v>3432</v>
      </c>
      <c r="AE1431" s="5" t="s">
        <v>138</v>
      </c>
    </row>
    <row r="1432" spans="1:33" ht="10" customHeight="1" x14ac:dyDescent="0.2">
      <c r="A1432" s="5" t="s">
        <v>40</v>
      </c>
      <c r="B1432" s="5" t="s">
        <v>41</v>
      </c>
      <c r="D1432" s="5" t="s">
        <v>3438</v>
      </c>
      <c r="E1432" s="10" t="s">
        <v>345</v>
      </c>
      <c r="F1432" s="5" t="s">
        <v>3205</v>
      </c>
      <c r="G1432" s="5" t="s">
        <v>464</v>
      </c>
      <c r="I1432" s="11">
        <v>1</v>
      </c>
      <c r="J1432" s="5" t="s">
        <v>45</v>
      </c>
      <c r="K1432" s="10" t="s">
        <v>46</v>
      </c>
      <c r="L1432" s="5" t="s">
        <v>47</v>
      </c>
      <c r="M1432" s="5" t="s">
        <v>115</v>
      </c>
      <c r="N1432" s="5" t="s">
        <v>140</v>
      </c>
      <c r="O1432" s="12"/>
      <c r="S1432" s="13">
        <v>2283</v>
      </c>
      <c r="U1432" s="13">
        <v>2283</v>
      </c>
      <c r="AC1432" s="10" t="s">
        <v>3439</v>
      </c>
      <c r="AD1432" s="5" t="s">
        <v>3432</v>
      </c>
      <c r="AE1432" s="5" t="s">
        <v>138</v>
      </c>
    </row>
    <row r="1433" spans="1:33" ht="10" customHeight="1" x14ac:dyDescent="0.2">
      <c r="A1433" s="5" t="s">
        <v>40</v>
      </c>
      <c r="B1433" s="5" t="s">
        <v>41</v>
      </c>
      <c r="D1433" s="5" t="s">
        <v>3440</v>
      </c>
      <c r="E1433" s="10" t="s">
        <v>345</v>
      </c>
      <c r="F1433" s="5" t="s">
        <v>3205</v>
      </c>
      <c r="G1433" s="5" t="s">
        <v>464</v>
      </c>
      <c r="I1433" s="11">
        <v>1</v>
      </c>
      <c r="J1433" s="5" t="s">
        <v>45</v>
      </c>
      <c r="K1433" s="10" t="s">
        <v>46</v>
      </c>
      <c r="L1433" s="5" t="s">
        <v>47</v>
      </c>
      <c r="M1433" s="5" t="s">
        <v>115</v>
      </c>
      <c r="N1433" s="5" t="s">
        <v>140</v>
      </c>
      <c r="O1433" s="12"/>
      <c r="S1433" s="13">
        <v>15399</v>
      </c>
      <c r="U1433" s="13">
        <v>15399</v>
      </c>
      <c r="AC1433" s="10" t="s">
        <v>3441</v>
      </c>
      <c r="AD1433" s="5" t="s">
        <v>3442</v>
      </c>
      <c r="AE1433" s="5" t="s">
        <v>138</v>
      </c>
    </row>
    <row r="1434" spans="1:33" ht="10" customHeight="1" x14ac:dyDescent="0.2">
      <c r="A1434" s="5" t="s">
        <v>40</v>
      </c>
      <c r="B1434" s="5" t="s">
        <v>41</v>
      </c>
      <c r="D1434" s="5" t="s">
        <v>3443</v>
      </c>
      <c r="E1434" s="10" t="s">
        <v>345</v>
      </c>
      <c r="F1434" s="5" t="s">
        <v>3205</v>
      </c>
      <c r="G1434" s="5" t="s">
        <v>464</v>
      </c>
      <c r="I1434" s="11">
        <v>1</v>
      </c>
      <c r="J1434" s="5" t="s">
        <v>45</v>
      </c>
      <c r="K1434" s="10" t="s">
        <v>46</v>
      </c>
      <c r="L1434" s="5" t="s">
        <v>47</v>
      </c>
      <c r="M1434" s="5" t="s">
        <v>115</v>
      </c>
      <c r="N1434" s="5" t="s">
        <v>140</v>
      </c>
      <c r="O1434" s="12"/>
      <c r="S1434" s="13">
        <v>1093</v>
      </c>
      <c r="U1434" s="13">
        <v>1093</v>
      </c>
      <c r="AC1434" s="10" t="s">
        <v>3444</v>
      </c>
      <c r="AD1434" s="5" t="s">
        <v>3442</v>
      </c>
      <c r="AE1434" s="5" t="s">
        <v>138</v>
      </c>
    </row>
    <row r="1435" spans="1:33" ht="10" customHeight="1" x14ac:dyDescent="0.2">
      <c r="A1435" s="5" t="s">
        <v>40</v>
      </c>
      <c r="B1435" s="5" t="s">
        <v>41</v>
      </c>
      <c r="D1435" s="5" t="s">
        <v>3445</v>
      </c>
      <c r="E1435" s="10" t="s">
        <v>345</v>
      </c>
      <c r="F1435" s="5" t="s">
        <v>3205</v>
      </c>
      <c r="G1435" s="5" t="s">
        <v>464</v>
      </c>
      <c r="I1435" s="11">
        <v>1</v>
      </c>
      <c r="J1435" s="5" t="s">
        <v>45</v>
      </c>
      <c r="K1435" s="10" t="s">
        <v>46</v>
      </c>
      <c r="L1435" s="5" t="s">
        <v>47</v>
      </c>
      <c r="M1435" s="5" t="s">
        <v>115</v>
      </c>
      <c r="N1435" s="5" t="s">
        <v>140</v>
      </c>
      <c r="O1435" s="12"/>
      <c r="S1435" s="13">
        <v>720</v>
      </c>
      <c r="U1435" s="13">
        <v>720</v>
      </c>
      <c r="AC1435" s="10" t="s">
        <v>3446</v>
      </c>
      <c r="AD1435" s="5" t="s">
        <v>3442</v>
      </c>
      <c r="AE1435" s="5" t="s">
        <v>138</v>
      </c>
    </row>
    <row r="1436" spans="1:33" ht="10" customHeight="1" x14ac:dyDescent="0.2">
      <c r="A1436" s="5" t="s">
        <v>40</v>
      </c>
      <c r="B1436" s="5" t="s">
        <v>41</v>
      </c>
      <c r="D1436" s="5" t="s">
        <v>3447</v>
      </c>
      <c r="E1436" s="10" t="s">
        <v>345</v>
      </c>
      <c r="F1436" s="5" t="s">
        <v>3205</v>
      </c>
      <c r="G1436" s="5" t="s">
        <v>464</v>
      </c>
      <c r="I1436" s="11">
        <v>1</v>
      </c>
      <c r="J1436" s="5" t="s">
        <v>45</v>
      </c>
      <c r="K1436" s="10" t="s">
        <v>46</v>
      </c>
      <c r="L1436" s="5" t="s">
        <v>47</v>
      </c>
      <c r="M1436" s="5" t="s">
        <v>115</v>
      </c>
      <c r="N1436" s="5" t="s">
        <v>140</v>
      </c>
      <c r="O1436" s="12"/>
      <c r="S1436" s="13">
        <v>137</v>
      </c>
      <c r="U1436" s="13">
        <v>137</v>
      </c>
      <c r="AC1436" s="10" t="s">
        <v>3448</v>
      </c>
      <c r="AD1436" s="5" t="s">
        <v>3442</v>
      </c>
      <c r="AE1436" s="5" t="s">
        <v>138</v>
      </c>
      <c r="AG1436" s="5" t="s">
        <v>3449</v>
      </c>
    </row>
    <row r="1437" spans="1:33" ht="10" customHeight="1" x14ac:dyDescent="0.2">
      <c r="A1437" s="5" t="s">
        <v>40</v>
      </c>
      <c r="B1437" s="5" t="s">
        <v>41</v>
      </c>
      <c r="D1437" s="5" t="s">
        <v>3450</v>
      </c>
      <c r="E1437" s="10" t="s">
        <v>345</v>
      </c>
      <c r="F1437" s="5" t="s">
        <v>3205</v>
      </c>
      <c r="G1437" s="5" t="s">
        <v>464</v>
      </c>
      <c r="I1437" s="11">
        <v>1</v>
      </c>
      <c r="J1437" s="5" t="s">
        <v>45</v>
      </c>
      <c r="K1437" s="10" t="s">
        <v>46</v>
      </c>
      <c r="L1437" s="5" t="s">
        <v>47</v>
      </c>
      <c r="M1437" s="5" t="s">
        <v>115</v>
      </c>
      <c r="N1437" s="5" t="s">
        <v>140</v>
      </c>
      <c r="O1437" s="12"/>
      <c r="S1437" s="13">
        <v>4175</v>
      </c>
      <c r="U1437" s="13">
        <v>4175</v>
      </c>
      <c r="AC1437" s="10" t="s">
        <v>3451</v>
      </c>
      <c r="AD1437" s="5" t="s">
        <v>3452</v>
      </c>
      <c r="AE1437" s="5" t="s">
        <v>138</v>
      </c>
    </row>
    <row r="1438" spans="1:33" ht="10" customHeight="1" x14ac:dyDescent="0.2">
      <c r="A1438" s="5" t="s">
        <v>40</v>
      </c>
      <c r="B1438" s="5" t="s">
        <v>41</v>
      </c>
      <c r="D1438" s="5" t="s">
        <v>3453</v>
      </c>
      <c r="E1438" s="10" t="s">
        <v>345</v>
      </c>
      <c r="F1438" s="5" t="s">
        <v>3205</v>
      </c>
      <c r="G1438" s="5" t="s">
        <v>464</v>
      </c>
      <c r="I1438" s="11">
        <v>1</v>
      </c>
      <c r="J1438" s="5" t="s">
        <v>45</v>
      </c>
      <c r="K1438" s="10" t="s">
        <v>46</v>
      </c>
      <c r="L1438" s="5" t="s">
        <v>47</v>
      </c>
      <c r="M1438" s="5" t="s">
        <v>115</v>
      </c>
      <c r="N1438" s="5" t="s">
        <v>140</v>
      </c>
      <c r="O1438" s="12"/>
      <c r="S1438" s="13">
        <v>404</v>
      </c>
      <c r="U1438" s="13">
        <v>404</v>
      </c>
      <c r="AC1438" s="10" t="s">
        <v>3454</v>
      </c>
      <c r="AD1438" s="5" t="s">
        <v>3452</v>
      </c>
      <c r="AE1438" s="5" t="s">
        <v>138</v>
      </c>
    </row>
    <row r="1439" spans="1:33" ht="10" customHeight="1" x14ac:dyDescent="0.2">
      <c r="A1439" s="5" t="s">
        <v>40</v>
      </c>
      <c r="B1439" s="5" t="s">
        <v>41</v>
      </c>
      <c r="D1439" s="5" t="s">
        <v>3455</v>
      </c>
      <c r="E1439" s="10" t="s">
        <v>345</v>
      </c>
      <c r="F1439" s="5" t="s">
        <v>3205</v>
      </c>
      <c r="G1439" s="5" t="s">
        <v>464</v>
      </c>
      <c r="I1439" s="11">
        <v>1</v>
      </c>
      <c r="J1439" s="5" t="s">
        <v>45</v>
      </c>
      <c r="K1439" s="10" t="s">
        <v>46</v>
      </c>
      <c r="L1439" s="5" t="s">
        <v>47</v>
      </c>
      <c r="M1439" s="5" t="s">
        <v>115</v>
      </c>
      <c r="N1439" s="5" t="s">
        <v>140</v>
      </c>
      <c r="O1439" s="12"/>
      <c r="S1439" s="13">
        <v>1450</v>
      </c>
      <c r="U1439" s="13">
        <v>1450</v>
      </c>
      <c r="AC1439" s="10" t="s">
        <v>3456</v>
      </c>
      <c r="AD1439" s="5" t="s">
        <v>3452</v>
      </c>
      <c r="AE1439" s="5" t="s">
        <v>138</v>
      </c>
    </row>
    <row r="1440" spans="1:33" ht="10" customHeight="1" x14ac:dyDescent="0.2">
      <c r="A1440" s="5" t="s">
        <v>40</v>
      </c>
      <c r="B1440" s="5" t="s">
        <v>41</v>
      </c>
      <c r="D1440" s="5" t="s">
        <v>3457</v>
      </c>
      <c r="E1440" s="10" t="s">
        <v>345</v>
      </c>
      <c r="F1440" s="5" t="s">
        <v>3205</v>
      </c>
      <c r="G1440" s="5" t="s">
        <v>464</v>
      </c>
      <c r="I1440" s="11">
        <v>1</v>
      </c>
      <c r="J1440" s="5" t="s">
        <v>45</v>
      </c>
      <c r="K1440" s="10" t="s">
        <v>46</v>
      </c>
      <c r="L1440" s="5" t="s">
        <v>47</v>
      </c>
      <c r="M1440" s="5" t="s">
        <v>115</v>
      </c>
      <c r="N1440" s="5" t="s">
        <v>140</v>
      </c>
      <c r="O1440" s="12"/>
      <c r="S1440" s="13">
        <v>1139</v>
      </c>
      <c r="U1440" s="13">
        <v>1139</v>
      </c>
      <c r="AC1440" s="10" t="s">
        <v>3458</v>
      </c>
      <c r="AD1440" s="5" t="s">
        <v>3452</v>
      </c>
      <c r="AE1440" s="5" t="s">
        <v>138</v>
      </c>
    </row>
    <row r="1441" spans="1:33" ht="10" customHeight="1" x14ac:dyDescent="0.2">
      <c r="A1441" s="5" t="s">
        <v>40</v>
      </c>
      <c r="B1441" s="5" t="s">
        <v>41</v>
      </c>
      <c r="D1441" s="5" t="s">
        <v>3459</v>
      </c>
      <c r="E1441" s="10" t="s">
        <v>345</v>
      </c>
      <c r="F1441" s="5" t="s">
        <v>3205</v>
      </c>
      <c r="G1441" s="5" t="s">
        <v>464</v>
      </c>
      <c r="I1441" s="11">
        <v>1</v>
      </c>
      <c r="J1441" s="5" t="s">
        <v>45</v>
      </c>
      <c r="K1441" s="10" t="s">
        <v>46</v>
      </c>
      <c r="L1441" s="5" t="s">
        <v>47</v>
      </c>
      <c r="M1441" s="5" t="s">
        <v>115</v>
      </c>
      <c r="N1441" s="5" t="s">
        <v>140</v>
      </c>
      <c r="O1441" s="12"/>
      <c r="S1441" s="13">
        <v>51295</v>
      </c>
      <c r="U1441" s="13">
        <v>51295</v>
      </c>
      <c r="AC1441" s="10" t="s">
        <v>3460</v>
      </c>
      <c r="AD1441" s="5" t="s">
        <v>3461</v>
      </c>
      <c r="AE1441" s="5" t="s">
        <v>138</v>
      </c>
    </row>
    <row r="1442" spans="1:33" ht="10" customHeight="1" x14ac:dyDescent="0.2">
      <c r="A1442" s="5" t="s">
        <v>40</v>
      </c>
      <c r="B1442" s="5" t="s">
        <v>41</v>
      </c>
      <c r="D1442" s="5" t="s">
        <v>3462</v>
      </c>
      <c r="E1442" s="10" t="s">
        <v>345</v>
      </c>
      <c r="F1442" s="5" t="s">
        <v>3205</v>
      </c>
      <c r="G1442" s="5" t="s">
        <v>464</v>
      </c>
      <c r="I1442" s="11">
        <v>1</v>
      </c>
      <c r="J1442" s="5" t="s">
        <v>45</v>
      </c>
      <c r="K1442" s="10" t="s">
        <v>46</v>
      </c>
      <c r="L1442" s="5" t="s">
        <v>47</v>
      </c>
      <c r="M1442" s="5" t="s">
        <v>115</v>
      </c>
      <c r="N1442" s="5" t="s">
        <v>140</v>
      </c>
      <c r="O1442" s="12"/>
      <c r="S1442" s="13">
        <v>1253</v>
      </c>
      <c r="U1442" s="13">
        <v>1253</v>
      </c>
      <c r="AC1442" s="10" t="s">
        <v>3463</v>
      </c>
      <c r="AD1442" s="5" t="s">
        <v>3461</v>
      </c>
      <c r="AE1442" s="5" t="s">
        <v>138</v>
      </c>
    </row>
    <row r="1443" spans="1:33" ht="10" customHeight="1" x14ac:dyDescent="0.2">
      <c r="A1443" s="5" t="s">
        <v>40</v>
      </c>
      <c r="B1443" s="5" t="s">
        <v>41</v>
      </c>
      <c r="D1443" s="5" t="s">
        <v>3464</v>
      </c>
      <c r="E1443" s="10" t="s">
        <v>345</v>
      </c>
      <c r="F1443" s="5" t="s">
        <v>3205</v>
      </c>
      <c r="G1443" s="5" t="s">
        <v>464</v>
      </c>
      <c r="I1443" s="11">
        <v>1</v>
      </c>
      <c r="J1443" s="5" t="s">
        <v>45</v>
      </c>
      <c r="K1443" s="10" t="s">
        <v>46</v>
      </c>
      <c r="L1443" s="5" t="s">
        <v>47</v>
      </c>
      <c r="M1443" s="5" t="s">
        <v>115</v>
      </c>
      <c r="N1443" s="5" t="s">
        <v>140</v>
      </c>
      <c r="O1443" s="12"/>
      <c r="S1443" s="13">
        <v>767</v>
      </c>
      <c r="U1443" s="13">
        <v>767</v>
      </c>
      <c r="AC1443" s="10" t="s">
        <v>3465</v>
      </c>
      <c r="AD1443" s="5" t="s">
        <v>3461</v>
      </c>
      <c r="AE1443" s="5" t="s">
        <v>138</v>
      </c>
    </row>
    <row r="1444" spans="1:33" ht="10" customHeight="1" x14ac:dyDescent="0.2">
      <c r="A1444" s="5" t="s">
        <v>40</v>
      </c>
      <c r="B1444" s="5" t="s">
        <v>41</v>
      </c>
      <c r="D1444" s="5" t="s">
        <v>3466</v>
      </c>
      <c r="E1444" s="10" t="s">
        <v>345</v>
      </c>
      <c r="F1444" s="5" t="s">
        <v>3205</v>
      </c>
      <c r="G1444" s="5" t="s">
        <v>464</v>
      </c>
      <c r="I1444" s="11">
        <v>1</v>
      </c>
      <c r="J1444" s="5" t="s">
        <v>45</v>
      </c>
      <c r="K1444" s="10" t="s">
        <v>46</v>
      </c>
      <c r="L1444" s="5" t="s">
        <v>47</v>
      </c>
      <c r="M1444" s="5" t="s">
        <v>115</v>
      </c>
      <c r="N1444" s="5" t="s">
        <v>140</v>
      </c>
      <c r="O1444" s="12"/>
      <c r="S1444" s="13">
        <v>26501</v>
      </c>
      <c r="U1444" s="13">
        <v>26501</v>
      </c>
      <c r="AC1444" s="10" t="s">
        <v>3467</v>
      </c>
      <c r="AD1444" s="5" t="s">
        <v>3468</v>
      </c>
      <c r="AE1444" s="5" t="s">
        <v>138</v>
      </c>
    </row>
    <row r="1445" spans="1:33" ht="10" customHeight="1" x14ac:dyDescent="0.2">
      <c r="A1445" s="5" t="s">
        <v>40</v>
      </c>
      <c r="B1445" s="5" t="s">
        <v>41</v>
      </c>
      <c r="D1445" s="5" t="s">
        <v>3469</v>
      </c>
      <c r="E1445" s="10" t="s">
        <v>345</v>
      </c>
      <c r="F1445" s="5" t="s">
        <v>3205</v>
      </c>
      <c r="G1445" s="5" t="s">
        <v>464</v>
      </c>
      <c r="I1445" s="11">
        <v>1</v>
      </c>
      <c r="J1445" s="5" t="s">
        <v>45</v>
      </c>
      <c r="K1445" s="10" t="s">
        <v>46</v>
      </c>
      <c r="L1445" s="5" t="s">
        <v>47</v>
      </c>
      <c r="M1445" s="5" t="s">
        <v>115</v>
      </c>
      <c r="N1445" s="5" t="s">
        <v>140</v>
      </c>
      <c r="O1445" s="12"/>
      <c r="S1445" s="13">
        <v>1835</v>
      </c>
      <c r="U1445" s="13">
        <v>1835</v>
      </c>
      <c r="AC1445" s="10" t="s">
        <v>3470</v>
      </c>
      <c r="AD1445" s="5" t="s">
        <v>3468</v>
      </c>
      <c r="AE1445" s="5" t="s">
        <v>138</v>
      </c>
    </row>
    <row r="1446" spans="1:33" ht="10" customHeight="1" x14ac:dyDescent="0.2">
      <c r="A1446" s="5" t="s">
        <v>40</v>
      </c>
      <c r="B1446" s="5" t="s">
        <v>41</v>
      </c>
      <c r="D1446" s="5" t="s">
        <v>3471</v>
      </c>
      <c r="E1446" s="10" t="s">
        <v>345</v>
      </c>
      <c r="F1446" s="5" t="s">
        <v>3205</v>
      </c>
      <c r="G1446" s="5" t="s">
        <v>464</v>
      </c>
      <c r="I1446" s="11">
        <v>1</v>
      </c>
      <c r="J1446" s="5" t="s">
        <v>45</v>
      </c>
      <c r="K1446" s="10" t="s">
        <v>46</v>
      </c>
      <c r="L1446" s="5" t="s">
        <v>47</v>
      </c>
      <c r="M1446" s="5" t="s">
        <v>115</v>
      </c>
      <c r="N1446" s="5" t="s">
        <v>140</v>
      </c>
      <c r="O1446" s="12"/>
      <c r="S1446" s="13">
        <v>617</v>
      </c>
      <c r="U1446" s="13">
        <v>617</v>
      </c>
      <c r="AC1446" s="10" t="s">
        <v>3472</v>
      </c>
      <c r="AD1446" s="5" t="s">
        <v>3468</v>
      </c>
      <c r="AE1446" s="5" t="s">
        <v>138</v>
      </c>
    </row>
    <row r="1447" spans="1:33" ht="10" customHeight="1" x14ac:dyDescent="0.2">
      <c r="A1447" s="5" t="s">
        <v>40</v>
      </c>
      <c r="B1447" s="5" t="s">
        <v>41</v>
      </c>
      <c r="D1447" s="5" t="s">
        <v>3473</v>
      </c>
      <c r="E1447" s="10" t="s">
        <v>345</v>
      </c>
      <c r="F1447" s="5" t="s">
        <v>3205</v>
      </c>
      <c r="G1447" s="5" t="s">
        <v>464</v>
      </c>
      <c r="I1447" s="11">
        <v>1</v>
      </c>
      <c r="J1447" s="5" t="s">
        <v>45</v>
      </c>
      <c r="K1447" s="10" t="s">
        <v>46</v>
      </c>
      <c r="L1447" s="5" t="s">
        <v>47</v>
      </c>
      <c r="M1447" s="5" t="s">
        <v>115</v>
      </c>
      <c r="N1447" s="5" t="s">
        <v>140</v>
      </c>
      <c r="O1447" s="12"/>
      <c r="S1447" s="13">
        <v>1965</v>
      </c>
      <c r="U1447" s="13">
        <v>1965</v>
      </c>
      <c r="AC1447" s="10" t="s">
        <v>3474</v>
      </c>
      <c r="AD1447" s="5" t="s">
        <v>3468</v>
      </c>
      <c r="AE1447" s="5" t="s">
        <v>138</v>
      </c>
    </row>
    <row r="1448" spans="1:33" ht="10" customHeight="1" x14ac:dyDescent="0.2">
      <c r="A1448" s="5" t="s">
        <v>40</v>
      </c>
      <c r="B1448" s="5" t="s">
        <v>41</v>
      </c>
      <c r="D1448" s="5" t="s">
        <v>3475</v>
      </c>
      <c r="E1448" s="10" t="s">
        <v>345</v>
      </c>
      <c r="F1448" s="5" t="s">
        <v>3205</v>
      </c>
      <c r="G1448" s="5" t="s">
        <v>464</v>
      </c>
      <c r="I1448" s="11">
        <v>1</v>
      </c>
      <c r="J1448" s="5" t="s">
        <v>45</v>
      </c>
      <c r="K1448" s="10" t="s">
        <v>46</v>
      </c>
      <c r="L1448" s="5" t="s">
        <v>47</v>
      </c>
      <c r="M1448" s="5" t="s">
        <v>115</v>
      </c>
      <c r="N1448" s="5" t="s">
        <v>140</v>
      </c>
      <c r="O1448" s="12"/>
      <c r="S1448" s="13">
        <v>22772</v>
      </c>
      <c r="U1448" s="13">
        <v>22772</v>
      </c>
      <c r="AC1448" s="10" t="s">
        <v>3476</v>
      </c>
      <c r="AD1448" s="5" t="s">
        <v>3477</v>
      </c>
      <c r="AE1448" s="5" t="s">
        <v>138</v>
      </c>
      <c r="AG1448" s="5" t="s">
        <v>3478</v>
      </c>
    </row>
    <row r="1449" spans="1:33" ht="10" customHeight="1" x14ac:dyDescent="0.2">
      <c r="A1449" s="5" t="s">
        <v>40</v>
      </c>
      <c r="B1449" s="5" t="s">
        <v>41</v>
      </c>
      <c r="D1449" s="5" t="s">
        <v>3479</v>
      </c>
      <c r="E1449" s="10" t="s">
        <v>345</v>
      </c>
      <c r="F1449" s="5" t="s">
        <v>3205</v>
      </c>
      <c r="G1449" s="5" t="s">
        <v>464</v>
      </c>
      <c r="I1449" s="11">
        <v>1</v>
      </c>
      <c r="J1449" s="5" t="s">
        <v>45</v>
      </c>
      <c r="K1449" s="10" t="s">
        <v>46</v>
      </c>
      <c r="L1449" s="5" t="s">
        <v>47</v>
      </c>
      <c r="M1449" s="5" t="s">
        <v>115</v>
      </c>
      <c r="N1449" s="5" t="s">
        <v>140</v>
      </c>
      <c r="O1449" s="12"/>
      <c r="S1449" s="13">
        <v>1689</v>
      </c>
      <c r="U1449" s="13">
        <v>1689</v>
      </c>
      <c r="AC1449" s="10" t="s">
        <v>3480</v>
      </c>
      <c r="AD1449" s="5" t="s">
        <v>3477</v>
      </c>
      <c r="AE1449" s="5" t="s">
        <v>138</v>
      </c>
    </row>
    <row r="1450" spans="1:33" ht="10" customHeight="1" x14ac:dyDescent="0.2">
      <c r="A1450" s="5" t="s">
        <v>40</v>
      </c>
      <c r="B1450" s="5" t="s">
        <v>41</v>
      </c>
      <c r="D1450" s="5" t="s">
        <v>3481</v>
      </c>
      <c r="E1450" s="10" t="s">
        <v>345</v>
      </c>
      <c r="F1450" s="5" t="s">
        <v>3205</v>
      </c>
      <c r="G1450" s="5" t="s">
        <v>464</v>
      </c>
      <c r="I1450" s="11">
        <v>1</v>
      </c>
      <c r="J1450" s="5" t="s">
        <v>45</v>
      </c>
      <c r="K1450" s="10" t="s">
        <v>46</v>
      </c>
      <c r="L1450" s="5" t="s">
        <v>47</v>
      </c>
      <c r="M1450" s="5" t="s">
        <v>115</v>
      </c>
      <c r="N1450" s="5" t="s">
        <v>140</v>
      </c>
      <c r="O1450" s="12"/>
      <c r="S1450" s="13">
        <v>638</v>
      </c>
      <c r="U1450" s="13">
        <v>638</v>
      </c>
      <c r="AC1450" s="10" t="s">
        <v>3482</v>
      </c>
      <c r="AD1450" s="5" t="s">
        <v>3477</v>
      </c>
      <c r="AE1450" s="5" t="s">
        <v>138</v>
      </c>
    </row>
    <row r="1451" spans="1:33" ht="10" customHeight="1" x14ac:dyDescent="0.2">
      <c r="A1451" s="5" t="s">
        <v>40</v>
      </c>
      <c r="B1451" s="5" t="s">
        <v>41</v>
      </c>
      <c r="D1451" s="5" t="s">
        <v>3483</v>
      </c>
      <c r="E1451" s="10" t="s">
        <v>345</v>
      </c>
      <c r="F1451" s="5" t="s">
        <v>3205</v>
      </c>
      <c r="G1451" s="5" t="s">
        <v>464</v>
      </c>
      <c r="I1451" s="11">
        <v>1</v>
      </c>
      <c r="J1451" s="5" t="s">
        <v>45</v>
      </c>
      <c r="K1451" s="10" t="s">
        <v>46</v>
      </c>
      <c r="L1451" s="5" t="s">
        <v>47</v>
      </c>
      <c r="M1451" s="5" t="s">
        <v>115</v>
      </c>
      <c r="N1451" s="5" t="s">
        <v>140</v>
      </c>
      <c r="O1451" s="12"/>
      <c r="S1451" s="13">
        <v>2016</v>
      </c>
      <c r="U1451" s="13">
        <v>2016</v>
      </c>
      <c r="AC1451" s="10" t="s">
        <v>3484</v>
      </c>
      <c r="AD1451" s="5" t="s">
        <v>3477</v>
      </c>
      <c r="AE1451" s="5" t="s">
        <v>138</v>
      </c>
      <c r="AG1451" s="5" t="s">
        <v>3485</v>
      </c>
    </row>
    <row r="1452" spans="1:33" ht="10" customHeight="1" x14ac:dyDescent="0.2">
      <c r="A1452" s="5" t="s">
        <v>40</v>
      </c>
      <c r="B1452" s="5" t="s">
        <v>41</v>
      </c>
      <c r="D1452" s="5" t="s">
        <v>3486</v>
      </c>
      <c r="E1452" s="10" t="s">
        <v>345</v>
      </c>
      <c r="F1452" s="5" t="s">
        <v>150</v>
      </c>
      <c r="G1452" s="5" t="s">
        <v>346</v>
      </c>
      <c r="H1452" s="5" t="s">
        <v>175</v>
      </c>
      <c r="I1452" s="11">
        <v>1</v>
      </c>
      <c r="J1452" s="5" t="s">
        <v>45</v>
      </c>
      <c r="K1452" s="10" t="s">
        <v>46</v>
      </c>
      <c r="L1452" s="5" t="s">
        <v>47</v>
      </c>
      <c r="M1452" s="5" t="s">
        <v>145</v>
      </c>
      <c r="N1452" s="5" t="s">
        <v>146</v>
      </c>
      <c r="O1452" s="12"/>
      <c r="P1452" s="13">
        <v>1560000</v>
      </c>
      <c r="S1452" s="13">
        <v>1661620</v>
      </c>
      <c r="U1452" s="13">
        <v>1661620</v>
      </c>
      <c r="AC1452" s="10" t="s">
        <v>3487</v>
      </c>
      <c r="AD1452" s="5" t="s">
        <v>3488</v>
      </c>
      <c r="AE1452" s="5" t="s">
        <v>143</v>
      </c>
      <c r="AG1452" s="5" t="s">
        <v>175</v>
      </c>
    </row>
    <row r="1453" spans="1:33" ht="10" customHeight="1" x14ac:dyDescent="0.2">
      <c r="A1453" s="5" t="s">
        <v>40</v>
      </c>
      <c r="B1453" s="5" t="s">
        <v>41</v>
      </c>
      <c r="D1453" s="5" t="s">
        <v>3489</v>
      </c>
      <c r="E1453" s="10" t="s">
        <v>345</v>
      </c>
      <c r="F1453" s="5" t="s">
        <v>150</v>
      </c>
      <c r="G1453" s="5" t="s">
        <v>346</v>
      </c>
      <c r="H1453" s="5" t="s">
        <v>354</v>
      </c>
      <c r="I1453" s="11">
        <v>1</v>
      </c>
      <c r="J1453" s="5" t="s">
        <v>45</v>
      </c>
      <c r="K1453" s="10" t="s">
        <v>46</v>
      </c>
      <c r="L1453" s="5" t="s">
        <v>47</v>
      </c>
      <c r="M1453" s="5" t="s">
        <v>145</v>
      </c>
      <c r="N1453" s="5" t="s">
        <v>146</v>
      </c>
      <c r="O1453" s="12"/>
      <c r="P1453" s="13">
        <v>30000</v>
      </c>
      <c r="S1453" s="13">
        <v>35000</v>
      </c>
      <c r="U1453" s="13">
        <v>35000</v>
      </c>
      <c r="AC1453" s="10" t="s">
        <v>3490</v>
      </c>
      <c r="AD1453" s="5" t="s">
        <v>3488</v>
      </c>
      <c r="AE1453" s="5" t="s">
        <v>143</v>
      </c>
      <c r="AG1453" s="5" t="s">
        <v>354</v>
      </c>
    </row>
    <row r="1454" spans="1:33" ht="10" customHeight="1" x14ac:dyDescent="0.2">
      <c r="A1454" s="5" t="s">
        <v>40</v>
      </c>
      <c r="B1454" s="5" t="s">
        <v>41</v>
      </c>
      <c r="D1454" s="5" t="s">
        <v>3491</v>
      </c>
      <c r="E1454" s="10" t="s">
        <v>345</v>
      </c>
      <c r="F1454" s="5" t="s">
        <v>150</v>
      </c>
      <c r="G1454" s="5" t="s">
        <v>346</v>
      </c>
      <c r="H1454" s="5" t="s">
        <v>357</v>
      </c>
      <c r="I1454" s="11">
        <v>1</v>
      </c>
      <c r="J1454" s="5" t="s">
        <v>45</v>
      </c>
      <c r="K1454" s="10" t="s">
        <v>46</v>
      </c>
      <c r="L1454" s="5" t="s">
        <v>47</v>
      </c>
      <c r="M1454" s="5" t="s">
        <v>145</v>
      </c>
      <c r="N1454" s="5" t="s">
        <v>146</v>
      </c>
      <c r="O1454" s="12"/>
      <c r="P1454" s="13">
        <v>252539</v>
      </c>
      <c r="S1454" s="13">
        <v>244582</v>
      </c>
      <c r="U1454" s="13">
        <v>244582</v>
      </c>
      <c r="AC1454" s="10" t="s">
        <v>3492</v>
      </c>
      <c r="AD1454" s="5" t="s">
        <v>3488</v>
      </c>
      <c r="AE1454" s="5" t="s">
        <v>143</v>
      </c>
    </row>
    <row r="1455" spans="1:33" ht="10" customHeight="1" x14ac:dyDescent="0.2">
      <c r="A1455" s="5" t="s">
        <v>40</v>
      </c>
      <c r="B1455" s="5" t="s">
        <v>41</v>
      </c>
      <c r="D1455" s="5" t="s">
        <v>3493</v>
      </c>
      <c r="E1455" s="10" t="s">
        <v>345</v>
      </c>
      <c r="F1455" s="5" t="s">
        <v>150</v>
      </c>
      <c r="G1455" s="5" t="s">
        <v>346</v>
      </c>
      <c r="H1455" s="5" t="s">
        <v>363</v>
      </c>
      <c r="I1455" s="11">
        <v>1</v>
      </c>
      <c r="J1455" s="5" t="s">
        <v>45</v>
      </c>
      <c r="K1455" s="10" t="s">
        <v>46</v>
      </c>
      <c r="L1455" s="5" t="s">
        <v>47</v>
      </c>
      <c r="M1455" s="5" t="s">
        <v>145</v>
      </c>
      <c r="N1455" s="5" t="s">
        <v>146</v>
      </c>
      <c r="O1455" s="12"/>
      <c r="P1455" s="13">
        <v>18655</v>
      </c>
      <c r="S1455" s="13">
        <v>20289</v>
      </c>
      <c r="U1455" s="13">
        <v>20289</v>
      </c>
      <c r="AC1455" s="10" t="s">
        <v>3494</v>
      </c>
      <c r="AD1455" s="5" t="s">
        <v>3488</v>
      </c>
      <c r="AE1455" s="5" t="s">
        <v>143</v>
      </c>
    </row>
    <row r="1456" spans="1:33" ht="10" customHeight="1" x14ac:dyDescent="0.2">
      <c r="A1456" s="5" t="s">
        <v>40</v>
      </c>
      <c r="B1456" s="5" t="s">
        <v>41</v>
      </c>
      <c r="D1456" s="5" t="s">
        <v>3495</v>
      </c>
      <c r="E1456" s="10" t="s">
        <v>345</v>
      </c>
      <c r="F1456" s="5" t="s">
        <v>150</v>
      </c>
      <c r="G1456" s="5" t="s">
        <v>346</v>
      </c>
      <c r="H1456" s="5" t="s">
        <v>366</v>
      </c>
      <c r="I1456" s="11">
        <v>1</v>
      </c>
      <c r="J1456" s="5" t="s">
        <v>45</v>
      </c>
      <c r="K1456" s="10" t="s">
        <v>46</v>
      </c>
      <c r="L1456" s="5" t="s">
        <v>47</v>
      </c>
      <c r="M1456" s="5" t="s">
        <v>145</v>
      </c>
      <c r="N1456" s="5" t="s">
        <v>146</v>
      </c>
      <c r="O1456" s="12"/>
      <c r="P1456" s="13">
        <v>117032</v>
      </c>
      <c r="S1456" s="13">
        <v>101472</v>
      </c>
      <c r="U1456" s="13">
        <v>101472</v>
      </c>
      <c r="AC1456" s="10" t="s">
        <v>3496</v>
      </c>
      <c r="AD1456" s="5" t="s">
        <v>3488</v>
      </c>
      <c r="AE1456" s="5" t="s">
        <v>143</v>
      </c>
    </row>
    <row r="1457" spans="1:33" ht="10" customHeight="1" x14ac:dyDescent="0.2">
      <c r="A1457" s="5" t="s">
        <v>40</v>
      </c>
      <c r="B1457" s="5" t="s">
        <v>41</v>
      </c>
      <c r="D1457" s="5" t="s">
        <v>3497</v>
      </c>
      <c r="E1457" s="10" t="s">
        <v>345</v>
      </c>
      <c r="F1457" s="5" t="s">
        <v>150</v>
      </c>
      <c r="G1457" s="5" t="s">
        <v>346</v>
      </c>
      <c r="H1457" s="5" t="s">
        <v>369</v>
      </c>
      <c r="I1457" s="11">
        <v>1</v>
      </c>
      <c r="J1457" s="5" t="s">
        <v>45</v>
      </c>
      <c r="K1457" s="10" t="s">
        <v>46</v>
      </c>
      <c r="L1457" s="5" t="s">
        <v>47</v>
      </c>
      <c r="M1457" s="5" t="s">
        <v>145</v>
      </c>
      <c r="N1457" s="5" t="s">
        <v>146</v>
      </c>
      <c r="O1457" s="12"/>
      <c r="P1457" s="13">
        <v>10801</v>
      </c>
      <c r="S1457" s="13">
        <v>7674</v>
      </c>
      <c r="U1457" s="13">
        <v>7674</v>
      </c>
      <c r="AC1457" s="10" t="s">
        <v>3498</v>
      </c>
      <c r="AD1457" s="5" t="s">
        <v>3488</v>
      </c>
      <c r="AE1457" s="5" t="s">
        <v>143</v>
      </c>
    </row>
    <row r="1458" spans="1:33" ht="10" customHeight="1" x14ac:dyDescent="0.2">
      <c r="A1458" s="5" t="s">
        <v>40</v>
      </c>
      <c r="B1458" s="5" t="s">
        <v>41</v>
      </c>
      <c r="D1458" s="5" t="s">
        <v>3499</v>
      </c>
      <c r="E1458" s="10" t="s">
        <v>345</v>
      </c>
      <c r="F1458" s="5" t="s">
        <v>150</v>
      </c>
      <c r="G1458" s="5" t="s">
        <v>373</v>
      </c>
      <c r="H1458" s="5" t="s">
        <v>357</v>
      </c>
      <c r="I1458" s="11">
        <v>1</v>
      </c>
      <c r="J1458" s="5" t="s">
        <v>45</v>
      </c>
      <c r="K1458" s="10" t="s">
        <v>46</v>
      </c>
      <c r="L1458" s="5" t="s">
        <v>47</v>
      </c>
      <c r="M1458" s="5" t="s">
        <v>145</v>
      </c>
      <c r="N1458" s="5" t="s">
        <v>146</v>
      </c>
      <c r="O1458" s="12"/>
      <c r="S1458" s="13">
        <v>48271</v>
      </c>
      <c r="U1458" s="13">
        <v>48271</v>
      </c>
      <c r="AC1458" s="10" t="s">
        <v>3500</v>
      </c>
      <c r="AD1458" s="5" t="s">
        <v>3501</v>
      </c>
      <c r="AE1458" s="5" t="s">
        <v>143</v>
      </c>
      <c r="AG1458" s="5" t="s">
        <v>3502</v>
      </c>
    </row>
    <row r="1459" spans="1:33" ht="10" customHeight="1" x14ac:dyDescent="0.2">
      <c r="A1459" s="5" t="s">
        <v>40</v>
      </c>
      <c r="B1459" s="5" t="s">
        <v>41</v>
      </c>
      <c r="D1459" s="5" t="s">
        <v>3503</v>
      </c>
      <c r="E1459" s="10" t="s">
        <v>345</v>
      </c>
      <c r="F1459" s="5" t="s">
        <v>150</v>
      </c>
      <c r="G1459" s="5" t="s">
        <v>373</v>
      </c>
      <c r="H1459" s="5" t="s">
        <v>357</v>
      </c>
      <c r="I1459" s="11">
        <v>1</v>
      </c>
      <c r="J1459" s="5" t="s">
        <v>45</v>
      </c>
      <c r="K1459" s="10" t="s">
        <v>46</v>
      </c>
      <c r="L1459" s="5" t="s">
        <v>47</v>
      </c>
      <c r="M1459" s="5" t="s">
        <v>145</v>
      </c>
      <c r="N1459" s="5" t="s">
        <v>146</v>
      </c>
      <c r="O1459" s="12"/>
      <c r="S1459" s="13">
        <v>83497</v>
      </c>
      <c r="U1459" s="13">
        <v>83497</v>
      </c>
      <c r="AC1459" s="10" t="s">
        <v>3504</v>
      </c>
      <c r="AD1459" s="5" t="s">
        <v>3501</v>
      </c>
      <c r="AE1459" s="5" t="s">
        <v>143</v>
      </c>
      <c r="AG1459" s="5" t="s">
        <v>2164</v>
      </c>
    </row>
    <row r="1460" spans="1:33" ht="10" customHeight="1" x14ac:dyDescent="0.2">
      <c r="A1460" s="5" t="s">
        <v>40</v>
      </c>
      <c r="B1460" s="5" t="s">
        <v>41</v>
      </c>
      <c r="D1460" s="5" t="s">
        <v>3505</v>
      </c>
      <c r="E1460" s="10" t="s">
        <v>345</v>
      </c>
      <c r="F1460" s="5" t="s">
        <v>150</v>
      </c>
      <c r="G1460" s="5" t="s">
        <v>373</v>
      </c>
      <c r="H1460" s="5" t="s">
        <v>357</v>
      </c>
      <c r="I1460" s="11">
        <v>1</v>
      </c>
      <c r="J1460" s="5" t="s">
        <v>45</v>
      </c>
      <c r="K1460" s="10" t="s">
        <v>46</v>
      </c>
      <c r="L1460" s="5" t="s">
        <v>47</v>
      </c>
      <c r="M1460" s="5" t="s">
        <v>145</v>
      </c>
      <c r="N1460" s="5" t="s">
        <v>146</v>
      </c>
      <c r="O1460" s="12"/>
      <c r="S1460" s="13">
        <v>25090</v>
      </c>
      <c r="U1460" s="13">
        <v>25090</v>
      </c>
      <c r="AC1460" s="10" t="s">
        <v>3506</v>
      </c>
      <c r="AD1460" s="5" t="s">
        <v>3501</v>
      </c>
      <c r="AE1460" s="5" t="s">
        <v>143</v>
      </c>
      <c r="AG1460" s="5" t="s">
        <v>3507</v>
      </c>
    </row>
    <row r="1461" spans="1:33" ht="10" customHeight="1" x14ac:dyDescent="0.2">
      <c r="A1461" s="5" t="s">
        <v>40</v>
      </c>
      <c r="B1461" s="5" t="s">
        <v>41</v>
      </c>
      <c r="D1461" s="5" t="s">
        <v>3508</v>
      </c>
      <c r="E1461" s="10" t="s">
        <v>345</v>
      </c>
      <c r="F1461" s="5" t="s">
        <v>150</v>
      </c>
      <c r="G1461" s="5" t="s">
        <v>373</v>
      </c>
      <c r="H1461" s="5" t="s">
        <v>357</v>
      </c>
      <c r="I1461" s="11">
        <v>1</v>
      </c>
      <c r="J1461" s="5" t="s">
        <v>45</v>
      </c>
      <c r="K1461" s="10" t="s">
        <v>46</v>
      </c>
      <c r="L1461" s="5" t="s">
        <v>47</v>
      </c>
      <c r="M1461" s="5" t="s">
        <v>145</v>
      </c>
      <c r="N1461" s="5" t="s">
        <v>146</v>
      </c>
      <c r="O1461" s="12"/>
      <c r="S1461" s="13">
        <v>12200</v>
      </c>
      <c r="U1461" s="13">
        <v>12200</v>
      </c>
      <c r="AC1461" s="10" t="s">
        <v>3509</v>
      </c>
      <c r="AD1461" s="5" t="s">
        <v>3501</v>
      </c>
      <c r="AE1461" s="5" t="s">
        <v>143</v>
      </c>
      <c r="AG1461" s="5" t="s">
        <v>3239</v>
      </c>
    </row>
    <row r="1462" spans="1:33" ht="10" customHeight="1" x14ac:dyDescent="0.2">
      <c r="A1462" s="5" t="s">
        <v>40</v>
      </c>
      <c r="B1462" s="5" t="s">
        <v>41</v>
      </c>
      <c r="D1462" s="5" t="s">
        <v>3510</v>
      </c>
      <c r="E1462" s="10" t="s">
        <v>345</v>
      </c>
      <c r="F1462" s="5" t="s">
        <v>150</v>
      </c>
      <c r="G1462" s="5" t="s">
        <v>373</v>
      </c>
      <c r="H1462" s="5" t="s">
        <v>357</v>
      </c>
      <c r="I1462" s="11">
        <v>1</v>
      </c>
      <c r="J1462" s="5" t="s">
        <v>45</v>
      </c>
      <c r="K1462" s="10" t="s">
        <v>46</v>
      </c>
      <c r="L1462" s="5" t="s">
        <v>47</v>
      </c>
      <c r="M1462" s="5" t="s">
        <v>145</v>
      </c>
      <c r="N1462" s="5" t="s">
        <v>146</v>
      </c>
      <c r="O1462" s="12"/>
      <c r="S1462" s="13">
        <v>6649</v>
      </c>
      <c r="U1462" s="13">
        <v>6649</v>
      </c>
      <c r="AC1462" s="10" t="s">
        <v>3511</v>
      </c>
      <c r="AD1462" s="5" t="s">
        <v>3501</v>
      </c>
      <c r="AE1462" s="5" t="s">
        <v>143</v>
      </c>
      <c r="AG1462" s="5" t="s">
        <v>3512</v>
      </c>
    </row>
    <row r="1463" spans="1:33" ht="10" customHeight="1" x14ac:dyDescent="0.2">
      <c r="A1463" s="5" t="s">
        <v>40</v>
      </c>
      <c r="B1463" s="5" t="s">
        <v>41</v>
      </c>
      <c r="D1463" s="5" t="s">
        <v>3513</v>
      </c>
      <c r="E1463" s="10" t="s">
        <v>345</v>
      </c>
      <c r="F1463" s="5" t="s">
        <v>150</v>
      </c>
      <c r="G1463" s="5" t="s">
        <v>373</v>
      </c>
      <c r="H1463" s="5" t="s">
        <v>357</v>
      </c>
      <c r="I1463" s="11">
        <v>1</v>
      </c>
      <c r="J1463" s="5" t="s">
        <v>45</v>
      </c>
      <c r="K1463" s="10" t="s">
        <v>46</v>
      </c>
      <c r="L1463" s="5" t="s">
        <v>47</v>
      </c>
      <c r="M1463" s="5" t="s">
        <v>145</v>
      </c>
      <c r="N1463" s="5" t="s">
        <v>146</v>
      </c>
      <c r="O1463" s="12"/>
      <c r="S1463" s="13">
        <v>14358</v>
      </c>
      <c r="U1463" s="13">
        <v>14358</v>
      </c>
      <c r="AC1463" s="10" t="s">
        <v>3514</v>
      </c>
      <c r="AD1463" s="5" t="s">
        <v>3501</v>
      </c>
      <c r="AE1463" s="5" t="s">
        <v>143</v>
      </c>
      <c r="AG1463" s="5" t="s">
        <v>3515</v>
      </c>
    </row>
    <row r="1464" spans="1:33" ht="10" customHeight="1" x14ac:dyDescent="0.2">
      <c r="A1464" s="5" t="s">
        <v>40</v>
      </c>
      <c r="B1464" s="5" t="s">
        <v>41</v>
      </c>
      <c r="D1464" s="5" t="s">
        <v>3516</v>
      </c>
      <c r="E1464" s="10" t="s">
        <v>345</v>
      </c>
      <c r="F1464" s="5" t="s">
        <v>150</v>
      </c>
      <c r="G1464" s="5" t="s">
        <v>373</v>
      </c>
      <c r="H1464" s="5" t="s">
        <v>357</v>
      </c>
      <c r="I1464" s="11">
        <v>1</v>
      </c>
      <c r="J1464" s="5" t="s">
        <v>45</v>
      </c>
      <c r="K1464" s="10" t="s">
        <v>46</v>
      </c>
      <c r="L1464" s="5" t="s">
        <v>47</v>
      </c>
      <c r="M1464" s="5" t="s">
        <v>145</v>
      </c>
      <c r="N1464" s="5" t="s">
        <v>146</v>
      </c>
      <c r="O1464" s="12"/>
      <c r="S1464" s="13">
        <v>3900</v>
      </c>
      <c r="U1464" s="13">
        <v>3900</v>
      </c>
      <c r="AC1464" s="10" t="s">
        <v>3517</v>
      </c>
      <c r="AD1464" s="5" t="s">
        <v>3501</v>
      </c>
      <c r="AE1464" s="5" t="s">
        <v>143</v>
      </c>
      <c r="AG1464" s="5" t="s">
        <v>3518</v>
      </c>
    </row>
    <row r="1465" spans="1:33" ht="10" customHeight="1" x14ac:dyDescent="0.2">
      <c r="A1465" s="5" t="s">
        <v>40</v>
      </c>
      <c r="B1465" s="5" t="s">
        <v>41</v>
      </c>
      <c r="D1465" s="5" t="s">
        <v>3519</v>
      </c>
      <c r="E1465" s="10" t="s">
        <v>345</v>
      </c>
      <c r="F1465" s="5" t="s">
        <v>150</v>
      </c>
      <c r="G1465" s="5" t="s">
        <v>373</v>
      </c>
      <c r="H1465" s="5" t="s">
        <v>357</v>
      </c>
      <c r="I1465" s="11">
        <v>1</v>
      </c>
      <c r="J1465" s="5" t="s">
        <v>45</v>
      </c>
      <c r="K1465" s="10" t="s">
        <v>46</v>
      </c>
      <c r="L1465" s="5" t="s">
        <v>47</v>
      </c>
      <c r="M1465" s="5" t="s">
        <v>145</v>
      </c>
      <c r="N1465" s="5" t="s">
        <v>146</v>
      </c>
      <c r="O1465" s="12"/>
      <c r="S1465" s="13">
        <v>1407</v>
      </c>
      <c r="U1465" s="13">
        <v>1407</v>
      </c>
      <c r="AC1465" s="10" t="s">
        <v>3520</v>
      </c>
      <c r="AD1465" s="5" t="s">
        <v>3501</v>
      </c>
      <c r="AE1465" s="5" t="s">
        <v>143</v>
      </c>
      <c r="AG1465" s="5" t="s">
        <v>3521</v>
      </c>
    </row>
    <row r="1466" spans="1:33" ht="10" customHeight="1" x14ac:dyDescent="0.2">
      <c r="A1466" s="5" t="s">
        <v>40</v>
      </c>
      <c r="B1466" s="5" t="s">
        <v>41</v>
      </c>
      <c r="D1466" s="5" t="s">
        <v>3522</v>
      </c>
      <c r="E1466" s="10" t="s">
        <v>345</v>
      </c>
      <c r="F1466" s="5" t="s">
        <v>150</v>
      </c>
      <c r="G1466" s="5" t="s">
        <v>373</v>
      </c>
      <c r="H1466" s="5" t="s">
        <v>357</v>
      </c>
      <c r="I1466" s="11">
        <v>1</v>
      </c>
      <c r="J1466" s="5" t="s">
        <v>45</v>
      </c>
      <c r="K1466" s="10" t="s">
        <v>46</v>
      </c>
      <c r="L1466" s="5" t="s">
        <v>47</v>
      </c>
      <c r="M1466" s="5" t="s">
        <v>145</v>
      </c>
      <c r="N1466" s="5" t="s">
        <v>146</v>
      </c>
      <c r="O1466" s="12"/>
      <c r="S1466" s="13">
        <v>4365</v>
      </c>
      <c r="U1466" s="13">
        <v>4365</v>
      </c>
      <c r="AC1466" s="10" t="s">
        <v>3523</v>
      </c>
      <c r="AD1466" s="5" t="s">
        <v>3501</v>
      </c>
      <c r="AE1466" s="5" t="s">
        <v>143</v>
      </c>
      <c r="AG1466" s="5" t="s">
        <v>3524</v>
      </c>
    </row>
    <row r="1467" spans="1:33" ht="10" customHeight="1" x14ac:dyDescent="0.2">
      <c r="A1467" s="5" t="s">
        <v>40</v>
      </c>
      <c r="B1467" s="5" t="s">
        <v>41</v>
      </c>
      <c r="D1467" s="5" t="s">
        <v>3525</v>
      </c>
      <c r="E1467" s="10" t="s">
        <v>345</v>
      </c>
      <c r="F1467" s="5" t="s">
        <v>150</v>
      </c>
      <c r="G1467" s="5" t="s">
        <v>373</v>
      </c>
      <c r="H1467" s="5" t="s">
        <v>357</v>
      </c>
      <c r="I1467" s="11">
        <v>1</v>
      </c>
      <c r="J1467" s="5" t="s">
        <v>45</v>
      </c>
      <c r="K1467" s="10" t="s">
        <v>46</v>
      </c>
      <c r="L1467" s="5" t="s">
        <v>47</v>
      </c>
      <c r="M1467" s="5" t="s">
        <v>145</v>
      </c>
      <c r="N1467" s="5" t="s">
        <v>146</v>
      </c>
      <c r="O1467" s="12"/>
      <c r="S1467" s="13">
        <v>1596</v>
      </c>
      <c r="U1467" s="13">
        <v>1596</v>
      </c>
      <c r="AC1467" s="10" t="s">
        <v>3526</v>
      </c>
      <c r="AD1467" s="5" t="s">
        <v>3501</v>
      </c>
      <c r="AE1467" s="5" t="s">
        <v>143</v>
      </c>
      <c r="AG1467" s="5" t="s">
        <v>3527</v>
      </c>
    </row>
    <row r="1468" spans="1:33" ht="10" customHeight="1" x14ac:dyDescent="0.2">
      <c r="A1468" s="5" t="s">
        <v>40</v>
      </c>
      <c r="B1468" s="5" t="s">
        <v>41</v>
      </c>
      <c r="D1468" s="5" t="s">
        <v>3528</v>
      </c>
      <c r="E1468" s="10" t="s">
        <v>345</v>
      </c>
      <c r="F1468" s="5" t="s">
        <v>150</v>
      </c>
      <c r="G1468" s="5" t="s">
        <v>373</v>
      </c>
      <c r="H1468" s="5" t="s">
        <v>357</v>
      </c>
      <c r="I1468" s="11">
        <v>1</v>
      </c>
      <c r="J1468" s="5" t="s">
        <v>45</v>
      </c>
      <c r="K1468" s="10" t="s">
        <v>46</v>
      </c>
      <c r="L1468" s="5" t="s">
        <v>47</v>
      </c>
      <c r="M1468" s="5" t="s">
        <v>145</v>
      </c>
      <c r="N1468" s="5" t="s">
        <v>146</v>
      </c>
      <c r="O1468" s="12"/>
      <c r="S1468" s="13">
        <v>1168</v>
      </c>
      <c r="U1468" s="13">
        <v>1168</v>
      </c>
      <c r="AC1468" s="10" t="s">
        <v>3529</v>
      </c>
      <c r="AD1468" s="5" t="s">
        <v>3501</v>
      </c>
      <c r="AE1468" s="5" t="s">
        <v>143</v>
      </c>
      <c r="AG1468" s="5" t="s">
        <v>3530</v>
      </c>
    </row>
    <row r="1469" spans="1:33" ht="10" customHeight="1" x14ac:dyDescent="0.2">
      <c r="A1469" s="5" t="s">
        <v>40</v>
      </c>
      <c r="B1469" s="5" t="s">
        <v>41</v>
      </c>
      <c r="D1469" s="5" t="s">
        <v>3531</v>
      </c>
      <c r="E1469" s="10" t="s">
        <v>345</v>
      </c>
      <c r="F1469" s="5" t="s">
        <v>150</v>
      </c>
      <c r="G1469" s="5" t="s">
        <v>373</v>
      </c>
      <c r="H1469" s="5" t="s">
        <v>357</v>
      </c>
      <c r="I1469" s="11">
        <v>1</v>
      </c>
      <c r="J1469" s="5" t="s">
        <v>45</v>
      </c>
      <c r="K1469" s="10" t="s">
        <v>46</v>
      </c>
      <c r="L1469" s="5" t="s">
        <v>47</v>
      </c>
      <c r="M1469" s="5" t="s">
        <v>145</v>
      </c>
      <c r="N1469" s="5" t="s">
        <v>146</v>
      </c>
      <c r="O1469" s="12"/>
      <c r="S1469" s="13">
        <v>115</v>
      </c>
      <c r="U1469" s="13">
        <v>115</v>
      </c>
      <c r="AC1469" s="10" t="s">
        <v>3532</v>
      </c>
      <c r="AD1469" s="5" t="s">
        <v>3501</v>
      </c>
      <c r="AE1469" s="5" t="s">
        <v>143</v>
      </c>
      <c r="AG1469" s="5" t="s">
        <v>3533</v>
      </c>
    </row>
    <row r="1470" spans="1:33" ht="10" customHeight="1" x14ac:dyDescent="0.2">
      <c r="A1470" s="5" t="s">
        <v>40</v>
      </c>
      <c r="B1470" s="5" t="s">
        <v>41</v>
      </c>
      <c r="D1470" s="5" t="s">
        <v>3534</v>
      </c>
      <c r="E1470" s="10" t="s">
        <v>345</v>
      </c>
      <c r="F1470" s="5" t="s">
        <v>150</v>
      </c>
      <c r="G1470" s="5" t="s">
        <v>373</v>
      </c>
      <c r="H1470" s="5" t="s">
        <v>357</v>
      </c>
      <c r="I1470" s="11">
        <v>1</v>
      </c>
      <c r="J1470" s="5" t="s">
        <v>45</v>
      </c>
      <c r="K1470" s="10" t="s">
        <v>46</v>
      </c>
      <c r="L1470" s="5" t="s">
        <v>47</v>
      </c>
      <c r="M1470" s="5" t="s">
        <v>145</v>
      </c>
      <c r="N1470" s="5" t="s">
        <v>146</v>
      </c>
      <c r="O1470" s="12"/>
      <c r="S1470" s="13">
        <v>229</v>
      </c>
      <c r="U1470" s="13">
        <v>229</v>
      </c>
      <c r="AC1470" s="10" t="s">
        <v>3535</v>
      </c>
      <c r="AD1470" s="5" t="s">
        <v>3501</v>
      </c>
      <c r="AE1470" s="5" t="s">
        <v>143</v>
      </c>
      <c r="AG1470" s="5" t="s">
        <v>3536</v>
      </c>
    </row>
    <row r="1471" spans="1:33" ht="10" customHeight="1" x14ac:dyDescent="0.2">
      <c r="A1471" s="5" t="s">
        <v>40</v>
      </c>
      <c r="B1471" s="5" t="s">
        <v>41</v>
      </c>
      <c r="D1471" s="5" t="s">
        <v>3537</v>
      </c>
      <c r="E1471" s="10" t="s">
        <v>345</v>
      </c>
      <c r="F1471" s="5" t="s">
        <v>150</v>
      </c>
      <c r="G1471" s="5" t="s">
        <v>373</v>
      </c>
      <c r="H1471" s="5" t="s">
        <v>357</v>
      </c>
      <c r="I1471" s="11">
        <v>1</v>
      </c>
      <c r="J1471" s="5" t="s">
        <v>45</v>
      </c>
      <c r="K1471" s="10" t="s">
        <v>46</v>
      </c>
      <c r="L1471" s="5" t="s">
        <v>47</v>
      </c>
      <c r="M1471" s="5" t="s">
        <v>145</v>
      </c>
      <c r="N1471" s="5" t="s">
        <v>146</v>
      </c>
      <c r="O1471" s="12"/>
      <c r="S1471" s="13">
        <v>420</v>
      </c>
      <c r="U1471" s="13">
        <v>420</v>
      </c>
      <c r="AC1471" s="10" t="s">
        <v>3538</v>
      </c>
      <c r="AD1471" s="5" t="s">
        <v>3501</v>
      </c>
      <c r="AE1471" s="5" t="s">
        <v>143</v>
      </c>
      <c r="AG1471" s="5" t="s">
        <v>3539</v>
      </c>
    </row>
    <row r="1472" spans="1:33" ht="10" customHeight="1" x14ac:dyDescent="0.2">
      <c r="A1472" s="5" t="s">
        <v>40</v>
      </c>
      <c r="B1472" s="5" t="s">
        <v>41</v>
      </c>
      <c r="D1472" s="5" t="s">
        <v>3540</v>
      </c>
      <c r="E1472" s="10" t="s">
        <v>345</v>
      </c>
      <c r="F1472" s="5" t="s">
        <v>150</v>
      </c>
      <c r="G1472" s="5" t="s">
        <v>373</v>
      </c>
      <c r="H1472" s="5" t="s">
        <v>357</v>
      </c>
      <c r="I1472" s="11">
        <v>1</v>
      </c>
      <c r="J1472" s="5" t="s">
        <v>45</v>
      </c>
      <c r="K1472" s="10" t="s">
        <v>46</v>
      </c>
      <c r="L1472" s="5" t="s">
        <v>47</v>
      </c>
      <c r="M1472" s="5" t="s">
        <v>145</v>
      </c>
      <c r="N1472" s="5" t="s">
        <v>146</v>
      </c>
      <c r="O1472" s="12"/>
      <c r="S1472" s="13">
        <v>1970</v>
      </c>
      <c r="U1472" s="13">
        <v>1970</v>
      </c>
      <c r="AC1472" s="10" t="s">
        <v>3541</v>
      </c>
      <c r="AD1472" s="5" t="s">
        <v>3501</v>
      </c>
      <c r="AE1472" s="5" t="s">
        <v>143</v>
      </c>
      <c r="AG1472" s="5" t="s">
        <v>3542</v>
      </c>
    </row>
    <row r="1473" spans="1:33" ht="10" customHeight="1" x14ac:dyDescent="0.2">
      <c r="A1473" s="5" t="s">
        <v>40</v>
      </c>
      <c r="B1473" s="5" t="s">
        <v>41</v>
      </c>
      <c r="D1473" s="5" t="s">
        <v>3543</v>
      </c>
      <c r="E1473" s="10" t="s">
        <v>345</v>
      </c>
      <c r="F1473" s="5" t="s">
        <v>150</v>
      </c>
      <c r="G1473" s="5" t="s">
        <v>373</v>
      </c>
      <c r="H1473" s="5" t="s">
        <v>357</v>
      </c>
      <c r="I1473" s="11">
        <v>1</v>
      </c>
      <c r="J1473" s="5" t="s">
        <v>45</v>
      </c>
      <c r="K1473" s="10" t="s">
        <v>46</v>
      </c>
      <c r="L1473" s="5" t="s">
        <v>47</v>
      </c>
      <c r="M1473" s="5" t="s">
        <v>145</v>
      </c>
      <c r="N1473" s="5" t="s">
        <v>146</v>
      </c>
      <c r="O1473" s="12"/>
      <c r="S1473" s="13">
        <v>34698</v>
      </c>
      <c r="U1473" s="13">
        <v>34698</v>
      </c>
      <c r="AC1473" s="10" t="s">
        <v>3544</v>
      </c>
      <c r="AD1473" s="5" t="s">
        <v>3501</v>
      </c>
      <c r="AE1473" s="5" t="s">
        <v>143</v>
      </c>
      <c r="AG1473" s="5" t="s">
        <v>3545</v>
      </c>
    </row>
    <row r="1474" spans="1:33" ht="10" customHeight="1" x14ac:dyDescent="0.2">
      <c r="A1474" s="5" t="s">
        <v>40</v>
      </c>
      <c r="B1474" s="5" t="s">
        <v>41</v>
      </c>
      <c r="D1474" s="5" t="s">
        <v>3546</v>
      </c>
      <c r="E1474" s="10" t="s">
        <v>345</v>
      </c>
      <c r="F1474" s="5" t="s">
        <v>150</v>
      </c>
      <c r="G1474" s="5" t="s">
        <v>373</v>
      </c>
      <c r="H1474" s="5" t="s">
        <v>357</v>
      </c>
      <c r="I1474" s="11">
        <v>1</v>
      </c>
      <c r="J1474" s="5" t="s">
        <v>45</v>
      </c>
      <c r="K1474" s="10" t="s">
        <v>46</v>
      </c>
      <c r="L1474" s="5" t="s">
        <v>47</v>
      </c>
      <c r="M1474" s="5" t="s">
        <v>145</v>
      </c>
      <c r="N1474" s="5" t="s">
        <v>146</v>
      </c>
      <c r="O1474" s="12"/>
      <c r="S1474" s="13">
        <v>4649</v>
      </c>
      <c r="U1474" s="13">
        <v>4649</v>
      </c>
      <c r="AC1474" s="10" t="s">
        <v>3547</v>
      </c>
      <c r="AD1474" s="5" t="s">
        <v>3501</v>
      </c>
      <c r="AE1474" s="5" t="s">
        <v>143</v>
      </c>
      <c r="AG1474" s="5" t="s">
        <v>3548</v>
      </c>
    </row>
    <row r="1475" spans="1:33" ht="10" customHeight="1" x14ac:dyDescent="0.2">
      <c r="A1475" s="5" t="s">
        <v>40</v>
      </c>
      <c r="B1475" s="5" t="s">
        <v>41</v>
      </c>
      <c r="D1475" s="5" t="s">
        <v>3549</v>
      </c>
      <c r="E1475" s="10" t="s">
        <v>345</v>
      </c>
      <c r="F1475" s="5" t="s">
        <v>150</v>
      </c>
      <c r="G1475" s="5" t="s">
        <v>373</v>
      </c>
      <c r="H1475" s="5" t="s">
        <v>363</v>
      </c>
      <c r="I1475" s="11">
        <v>1</v>
      </c>
      <c r="J1475" s="5" t="s">
        <v>45</v>
      </c>
      <c r="K1475" s="10" t="s">
        <v>46</v>
      </c>
      <c r="L1475" s="5" t="s">
        <v>47</v>
      </c>
      <c r="M1475" s="5" t="s">
        <v>145</v>
      </c>
      <c r="N1475" s="5" t="s">
        <v>146</v>
      </c>
      <c r="O1475" s="12"/>
      <c r="S1475" s="13">
        <v>722</v>
      </c>
      <c r="U1475" s="13">
        <v>722</v>
      </c>
      <c r="AC1475" s="10" t="s">
        <v>3550</v>
      </c>
      <c r="AD1475" s="5" t="s">
        <v>3551</v>
      </c>
      <c r="AE1475" s="5" t="s">
        <v>143</v>
      </c>
      <c r="AG1475" s="5" t="s">
        <v>3552</v>
      </c>
    </row>
    <row r="1476" spans="1:33" ht="10" customHeight="1" x14ac:dyDescent="0.2">
      <c r="A1476" s="5" t="s">
        <v>40</v>
      </c>
      <c r="B1476" s="5" t="s">
        <v>41</v>
      </c>
      <c r="D1476" s="5" t="s">
        <v>3553</v>
      </c>
      <c r="E1476" s="10" t="s">
        <v>345</v>
      </c>
      <c r="F1476" s="5" t="s">
        <v>150</v>
      </c>
      <c r="G1476" s="5" t="s">
        <v>373</v>
      </c>
      <c r="H1476" s="5" t="s">
        <v>363</v>
      </c>
      <c r="I1476" s="11">
        <v>1</v>
      </c>
      <c r="J1476" s="5" t="s">
        <v>45</v>
      </c>
      <c r="K1476" s="10" t="s">
        <v>46</v>
      </c>
      <c r="L1476" s="5" t="s">
        <v>47</v>
      </c>
      <c r="M1476" s="5" t="s">
        <v>145</v>
      </c>
      <c r="N1476" s="5" t="s">
        <v>146</v>
      </c>
      <c r="O1476" s="12"/>
      <c r="S1476" s="13">
        <v>2424</v>
      </c>
      <c r="U1476" s="13">
        <v>2424</v>
      </c>
      <c r="AC1476" s="10" t="s">
        <v>3554</v>
      </c>
      <c r="AD1476" s="5" t="s">
        <v>3551</v>
      </c>
      <c r="AE1476" s="5" t="s">
        <v>143</v>
      </c>
      <c r="AG1476" s="5" t="s">
        <v>3555</v>
      </c>
    </row>
    <row r="1477" spans="1:33" ht="10" customHeight="1" x14ac:dyDescent="0.2">
      <c r="A1477" s="5" t="s">
        <v>40</v>
      </c>
      <c r="B1477" s="5" t="s">
        <v>41</v>
      </c>
      <c r="D1477" s="5" t="s">
        <v>3556</v>
      </c>
      <c r="E1477" s="10" t="s">
        <v>345</v>
      </c>
      <c r="F1477" s="5" t="s">
        <v>150</v>
      </c>
      <c r="G1477" s="5" t="s">
        <v>373</v>
      </c>
      <c r="H1477" s="5" t="s">
        <v>363</v>
      </c>
      <c r="I1477" s="11">
        <v>1</v>
      </c>
      <c r="J1477" s="5" t="s">
        <v>45</v>
      </c>
      <c r="K1477" s="10" t="s">
        <v>46</v>
      </c>
      <c r="L1477" s="5" t="s">
        <v>47</v>
      </c>
      <c r="M1477" s="5" t="s">
        <v>145</v>
      </c>
      <c r="N1477" s="5" t="s">
        <v>146</v>
      </c>
      <c r="O1477" s="12"/>
      <c r="S1477" s="13">
        <v>1016</v>
      </c>
      <c r="U1477" s="13">
        <v>1016</v>
      </c>
      <c r="AC1477" s="10" t="s">
        <v>3557</v>
      </c>
      <c r="AD1477" s="5" t="s">
        <v>3551</v>
      </c>
      <c r="AE1477" s="5" t="s">
        <v>143</v>
      </c>
      <c r="AG1477" s="5" t="s">
        <v>3558</v>
      </c>
    </row>
    <row r="1478" spans="1:33" ht="10" customHeight="1" x14ac:dyDescent="0.2">
      <c r="A1478" s="5" t="s">
        <v>40</v>
      </c>
      <c r="B1478" s="5" t="s">
        <v>41</v>
      </c>
      <c r="D1478" s="5" t="s">
        <v>3559</v>
      </c>
      <c r="E1478" s="10" t="s">
        <v>345</v>
      </c>
      <c r="F1478" s="5" t="s">
        <v>150</v>
      </c>
      <c r="G1478" s="5" t="s">
        <v>373</v>
      </c>
      <c r="H1478" s="5" t="s">
        <v>363</v>
      </c>
      <c r="I1478" s="11">
        <v>1</v>
      </c>
      <c r="J1478" s="5" t="s">
        <v>45</v>
      </c>
      <c r="K1478" s="10" t="s">
        <v>46</v>
      </c>
      <c r="L1478" s="5" t="s">
        <v>47</v>
      </c>
      <c r="M1478" s="5" t="s">
        <v>145</v>
      </c>
      <c r="N1478" s="5" t="s">
        <v>146</v>
      </c>
      <c r="O1478" s="12"/>
      <c r="S1478" s="13">
        <v>686</v>
      </c>
      <c r="U1478" s="13">
        <v>686</v>
      </c>
      <c r="AC1478" s="10" t="s">
        <v>3560</v>
      </c>
      <c r="AD1478" s="5" t="s">
        <v>3551</v>
      </c>
      <c r="AE1478" s="5" t="s">
        <v>143</v>
      </c>
      <c r="AG1478" s="5" t="s">
        <v>3561</v>
      </c>
    </row>
    <row r="1479" spans="1:33" ht="10" customHeight="1" x14ac:dyDescent="0.2">
      <c r="A1479" s="5" t="s">
        <v>40</v>
      </c>
      <c r="B1479" s="5" t="s">
        <v>41</v>
      </c>
      <c r="D1479" s="5" t="s">
        <v>3562</v>
      </c>
      <c r="E1479" s="10" t="s">
        <v>345</v>
      </c>
      <c r="F1479" s="5" t="s">
        <v>150</v>
      </c>
      <c r="G1479" s="5" t="s">
        <v>373</v>
      </c>
      <c r="H1479" s="5" t="s">
        <v>363</v>
      </c>
      <c r="I1479" s="11">
        <v>1</v>
      </c>
      <c r="J1479" s="5" t="s">
        <v>45</v>
      </c>
      <c r="K1479" s="10" t="s">
        <v>46</v>
      </c>
      <c r="L1479" s="5" t="s">
        <v>47</v>
      </c>
      <c r="M1479" s="5" t="s">
        <v>145</v>
      </c>
      <c r="N1479" s="5" t="s">
        <v>146</v>
      </c>
      <c r="O1479" s="12"/>
      <c r="S1479" s="13">
        <v>839</v>
      </c>
      <c r="U1479" s="13">
        <v>839</v>
      </c>
      <c r="AC1479" s="10" t="s">
        <v>3563</v>
      </c>
      <c r="AD1479" s="5" t="s">
        <v>3551</v>
      </c>
      <c r="AE1479" s="5" t="s">
        <v>143</v>
      </c>
      <c r="AG1479" s="5" t="s">
        <v>3564</v>
      </c>
    </row>
    <row r="1480" spans="1:33" ht="10" customHeight="1" x14ac:dyDescent="0.2">
      <c r="A1480" s="5" t="s">
        <v>40</v>
      </c>
      <c r="B1480" s="5" t="s">
        <v>41</v>
      </c>
      <c r="D1480" s="5" t="s">
        <v>3565</v>
      </c>
      <c r="E1480" s="10" t="s">
        <v>345</v>
      </c>
      <c r="F1480" s="5" t="s">
        <v>150</v>
      </c>
      <c r="G1480" s="5" t="s">
        <v>373</v>
      </c>
      <c r="H1480" s="5" t="s">
        <v>363</v>
      </c>
      <c r="I1480" s="11">
        <v>1</v>
      </c>
      <c r="J1480" s="5" t="s">
        <v>45</v>
      </c>
      <c r="K1480" s="10" t="s">
        <v>46</v>
      </c>
      <c r="L1480" s="5" t="s">
        <v>47</v>
      </c>
      <c r="M1480" s="5" t="s">
        <v>145</v>
      </c>
      <c r="N1480" s="5" t="s">
        <v>146</v>
      </c>
      <c r="O1480" s="12"/>
      <c r="S1480" s="13">
        <v>345</v>
      </c>
      <c r="U1480" s="13">
        <v>345</v>
      </c>
      <c r="AC1480" s="10" t="s">
        <v>3566</v>
      </c>
      <c r="AD1480" s="5" t="s">
        <v>3551</v>
      </c>
      <c r="AE1480" s="5" t="s">
        <v>143</v>
      </c>
      <c r="AG1480" s="5" t="s">
        <v>3567</v>
      </c>
    </row>
    <row r="1481" spans="1:33" ht="10" customHeight="1" x14ac:dyDescent="0.2">
      <c r="A1481" s="5" t="s">
        <v>40</v>
      </c>
      <c r="B1481" s="5" t="s">
        <v>41</v>
      </c>
      <c r="D1481" s="5" t="s">
        <v>3568</v>
      </c>
      <c r="E1481" s="10" t="s">
        <v>345</v>
      </c>
      <c r="F1481" s="5" t="s">
        <v>150</v>
      </c>
      <c r="G1481" s="5" t="s">
        <v>373</v>
      </c>
      <c r="H1481" s="5" t="s">
        <v>363</v>
      </c>
      <c r="I1481" s="11">
        <v>1</v>
      </c>
      <c r="J1481" s="5" t="s">
        <v>45</v>
      </c>
      <c r="K1481" s="10" t="s">
        <v>46</v>
      </c>
      <c r="L1481" s="5" t="s">
        <v>47</v>
      </c>
      <c r="M1481" s="5" t="s">
        <v>145</v>
      </c>
      <c r="N1481" s="5" t="s">
        <v>146</v>
      </c>
      <c r="O1481" s="12"/>
      <c r="S1481" s="13">
        <v>836</v>
      </c>
      <c r="U1481" s="13">
        <v>836</v>
      </c>
      <c r="AC1481" s="10" t="s">
        <v>3569</v>
      </c>
      <c r="AD1481" s="5" t="s">
        <v>3551</v>
      </c>
      <c r="AE1481" s="5" t="s">
        <v>143</v>
      </c>
      <c r="AG1481" s="5" t="s">
        <v>3570</v>
      </c>
    </row>
    <row r="1482" spans="1:33" ht="10" customHeight="1" x14ac:dyDescent="0.2">
      <c r="A1482" s="5" t="s">
        <v>40</v>
      </c>
      <c r="B1482" s="5" t="s">
        <v>41</v>
      </c>
      <c r="D1482" s="5" t="s">
        <v>3571</v>
      </c>
      <c r="E1482" s="10" t="s">
        <v>345</v>
      </c>
      <c r="F1482" s="5" t="s">
        <v>150</v>
      </c>
      <c r="G1482" s="5" t="s">
        <v>373</v>
      </c>
      <c r="H1482" s="5" t="s">
        <v>363</v>
      </c>
      <c r="I1482" s="11">
        <v>1</v>
      </c>
      <c r="J1482" s="5" t="s">
        <v>45</v>
      </c>
      <c r="K1482" s="10" t="s">
        <v>46</v>
      </c>
      <c r="L1482" s="5" t="s">
        <v>47</v>
      </c>
      <c r="M1482" s="5" t="s">
        <v>145</v>
      </c>
      <c r="N1482" s="5" t="s">
        <v>146</v>
      </c>
      <c r="O1482" s="12"/>
      <c r="S1482" s="13">
        <v>2801</v>
      </c>
      <c r="U1482" s="13">
        <v>2801</v>
      </c>
      <c r="AC1482" s="10" t="s">
        <v>3572</v>
      </c>
      <c r="AD1482" s="5" t="s">
        <v>3551</v>
      </c>
      <c r="AE1482" s="5" t="s">
        <v>143</v>
      </c>
      <c r="AG1482" s="5" t="s">
        <v>3258</v>
      </c>
    </row>
    <row r="1483" spans="1:33" ht="10" customHeight="1" x14ac:dyDescent="0.2">
      <c r="A1483" s="5" t="s">
        <v>40</v>
      </c>
      <c r="B1483" s="5" t="s">
        <v>41</v>
      </c>
      <c r="D1483" s="5" t="s">
        <v>3573</v>
      </c>
      <c r="E1483" s="10" t="s">
        <v>345</v>
      </c>
      <c r="F1483" s="5" t="s">
        <v>150</v>
      </c>
      <c r="G1483" s="5" t="s">
        <v>373</v>
      </c>
      <c r="H1483" s="5" t="s">
        <v>366</v>
      </c>
      <c r="I1483" s="11">
        <v>1</v>
      </c>
      <c r="J1483" s="5" t="s">
        <v>45</v>
      </c>
      <c r="K1483" s="10" t="s">
        <v>46</v>
      </c>
      <c r="L1483" s="5" t="s">
        <v>47</v>
      </c>
      <c r="M1483" s="5" t="s">
        <v>145</v>
      </c>
      <c r="N1483" s="5" t="s">
        <v>146</v>
      </c>
      <c r="O1483" s="12"/>
      <c r="S1483" s="13">
        <v>19956</v>
      </c>
      <c r="U1483" s="13">
        <v>19956</v>
      </c>
      <c r="AC1483" s="10" t="s">
        <v>3574</v>
      </c>
      <c r="AD1483" s="5" t="s">
        <v>3575</v>
      </c>
      <c r="AE1483" s="5" t="s">
        <v>143</v>
      </c>
      <c r="AG1483" s="5" t="s">
        <v>3576</v>
      </c>
    </row>
    <row r="1484" spans="1:33" ht="10" customHeight="1" x14ac:dyDescent="0.2">
      <c r="A1484" s="5" t="s">
        <v>40</v>
      </c>
      <c r="B1484" s="5" t="s">
        <v>41</v>
      </c>
      <c r="D1484" s="5" t="s">
        <v>3577</v>
      </c>
      <c r="E1484" s="10" t="s">
        <v>345</v>
      </c>
      <c r="F1484" s="5" t="s">
        <v>150</v>
      </c>
      <c r="G1484" s="5" t="s">
        <v>373</v>
      </c>
      <c r="H1484" s="5" t="s">
        <v>366</v>
      </c>
      <c r="I1484" s="11">
        <v>1</v>
      </c>
      <c r="J1484" s="5" t="s">
        <v>45</v>
      </c>
      <c r="K1484" s="10" t="s">
        <v>46</v>
      </c>
      <c r="L1484" s="5" t="s">
        <v>47</v>
      </c>
      <c r="M1484" s="5" t="s">
        <v>145</v>
      </c>
      <c r="N1484" s="5" t="s">
        <v>146</v>
      </c>
      <c r="O1484" s="12"/>
      <c r="S1484" s="13">
        <v>9778</v>
      </c>
      <c r="U1484" s="13">
        <v>9778</v>
      </c>
      <c r="AC1484" s="10" t="s">
        <v>3578</v>
      </c>
      <c r="AD1484" s="5" t="s">
        <v>3575</v>
      </c>
      <c r="AE1484" s="5" t="s">
        <v>143</v>
      </c>
      <c r="AG1484" s="5" t="s">
        <v>3579</v>
      </c>
    </row>
    <row r="1485" spans="1:33" ht="10" customHeight="1" x14ac:dyDescent="0.2">
      <c r="A1485" s="5" t="s">
        <v>40</v>
      </c>
      <c r="B1485" s="5" t="s">
        <v>41</v>
      </c>
      <c r="D1485" s="5" t="s">
        <v>3580</v>
      </c>
      <c r="E1485" s="10" t="s">
        <v>345</v>
      </c>
      <c r="F1485" s="5" t="s">
        <v>150</v>
      </c>
      <c r="G1485" s="5" t="s">
        <v>373</v>
      </c>
      <c r="H1485" s="5" t="s">
        <v>366</v>
      </c>
      <c r="I1485" s="11">
        <v>1</v>
      </c>
      <c r="J1485" s="5" t="s">
        <v>45</v>
      </c>
      <c r="K1485" s="10" t="s">
        <v>46</v>
      </c>
      <c r="L1485" s="5" t="s">
        <v>47</v>
      </c>
      <c r="M1485" s="5" t="s">
        <v>145</v>
      </c>
      <c r="N1485" s="5" t="s">
        <v>146</v>
      </c>
      <c r="O1485" s="12"/>
      <c r="S1485" s="13">
        <v>7693</v>
      </c>
      <c r="U1485" s="13">
        <v>7693</v>
      </c>
      <c r="AC1485" s="10" t="s">
        <v>3581</v>
      </c>
      <c r="AD1485" s="5" t="s">
        <v>3575</v>
      </c>
      <c r="AE1485" s="5" t="s">
        <v>143</v>
      </c>
      <c r="AG1485" s="5" t="s">
        <v>3582</v>
      </c>
    </row>
    <row r="1486" spans="1:33" ht="10" customHeight="1" x14ac:dyDescent="0.2">
      <c r="A1486" s="5" t="s">
        <v>40</v>
      </c>
      <c r="B1486" s="5" t="s">
        <v>41</v>
      </c>
      <c r="D1486" s="5" t="s">
        <v>3583</v>
      </c>
      <c r="E1486" s="10" t="s">
        <v>345</v>
      </c>
      <c r="F1486" s="5" t="s">
        <v>150</v>
      </c>
      <c r="G1486" s="5" t="s">
        <v>373</v>
      </c>
      <c r="H1486" s="5" t="s">
        <v>366</v>
      </c>
      <c r="I1486" s="11">
        <v>1</v>
      </c>
      <c r="J1486" s="5" t="s">
        <v>45</v>
      </c>
      <c r="K1486" s="10" t="s">
        <v>46</v>
      </c>
      <c r="L1486" s="5" t="s">
        <v>47</v>
      </c>
      <c r="M1486" s="5" t="s">
        <v>145</v>
      </c>
      <c r="N1486" s="5" t="s">
        <v>146</v>
      </c>
      <c r="O1486" s="12"/>
      <c r="S1486" s="13">
        <v>41004</v>
      </c>
      <c r="U1486" s="13">
        <v>41004</v>
      </c>
      <c r="AC1486" s="10" t="s">
        <v>3584</v>
      </c>
      <c r="AD1486" s="5" t="s">
        <v>3575</v>
      </c>
      <c r="AE1486" s="5" t="s">
        <v>143</v>
      </c>
      <c r="AG1486" s="5" t="s">
        <v>3585</v>
      </c>
    </row>
    <row r="1487" spans="1:33" ht="10" customHeight="1" x14ac:dyDescent="0.2">
      <c r="A1487" s="5" t="s">
        <v>40</v>
      </c>
      <c r="B1487" s="5" t="s">
        <v>41</v>
      </c>
      <c r="D1487" s="5" t="s">
        <v>3586</v>
      </c>
      <c r="E1487" s="10" t="s">
        <v>345</v>
      </c>
      <c r="F1487" s="5" t="s">
        <v>150</v>
      </c>
      <c r="G1487" s="5" t="s">
        <v>373</v>
      </c>
      <c r="H1487" s="5" t="s">
        <v>366</v>
      </c>
      <c r="I1487" s="11">
        <v>1</v>
      </c>
      <c r="J1487" s="5" t="s">
        <v>45</v>
      </c>
      <c r="K1487" s="10" t="s">
        <v>46</v>
      </c>
      <c r="L1487" s="5" t="s">
        <v>47</v>
      </c>
      <c r="M1487" s="5" t="s">
        <v>145</v>
      </c>
      <c r="N1487" s="5" t="s">
        <v>146</v>
      </c>
      <c r="O1487" s="12"/>
      <c r="S1487" s="13">
        <v>3808</v>
      </c>
      <c r="U1487" s="13">
        <v>3808</v>
      </c>
      <c r="AC1487" s="10" t="s">
        <v>3587</v>
      </c>
      <c r="AD1487" s="5" t="s">
        <v>3575</v>
      </c>
      <c r="AE1487" s="5" t="s">
        <v>143</v>
      </c>
      <c r="AG1487" s="5" t="s">
        <v>3588</v>
      </c>
    </row>
    <row r="1488" spans="1:33" ht="10" customHeight="1" x14ac:dyDescent="0.2">
      <c r="A1488" s="5" t="s">
        <v>40</v>
      </c>
      <c r="B1488" s="5" t="s">
        <v>41</v>
      </c>
      <c r="D1488" s="5" t="s">
        <v>3589</v>
      </c>
      <c r="E1488" s="10" t="s">
        <v>345</v>
      </c>
      <c r="F1488" s="5" t="s">
        <v>150</v>
      </c>
      <c r="G1488" s="5" t="s">
        <v>373</v>
      </c>
      <c r="H1488" s="5" t="s">
        <v>366</v>
      </c>
      <c r="I1488" s="11">
        <v>1</v>
      </c>
      <c r="J1488" s="5" t="s">
        <v>45</v>
      </c>
      <c r="K1488" s="10" t="s">
        <v>46</v>
      </c>
      <c r="L1488" s="5" t="s">
        <v>47</v>
      </c>
      <c r="M1488" s="5" t="s">
        <v>145</v>
      </c>
      <c r="N1488" s="5" t="s">
        <v>146</v>
      </c>
      <c r="O1488" s="12"/>
      <c r="S1488" s="13">
        <v>496</v>
      </c>
      <c r="U1488" s="13">
        <v>496</v>
      </c>
      <c r="AC1488" s="10" t="s">
        <v>3590</v>
      </c>
      <c r="AD1488" s="5" t="s">
        <v>3575</v>
      </c>
      <c r="AE1488" s="5" t="s">
        <v>143</v>
      </c>
      <c r="AG1488" s="5" t="s">
        <v>3591</v>
      </c>
    </row>
    <row r="1489" spans="1:33" ht="10" customHeight="1" x14ac:dyDescent="0.2">
      <c r="A1489" s="5" t="s">
        <v>40</v>
      </c>
      <c r="B1489" s="5" t="s">
        <v>41</v>
      </c>
      <c r="D1489" s="5" t="s">
        <v>3592</v>
      </c>
      <c r="E1489" s="10" t="s">
        <v>345</v>
      </c>
      <c r="F1489" s="5" t="s">
        <v>150</v>
      </c>
      <c r="G1489" s="5" t="s">
        <v>373</v>
      </c>
      <c r="H1489" s="5" t="s">
        <v>366</v>
      </c>
      <c r="I1489" s="11">
        <v>1</v>
      </c>
      <c r="J1489" s="5" t="s">
        <v>45</v>
      </c>
      <c r="K1489" s="10" t="s">
        <v>46</v>
      </c>
      <c r="L1489" s="5" t="s">
        <v>47</v>
      </c>
      <c r="M1489" s="5" t="s">
        <v>145</v>
      </c>
      <c r="N1489" s="5" t="s">
        <v>146</v>
      </c>
      <c r="O1489" s="12"/>
      <c r="S1489" s="13">
        <v>3228</v>
      </c>
      <c r="U1489" s="13">
        <v>3228</v>
      </c>
      <c r="AC1489" s="10" t="s">
        <v>3593</v>
      </c>
      <c r="AD1489" s="5" t="s">
        <v>3575</v>
      </c>
      <c r="AE1489" s="5" t="s">
        <v>143</v>
      </c>
      <c r="AG1489" s="5" t="s">
        <v>3594</v>
      </c>
    </row>
    <row r="1490" spans="1:33" ht="10" customHeight="1" x14ac:dyDescent="0.2">
      <c r="A1490" s="5" t="s">
        <v>40</v>
      </c>
      <c r="B1490" s="5" t="s">
        <v>41</v>
      </c>
      <c r="D1490" s="5" t="s">
        <v>3595</v>
      </c>
      <c r="E1490" s="10" t="s">
        <v>345</v>
      </c>
      <c r="F1490" s="5" t="s">
        <v>150</v>
      </c>
      <c r="G1490" s="5" t="s">
        <v>373</v>
      </c>
      <c r="H1490" s="5" t="s">
        <v>366</v>
      </c>
      <c r="I1490" s="11">
        <v>1</v>
      </c>
      <c r="J1490" s="5" t="s">
        <v>45</v>
      </c>
      <c r="K1490" s="10" t="s">
        <v>46</v>
      </c>
      <c r="L1490" s="5" t="s">
        <v>47</v>
      </c>
      <c r="M1490" s="5" t="s">
        <v>145</v>
      </c>
      <c r="N1490" s="5" t="s">
        <v>146</v>
      </c>
      <c r="O1490" s="12"/>
      <c r="S1490" s="13">
        <v>15509</v>
      </c>
      <c r="U1490" s="13">
        <v>15509</v>
      </c>
      <c r="AC1490" s="10" t="s">
        <v>3596</v>
      </c>
      <c r="AD1490" s="5" t="s">
        <v>3575</v>
      </c>
      <c r="AE1490" s="5" t="s">
        <v>143</v>
      </c>
      <c r="AG1490" s="5" t="s">
        <v>3597</v>
      </c>
    </row>
    <row r="1491" spans="1:33" ht="10" customHeight="1" x14ac:dyDescent="0.2">
      <c r="A1491" s="5" t="s">
        <v>40</v>
      </c>
      <c r="B1491" s="5" t="s">
        <v>41</v>
      </c>
      <c r="D1491" s="5" t="s">
        <v>3598</v>
      </c>
      <c r="E1491" s="10" t="s">
        <v>345</v>
      </c>
      <c r="F1491" s="5" t="s">
        <v>150</v>
      </c>
      <c r="G1491" s="5" t="s">
        <v>464</v>
      </c>
      <c r="I1491" s="11">
        <v>1</v>
      </c>
      <c r="J1491" s="5" t="s">
        <v>45</v>
      </c>
      <c r="K1491" s="10" t="s">
        <v>46</v>
      </c>
      <c r="L1491" s="5" t="s">
        <v>47</v>
      </c>
      <c r="M1491" s="5" t="s">
        <v>145</v>
      </c>
      <c r="N1491" s="5" t="s">
        <v>146</v>
      </c>
      <c r="O1491" s="12"/>
      <c r="S1491" s="13">
        <v>45983</v>
      </c>
      <c r="U1491" s="13">
        <v>45983</v>
      </c>
      <c r="AC1491" s="10" t="s">
        <v>3599</v>
      </c>
      <c r="AD1491" s="5" t="s">
        <v>3600</v>
      </c>
      <c r="AE1491" s="5" t="s">
        <v>143</v>
      </c>
    </row>
    <row r="1492" spans="1:33" ht="10" customHeight="1" x14ac:dyDescent="0.2">
      <c r="A1492" s="5" t="s">
        <v>40</v>
      </c>
      <c r="B1492" s="5" t="s">
        <v>41</v>
      </c>
      <c r="D1492" s="5" t="s">
        <v>3601</v>
      </c>
      <c r="E1492" s="10" t="s">
        <v>345</v>
      </c>
      <c r="F1492" s="5" t="s">
        <v>150</v>
      </c>
      <c r="G1492" s="5" t="s">
        <v>464</v>
      </c>
      <c r="I1492" s="11">
        <v>1</v>
      </c>
      <c r="J1492" s="5" t="s">
        <v>45</v>
      </c>
      <c r="K1492" s="10" t="s">
        <v>46</v>
      </c>
      <c r="L1492" s="5" t="s">
        <v>47</v>
      </c>
      <c r="M1492" s="5" t="s">
        <v>145</v>
      </c>
      <c r="N1492" s="5" t="s">
        <v>146</v>
      </c>
      <c r="O1492" s="12"/>
      <c r="S1492" s="13">
        <v>2288</v>
      </c>
      <c r="U1492" s="13">
        <v>2288</v>
      </c>
      <c r="AC1492" s="10" t="s">
        <v>3602</v>
      </c>
      <c r="AD1492" s="5" t="s">
        <v>3600</v>
      </c>
      <c r="AE1492" s="5" t="s">
        <v>143</v>
      </c>
      <c r="AG1492" s="5" t="s">
        <v>371</v>
      </c>
    </row>
    <row r="1493" spans="1:33" ht="10" customHeight="1" x14ac:dyDescent="0.2">
      <c r="A1493" s="5" t="s">
        <v>40</v>
      </c>
      <c r="B1493" s="5" t="s">
        <v>41</v>
      </c>
      <c r="D1493" s="5" t="s">
        <v>3603</v>
      </c>
      <c r="E1493" s="10" t="s">
        <v>345</v>
      </c>
      <c r="F1493" s="5" t="s">
        <v>150</v>
      </c>
      <c r="G1493" s="5" t="s">
        <v>464</v>
      </c>
      <c r="I1493" s="11">
        <v>1</v>
      </c>
      <c r="J1493" s="5" t="s">
        <v>45</v>
      </c>
      <c r="K1493" s="10" t="s">
        <v>46</v>
      </c>
      <c r="L1493" s="5" t="s">
        <v>47</v>
      </c>
      <c r="M1493" s="5" t="s">
        <v>145</v>
      </c>
      <c r="N1493" s="5" t="s">
        <v>146</v>
      </c>
      <c r="O1493" s="12"/>
      <c r="S1493" s="13">
        <v>40291</v>
      </c>
      <c r="U1493" s="13">
        <v>40291</v>
      </c>
      <c r="AC1493" s="10" t="s">
        <v>3604</v>
      </c>
      <c r="AD1493" s="5" t="s">
        <v>3605</v>
      </c>
      <c r="AE1493" s="5" t="s">
        <v>143</v>
      </c>
    </row>
    <row r="1494" spans="1:33" ht="10" customHeight="1" x14ac:dyDescent="0.2">
      <c r="A1494" s="5" t="s">
        <v>40</v>
      </c>
      <c r="B1494" s="5" t="s">
        <v>41</v>
      </c>
      <c r="D1494" s="5" t="s">
        <v>3606</v>
      </c>
      <c r="E1494" s="10" t="s">
        <v>345</v>
      </c>
      <c r="F1494" s="5" t="s">
        <v>150</v>
      </c>
      <c r="G1494" s="5" t="s">
        <v>464</v>
      </c>
      <c r="I1494" s="11">
        <v>1</v>
      </c>
      <c r="J1494" s="5" t="s">
        <v>45</v>
      </c>
      <c r="K1494" s="10" t="s">
        <v>46</v>
      </c>
      <c r="L1494" s="5" t="s">
        <v>47</v>
      </c>
      <c r="M1494" s="5" t="s">
        <v>145</v>
      </c>
      <c r="N1494" s="5" t="s">
        <v>146</v>
      </c>
      <c r="O1494" s="12"/>
      <c r="S1494" s="13">
        <v>2118</v>
      </c>
      <c r="U1494" s="13">
        <v>2118</v>
      </c>
      <c r="AC1494" s="10" t="s">
        <v>3607</v>
      </c>
      <c r="AD1494" s="5" t="s">
        <v>3605</v>
      </c>
      <c r="AE1494" s="5" t="s">
        <v>143</v>
      </c>
    </row>
    <row r="1495" spans="1:33" ht="10" customHeight="1" x14ac:dyDescent="0.2">
      <c r="A1495" s="5" t="s">
        <v>40</v>
      </c>
      <c r="B1495" s="5" t="s">
        <v>41</v>
      </c>
      <c r="D1495" s="5" t="s">
        <v>3608</v>
      </c>
      <c r="E1495" s="10" t="s">
        <v>345</v>
      </c>
      <c r="F1495" s="5" t="s">
        <v>150</v>
      </c>
      <c r="G1495" s="5" t="s">
        <v>464</v>
      </c>
      <c r="I1495" s="11">
        <v>1</v>
      </c>
      <c r="J1495" s="5" t="s">
        <v>45</v>
      </c>
      <c r="K1495" s="10" t="s">
        <v>46</v>
      </c>
      <c r="L1495" s="5" t="s">
        <v>47</v>
      </c>
      <c r="M1495" s="5" t="s">
        <v>145</v>
      </c>
      <c r="N1495" s="5" t="s">
        <v>146</v>
      </c>
      <c r="O1495" s="12"/>
      <c r="S1495" s="13">
        <v>7592</v>
      </c>
      <c r="U1495" s="13">
        <v>7592</v>
      </c>
      <c r="AC1495" s="10" t="s">
        <v>3609</v>
      </c>
      <c r="AD1495" s="5" t="s">
        <v>3605</v>
      </c>
      <c r="AE1495" s="5" t="s">
        <v>143</v>
      </c>
    </row>
    <row r="1496" spans="1:33" ht="10" customHeight="1" x14ac:dyDescent="0.2">
      <c r="A1496" s="5" t="s">
        <v>40</v>
      </c>
      <c r="B1496" s="5" t="s">
        <v>41</v>
      </c>
      <c r="D1496" s="5" t="s">
        <v>3610</v>
      </c>
      <c r="E1496" s="10" t="s">
        <v>345</v>
      </c>
      <c r="F1496" s="5" t="s">
        <v>150</v>
      </c>
      <c r="G1496" s="5" t="s">
        <v>464</v>
      </c>
      <c r="I1496" s="11">
        <v>1</v>
      </c>
      <c r="J1496" s="5" t="s">
        <v>45</v>
      </c>
      <c r="K1496" s="10" t="s">
        <v>46</v>
      </c>
      <c r="L1496" s="5" t="s">
        <v>47</v>
      </c>
      <c r="M1496" s="5" t="s">
        <v>145</v>
      </c>
      <c r="N1496" s="5" t="s">
        <v>146</v>
      </c>
      <c r="O1496" s="12"/>
      <c r="S1496" s="13">
        <v>276</v>
      </c>
      <c r="U1496" s="13">
        <v>276</v>
      </c>
      <c r="AC1496" s="10" t="s">
        <v>3611</v>
      </c>
      <c r="AD1496" s="5" t="s">
        <v>3605</v>
      </c>
      <c r="AE1496" s="5" t="s">
        <v>143</v>
      </c>
    </row>
    <row r="1497" spans="1:33" ht="10" customHeight="1" x14ac:dyDescent="0.2">
      <c r="A1497" s="5" t="s">
        <v>40</v>
      </c>
      <c r="B1497" s="5" t="s">
        <v>41</v>
      </c>
      <c r="D1497" s="5" t="s">
        <v>3612</v>
      </c>
      <c r="E1497" s="10" t="s">
        <v>345</v>
      </c>
      <c r="F1497" s="5" t="s">
        <v>150</v>
      </c>
      <c r="G1497" s="5" t="s">
        <v>464</v>
      </c>
      <c r="I1497" s="11">
        <v>1</v>
      </c>
      <c r="J1497" s="5" t="s">
        <v>45</v>
      </c>
      <c r="K1497" s="10" t="s">
        <v>46</v>
      </c>
      <c r="L1497" s="5" t="s">
        <v>47</v>
      </c>
      <c r="M1497" s="5" t="s">
        <v>145</v>
      </c>
      <c r="N1497" s="5" t="s">
        <v>146</v>
      </c>
      <c r="O1497" s="12"/>
      <c r="S1497" s="13">
        <v>5649</v>
      </c>
      <c r="U1497" s="13">
        <v>5649</v>
      </c>
      <c r="AC1497" s="10" t="s">
        <v>3613</v>
      </c>
      <c r="AD1497" s="5" t="s">
        <v>3605</v>
      </c>
      <c r="AE1497" s="5" t="s">
        <v>143</v>
      </c>
    </row>
    <row r="1498" spans="1:33" ht="10" customHeight="1" x14ac:dyDescent="0.2">
      <c r="A1498" s="5" t="s">
        <v>40</v>
      </c>
      <c r="B1498" s="5" t="s">
        <v>41</v>
      </c>
      <c r="D1498" s="5" t="s">
        <v>3614</v>
      </c>
      <c r="E1498" s="10" t="s">
        <v>345</v>
      </c>
      <c r="F1498" s="5" t="s">
        <v>150</v>
      </c>
      <c r="G1498" s="5" t="s">
        <v>464</v>
      </c>
      <c r="I1498" s="11">
        <v>1</v>
      </c>
      <c r="J1498" s="5" t="s">
        <v>45</v>
      </c>
      <c r="K1498" s="10" t="s">
        <v>46</v>
      </c>
      <c r="L1498" s="5" t="s">
        <v>47</v>
      </c>
      <c r="M1498" s="5" t="s">
        <v>145</v>
      </c>
      <c r="N1498" s="5" t="s">
        <v>146</v>
      </c>
      <c r="O1498" s="12"/>
      <c r="S1498" s="13">
        <v>10706</v>
      </c>
      <c r="U1498" s="13">
        <v>10706</v>
      </c>
      <c r="AC1498" s="10" t="s">
        <v>3615</v>
      </c>
      <c r="AD1498" s="5" t="s">
        <v>3605</v>
      </c>
      <c r="AE1498" s="5" t="s">
        <v>143</v>
      </c>
    </row>
    <row r="1499" spans="1:33" ht="10" customHeight="1" x14ac:dyDescent="0.2">
      <c r="A1499" s="5" t="s">
        <v>40</v>
      </c>
      <c r="B1499" s="5" t="s">
        <v>41</v>
      </c>
      <c r="D1499" s="5" t="s">
        <v>3616</v>
      </c>
      <c r="E1499" s="10" t="s">
        <v>345</v>
      </c>
      <c r="F1499" s="5" t="s">
        <v>150</v>
      </c>
      <c r="G1499" s="5" t="s">
        <v>464</v>
      </c>
      <c r="I1499" s="11">
        <v>1</v>
      </c>
      <c r="J1499" s="5" t="s">
        <v>45</v>
      </c>
      <c r="K1499" s="10" t="s">
        <v>46</v>
      </c>
      <c r="L1499" s="5" t="s">
        <v>47</v>
      </c>
      <c r="M1499" s="5" t="s">
        <v>145</v>
      </c>
      <c r="N1499" s="5" t="s">
        <v>146</v>
      </c>
      <c r="O1499" s="12"/>
      <c r="S1499" s="13">
        <v>16865</v>
      </c>
      <c r="U1499" s="13">
        <v>16865</v>
      </c>
      <c r="AC1499" s="10" t="s">
        <v>3617</v>
      </c>
      <c r="AD1499" s="5" t="s">
        <v>3605</v>
      </c>
      <c r="AE1499" s="5" t="s">
        <v>143</v>
      </c>
    </row>
    <row r="1500" spans="1:33" ht="10" customHeight="1" x14ac:dyDescent="0.2">
      <c r="A1500" s="5" t="s">
        <v>40</v>
      </c>
      <c r="B1500" s="5" t="s">
        <v>41</v>
      </c>
      <c r="D1500" s="5" t="s">
        <v>3618</v>
      </c>
      <c r="E1500" s="10" t="s">
        <v>345</v>
      </c>
      <c r="F1500" s="5" t="s">
        <v>150</v>
      </c>
      <c r="G1500" s="5" t="s">
        <v>464</v>
      </c>
      <c r="I1500" s="11">
        <v>1</v>
      </c>
      <c r="J1500" s="5" t="s">
        <v>45</v>
      </c>
      <c r="K1500" s="10" t="s">
        <v>46</v>
      </c>
      <c r="L1500" s="5" t="s">
        <v>47</v>
      </c>
      <c r="M1500" s="5" t="s">
        <v>145</v>
      </c>
      <c r="N1500" s="5" t="s">
        <v>146</v>
      </c>
      <c r="O1500" s="12"/>
      <c r="S1500" s="13">
        <v>16849</v>
      </c>
      <c r="U1500" s="13">
        <v>16849</v>
      </c>
      <c r="AC1500" s="10" t="s">
        <v>3619</v>
      </c>
      <c r="AD1500" s="5" t="s">
        <v>3620</v>
      </c>
      <c r="AE1500" s="5" t="s">
        <v>143</v>
      </c>
    </row>
    <row r="1501" spans="1:33" ht="10" customHeight="1" x14ac:dyDescent="0.2">
      <c r="A1501" s="5" t="s">
        <v>40</v>
      </c>
      <c r="B1501" s="5" t="s">
        <v>41</v>
      </c>
      <c r="D1501" s="5" t="s">
        <v>3621</v>
      </c>
      <c r="E1501" s="10" t="s">
        <v>345</v>
      </c>
      <c r="F1501" s="5" t="s">
        <v>150</v>
      </c>
      <c r="G1501" s="5" t="s">
        <v>464</v>
      </c>
      <c r="I1501" s="11">
        <v>1</v>
      </c>
      <c r="J1501" s="5" t="s">
        <v>45</v>
      </c>
      <c r="K1501" s="10" t="s">
        <v>46</v>
      </c>
      <c r="L1501" s="5" t="s">
        <v>47</v>
      </c>
      <c r="M1501" s="5" t="s">
        <v>145</v>
      </c>
      <c r="N1501" s="5" t="s">
        <v>146</v>
      </c>
      <c r="O1501" s="12"/>
      <c r="S1501" s="13">
        <v>1552</v>
      </c>
      <c r="U1501" s="13">
        <v>1552</v>
      </c>
      <c r="AC1501" s="10" t="s">
        <v>3622</v>
      </c>
      <c r="AD1501" s="5" t="s">
        <v>3620</v>
      </c>
      <c r="AE1501" s="5" t="s">
        <v>143</v>
      </c>
    </row>
    <row r="1502" spans="1:33" ht="10" customHeight="1" x14ac:dyDescent="0.2">
      <c r="A1502" s="5" t="s">
        <v>40</v>
      </c>
      <c r="B1502" s="5" t="s">
        <v>41</v>
      </c>
      <c r="D1502" s="5" t="s">
        <v>3623</v>
      </c>
      <c r="E1502" s="10" t="s">
        <v>345</v>
      </c>
      <c r="F1502" s="5" t="s">
        <v>150</v>
      </c>
      <c r="G1502" s="5" t="s">
        <v>464</v>
      </c>
      <c r="I1502" s="11">
        <v>1</v>
      </c>
      <c r="J1502" s="5" t="s">
        <v>45</v>
      </c>
      <c r="K1502" s="10" t="s">
        <v>46</v>
      </c>
      <c r="L1502" s="5" t="s">
        <v>47</v>
      </c>
      <c r="M1502" s="5" t="s">
        <v>145</v>
      </c>
      <c r="N1502" s="5" t="s">
        <v>146</v>
      </c>
      <c r="O1502" s="12"/>
      <c r="S1502" s="13">
        <v>634</v>
      </c>
      <c r="U1502" s="13">
        <v>634</v>
      </c>
      <c r="AC1502" s="10" t="s">
        <v>3624</v>
      </c>
      <c r="AD1502" s="5" t="s">
        <v>3620</v>
      </c>
      <c r="AE1502" s="5" t="s">
        <v>143</v>
      </c>
    </row>
    <row r="1503" spans="1:33" ht="10" customHeight="1" x14ac:dyDescent="0.2">
      <c r="A1503" s="5" t="s">
        <v>40</v>
      </c>
      <c r="B1503" s="5" t="s">
        <v>41</v>
      </c>
      <c r="D1503" s="5" t="s">
        <v>3625</v>
      </c>
      <c r="E1503" s="10" t="s">
        <v>345</v>
      </c>
      <c r="F1503" s="5" t="s">
        <v>150</v>
      </c>
      <c r="G1503" s="5" t="s">
        <v>464</v>
      </c>
      <c r="I1503" s="11">
        <v>1</v>
      </c>
      <c r="J1503" s="5" t="s">
        <v>45</v>
      </c>
      <c r="K1503" s="10" t="s">
        <v>46</v>
      </c>
      <c r="L1503" s="5" t="s">
        <v>47</v>
      </c>
      <c r="M1503" s="5" t="s">
        <v>145</v>
      </c>
      <c r="N1503" s="5" t="s">
        <v>146</v>
      </c>
      <c r="O1503" s="12"/>
      <c r="S1503" s="13">
        <v>3105</v>
      </c>
      <c r="U1503" s="13">
        <v>3105</v>
      </c>
      <c r="AC1503" s="10" t="s">
        <v>3626</v>
      </c>
      <c r="AD1503" s="5" t="s">
        <v>3620</v>
      </c>
      <c r="AE1503" s="5" t="s">
        <v>143</v>
      </c>
    </row>
    <row r="1504" spans="1:33" ht="10" customHeight="1" x14ac:dyDescent="0.2">
      <c r="A1504" s="5" t="s">
        <v>40</v>
      </c>
      <c r="B1504" s="5" t="s">
        <v>41</v>
      </c>
      <c r="D1504" s="5" t="s">
        <v>3627</v>
      </c>
      <c r="E1504" s="10" t="s">
        <v>345</v>
      </c>
      <c r="F1504" s="5" t="s">
        <v>150</v>
      </c>
      <c r="G1504" s="5" t="s">
        <v>464</v>
      </c>
      <c r="I1504" s="11">
        <v>1</v>
      </c>
      <c r="J1504" s="5" t="s">
        <v>45</v>
      </c>
      <c r="K1504" s="10" t="s">
        <v>46</v>
      </c>
      <c r="L1504" s="5" t="s">
        <v>47</v>
      </c>
      <c r="M1504" s="5" t="s">
        <v>145</v>
      </c>
      <c r="N1504" s="5" t="s">
        <v>146</v>
      </c>
      <c r="O1504" s="12"/>
      <c r="S1504" s="13">
        <v>2950</v>
      </c>
      <c r="U1504" s="13">
        <v>2950</v>
      </c>
      <c r="AC1504" s="10" t="s">
        <v>3628</v>
      </c>
      <c r="AD1504" s="5" t="s">
        <v>3620</v>
      </c>
      <c r="AE1504" s="5" t="s">
        <v>143</v>
      </c>
    </row>
    <row r="1505" spans="1:33" ht="10" customHeight="1" x14ac:dyDescent="0.2">
      <c r="A1505" s="5" t="s">
        <v>40</v>
      </c>
      <c r="B1505" s="5" t="s">
        <v>41</v>
      </c>
      <c r="D1505" s="5" t="s">
        <v>3629</v>
      </c>
      <c r="E1505" s="10" t="s">
        <v>345</v>
      </c>
      <c r="F1505" s="5" t="s">
        <v>150</v>
      </c>
      <c r="G1505" s="5" t="s">
        <v>464</v>
      </c>
      <c r="I1505" s="11">
        <v>1</v>
      </c>
      <c r="J1505" s="5" t="s">
        <v>45</v>
      </c>
      <c r="K1505" s="10" t="s">
        <v>46</v>
      </c>
      <c r="L1505" s="5" t="s">
        <v>47</v>
      </c>
      <c r="M1505" s="5" t="s">
        <v>145</v>
      </c>
      <c r="N1505" s="5" t="s">
        <v>146</v>
      </c>
      <c r="O1505" s="12"/>
      <c r="S1505" s="13">
        <v>9192</v>
      </c>
      <c r="U1505" s="13">
        <v>9192</v>
      </c>
      <c r="AC1505" s="10" t="s">
        <v>3630</v>
      </c>
      <c r="AD1505" s="5" t="s">
        <v>3631</v>
      </c>
      <c r="AE1505" s="5" t="s">
        <v>143</v>
      </c>
    </row>
    <row r="1506" spans="1:33" ht="10" customHeight="1" x14ac:dyDescent="0.2">
      <c r="A1506" s="5" t="s">
        <v>40</v>
      </c>
      <c r="B1506" s="5" t="s">
        <v>41</v>
      </c>
      <c r="D1506" s="5" t="s">
        <v>3632</v>
      </c>
      <c r="E1506" s="10" t="s">
        <v>345</v>
      </c>
      <c r="F1506" s="5" t="s">
        <v>150</v>
      </c>
      <c r="G1506" s="5" t="s">
        <v>464</v>
      </c>
      <c r="I1506" s="11">
        <v>1</v>
      </c>
      <c r="J1506" s="5" t="s">
        <v>45</v>
      </c>
      <c r="K1506" s="10" t="s">
        <v>46</v>
      </c>
      <c r="L1506" s="5" t="s">
        <v>47</v>
      </c>
      <c r="M1506" s="5" t="s">
        <v>145</v>
      </c>
      <c r="N1506" s="5" t="s">
        <v>146</v>
      </c>
      <c r="O1506" s="12"/>
      <c r="S1506" s="13">
        <v>489</v>
      </c>
      <c r="U1506" s="13">
        <v>489</v>
      </c>
      <c r="AC1506" s="10" t="s">
        <v>3633</v>
      </c>
      <c r="AD1506" s="5" t="s">
        <v>3631</v>
      </c>
      <c r="AE1506" s="5" t="s">
        <v>143</v>
      </c>
    </row>
    <row r="1507" spans="1:33" ht="10" customHeight="1" x14ac:dyDescent="0.2">
      <c r="A1507" s="5" t="s">
        <v>40</v>
      </c>
      <c r="B1507" s="5" t="s">
        <v>41</v>
      </c>
      <c r="D1507" s="5" t="s">
        <v>3634</v>
      </c>
      <c r="E1507" s="10" t="s">
        <v>345</v>
      </c>
      <c r="F1507" s="5" t="s">
        <v>150</v>
      </c>
      <c r="G1507" s="5" t="s">
        <v>464</v>
      </c>
      <c r="I1507" s="11">
        <v>1</v>
      </c>
      <c r="J1507" s="5" t="s">
        <v>45</v>
      </c>
      <c r="K1507" s="10" t="s">
        <v>46</v>
      </c>
      <c r="L1507" s="5" t="s">
        <v>47</v>
      </c>
      <c r="M1507" s="5" t="s">
        <v>145</v>
      </c>
      <c r="N1507" s="5" t="s">
        <v>146</v>
      </c>
      <c r="O1507" s="12"/>
      <c r="S1507" s="13">
        <v>560</v>
      </c>
      <c r="U1507" s="13">
        <v>560</v>
      </c>
      <c r="AC1507" s="10" t="s">
        <v>3635</v>
      </c>
      <c r="AD1507" s="5" t="s">
        <v>3631</v>
      </c>
      <c r="AE1507" s="5" t="s">
        <v>143</v>
      </c>
    </row>
    <row r="1508" spans="1:33" ht="10" customHeight="1" x14ac:dyDescent="0.2">
      <c r="A1508" s="5" t="s">
        <v>40</v>
      </c>
      <c r="B1508" s="5" t="s">
        <v>41</v>
      </c>
      <c r="D1508" s="5" t="s">
        <v>3636</v>
      </c>
      <c r="E1508" s="10" t="s">
        <v>345</v>
      </c>
      <c r="F1508" s="5" t="s">
        <v>150</v>
      </c>
      <c r="G1508" s="5" t="s">
        <v>464</v>
      </c>
      <c r="I1508" s="11">
        <v>1</v>
      </c>
      <c r="J1508" s="5" t="s">
        <v>45</v>
      </c>
      <c r="K1508" s="10" t="s">
        <v>46</v>
      </c>
      <c r="L1508" s="5" t="s">
        <v>47</v>
      </c>
      <c r="M1508" s="5" t="s">
        <v>145</v>
      </c>
      <c r="N1508" s="5" t="s">
        <v>146</v>
      </c>
      <c r="O1508" s="12"/>
      <c r="S1508" s="13">
        <v>1959</v>
      </c>
      <c r="U1508" s="13">
        <v>1959</v>
      </c>
      <c r="AC1508" s="10" t="s">
        <v>3637</v>
      </c>
      <c r="AD1508" s="5" t="s">
        <v>3631</v>
      </c>
      <c r="AE1508" s="5" t="s">
        <v>143</v>
      </c>
    </row>
    <row r="1509" spans="1:33" ht="10" customHeight="1" x14ac:dyDescent="0.2">
      <c r="A1509" s="5" t="s">
        <v>40</v>
      </c>
      <c r="B1509" s="5" t="s">
        <v>41</v>
      </c>
      <c r="D1509" s="5" t="s">
        <v>3638</v>
      </c>
      <c r="E1509" s="10" t="s">
        <v>345</v>
      </c>
      <c r="F1509" s="5" t="s">
        <v>150</v>
      </c>
      <c r="G1509" s="5" t="s">
        <v>464</v>
      </c>
      <c r="I1509" s="11">
        <v>1</v>
      </c>
      <c r="J1509" s="5" t="s">
        <v>45</v>
      </c>
      <c r="K1509" s="10" t="s">
        <v>46</v>
      </c>
      <c r="L1509" s="5" t="s">
        <v>47</v>
      </c>
      <c r="M1509" s="5" t="s">
        <v>145</v>
      </c>
      <c r="N1509" s="5" t="s">
        <v>146</v>
      </c>
      <c r="O1509" s="12"/>
      <c r="S1509" s="13">
        <v>5881</v>
      </c>
      <c r="U1509" s="13">
        <v>5881</v>
      </c>
      <c r="AC1509" s="10" t="s">
        <v>3639</v>
      </c>
      <c r="AD1509" s="5" t="s">
        <v>3640</v>
      </c>
      <c r="AE1509" s="5" t="s">
        <v>143</v>
      </c>
    </row>
    <row r="1510" spans="1:33" ht="10" customHeight="1" x14ac:dyDescent="0.2">
      <c r="A1510" s="5" t="s">
        <v>40</v>
      </c>
      <c r="B1510" s="5" t="s">
        <v>41</v>
      </c>
      <c r="D1510" s="5" t="s">
        <v>3641</v>
      </c>
      <c r="E1510" s="10" t="s">
        <v>345</v>
      </c>
      <c r="F1510" s="5" t="s">
        <v>150</v>
      </c>
      <c r="G1510" s="5" t="s">
        <v>464</v>
      </c>
      <c r="I1510" s="11">
        <v>1</v>
      </c>
      <c r="J1510" s="5" t="s">
        <v>45</v>
      </c>
      <c r="K1510" s="10" t="s">
        <v>46</v>
      </c>
      <c r="L1510" s="5" t="s">
        <v>47</v>
      </c>
      <c r="M1510" s="5" t="s">
        <v>145</v>
      </c>
      <c r="N1510" s="5" t="s">
        <v>146</v>
      </c>
      <c r="O1510" s="12"/>
      <c r="S1510" s="13">
        <v>164</v>
      </c>
      <c r="U1510" s="13">
        <v>164</v>
      </c>
      <c r="AC1510" s="10" t="s">
        <v>3642</v>
      </c>
      <c r="AD1510" s="5" t="s">
        <v>3640</v>
      </c>
      <c r="AE1510" s="5" t="s">
        <v>143</v>
      </c>
    </row>
    <row r="1511" spans="1:33" ht="10" customHeight="1" x14ac:dyDescent="0.2">
      <c r="A1511" s="5" t="s">
        <v>40</v>
      </c>
      <c r="B1511" s="5" t="s">
        <v>41</v>
      </c>
      <c r="D1511" s="5" t="s">
        <v>3643</v>
      </c>
      <c r="E1511" s="10" t="s">
        <v>345</v>
      </c>
      <c r="F1511" s="5" t="s">
        <v>150</v>
      </c>
      <c r="G1511" s="5" t="s">
        <v>464</v>
      </c>
      <c r="I1511" s="11">
        <v>1</v>
      </c>
      <c r="J1511" s="5" t="s">
        <v>45</v>
      </c>
      <c r="K1511" s="10" t="s">
        <v>46</v>
      </c>
      <c r="L1511" s="5" t="s">
        <v>47</v>
      </c>
      <c r="M1511" s="5" t="s">
        <v>145</v>
      </c>
      <c r="N1511" s="5" t="s">
        <v>146</v>
      </c>
      <c r="O1511" s="12"/>
      <c r="S1511" s="13">
        <v>131</v>
      </c>
      <c r="U1511" s="13">
        <v>131</v>
      </c>
      <c r="AC1511" s="10" t="s">
        <v>3644</v>
      </c>
      <c r="AD1511" s="5" t="s">
        <v>3640</v>
      </c>
      <c r="AE1511" s="5" t="s">
        <v>143</v>
      </c>
    </row>
    <row r="1512" spans="1:33" ht="10" customHeight="1" x14ac:dyDescent="0.2">
      <c r="A1512" s="5" t="s">
        <v>40</v>
      </c>
      <c r="B1512" s="5" t="s">
        <v>41</v>
      </c>
      <c r="D1512" s="5" t="s">
        <v>3645</v>
      </c>
      <c r="E1512" s="10" t="s">
        <v>345</v>
      </c>
      <c r="F1512" s="5" t="s">
        <v>150</v>
      </c>
      <c r="G1512" s="5" t="s">
        <v>464</v>
      </c>
      <c r="I1512" s="11">
        <v>1</v>
      </c>
      <c r="J1512" s="5" t="s">
        <v>45</v>
      </c>
      <c r="K1512" s="10" t="s">
        <v>46</v>
      </c>
      <c r="L1512" s="5" t="s">
        <v>47</v>
      </c>
      <c r="M1512" s="5" t="s">
        <v>145</v>
      </c>
      <c r="N1512" s="5" t="s">
        <v>146</v>
      </c>
      <c r="O1512" s="12"/>
      <c r="S1512" s="13">
        <v>306</v>
      </c>
      <c r="U1512" s="13">
        <v>306</v>
      </c>
      <c r="AC1512" s="10" t="s">
        <v>3646</v>
      </c>
      <c r="AD1512" s="5" t="s">
        <v>3640</v>
      </c>
      <c r="AE1512" s="5" t="s">
        <v>143</v>
      </c>
    </row>
    <row r="1513" spans="1:33" ht="10" customHeight="1" x14ac:dyDescent="0.2">
      <c r="A1513" s="5" t="s">
        <v>40</v>
      </c>
      <c r="B1513" s="5" t="s">
        <v>41</v>
      </c>
      <c r="D1513" s="5" t="s">
        <v>3647</v>
      </c>
      <c r="E1513" s="10" t="s">
        <v>345</v>
      </c>
      <c r="F1513" s="5" t="s">
        <v>150</v>
      </c>
      <c r="G1513" s="5" t="s">
        <v>464</v>
      </c>
      <c r="I1513" s="11">
        <v>1</v>
      </c>
      <c r="J1513" s="5" t="s">
        <v>45</v>
      </c>
      <c r="K1513" s="10" t="s">
        <v>46</v>
      </c>
      <c r="L1513" s="5" t="s">
        <v>47</v>
      </c>
      <c r="M1513" s="5" t="s">
        <v>145</v>
      </c>
      <c r="N1513" s="5" t="s">
        <v>146</v>
      </c>
      <c r="O1513" s="12"/>
      <c r="S1513" s="13">
        <v>167</v>
      </c>
      <c r="U1513" s="13">
        <v>167</v>
      </c>
      <c r="AC1513" s="10" t="s">
        <v>3648</v>
      </c>
      <c r="AD1513" s="5" t="s">
        <v>3640</v>
      </c>
      <c r="AE1513" s="5" t="s">
        <v>143</v>
      </c>
    </row>
    <row r="1514" spans="1:33" ht="10" customHeight="1" x14ac:dyDescent="0.2">
      <c r="A1514" s="5" t="s">
        <v>40</v>
      </c>
      <c r="B1514" s="5" t="s">
        <v>41</v>
      </c>
      <c r="D1514" s="5" t="s">
        <v>3649</v>
      </c>
      <c r="E1514" s="10" t="s">
        <v>345</v>
      </c>
      <c r="F1514" s="5" t="s">
        <v>150</v>
      </c>
      <c r="G1514" s="5" t="s">
        <v>464</v>
      </c>
      <c r="I1514" s="11">
        <v>1</v>
      </c>
      <c r="J1514" s="5" t="s">
        <v>45</v>
      </c>
      <c r="K1514" s="10" t="s">
        <v>46</v>
      </c>
      <c r="L1514" s="5" t="s">
        <v>47</v>
      </c>
      <c r="M1514" s="5" t="s">
        <v>145</v>
      </c>
      <c r="N1514" s="5" t="s">
        <v>146</v>
      </c>
      <c r="O1514" s="12"/>
      <c r="S1514" s="13">
        <v>12105</v>
      </c>
      <c r="U1514" s="13">
        <v>12105</v>
      </c>
      <c r="AC1514" s="10" t="s">
        <v>3650</v>
      </c>
      <c r="AD1514" s="5" t="s">
        <v>3651</v>
      </c>
      <c r="AE1514" s="5" t="s">
        <v>143</v>
      </c>
    </row>
    <row r="1515" spans="1:33" ht="10" customHeight="1" x14ac:dyDescent="0.2">
      <c r="A1515" s="5" t="s">
        <v>40</v>
      </c>
      <c r="B1515" s="5" t="s">
        <v>41</v>
      </c>
      <c r="D1515" s="5" t="s">
        <v>3652</v>
      </c>
      <c r="E1515" s="10" t="s">
        <v>345</v>
      </c>
      <c r="F1515" s="5" t="s">
        <v>150</v>
      </c>
      <c r="G1515" s="5" t="s">
        <v>464</v>
      </c>
      <c r="I1515" s="11">
        <v>1</v>
      </c>
      <c r="J1515" s="5" t="s">
        <v>45</v>
      </c>
      <c r="K1515" s="10" t="s">
        <v>46</v>
      </c>
      <c r="L1515" s="5" t="s">
        <v>47</v>
      </c>
      <c r="M1515" s="5" t="s">
        <v>145</v>
      </c>
      <c r="N1515" s="5" t="s">
        <v>146</v>
      </c>
      <c r="O1515" s="12"/>
      <c r="S1515" s="13">
        <v>429</v>
      </c>
      <c r="U1515" s="13">
        <v>429</v>
      </c>
      <c r="AC1515" s="10" t="s">
        <v>3653</v>
      </c>
      <c r="AD1515" s="5" t="s">
        <v>3651</v>
      </c>
      <c r="AE1515" s="5" t="s">
        <v>143</v>
      </c>
    </row>
    <row r="1516" spans="1:33" ht="10" customHeight="1" x14ac:dyDescent="0.2">
      <c r="A1516" s="5" t="s">
        <v>40</v>
      </c>
      <c r="B1516" s="5" t="s">
        <v>41</v>
      </c>
      <c r="D1516" s="5" t="s">
        <v>3654</v>
      </c>
      <c r="E1516" s="10" t="s">
        <v>345</v>
      </c>
      <c r="F1516" s="5" t="s">
        <v>150</v>
      </c>
      <c r="G1516" s="5" t="s">
        <v>464</v>
      </c>
      <c r="I1516" s="11">
        <v>1</v>
      </c>
      <c r="J1516" s="5" t="s">
        <v>45</v>
      </c>
      <c r="K1516" s="10" t="s">
        <v>46</v>
      </c>
      <c r="L1516" s="5" t="s">
        <v>47</v>
      </c>
      <c r="M1516" s="5" t="s">
        <v>145</v>
      </c>
      <c r="N1516" s="5" t="s">
        <v>146</v>
      </c>
      <c r="O1516" s="12"/>
      <c r="S1516" s="13">
        <v>160</v>
      </c>
      <c r="U1516" s="13">
        <v>160</v>
      </c>
      <c r="AC1516" s="10" t="s">
        <v>3655</v>
      </c>
      <c r="AD1516" s="5" t="s">
        <v>3651</v>
      </c>
      <c r="AE1516" s="5" t="s">
        <v>143</v>
      </c>
    </row>
    <row r="1517" spans="1:33" ht="10" customHeight="1" x14ac:dyDescent="0.2">
      <c r="A1517" s="5" t="s">
        <v>40</v>
      </c>
      <c r="B1517" s="5" t="s">
        <v>41</v>
      </c>
      <c r="D1517" s="5" t="s">
        <v>3656</v>
      </c>
      <c r="E1517" s="10" t="s">
        <v>345</v>
      </c>
      <c r="F1517" s="5" t="s">
        <v>150</v>
      </c>
      <c r="G1517" s="5" t="s">
        <v>464</v>
      </c>
      <c r="I1517" s="11">
        <v>1</v>
      </c>
      <c r="J1517" s="5" t="s">
        <v>45</v>
      </c>
      <c r="K1517" s="10" t="s">
        <v>46</v>
      </c>
      <c r="L1517" s="5" t="s">
        <v>47</v>
      </c>
      <c r="M1517" s="5" t="s">
        <v>145</v>
      </c>
      <c r="N1517" s="5" t="s">
        <v>146</v>
      </c>
      <c r="O1517" s="12"/>
      <c r="S1517" s="13">
        <v>720</v>
      </c>
      <c r="U1517" s="13">
        <v>720</v>
      </c>
      <c r="AC1517" s="10" t="s">
        <v>3657</v>
      </c>
      <c r="AD1517" s="5" t="s">
        <v>3651</v>
      </c>
      <c r="AE1517" s="5" t="s">
        <v>143</v>
      </c>
      <c r="AG1517" s="5" t="s">
        <v>3658</v>
      </c>
    </row>
    <row r="1518" spans="1:33" ht="10" customHeight="1" x14ac:dyDescent="0.2">
      <c r="A1518" s="5" t="s">
        <v>40</v>
      </c>
      <c r="B1518" s="5" t="s">
        <v>41</v>
      </c>
      <c r="D1518" s="5" t="s">
        <v>3659</v>
      </c>
      <c r="E1518" s="10" t="s">
        <v>345</v>
      </c>
      <c r="F1518" s="5" t="s">
        <v>150</v>
      </c>
      <c r="G1518" s="5" t="s">
        <v>464</v>
      </c>
      <c r="I1518" s="11">
        <v>1</v>
      </c>
      <c r="J1518" s="5" t="s">
        <v>45</v>
      </c>
      <c r="K1518" s="10" t="s">
        <v>46</v>
      </c>
      <c r="L1518" s="5" t="s">
        <v>47</v>
      </c>
      <c r="M1518" s="5" t="s">
        <v>145</v>
      </c>
      <c r="N1518" s="5" t="s">
        <v>146</v>
      </c>
      <c r="O1518" s="12"/>
      <c r="S1518" s="13">
        <v>944</v>
      </c>
      <c r="U1518" s="13">
        <v>944</v>
      </c>
      <c r="AC1518" s="10" t="s">
        <v>3660</v>
      </c>
      <c r="AD1518" s="5" t="s">
        <v>3651</v>
      </c>
      <c r="AE1518" s="5" t="s">
        <v>143</v>
      </c>
    </row>
    <row r="1519" spans="1:33" ht="10" customHeight="1" x14ac:dyDescent="0.2">
      <c r="A1519" s="5" t="s">
        <v>40</v>
      </c>
      <c r="B1519" s="5" t="s">
        <v>41</v>
      </c>
      <c r="D1519" s="5" t="s">
        <v>3661</v>
      </c>
      <c r="E1519" s="10" t="s">
        <v>345</v>
      </c>
      <c r="F1519" s="5" t="s">
        <v>150</v>
      </c>
      <c r="G1519" s="5" t="s">
        <v>464</v>
      </c>
      <c r="I1519" s="11">
        <v>1</v>
      </c>
      <c r="J1519" s="5" t="s">
        <v>45</v>
      </c>
      <c r="K1519" s="10" t="s">
        <v>46</v>
      </c>
      <c r="L1519" s="5" t="s">
        <v>47</v>
      </c>
      <c r="M1519" s="5" t="s">
        <v>145</v>
      </c>
      <c r="N1519" s="5" t="s">
        <v>146</v>
      </c>
      <c r="O1519" s="12"/>
      <c r="S1519" s="13">
        <v>16940</v>
      </c>
      <c r="U1519" s="13">
        <v>16940</v>
      </c>
      <c r="AC1519" s="10" t="s">
        <v>3662</v>
      </c>
      <c r="AD1519" s="5" t="s">
        <v>3663</v>
      </c>
      <c r="AE1519" s="5" t="s">
        <v>143</v>
      </c>
    </row>
    <row r="1520" spans="1:33" ht="10" customHeight="1" x14ac:dyDescent="0.2">
      <c r="A1520" s="5" t="s">
        <v>40</v>
      </c>
      <c r="B1520" s="5" t="s">
        <v>41</v>
      </c>
      <c r="D1520" s="5" t="s">
        <v>3664</v>
      </c>
      <c r="E1520" s="10" t="s">
        <v>345</v>
      </c>
      <c r="F1520" s="5" t="s">
        <v>150</v>
      </c>
      <c r="G1520" s="5" t="s">
        <v>464</v>
      </c>
      <c r="I1520" s="11">
        <v>1</v>
      </c>
      <c r="J1520" s="5" t="s">
        <v>45</v>
      </c>
      <c r="K1520" s="10" t="s">
        <v>46</v>
      </c>
      <c r="L1520" s="5" t="s">
        <v>47</v>
      </c>
      <c r="M1520" s="5" t="s">
        <v>145</v>
      </c>
      <c r="N1520" s="5" t="s">
        <v>146</v>
      </c>
      <c r="O1520" s="12"/>
      <c r="S1520" s="13">
        <v>151</v>
      </c>
      <c r="U1520" s="13">
        <v>151</v>
      </c>
      <c r="AC1520" s="10" t="s">
        <v>3665</v>
      </c>
      <c r="AD1520" s="5" t="s">
        <v>3663</v>
      </c>
      <c r="AE1520" s="5" t="s">
        <v>143</v>
      </c>
    </row>
    <row r="1521" spans="1:33" ht="10" customHeight="1" x14ac:dyDescent="0.2">
      <c r="A1521" s="5" t="s">
        <v>40</v>
      </c>
      <c r="B1521" s="5" t="s">
        <v>41</v>
      </c>
      <c r="D1521" s="5" t="s">
        <v>3666</v>
      </c>
      <c r="E1521" s="10" t="s">
        <v>345</v>
      </c>
      <c r="F1521" s="5" t="s">
        <v>150</v>
      </c>
      <c r="G1521" s="5" t="s">
        <v>464</v>
      </c>
      <c r="I1521" s="11">
        <v>1</v>
      </c>
      <c r="J1521" s="5" t="s">
        <v>45</v>
      </c>
      <c r="K1521" s="10" t="s">
        <v>46</v>
      </c>
      <c r="L1521" s="5" t="s">
        <v>47</v>
      </c>
      <c r="M1521" s="5" t="s">
        <v>145</v>
      </c>
      <c r="N1521" s="5" t="s">
        <v>146</v>
      </c>
      <c r="O1521" s="12"/>
      <c r="S1521" s="13">
        <v>353</v>
      </c>
      <c r="U1521" s="13">
        <v>353</v>
      </c>
      <c r="AC1521" s="10" t="s">
        <v>3667</v>
      </c>
      <c r="AD1521" s="5" t="s">
        <v>3663</v>
      </c>
      <c r="AE1521" s="5" t="s">
        <v>143</v>
      </c>
    </row>
    <row r="1522" spans="1:33" ht="10" customHeight="1" x14ac:dyDescent="0.2">
      <c r="A1522" s="5" t="s">
        <v>40</v>
      </c>
      <c r="B1522" s="5" t="s">
        <v>41</v>
      </c>
      <c r="D1522" s="5" t="s">
        <v>3668</v>
      </c>
      <c r="E1522" s="10" t="s">
        <v>345</v>
      </c>
      <c r="F1522" s="5" t="s">
        <v>150</v>
      </c>
      <c r="G1522" s="5" t="s">
        <v>464</v>
      </c>
      <c r="I1522" s="11">
        <v>1</v>
      </c>
      <c r="J1522" s="5" t="s">
        <v>45</v>
      </c>
      <c r="K1522" s="10" t="s">
        <v>46</v>
      </c>
      <c r="L1522" s="5" t="s">
        <v>47</v>
      </c>
      <c r="M1522" s="5" t="s">
        <v>145</v>
      </c>
      <c r="N1522" s="5" t="s">
        <v>146</v>
      </c>
      <c r="O1522" s="12"/>
      <c r="S1522" s="13">
        <v>1195</v>
      </c>
      <c r="U1522" s="13">
        <v>1195</v>
      </c>
      <c r="AC1522" s="10" t="s">
        <v>3669</v>
      </c>
      <c r="AD1522" s="5" t="s">
        <v>3663</v>
      </c>
      <c r="AE1522" s="5" t="s">
        <v>143</v>
      </c>
    </row>
    <row r="1523" spans="1:33" ht="10" customHeight="1" x14ac:dyDescent="0.2">
      <c r="A1523" s="5" t="s">
        <v>40</v>
      </c>
      <c r="B1523" s="5" t="s">
        <v>41</v>
      </c>
      <c r="D1523" s="5" t="s">
        <v>3670</v>
      </c>
      <c r="E1523" s="10" t="s">
        <v>345</v>
      </c>
      <c r="F1523" s="5" t="s">
        <v>150</v>
      </c>
      <c r="G1523" s="5" t="s">
        <v>464</v>
      </c>
      <c r="I1523" s="11">
        <v>1</v>
      </c>
      <c r="J1523" s="5" t="s">
        <v>45</v>
      </c>
      <c r="K1523" s="10" t="s">
        <v>46</v>
      </c>
      <c r="L1523" s="5" t="s">
        <v>47</v>
      </c>
      <c r="M1523" s="5" t="s">
        <v>145</v>
      </c>
      <c r="N1523" s="5" t="s">
        <v>146</v>
      </c>
      <c r="O1523" s="12"/>
      <c r="S1523" s="13">
        <v>1317</v>
      </c>
      <c r="U1523" s="13">
        <v>1317</v>
      </c>
      <c r="AC1523" s="10" t="s">
        <v>3671</v>
      </c>
      <c r="AD1523" s="5" t="s">
        <v>3663</v>
      </c>
      <c r="AE1523" s="5" t="s">
        <v>143</v>
      </c>
    </row>
    <row r="1524" spans="1:33" ht="10" customHeight="1" x14ac:dyDescent="0.2">
      <c r="A1524" s="5" t="s">
        <v>40</v>
      </c>
      <c r="B1524" s="5" t="s">
        <v>41</v>
      </c>
      <c r="D1524" s="5" t="s">
        <v>3672</v>
      </c>
      <c r="E1524" s="10" t="s">
        <v>345</v>
      </c>
      <c r="F1524" s="5" t="s">
        <v>150</v>
      </c>
      <c r="G1524" s="5" t="s">
        <v>464</v>
      </c>
      <c r="I1524" s="11">
        <v>1</v>
      </c>
      <c r="J1524" s="5" t="s">
        <v>45</v>
      </c>
      <c r="K1524" s="10" t="s">
        <v>46</v>
      </c>
      <c r="L1524" s="5" t="s">
        <v>47</v>
      </c>
      <c r="M1524" s="5" t="s">
        <v>145</v>
      </c>
      <c r="N1524" s="5" t="s">
        <v>146</v>
      </c>
      <c r="O1524" s="12"/>
      <c r="S1524" s="13">
        <v>9520</v>
      </c>
      <c r="U1524" s="13">
        <v>9520</v>
      </c>
      <c r="AC1524" s="10" t="s">
        <v>3673</v>
      </c>
      <c r="AD1524" s="5" t="s">
        <v>3674</v>
      </c>
      <c r="AE1524" s="5" t="s">
        <v>143</v>
      </c>
    </row>
    <row r="1525" spans="1:33" ht="10" customHeight="1" x14ac:dyDescent="0.2">
      <c r="A1525" s="5" t="s">
        <v>40</v>
      </c>
      <c r="B1525" s="5" t="s">
        <v>41</v>
      </c>
      <c r="D1525" s="5" t="s">
        <v>3675</v>
      </c>
      <c r="E1525" s="10" t="s">
        <v>345</v>
      </c>
      <c r="F1525" s="5" t="s">
        <v>150</v>
      </c>
      <c r="G1525" s="5" t="s">
        <v>464</v>
      </c>
      <c r="I1525" s="11">
        <v>1</v>
      </c>
      <c r="J1525" s="5" t="s">
        <v>45</v>
      </c>
      <c r="K1525" s="10" t="s">
        <v>46</v>
      </c>
      <c r="L1525" s="5" t="s">
        <v>47</v>
      </c>
      <c r="M1525" s="5" t="s">
        <v>145</v>
      </c>
      <c r="N1525" s="5" t="s">
        <v>146</v>
      </c>
      <c r="O1525" s="12"/>
      <c r="S1525" s="13">
        <v>258</v>
      </c>
      <c r="U1525" s="13">
        <v>258</v>
      </c>
      <c r="AC1525" s="10" t="s">
        <v>3676</v>
      </c>
      <c r="AD1525" s="5" t="s">
        <v>3674</v>
      </c>
      <c r="AE1525" s="5" t="s">
        <v>143</v>
      </c>
    </row>
    <row r="1526" spans="1:33" ht="10" customHeight="1" x14ac:dyDescent="0.2">
      <c r="A1526" s="5" t="s">
        <v>40</v>
      </c>
      <c r="B1526" s="5" t="s">
        <v>41</v>
      </c>
      <c r="D1526" s="5" t="s">
        <v>3677</v>
      </c>
      <c r="E1526" s="10" t="s">
        <v>345</v>
      </c>
      <c r="F1526" s="5" t="s">
        <v>150</v>
      </c>
      <c r="G1526" s="5" t="s">
        <v>464</v>
      </c>
      <c r="I1526" s="11">
        <v>1</v>
      </c>
      <c r="J1526" s="5" t="s">
        <v>45</v>
      </c>
      <c r="K1526" s="10" t="s">
        <v>46</v>
      </c>
      <c r="L1526" s="5" t="s">
        <v>47</v>
      </c>
      <c r="M1526" s="5" t="s">
        <v>145</v>
      </c>
      <c r="N1526" s="5" t="s">
        <v>146</v>
      </c>
      <c r="O1526" s="12"/>
      <c r="S1526" s="13">
        <v>4916</v>
      </c>
      <c r="U1526" s="13">
        <v>4916</v>
      </c>
      <c r="AC1526" s="10" t="s">
        <v>3678</v>
      </c>
      <c r="AD1526" s="5" t="s">
        <v>3679</v>
      </c>
      <c r="AE1526" s="5" t="s">
        <v>143</v>
      </c>
    </row>
    <row r="1527" spans="1:33" ht="10" customHeight="1" x14ac:dyDescent="0.2">
      <c r="A1527" s="5" t="s">
        <v>40</v>
      </c>
      <c r="B1527" s="5" t="s">
        <v>41</v>
      </c>
      <c r="D1527" s="5" t="s">
        <v>3680</v>
      </c>
      <c r="E1527" s="10" t="s">
        <v>345</v>
      </c>
      <c r="F1527" s="5" t="s">
        <v>150</v>
      </c>
      <c r="G1527" s="5" t="s">
        <v>464</v>
      </c>
      <c r="I1527" s="11">
        <v>1</v>
      </c>
      <c r="J1527" s="5" t="s">
        <v>45</v>
      </c>
      <c r="K1527" s="10" t="s">
        <v>46</v>
      </c>
      <c r="L1527" s="5" t="s">
        <v>47</v>
      </c>
      <c r="M1527" s="5" t="s">
        <v>145</v>
      </c>
      <c r="N1527" s="5" t="s">
        <v>146</v>
      </c>
      <c r="O1527" s="12"/>
      <c r="S1527" s="13">
        <v>455</v>
      </c>
      <c r="U1527" s="13">
        <v>455</v>
      </c>
      <c r="AC1527" s="10" t="s">
        <v>3681</v>
      </c>
      <c r="AD1527" s="5" t="s">
        <v>3679</v>
      </c>
      <c r="AE1527" s="5" t="s">
        <v>143</v>
      </c>
    </row>
    <row r="1528" spans="1:33" ht="10" customHeight="1" x14ac:dyDescent="0.2">
      <c r="A1528" s="5" t="s">
        <v>40</v>
      </c>
      <c r="B1528" s="5" t="s">
        <v>41</v>
      </c>
      <c r="D1528" s="5" t="s">
        <v>3682</v>
      </c>
      <c r="E1528" s="10" t="s">
        <v>345</v>
      </c>
      <c r="F1528" s="5" t="s">
        <v>150</v>
      </c>
      <c r="G1528" s="5" t="s">
        <v>464</v>
      </c>
      <c r="I1528" s="11">
        <v>1</v>
      </c>
      <c r="J1528" s="5" t="s">
        <v>45</v>
      </c>
      <c r="K1528" s="10" t="s">
        <v>46</v>
      </c>
      <c r="L1528" s="5" t="s">
        <v>47</v>
      </c>
      <c r="M1528" s="5" t="s">
        <v>145</v>
      </c>
      <c r="N1528" s="5" t="s">
        <v>146</v>
      </c>
      <c r="O1528" s="12"/>
      <c r="S1528" s="13">
        <v>829</v>
      </c>
      <c r="U1528" s="13">
        <v>829</v>
      </c>
      <c r="AC1528" s="10" t="s">
        <v>3683</v>
      </c>
      <c r="AD1528" s="5" t="s">
        <v>3679</v>
      </c>
      <c r="AE1528" s="5" t="s">
        <v>143</v>
      </c>
    </row>
    <row r="1529" spans="1:33" ht="10" customHeight="1" x14ac:dyDescent="0.2">
      <c r="A1529" s="5" t="s">
        <v>40</v>
      </c>
      <c r="B1529" s="5" t="s">
        <v>41</v>
      </c>
      <c r="D1529" s="5" t="s">
        <v>3684</v>
      </c>
      <c r="E1529" s="10" t="s">
        <v>345</v>
      </c>
      <c r="F1529" s="5" t="s">
        <v>150</v>
      </c>
      <c r="G1529" s="5" t="s">
        <v>464</v>
      </c>
      <c r="I1529" s="11">
        <v>1</v>
      </c>
      <c r="J1529" s="5" t="s">
        <v>45</v>
      </c>
      <c r="K1529" s="10" t="s">
        <v>46</v>
      </c>
      <c r="L1529" s="5" t="s">
        <v>47</v>
      </c>
      <c r="M1529" s="5" t="s">
        <v>145</v>
      </c>
      <c r="N1529" s="5" t="s">
        <v>146</v>
      </c>
      <c r="O1529" s="12"/>
      <c r="S1529" s="13">
        <v>907</v>
      </c>
      <c r="U1529" s="13">
        <v>907</v>
      </c>
      <c r="AC1529" s="10" t="s">
        <v>3685</v>
      </c>
      <c r="AD1529" s="5" t="s">
        <v>3679</v>
      </c>
      <c r="AE1529" s="5" t="s">
        <v>143</v>
      </c>
    </row>
    <row r="1530" spans="1:33" ht="10" customHeight="1" x14ac:dyDescent="0.2">
      <c r="A1530" s="5" t="s">
        <v>40</v>
      </c>
      <c r="B1530" s="5" t="s">
        <v>41</v>
      </c>
      <c r="D1530" s="5" t="s">
        <v>3686</v>
      </c>
      <c r="E1530" s="10" t="s">
        <v>345</v>
      </c>
      <c r="F1530" s="5" t="s">
        <v>150</v>
      </c>
      <c r="G1530" s="5" t="s">
        <v>464</v>
      </c>
      <c r="I1530" s="11">
        <v>1</v>
      </c>
      <c r="J1530" s="5" t="s">
        <v>45</v>
      </c>
      <c r="K1530" s="10" t="s">
        <v>46</v>
      </c>
      <c r="L1530" s="5" t="s">
        <v>47</v>
      </c>
      <c r="M1530" s="5" t="s">
        <v>145</v>
      </c>
      <c r="N1530" s="5" t="s">
        <v>146</v>
      </c>
      <c r="O1530" s="12"/>
      <c r="S1530" s="13">
        <v>586</v>
      </c>
      <c r="U1530" s="13">
        <v>586</v>
      </c>
      <c r="AC1530" s="10" t="s">
        <v>3687</v>
      </c>
      <c r="AD1530" s="5" t="s">
        <v>3679</v>
      </c>
      <c r="AE1530" s="5" t="s">
        <v>143</v>
      </c>
    </row>
    <row r="1531" spans="1:33" ht="10" customHeight="1" x14ac:dyDescent="0.2">
      <c r="A1531" s="5" t="s">
        <v>40</v>
      </c>
      <c r="B1531" s="5" t="s">
        <v>41</v>
      </c>
      <c r="D1531" s="5" t="s">
        <v>3688</v>
      </c>
      <c r="E1531" s="10" t="s">
        <v>345</v>
      </c>
      <c r="F1531" s="5" t="s">
        <v>150</v>
      </c>
      <c r="G1531" s="5" t="s">
        <v>464</v>
      </c>
      <c r="I1531" s="11">
        <v>1</v>
      </c>
      <c r="J1531" s="5" t="s">
        <v>45</v>
      </c>
      <c r="K1531" s="10" t="s">
        <v>46</v>
      </c>
      <c r="L1531" s="5" t="s">
        <v>47</v>
      </c>
      <c r="M1531" s="5" t="s">
        <v>145</v>
      </c>
      <c r="N1531" s="5" t="s">
        <v>146</v>
      </c>
      <c r="O1531" s="12"/>
      <c r="S1531" s="13">
        <v>26879</v>
      </c>
      <c r="U1531" s="13">
        <v>26879</v>
      </c>
      <c r="AC1531" s="10" t="s">
        <v>3689</v>
      </c>
      <c r="AD1531" s="5" t="s">
        <v>3690</v>
      </c>
      <c r="AE1531" s="5" t="s">
        <v>143</v>
      </c>
    </row>
    <row r="1532" spans="1:33" ht="10" customHeight="1" x14ac:dyDescent="0.2">
      <c r="A1532" s="5" t="s">
        <v>40</v>
      </c>
      <c r="B1532" s="5" t="s">
        <v>41</v>
      </c>
      <c r="D1532" s="5" t="s">
        <v>3691</v>
      </c>
      <c r="E1532" s="10" t="s">
        <v>345</v>
      </c>
      <c r="F1532" s="5" t="s">
        <v>150</v>
      </c>
      <c r="G1532" s="5" t="s">
        <v>464</v>
      </c>
      <c r="I1532" s="11">
        <v>1</v>
      </c>
      <c r="J1532" s="5" t="s">
        <v>45</v>
      </c>
      <c r="K1532" s="10" t="s">
        <v>46</v>
      </c>
      <c r="L1532" s="5" t="s">
        <v>47</v>
      </c>
      <c r="M1532" s="5" t="s">
        <v>145</v>
      </c>
      <c r="N1532" s="5" t="s">
        <v>146</v>
      </c>
      <c r="O1532" s="12"/>
      <c r="S1532" s="13">
        <v>1279</v>
      </c>
      <c r="U1532" s="13">
        <v>1279</v>
      </c>
      <c r="AC1532" s="10" t="s">
        <v>3692</v>
      </c>
      <c r="AD1532" s="5" t="s">
        <v>3690</v>
      </c>
      <c r="AE1532" s="5" t="s">
        <v>143</v>
      </c>
    </row>
    <row r="1533" spans="1:33" ht="10" customHeight="1" x14ac:dyDescent="0.2">
      <c r="A1533" s="5" t="s">
        <v>40</v>
      </c>
      <c r="B1533" s="5" t="s">
        <v>41</v>
      </c>
      <c r="D1533" s="5" t="s">
        <v>3693</v>
      </c>
      <c r="E1533" s="10" t="s">
        <v>345</v>
      </c>
      <c r="F1533" s="5" t="s">
        <v>150</v>
      </c>
      <c r="G1533" s="5" t="s">
        <v>464</v>
      </c>
      <c r="I1533" s="11">
        <v>1</v>
      </c>
      <c r="J1533" s="5" t="s">
        <v>45</v>
      </c>
      <c r="K1533" s="10" t="s">
        <v>46</v>
      </c>
      <c r="L1533" s="5" t="s">
        <v>47</v>
      </c>
      <c r="M1533" s="5" t="s">
        <v>145</v>
      </c>
      <c r="N1533" s="5" t="s">
        <v>146</v>
      </c>
      <c r="O1533" s="12"/>
      <c r="S1533" s="13">
        <v>3815</v>
      </c>
      <c r="U1533" s="13">
        <v>3815</v>
      </c>
      <c r="AC1533" s="10" t="s">
        <v>3694</v>
      </c>
      <c r="AD1533" s="5" t="s">
        <v>3690</v>
      </c>
      <c r="AE1533" s="5" t="s">
        <v>143</v>
      </c>
    </row>
    <row r="1534" spans="1:33" ht="10" customHeight="1" x14ac:dyDescent="0.2">
      <c r="A1534" s="5" t="s">
        <v>40</v>
      </c>
      <c r="B1534" s="5" t="s">
        <v>41</v>
      </c>
      <c r="D1534" s="5" t="s">
        <v>3695</v>
      </c>
      <c r="E1534" s="10" t="s">
        <v>345</v>
      </c>
      <c r="F1534" s="5" t="s">
        <v>150</v>
      </c>
      <c r="G1534" s="5" t="s">
        <v>464</v>
      </c>
      <c r="I1534" s="11">
        <v>1</v>
      </c>
      <c r="J1534" s="5" t="s">
        <v>45</v>
      </c>
      <c r="K1534" s="10" t="s">
        <v>46</v>
      </c>
      <c r="L1534" s="5" t="s">
        <v>47</v>
      </c>
      <c r="M1534" s="5" t="s">
        <v>145</v>
      </c>
      <c r="N1534" s="5" t="s">
        <v>146</v>
      </c>
      <c r="O1534" s="12"/>
      <c r="S1534" s="13">
        <v>7533</v>
      </c>
      <c r="U1534" s="13">
        <v>7533</v>
      </c>
      <c r="AC1534" s="10" t="s">
        <v>3696</v>
      </c>
      <c r="AD1534" s="5" t="s">
        <v>3690</v>
      </c>
      <c r="AE1534" s="5" t="s">
        <v>143</v>
      </c>
    </row>
    <row r="1535" spans="1:33" ht="10" customHeight="1" x14ac:dyDescent="0.2">
      <c r="A1535" s="5" t="s">
        <v>40</v>
      </c>
      <c r="B1535" s="5" t="s">
        <v>41</v>
      </c>
      <c r="D1535" s="5" t="s">
        <v>3697</v>
      </c>
      <c r="E1535" s="10" t="s">
        <v>345</v>
      </c>
      <c r="F1535" s="5" t="s">
        <v>150</v>
      </c>
      <c r="G1535" s="5" t="s">
        <v>464</v>
      </c>
      <c r="I1535" s="11">
        <v>1</v>
      </c>
      <c r="J1535" s="5" t="s">
        <v>45</v>
      </c>
      <c r="K1535" s="10" t="s">
        <v>46</v>
      </c>
      <c r="L1535" s="5" t="s">
        <v>47</v>
      </c>
      <c r="M1535" s="5" t="s">
        <v>145</v>
      </c>
      <c r="N1535" s="5" t="s">
        <v>146</v>
      </c>
      <c r="O1535" s="12"/>
      <c r="S1535" s="13">
        <v>1498</v>
      </c>
      <c r="U1535" s="13">
        <v>1498</v>
      </c>
      <c r="AC1535" s="10" t="s">
        <v>3698</v>
      </c>
      <c r="AD1535" s="5" t="s">
        <v>3690</v>
      </c>
      <c r="AE1535" s="5" t="s">
        <v>143</v>
      </c>
    </row>
    <row r="1536" spans="1:33" ht="10" customHeight="1" x14ac:dyDescent="0.2">
      <c r="A1536" s="5" t="s">
        <v>40</v>
      </c>
      <c r="B1536" s="5" t="s">
        <v>41</v>
      </c>
      <c r="D1536" s="5" t="s">
        <v>3699</v>
      </c>
      <c r="E1536" s="10" t="s">
        <v>53</v>
      </c>
      <c r="F1536" s="5" t="s">
        <v>3700</v>
      </c>
      <c r="I1536" s="11">
        <v>1</v>
      </c>
      <c r="J1536" s="5" t="s">
        <v>60</v>
      </c>
      <c r="K1536" s="10" t="s">
        <v>46</v>
      </c>
      <c r="L1536" s="5" t="s">
        <v>47</v>
      </c>
      <c r="M1536" s="5" t="s">
        <v>145</v>
      </c>
      <c r="N1536" s="5" t="s">
        <v>146</v>
      </c>
      <c r="O1536" s="12"/>
      <c r="P1536" s="13">
        <v>34000</v>
      </c>
      <c r="S1536" s="13">
        <v>0</v>
      </c>
      <c r="U1536" s="13">
        <v>0</v>
      </c>
      <c r="AC1536" s="10" t="s">
        <v>3701</v>
      </c>
      <c r="AD1536" s="5" t="s">
        <v>159</v>
      </c>
      <c r="AE1536" s="5" t="s">
        <v>143</v>
      </c>
      <c r="AG1536" s="5" t="s">
        <v>366</v>
      </c>
    </row>
    <row r="1537" spans="1:33" ht="10" customHeight="1" x14ac:dyDescent="0.2">
      <c r="A1537" s="5" t="s">
        <v>40</v>
      </c>
      <c r="B1537" s="5" t="s">
        <v>41</v>
      </c>
      <c r="D1537" s="5" t="s">
        <v>3702</v>
      </c>
      <c r="E1537" s="10" t="s">
        <v>53</v>
      </c>
      <c r="F1537" s="5" t="s">
        <v>3700</v>
      </c>
      <c r="I1537" s="11">
        <v>1</v>
      </c>
      <c r="J1537" s="5" t="s">
        <v>60</v>
      </c>
      <c r="K1537" s="10" t="s">
        <v>46</v>
      </c>
      <c r="L1537" s="5" t="s">
        <v>47</v>
      </c>
      <c r="M1537" s="5" t="s">
        <v>145</v>
      </c>
      <c r="N1537" s="5" t="s">
        <v>146</v>
      </c>
      <c r="O1537" s="12"/>
      <c r="P1537" s="13">
        <v>473</v>
      </c>
      <c r="S1537" s="13">
        <v>0</v>
      </c>
      <c r="U1537" s="13">
        <v>0</v>
      </c>
      <c r="AC1537" s="10" t="s">
        <v>3703</v>
      </c>
      <c r="AD1537" s="5" t="s">
        <v>159</v>
      </c>
      <c r="AE1537" s="5" t="s">
        <v>143</v>
      </c>
      <c r="AG1537" s="5" t="s">
        <v>2575</v>
      </c>
    </row>
    <row r="1538" spans="1:33" ht="10" customHeight="1" x14ac:dyDescent="0.2">
      <c r="A1538" s="5" t="s">
        <v>40</v>
      </c>
      <c r="B1538" s="5" t="s">
        <v>41</v>
      </c>
      <c r="D1538" s="5" t="s">
        <v>3704</v>
      </c>
      <c r="E1538" s="10" t="s">
        <v>53</v>
      </c>
      <c r="F1538" s="5" t="s">
        <v>3700</v>
      </c>
      <c r="I1538" s="11">
        <v>1</v>
      </c>
      <c r="J1538" s="5" t="s">
        <v>60</v>
      </c>
      <c r="K1538" s="10" t="s">
        <v>46</v>
      </c>
      <c r="L1538" s="5" t="s">
        <v>47</v>
      </c>
      <c r="M1538" s="5" t="s">
        <v>145</v>
      </c>
      <c r="N1538" s="5" t="s">
        <v>146</v>
      </c>
      <c r="O1538" s="12"/>
      <c r="P1538" s="13">
        <v>15527</v>
      </c>
      <c r="S1538" s="13">
        <v>0</v>
      </c>
      <c r="U1538" s="13">
        <v>0</v>
      </c>
      <c r="AC1538" s="10" t="s">
        <v>3705</v>
      </c>
      <c r="AD1538" s="5" t="s">
        <v>159</v>
      </c>
      <c r="AE1538" s="5" t="s">
        <v>143</v>
      </c>
      <c r="AG1538" s="5" t="s">
        <v>357</v>
      </c>
    </row>
    <row r="1539" spans="1:33" ht="10" customHeight="1" x14ac:dyDescent="0.2">
      <c r="A1539" s="5" t="s">
        <v>40</v>
      </c>
      <c r="B1539" s="5" t="s">
        <v>41</v>
      </c>
      <c r="D1539" s="5" t="s">
        <v>3706</v>
      </c>
      <c r="E1539" s="10" t="s">
        <v>53</v>
      </c>
      <c r="F1539" s="5" t="s">
        <v>3700</v>
      </c>
      <c r="I1539" s="11">
        <v>1</v>
      </c>
      <c r="J1539" s="5" t="s">
        <v>60</v>
      </c>
      <c r="K1539" s="10" t="s">
        <v>46</v>
      </c>
      <c r="L1539" s="5" t="s">
        <v>47</v>
      </c>
      <c r="M1539" s="5" t="s">
        <v>145</v>
      </c>
      <c r="N1539" s="5" t="s">
        <v>146</v>
      </c>
      <c r="O1539" s="12"/>
      <c r="P1539" s="13">
        <v>450000</v>
      </c>
      <c r="S1539" s="13">
        <v>0</v>
      </c>
      <c r="U1539" s="13">
        <v>0</v>
      </c>
      <c r="AC1539" s="10" t="s">
        <v>3707</v>
      </c>
      <c r="AD1539" s="5" t="s">
        <v>159</v>
      </c>
      <c r="AE1539" s="5" t="s">
        <v>143</v>
      </c>
      <c r="AG1539" s="5" t="s">
        <v>175</v>
      </c>
    </row>
    <row r="1540" spans="1:33" ht="10" customHeight="1" x14ac:dyDescent="0.2">
      <c r="A1540" s="5" t="s">
        <v>40</v>
      </c>
      <c r="B1540" s="5" t="s">
        <v>41</v>
      </c>
      <c r="D1540" s="5" t="s">
        <v>3708</v>
      </c>
      <c r="E1540" s="10" t="s">
        <v>53</v>
      </c>
      <c r="F1540" s="5" t="s">
        <v>3700</v>
      </c>
      <c r="I1540" s="11">
        <v>1</v>
      </c>
      <c r="J1540" s="5" t="s">
        <v>60</v>
      </c>
      <c r="K1540" s="10" t="s">
        <v>46</v>
      </c>
      <c r="L1540" s="5" t="s">
        <v>47</v>
      </c>
      <c r="M1540" s="5" t="s">
        <v>145</v>
      </c>
      <c r="N1540" s="5" t="s">
        <v>146</v>
      </c>
      <c r="O1540" s="12"/>
      <c r="P1540" s="13">
        <v>0</v>
      </c>
      <c r="AC1540" s="10" t="s">
        <v>3709</v>
      </c>
      <c r="AD1540" s="5" t="s">
        <v>3710</v>
      </c>
      <c r="AE1540" s="5" t="s">
        <v>143</v>
      </c>
    </row>
    <row r="1541" spans="1:33" ht="10" customHeight="1" x14ac:dyDescent="0.2">
      <c r="A1541" s="5" t="s">
        <v>40</v>
      </c>
      <c r="B1541" s="5" t="s">
        <v>41</v>
      </c>
      <c r="D1541" s="5" t="s">
        <v>3711</v>
      </c>
      <c r="E1541" s="10" t="s">
        <v>53</v>
      </c>
      <c r="F1541" s="5" t="s">
        <v>3700</v>
      </c>
      <c r="I1541" s="11">
        <v>1</v>
      </c>
      <c r="J1541" s="5" t="s">
        <v>60</v>
      </c>
      <c r="K1541" s="10" t="s">
        <v>46</v>
      </c>
      <c r="L1541" s="5" t="s">
        <v>47</v>
      </c>
      <c r="M1541" s="5" t="s">
        <v>145</v>
      </c>
      <c r="N1541" s="5" t="s">
        <v>146</v>
      </c>
      <c r="O1541" s="12"/>
      <c r="P1541" s="13">
        <v>0</v>
      </c>
      <c r="AC1541" s="10" t="s">
        <v>3712</v>
      </c>
      <c r="AD1541" s="5" t="s">
        <v>3710</v>
      </c>
      <c r="AE1541" s="5" t="s">
        <v>143</v>
      </c>
    </row>
    <row r="1542" spans="1:33" ht="10" customHeight="1" x14ac:dyDescent="0.2">
      <c r="A1542" s="5" t="s">
        <v>40</v>
      </c>
      <c r="B1542" s="5" t="s">
        <v>41</v>
      </c>
      <c r="D1542" s="5" t="s">
        <v>3713</v>
      </c>
      <c r="E1542" s="10" t="s">
        <v>53</v>
      </c>
      <c r="F1542" s="5" t="s">
        <v>3700</v>
      </c>
      <c r="I1542" s="11">
        <v>1</v>
      </c>
      <c r="J1542" s="5" t="s">
        <v>60</v>
      </c>
      <c r="K1542" s="10" t="s">
        <v>46</v>
      </c>
      <c r="L1542" s="5" t="s">
        <v>47</v>
      </c>
      <c r="M1542" s="5" t="s">
        <v>145</v>
      </c>
      <c r="N1542" s="5" t="s">
        <v>146</v>
      </c>
      <c r="O1542" s="12"/>
      <c r="P1542" s="13">
        <v>0</v>
      </c>
      <c r="AC1542" s="10" t="s">
        <v>3714</v>
      </c>
      <c r="AD1542" s="5" t="s">
        <v>3710</v>
      </c>
      <c r="AE1542" s="5" t="s">
        <v>143</v>
      </c>
    </row>
    <row r="1543" spans="1:33" ht="10" customHeight="1" x14ac:dyDescent="0.2">
      <c r="A1543" s="5" t="s">
        <v>40</v>
      </c>
      <c r="B1543" s="5" t="s">
        <v>41</v>
      </c>
      <c r="D1543" s="5" t="s">
        <v>3715</v>
      </c>
      <c r="E1543" s="10" t="s">
        <v>53</v>
      </c>
      <c r="F1543" s="5" t="s">
        <v>3700</v>
      </c>
      <c r="I1543" s="11">
        <v>1</v>
      </c>
      <c r="J1543" s="5" t="s">
        <v>60</v>
      </c>
      <c r="K1543" s="10" t="s">
        <v>46</v>
      </c>
      <c r="L1543" s="5" t="s">
        <v>47</v>
      </c>
      <c r="M1543" s="5" t="s">
        <v>145</v>
      </c>
      <c r="N1543" s="5" t="s">
        <v>146</v>
      </c>
      <c r="O1543" s="12"/>
      <c r="P1543" s="13">
        <v>0</v>
      </c>
      <c r="AC1543" s="10" t="s">
        <v>3716</v>
      </c>
      <c r="AD1543" s="5" t="s">
        <v>3710</v>
      </c>
      <c r="AE1543" s="5" t="s">
        <v>143</v>
      </c>
    </row>
    <row r="1544" spans="1:33" ht="10" customHeight="1" x14ac:dyDescent="0.2">
      <c r="A1544" s="5" t="s">
        <v>40</v>
      </c>
      <c r="B1544" s="5" t="s">
        <v>41</v>
      </c>
      <c r="D1544" s="5" t="s">
        <v>3717</v>
      </c>
      <c r="E1544" s="10" t="s">
        <v>345</v>
      </c>
      <c r="F1544" s="5" t="s">
        <v>3718</v>
      </c>
      <c r="G1544" s="5" t="s">
        <v>346</v>
      </c>
      <c r="H1544" s="5" t="s">
        <v>347</v>
      </c>
      <c r="I1544" s="11">
        <v>1</v>
      </c>
      <c r="J1544" s="5" t="s">
        <v>60</v>
      </c>
      <c r="K1544" s="10" t="s">
        <v>46</v>
      </c>
      <c r="L1544" s="5" t="s">
        <v>47</v>
      </c>
      <c r="M1544" s="5" t="s">
        <v>145</v>
      </c>
      <c r="N1544" s="5" t="s">
        <v>164</v>
      </c>
      <c r="O1544" s="12"/>
      <c r="P1544" s="13">
        <v>329093</v>
      </c>
      <c r="S1544" s="13">
        <v>125000</v>
      </c>
      <c r="U1544" s="13">
        <v>125000</v>
      </c>
      <c r="AC1544" s="10" t="s">
        <v>3719</v>
      </c>
      <c r="AD1544" s="5" t="s">
        <v>3720</v>
      </c>
      <c r="AE1544" s="5" t="s">
        <v>162</v>
      </c>
      <c r="AG1544" s="5" t="s">
        <v>350</v>
      </c>
    </row>
    <row r="1545" spans="1:33" ht="10" customHeight="1" x14ac:dyDescent="0.2">
      <c r="A1545" s="5" t="s">
        <v>40</v>
      </c>
      <c r="B1545" s="5" t="s">
        <v>41</v>
      </c>
      <c r="D1545" s="5" t="s">
        <v>3721</v>
      </c>
      <c r="E1545" s="10" t="s">
        <v>345</v>
      </c>
      <c r="F1545" s="5" t="s">
        <v>3718</v>
      </c>
      <c r="G1545" s="5" t="s">
        <v>346</v>
      </c>
      <c r="H1545" s="5" t="s">
        <v>175</v>
      </c>
      <c r="I1545" s="11">
        <v>1</v>
      </c>
      <c r="J1545" s="5" t="s">
        <v>60</v>
      </c>
      <c r="K1545" s="10" t="s">
        <v>46</v>
      </c>
      <c r="L1545" s="5" t="s">
        <v>47</v>
      </c>
      <c r="M1545" s="5" t="s">
        <v>145</v>
      </c>
      <c r="N1545" s="5" t="s">
        <v>164</v>
      </c>
      <c r="O1545" s="12"/>
      <c r="P1545" s="13">
        <v>3050900</v>
      </c>
      <c r="S1545" s="13">
        <v>350118</v>
      </c>
      <c r="U1545" s="13">
        <v>350118</v>
      </c>
      <c r="AC1545" s="10" t="s">
        <v>3722</v>
      </c>
      <c r="AD1545" s="5" t="s">
        <v>3720</v>
      </c>
      <c r="AE1545" s="5" t="s">
        <v>162</v>
      </c>
      <c r="AG1545" s="5" t="s">
        <v>175</v>
      </c>
    </row>
    <row r="1546" spans="1:33" ht="10" customHeight="1" x14ac:dyDescent="0.2">
      <c r="A1546" s="5" t="s">
        <v>40</v>
      </c>
      <c r="B1546" s="5" t="s">
        <v>41</v>
      </c>
      <c r="D1546" s="5" t="s">
        <v>3723</v>
      </c>
      <c r="E1546" s="10" t="s">
        <v>345</v>
      </c>
      <c r="F1546" s="5" t="s">
        <v>3718</v>
      </c>
      <c r="G1546" s="5" t="s">
        <v>346</v>
      </c>
      <c r="H1546" s="5" t="s">
        <v>354</v>
      </c>
      <c r="I1546" s="11">
        <v>1</v>
      </c>
      <c r="J1546" s="5" t="s">
        <v>60</v>
      </c>
      <c r="K1546" s="10" t="s">
        <v>46</v>
      </c>
      <c r="L1546" s="5" t="s">
        <v>47</v>
      </c>
      <c r="M1546" s="5" t="s">
        <v>145</v>
      </c>
      <c r="N1546" s="5" t="s">
        <v>164</v>
      </c>
      <c r="O1546" s="12"/>
      <c r="P1546" s="13">
        <v>108490</v>
      </c>
      <c r="S1546" s="13">
        <v>70183</v>
      </c>
      <c r="U1546" s="13">
        <v>70183</v>
      </c>
      <c r="AC1546" s="10" t="s">
        <v>3724</v>
      </c>
      <c r="AD1546" s="5" t="s">
        <v>3720</v>
      </c>
      <c r="AE1546" s="5" t="s">
        <v>162</v>
      </c>
      <c r="AG1546" s="5" t="s">
        <v>354</v>
      </c>
    </row>
    <row r="1547" spans="1:33" ht="10" customHeight="1" x14ac:dyDescent="0.2">
      <c r="A1547" s="5" t="s">
        <v>40</v>
      </c>
      <c r="B1547" s="5" t="s">
        <v>41</v>
      </c>
      <c r="D1547" s="5" t="s">
        <v>3725</v>
      </c>
      <c r="E1547" s="10" t="s">
        <v>345</v>
      </c>
      <c r="F1547" s="5" t="s">
        <v>3718</v>
      </c>
      <c r="G1547" s="5" t="s">
        <v>346</v>
      </c>
      <c r="H1547" s="5" t="s">
        <v>357</v>
      </c>
      <c r="I1547" s="11">
        <v>1</v>
      </c>
      <c r="J1547" s="5" t="s">
        <v>60</v>
      </c>
      <c r="K1547" s="10" t="s">
        <v>46</v>
      </c>
      <c r="L1547" s="5" t="s">
        <v>47</v>
      </c>
      <c r="M1547" s="5" t="s">
        <v>145</v>
      </c>
      <c r="N1547" s="5" t="s">
        <v>164</v>
      </c>
      <c r="O1547" s="12"/>
      <c r="P1547" s="13">
        <v>323554</v>
      </c>
      <c r="S1547" s="13">
        <v>335010</v>
      </c>
      <c r="U1547" s="13">
        <v>335010</v>
      </c>
      <c r="AC1547" s="10" t="s">
        <v>3726</v>
      </c>
      <c r="AD1547" s="5" t="s">
        <v>3720</v>
      </c>
      <c r="AE1547" s="5" t="s">
        <v>162</v>
      </c>
    </row>
    <row r="1548" spans="1:33" ht="10" customHeight="1" x14ac:dyDescent="0.2">
      <c r="A1548" s="5" t="s">
        <v>40</v>
      </c>
      <c r="B1548" s="5" t="s">
        <v>41</v>
      </c>
      <c r="D1548" s="5" t="s">
        <v>3727</v>
      </c>
      <c r="E1548" s="10" t="s">
        <v>345</v>
      </c>
      <c r="F1548" s="5" t="s">
        <v>3718</v>
      </c>
      <c r="G1548" s="5" t="s">
        <v>346</v>
      </c>
      <c r="H1548" s="5" t="s">
        <v>363</v>
      </c>
      <c r="I1548" s="11">
        <v>1</v>
      </c>
      <c r="J1548" s="5" t="s">
        <v>60</v>
      </c>
      <c r="K1548" s="10" t="s">
        <v>46</v>
      </c>
      <c r="L1548" s="5" t="s">
        <v>47</v>
      </c>
      <c r="M1548" s="5" t="s">
        <v>145</v>
      </c>
      <c r="N1548" s="5" t="s">
        <v>164</v>
      </c>
      <c r="O1548" s="12"/>
      <c r="P1548" s="13">
        <v>63183</v>
      </c>
      <c r="S1548" s="13">
        <v>61882</v>
      </c>
      <c r="U1548" s="13">
        <v>61882</v>
      </c>
      <c r="AC1548" s="10" t="s">
        <v>3728</v>
      </c>
      <c r="AD1548" s="5" t="s">
        <v>3720</v>
      </c>
      <c r="AE1548" s="5" t="s">
        <v>162</v>
      </c>
    </row>
    <row r="1549" spans="1:33" ht="10" customHeight="1" x14ac:dyDescent="0.2">
      <c r="A1549" s="5" t="s">
        <v>40</v>
      </c>
      <c r="B1549" s="5" t="s">
        <v>41</v>
      </c>
      <c r="D1549" s="5" t="s">
        <v>3729</v>
      </c>
      <c r="E1549" s="10" t="s">
        <v>345</v>
      </c>
      <c r="F1549" s="5" t="s">
        <v>3718</v>
      </c>
      <c r="G1549" s="5" t="s">
        <v>346</v>
      </c>
      <c r="H1549" s="5" t="s">
        <v>366</v>
      </c>
      <c r="I1549" s="11">
        <v>1</v>
      </c>
      <c r="J1549" s="5" t="s">
        <v>60</v>
      </c>
      <c r="K1549" s="10" t="s">
        <v>46</v>
      </c>
      <c r="L1549" s="5" t="s">
        <v>47</v>
      </c>
      <c r="M1549" s="5" t="s">
        <v>145</v>
      </c>
      <c r="N1549" s="5" t="s">
        <v>164</v>
      </c>
      <c r="O1549" s="12"/>
      <c r="P1549" s="13">
        <v>158708</v>
      </c>
      <c r="S1549" s="13">
        <v>168742</v>
      </c>
      <c r="U1549" s="13">
        <v>168742</v>
      </c>
      <c r="AC1549" s="10" t="s">
        <v>3730</v>
      </c>
      <c r="AD1549" s="5" t="s">
        <v>3720</v>
      </c>
      <c r="AE1549" s="5" t="s">
        <v>162</v>
      </c>
    </row>
    <row r="1550" spans="1:33" ht="10" customHeight="1" x14ac:dyDescent="0.2">
      <c r="A1550" s="5" t="s">
        <v>40</v>
      </c>
      <c r="B1550" s="5" t="s">
        <v>41</v>
      </c>
      <c r="D1550" s="5" t="s">
        <v>3731</v>
      </c>
      <c r="E1550" s="10" t="s">
        <v>345</v>
      </c>
      <c r="F1550" s="5" t="s">
        <v>3718</v>
      </c>
      <c r="G1550" s="5" t="s">
        <v>346</v>
      </c>
      <c r="H1550" s="5" t="s">
        <v>369</v>
      </c>
      <c r="I1550" s="11">
        <v>1</v>
      </c>
      <c r="J1550" s="5" t="s">
        <v>60</v>
      </c>
      <c r="K1550" s="10" t="s">
        <v>46</v>
      </c>
      <c r="L1550" s="5" t="s">
        <v>47</v>
      </c>
      <c r="M1550" s="5" t="s">
        <v>145</v>
      </c>
      <c r="N1550" s="5" t="s">
        <v>164</v>
      </c>
      <c r="O1550" s="12"/>
      <c r="P1550" s="13">
        <v>95178</v>
      </c>
      <c r="S1550" s="13">
        <v>69439</v>
      </c>
      <c r="U1550" s="13">
        <v>69439</v>
      </c>
      <c r="AC1550" s="10" t="s">
        <v>3732</v>
      </c>
      <c r="AD1550" s="5" t="s">
        <v>3720</v>
      </c>
      <c r="AE1550" s="5" t="s">
        <v>162</v>
      </c>
    </row>
    <row r="1551" spans="1:33" ht="10" customHeight="1" x14ac:dyDescent="0.2">
      <c r="A1551" s="5" t="s">
        <v>40</v>
      </c>
      <c r="B1551" s="5" t="s">
        <v>41</v>
      </c>
      <c r="D1551" s="5" t="s">
        <v>3733</v>
      </c>
      <c r="E1551" s="10" t="s">
        <v>345</v>
      </c>
      <c r="F1551" s="5" t="s">
        <v>3718</v>
      </c>
      <c r="G1551" s="5" t="s">
        <v>373</v>
      </c>
      <c r="H1551" s="5" t="s">
        <v>357</v>
      </c>
      <c r="I1551" s="11">
        <v>1</v>
      </c>
      <c r="J1551" s="5" t="s">
        <v>60</v>
      </c>
      <c r="K1551" s="10" t="s">
        <v>46</v>
      </c>
      <c r="L1551" s="5" t="s">
        <v>47</v>
      </c>
      <c r="M1551" s="5" t="s">
        <v>145</v>
      </c>
      <c r="N1551" s="5" t="s">
        <v>164</v>
      </c>
      <c r="O1551" s="12"/>
      <c r="S1551" s="13">
        <v>169701</v>
      </c>
      <c r="U1551" s="13">
        <v>169701</v>
      </c>
      <c r="AC1551" s="10" t="s">
        <v>3734</v>
      </c>
      <c r="AD1551" s="5" t="s">
        <v>3735</v>
      </c>
      <c r="AE1551" s="5" t="s">
        <v>162</v>
      </c>
      <c r="AG1551" s="5" t="s">
        <v>3736</v>
      </c>
    </row>
    <row r="1552" spans="1:33" ht="10" customHeight="1" x14ac:dyDescent="0.2">
      <c r="A1552" s="5" t="s">
        <v>40</v>
      </c>
      <c r="B1552" s="5" t="s">
        <v>41</v>
      </c>
      <c r="D1552" s="5" t="s">
        <v>3737</v>
      </c>
      <c r="E1552" s="10" t="s">
        <v>345</v>
      </c>
      <c r="F1552" s="5" t="s">
        <v>3718</v>
      </c>
      <c r="G1552" s="5" t="s">
        <v>373</v>
      </c>
      <c r="H1552" s="5" t="s">
        <v>357</v>
      </c>
      <c r="I1552" s="11">
        <v>1</v>
      </c>
      <c r="J1552" s="5" t="s">
        <v>60</v>
      </c>
      <c r="K1552" s="10" t="s">
        <v>46</v>
      </c>
      <c r="L1552" s="5" t="s">
        <v>47</v>
      </c>
      <c r="M1552" s="5" t="s">
        <v>145</v>
      </c>
      <c r="N1552" s="5" t="s">
        <v>164</v>
      </c>
      <c r="O1552" s="12"/>
      <c r="S1552" s="13">
        <v>35308</v>
      </c>
      <c r="U1552" s="13">
        <v>35308</v>
      </c>
      <c r="AC1552" s="10" t="s">
        <v>3738</v>
      </c>
      <c r="AD1552" s="5" t="s">
        <v>3735</v>
      </c>
      <c r="AE1552" s="5" t="s">
        <v>162</v>
      </c>
      <c r="AG1552" s="5" t="s">
        <v>3739</v>
      </c>
    </row>
    <row r="1553" spans="1:33" ht="10" customHeight="1" x14ac:dyDescent="0.2">
      <c r="A1553" s="5" t="s">
        <v>40</v>
      </c>
      <c r="B1553" s="5" t="s">
        <v>41</v>
      </c>
      <c r="D1553" s="5" t="s">
        <v>3740</v>
      </c>
      <c r="E1553" s="10" t="s">
        <v>345</v>
      </c>
      <c r="F1553" s="5" t="s">
        <v>3718</v>
      </c>
      <c r="G1553" s="5" t="s">
        <v>373</v>
      </c>
      <c r="H1553" s="5" t="s">
        <v>357</v>
      </c>
      <c r="I1553" s="11">
        <v>1</v>
      </c>
      <c r="J1553" s="5" t="s">
        <v>60</v>
      </c>
      <c r="K1553" s="10" t="s">
        <v>46</v>
      </c>
      <c r="L1553" s="5" t="s">
        <v>47</v>
      </c>
      <c r="M1553" s="5" t="s">
        <v>145</v>
      </c>
      <c r="N1553" s="5" t="s">
        <v>164</v>
      </c>
      <c r="O1553" s="12"/>
      <c r="S1553" s="13">
        <v>10218</v>
      </c>
      <c r="U1553" s="13">
        <v>10218</v>
      </c>
      <c r="AC1553" s="10" t="s">
        <v>3741</v>
      </c>
      <c r="AD1553" s="5" t="s">
        <v>3735</v>
      </c>
      <c r="AE1553" s="5" t="s">
        <v>162</v>
      </c>
      <c r="AG1553" s="5" t="s">
        <v>3742</v>
      </c>
    </row>
    <row r="1554" spans="1:33" ht="10" customHeight="1" x14ac:dyDescent="0.2">
      <c r="A1554" s="5" t="s">
        <v>40</v>
      </c>
      <c r="B1554" s="5" t="s">
        <v>41</v>
      </c>
      <c r="D1554" s="5" t="s">
        <v>3743</v>
      </c>
      <c r="E1554" s="10" t="s">
        <v>345</v>
      </c>
      <c r="F1554" s="5" t="s">
        <v>3718</v>
      </c>
      <c r="G1554" s="5" t="s">
        <v>373</v>
      </c>
      <c r="H1554" s="5" t="s">
        <v>357</v>
      </c>
      <c r="I1554" s="11">
        <v>1</v>
      </c>
      <c r="J1554" s="5" t="s">
        <v>60</v>
      </c>
      <c r="K1554" s="10" t="s">
        <v>46</v>
      </c>
      <c r="L1554" s="5" t="s">
        <v>47</v>
      </c>
      <c r="M1554" s="5" t="s">
        <v>145</v>
      </c>
      <c r="N1554" s="5" t="s">
        <v>164</v>
      </c>
      <c r="O1554" s="12"/>
      <c r="S1554" s="13">
        <v>14904</v>
      </c>
      <c r="U1554" s="13">
        <v>14904</v>
      </c>
      <c r="AC1554" s="10" t="s">
        <v>3744</v>
      </c>
      <c r="AD1554" s="5" t="s">
        <v>3735</v>
      </c>
      <c r="AE1554" s="5" t="s">
        <v>162</v>
      </c>
      <c r="AG1554" s="5" t="s">
        <v>3745</v>
      </c>
    </row>
    <row r="1555" spans="1:33" ht="10" customHeight="1" x14ac:dyDescent="0.2">
      <c r="A1555" s="5" t="s">
        <v>40</v>
      </c>
      <c r="B1555" s="5" t="s">
        <v>41</v>
      </c>
      <c r="D1555" s="5" t="s">
        <v>3746</v>
      </c>
      <c r="E1555" s="10" t="s">
        <v>345</v>
      </c>
      <c r="F1555" s="5" t="s">
        <v>3718</v>
      </c>
      <c r="G1555" s="5" t="s">
        <v>373</v>
      </c>
      <c r="H1555" s="5" t="s">
        <v>357</v>
      </c>
      <c r="I1555" s="11">
        <v>1</v>
      </c>
      <c r="J1555" s="5" t="s">
        <v>60</v>
      </c>
      <c r="K1555" s="10" t="s">
        <v>46</v>
      </c>
      <c r="L1555" s="5" t="s">
        <v>47</v>
      </c>
      <c r="M1555" s="5" t="s">
        <v>145</v>
      </c>
      <c r="N1555" s="5" t="s">
        <v>164</v>
      </c>
      <c r="O1555" s="12"/>
      <c r="S1555" s="13">
        <v>16643</v>
      </c>
      <c r="U1555" s="13">
        <v>16643</v>
      </c>
      <c r="AC1555" s="10" t="s">
        <v>3747</v>
      </c>
      <c r="AD1555" s="5" t="s">
        <v>3735</v>
      </c>
      <c r="AE1555" s="5" t="s">
        <v>162</v>
      </c>
      <c r="AG1555" s="5" t="s">
        <v>3748</v>
      </c>
    </row>
    <row r="1556" spans="1:33" ht="10" customHeight="1" x14ac:dyDescent="0.2">
      <c r="A1556" s="5" t="s">
        <v>40</v>
      </c>
      <c r="B1556" s="5" t="s">
        <v>41</v>
      </c>
      <c r="D1556" s="5" t="s">
        <v>3749</v>
      </c>
      <c r="E1556" s="10" t="s">
        <v>345</v>
      </c>
      <c r="F1556" s="5" t="s">
        <v>3718</v>
      </c>
      <c r="G1556" s="5" t="s">
        <v>373</v>
      </c>
      <c r="H1556" s="5" t="s">
        <v>357</v>
      </c>
      <c r="I1556" s="11">
        <v>1</v>
      </c>
      <c r="J1556" s="5" t="s">
        <v>60</v>
      </c>
      <c r="K1556" s="10" t="s">
        <v>46</v>
      </c>
      <c r="L1556" s="5" t="s">
        <v>47</v>
      </c>
      <c r="M1556" s="5" t="s">
        <v>145</v>
      </c>
      <c r="N1556" s="5" t="s">
        <v>164</v>
      </c>
      <c r="O1556" s="12"/>
      <c r="S1556" s="13">
        <v>6885</v>
      </c>
      <c r="U1556" s="13">
        <v>6885</v>
      </c>
      <c r="AC1556" s="10" t="s">
        <v>3750</v>
      </c>
      <c r="AD1556" s="5" t="s">
        <v>3735</v>
      </c>
      <c r="AE1556" s="5" t="s">
        <v>162</v>
      </c>
      <c r="AG1556" s="5" t="s">
        <v>3751</v>
      </c>
    </row>
    <row r="1557" spans="1:33" ht="10" customHeight="1" x14ac:dyDescent="0.2">
      <c r="A1557" s="5" t="s">
        <v>40</v>
      </c>
      <c r="B1557" s="5" t="s">
        <v>41</v>
      </c>
      <c r="D1557" s="5" t="s">
        <v>3752</v>
      </c>
      <c r="E1557" s="10" t="s">
        <v>345</v>
      </c>
      <c r="F1557" s="5" t="s">
        <v>3718</v>
      </c>
      <c r="G1557" s="5" t="s">
        <v>373</v>
      </c>
      <c r="H1557" s="5" t="s">
        <v>357</v>
      </c>
      <c r="I1557" s="11">
        <v>1</v>
      </c>
      <c r="J1557" s="5" t="s">
        <v>60</v>
      </c>
      <c r="K1557" s="10" t="s">
        <v>46</v>
      </c>
      <c r="L1557" s="5" t="s">
        <v>47</v>
      </c>
      <c r="M1557" s="5" t="s">
        <v>145</v>
      </c>
      <c r="N1557" s="5" t="s">
        <v>164</v>
      </c>
      <c r="O1557" s="12"/>
      <c r="S1557" s="13">
        <v>6025</v>
      </c>
      <c r="U1557" s="13">
        <v>6025</v>
      </c>
      <c r="AC1557" s="10" t="s">
        <v>3753</v>
      </c>
      <c r="AD1557" s="5" t="s">
        <v>3735</v>
      </c>
      <c r="AE1557" s="5" t="s">
        <v>162</v>
      </c>
      <c r="AG1557" s="5" t="s">
        <v>3754</v>
      </c>
    </row>
    <row r="1558" spans="1:33" ht="10" customHeight="1" x14ac:dyDescent="0.2">
      <c r="A1558" s="5" t="s">
        <v>40</v>
      </c>
      <c r="B1558" s="5" t="s">
        <v>41</v>
      </c>
      <c r="D1558" s="5" t="s">
        <v>3755</v>
      </c>
      <c r="E1558" s="10" t="s">
        <v>345</v>
      </c>
      <c r="F1558" s="5" t="s">
        <v>3718</v>
      </c>
      <c r="G1558" s="5" t="s">
        <v>373</v>
      </c>
      <c r="H1558" s="5" t="s">
        <v>357</v>
      </c>
      <c r="I1558" s="11">
        <v>1</v>
      </c>
      <c r="J1558" s="5" t="s">
        <v>60</v>
      </c>
      <c r="K1558" s="10" t="s">
        <v>46</v>
      </c>
      <c r="L1558" s="5" t="s">
        <v>47</v>
      </c>
      <c r="M1558" s="5" t="s">
        <v>145</v>
      </c>
      <c r="N1558" s="5" t="s">
        <v>164</v>
      </c>
      <c r="O1558" s="12"/>
      <c r="S1558" s="13">
        <v>7802</v>
      </c>
      <c r="U1558" s="13">
        <v>7802</v>
      </c>
      <c r="AC1558" s="10" t="s">
        <v>3756</v>
      </c>
      <c r="AD1558" s="5" t="s">
        <v>3735</v>
      </c>
      <c r="AE1558" s="5" t="s">
        <v>162</v>
      </c>
      <c r="AG1558" s="5" t="s">
        <v>3757</v>
      </c>
    </row>
    <row r="1559" spans="1:33" ht="10" customHeight="1" x14ac:dyDescent="0.2">
      <c r="A1559" s="5" t="s">
        <v>40</v>
      </c>
      <c r="B1559" s="5" t="s">
        <v>41</v>
      </c>
      <c r="D1559" s="5" t="s">
        <v>3758</v>
      </c>
      <c r="E1559" s="10" t="s">
        <v>345</v>
      </c>
      <c r="F1559" s="5" t="s">
        <v>3718</v>
      </c>
      <c r="G1559" s="5" t="s">
        <v>373</v>
      </c>
      <c r="H1559" s="5" t="s">
        <v>357</v>
      </c>
      <c r="I1559" s="11">
        <v>1</v>
      </c>
      <c r="J1559" s="5" t="s">
        <v>60</v>
      </c>
      <c r="K1559" s="10" t="s">
        <v>46</v>
      </c>
      <c r="L1559" s="5" t="s">
        <v>47</v>
      </c>
      <c r="M1559" s="5" t="s">
        <v>145</v>
      </c>
      <c r="N1559" s="5" t="s">
        <v>164</v>
      </c>
      <c r="O1559" s="12"/>
      <c r="S1559" s="13">
        <v>5516</v>
      </c>
      <c r="U1559" s="13">
        <v>5516</v>
      </c>
      <c r="AC1559" s="10" t="s">
        <v>3759</v>
      </c>
      <c r="AD1559" s="5" t="s">
        <v>3735</v>
      </c>
      <c r="AE1559" s="5" t="s">
        <v>162</v>
      </c>
      <c r="AG1559" s="5" t="s">
        <v>3760</v>
      </c>
    </row>
    <row r="1560" spans="1:33" ht="10" customHeight="1" x14ac:dyDescent="0.2">
      <c r="A1560" s="5" t="s">
        <v>40</v>
      </c>
      <c r="B1560" s="5" t="s">
        <v>41</v>
      </c>
      <c r="D1560" s="5" t="s">
        <v>3761</v>
      </c>
      <c r="E1560" s="10" t="s">
        <v>345</v>
      </c>
      <c r="F1560" s="5" t="s">
        <v>3718</v>
      </c>
      <c r="G1560" s="5" t="s">
        <v>373</v>
      </c>
      <c r="H1560" s="5" t="s">
        <v>357</v>
      </c>
      <c r="I1560" s="11">
        <v>1</v>
      </c>
      <c r="J1560" s="5" t="s">
        <v>60</v>
      </c>
      <c r="K1560" s="10" t="s">
        <v>46</v>
      </c>
      <c r="L1560" s="5" t="s">
        <v>47</v>
      </c>
      <c r="M1560" s="5" t="s">
        <v>145</v>
      </c>
      <c r="N1560" s="5" t="s">
        <v>164</v>
      </c>
      <c r="O1560" s="12"/>
      <c r="S1560" s="13">
        <v>5333</v>
      </c>
      <c r="U1560" s="13">
        <v>5333</v>
      </c>
      <c r="AC1560" s="10" t="s">
        <v>3762</v>
      </c>
      <c r="AD1560" s="5" t="s">
        <v>3735</v>
      </c>
      <c r="AE1560" s="5" t="s">
        <v>162</v>
      </c>
      <c r="AG1560" s="5" t="s">
        <v>3763</v>
      </c>
    </row>
    <row r="1561" spans="1:33" ht="10" customHeight="1" x14ac:dyDescent="0.2">
      <c r="A1561" s="5" t="s">
        <v>40</v>
      </c>
      <c r="B1561" s="5" t="s">
        <v>41</v>
      </c>
      <c r="D1561" s="5" t="s">
        <v>3764</v>
      </c>
      <c r="E1561" s="10" t="s">
        <v>345</v>
      </c>
      <c r="F1561" s="5" t="s">
        <v>3718</v>
      </c>
      <c r="G1561" s="5" t="s">
        <v>373</v>
      </c>
      <c r="H1561" s="5" t="s">
        <v>357</v>
      </c>
      <c r="I1561" s="11">
        <v>1</v>
      </c>
      <c r="J1561" s="5" t="s">
        <v>60</v>
      </c>
      <c r="K1561" s="10" t="s">
        <v>46</v>
      </c>
      <c r="L1561" s="5" t="s">
        <v>47</v>
      </c>
      <c r="M1561" s="5" t="s">
        <v>145</v>
      </c>
      <c r="N1561" s="5" t="s">
        <v>164</v>
      </c>
      <c r="O1561" s="12"/>
      <c r="S1561" s="13">
        <v>6273</v>
      </c>
      <c r="U1561" s="13">
        <v>6273</v>
      </c>
      <c r="AC1561" s="10" t="s">
        <v>3765</v>
      </c>
      <c r="AD1561" s="5" t="s">
        <v>3735</v>
      </c>
      <c r="AE1561" s="5" t="s">
        <v>162</v>
      </c>
      <c r="AG1561" s="5" t="s">
        <v>3766</v>
      </c>
    </row>
    <row r="1562" spans="1:33" ht="10" customHeight="1" x14ac:dyDescent="0.2">
      <c r="A1562" s="5" t="s">
        <v>40</v>
      </c>
      <c r="B1562" s="5" t="s">
        <v>41</v>
      </c>
      <c r="D1562" s="5" t="s">
        <v>3767</v>
      </c>
      <c r="E1562" s="10" t="s">
        <v>345</v>
      </c>
      <c r="F1562" s="5" t="s">
        <v>3718</v>
      </c>
      <c r="G1562" s="5" t="s">
        <v>373</v>
      </c>
      <c r="H1562" s="5" t="s">
        <v>357</v>
      </c>
      <c r="I1562" s="11">
        <v>1</v>
      </c>
      <c r="J1562" s="5" t="s">
        <v>60</v>
      </c>
      <c r="K1562" s="10" t="s">
        <v>46</v>
      </c>
      <c r="L1562" s="5" t="s">
        <v>47</v>
      </c>
      <c r="M1562" s="5" t="s">
        <v>145</v>
      </c>
      <c r="N1562" s="5" t="s">
        <v>164</v>
      </c>
      <c r="O1562" s="12"/>
      <c r="S1562" s="13">
        <v>4617</v>
      </c>
      <c r="U1562" s="13">
        <v>4617</v>
      </c>
      <c r="AC1562" s="10" t="s">
        <v>3768</v>
      </c>
      <c r="AD1562" s="5" t="s">
        <v>3735</v>
      </c>
      <c r="AE1562" s="5" t="s">
        <v>162</v>
      </c>
      <c r="AG1562" s="5" t="s">
        <v>3769</v>
      </c>
    </row>
    <row r="1563" spans="1:33" ht="10" customHeight="1" x14ac:dyDescent="0.2">
      <c r="A1563" s="5" t="s">
        <v>40</v>
      </c>
      <c r="B1563" s="5" t="s">
        <v>41</v>
      </c>
      <c r="D1563" s="5" t="s">
        <v>3770</v>
      </c>
      <c r="E1563" s="10" t="s">
        <v>345</v>
      </c>
      <c r="F1563" s="5" t="s">
        <v>3718</v>
      </c>
      <c r="G1563" s="5" t="s">
        <v>373</v>
      </c>
      <c r="H1563" s="5" t="s">
        <v>357</v>
      </c>
      <c r="I1563" s="11">
        <v>1</v>
      </c>
      <c r="J1563" s="5" t="s">
        <v>60</v>
      </c>
      <c r="K1563" s="10" t="s">
        <v>46</v>
      </c>
      <c r="L1563" s="5" t="s">
        <v>47</v>
      </c>
      <c r="M1563" s="5" t="s">
        <v>145</v>
      </c>
      <c r="N1563" s="5" t="s">
        <v>164</v>
      </c>
      <c r="O1563" s="12"/>
      <c r="S1563" s="13">
        <v>7380</v>
      </c>
      <c r="U1563" s="13">
        <v>7380</v>
      </c>
      <c r="AC1563" s="10" t="s">
        <v>3771</v>
      </c>
      <c r="AD1563" s="5" t="s">
        <v>3735</v>
      </c>
      <c r="AE1563" s="5" t="s">
        <v>162</v>
      </c>
      <c r="AG1563" s="5" t="s">
        <v>3772</v>
      </c>
    </row>
    <row r="1564" spans="1:33" ht="10" customHeight="1" x14ac:dyDescent="0.2">
      <c r="A1564" s="5" t="s">
        <v>40</v>
      </c>
      <c r="B1564" s="5" t="s">
        <v>41</v>
      </c>
      <c r="D1564" s="5" t="s">
        <v>3773</v>
      </c>
      <c r="E1564" s="10" t="s">
        <v>345</v>
      </c>
      <c r="F1564" s="5" t="s">
        <v>3718</v>
      </c>
      <c r="G1564" s="5" t="s">
        <v>373</v>
      </c>
      <c r="H1564" s="5" t="s">
        <v>357</v>
      </c>
      <c r="I1564" s="11">
        <v>1</v>
      </c>
      <c r="J1564" s="5" t="s">
        <v>60</v>
      </c>
      <c r="K1564" s="10" t="s">
        <v>46</v>
      </c>
      <c r="L1564" s="5" t="s">
        <v>47</v>
      </c>
      <c r="M1564" s="5" t="s">
        <v>145</v>
      </c>
      <c r="N1564" s="5" t="s">
        <v>164</v>
      </c>
      <c r="O1564" s="12"/>
      <c r="S1564" s="13">
        <v>6851</v>
      </c>
      <c r="U1564" s="13">
        <v>6851</v>
      </c>
      <c r="AC1564" s="10" t="s">
        <v>3774</v>
      </c>
      <c r="AD1564" s="5" t="s">
        <v>3735</v>
      </c>
      <c r="AE1564" s="5" t="s">
        <v>162</v>
      </c>
      <c r="AG1564" s="5" t="s">
        <v>3775</v>
      </c>
    </row>
    <row r="1565" spans="1:33" ht="10" customHeight="1" x14ac:dyDescent="0.2">
      <c r="A1565" s="5" t="s">
        <v>40</v>
      </c>
      <c r="B1565" s="5" t="s">
        <v>41</v>
      </c>
      <c r="D1565" s="5" t="s">
        <v>3776</v>
      </c>
      <c r="E1565" s="10" t="s">
        <v>345</v>
      </c>
      <c r="F1565" s="5" t="s">
        <v>3718</v>
      </c>
      <c r="G1565" s="5" t="s">
        <v>373</v>
      </c>
      <c r="H1565" s="5" t="s">
        <v>357</v>
      </c>
      <c r="I1565" s="11">
        <v>1</v>
      </c>
      <c r="J1565" s="5" t="s">
        <v>60</v>
      </c>
      <c r="K1565" s="10" t="s">
        <v>46</v>
      </c>
      <c r="L1565" s="5" t="s">
        <v>47</v>
      </c>
      <c r="M1565" s="5" t="s">
        <v>145</v>
      </c>
      <c r="N1565" s="5" t="s">
        <v>164</v>
      </c>
      <c r="O1565" s="12"/>
      <c r="S1565" s="13">
        <v>5993</v>
      </c>
      <c r="U1565" s="13">
        <v>5993</v>
      </c>
      <c r="AC1565" s="10" t="s">
        <v>3777</v>
      </c>
      <c r="AD1565" s="5" t="s">
        <v>3735</v>
      </c>
      <c r="AE1565" s="5" t="s">
        <v>162</v>
      </c>
      <c r="AG1565" s="5" t="s">
        <v>3778</v>
      </c>
    </row>
    <row r="1566" spans="1:33" ht="10" customHeight="1" x14ac:dyDescent="0.2">
      <c r="A1566" s="5" t="s">
        <v>40</v>
      </c>
      <c r="B1566" s="5" t="s">
        <v>41</v>
      </c>
      <c r="D1566" s="5" t="s">
        <v>3779</v>
      </c>
      <c r="E1566" s="10" t="s">
        <v>345</v>
      </c>
      <c r="F1566" s="5" t="s">
        <v>3718</v>
      </c>
      <c r="G1566" s="5" t="s">
        <v>373</v>
      </c>
      <c r="H1566" s="5" t="s">
        <v>357</v>
      </c>
      <c r="I1566" s="11">
        <v>1</v>
      </c>
      <c r="J1566" s="5" t="s">
        <v>60</v>
      </c>
      <c r="K1566" s="10" t="s">
        <v>46</v>
      </c>
      <c r="L1566" s="5" t="s">
        <v>47</v>
      </c>
      <c r="M1566" s="5" t="s">
        <v>145</v>
      </c>
      <c r="N1566" s="5" t="s">
        <v>164</v>
      </c>
      <c r="O1566" s="12"/>
      <c r="S1566" s="13">
        <v>1103</v>
      </c>
      <c r="U1566" s="13">
        <v>1103</v>
      </c>
      <c r="AC1566" s="10" t="s">
        <v>3780</v>
      </c>
      <c r="AD1566" s="5" t="s">
        <v>3735</v>
      </c>
      <c r="AE1566" s="5" t="s">
        <v>162</v>
      </c>
      <c r="AG1566" s="5" t="s">
        <v>3781</v>
      </c>
    </row>
    <row r="1567" spans="1:33" ht="10" customHeight="1" x14ac:dyDescent="0.2">
      <c r="A1567" s="5" t="s">
        <v>40</v>
      </c>
      <c r="B1567" s="5" t="s">
        <v>41</v>
      </c>
      <c r="D1567" s="5" t="s">
        <v>3782</v>
      </c>
      <c r="E1567" s="10" t="s">
        <v>345</v>
      </c>
      <c r="F1567" s="5" t="s">
        <v>3718</v>
      </c>
      <c r="G1567" s="5" t="s">
        <v>373</v>
      </c>
      <c r="H1567" s="5" t="s">
        <v>357</v>
      </c>
      <c r="I1567" s="11">
        <v>1</v>
      </c>
      <c r="J1567" s="5" t="s">
        <v>60</v>
      </c>
      <c r="K1567" s="10" t="s">
        <v>46</v>
      </c>
      <c r="L1567" s="5" t="s">
        <v>47</v>
      </c>
      <c r="M1567" s="5" t="s">
        <v>145</v>
      </c>
      <c r="N1567" s="5" t="s">
        <v>164</v>
      </c>
      <c r="O1567" s="12"/>
      <c r="S1567" s="13">
        <v>2656</v>
      </c>
      <c r="U1567" s="13">
        <v>2656</v>
      </c>
      <c r="AC1567" s="10" t="s">
        <v>3783</v>
      </c>
      <c r="AD1567" s="5" t="s">
        <v>3735</v>
      </c>
      <c r="AE1567" s="5" t="s">
        <v>162</v>
      </c>
      <c r="AG1567" s="5" t="s">
        <v>3784</v>
      </c>
    </row>
    <row r="1568" spans="1:33" ht="10" customHeight="1" x14ac:dyDescent="0.2">
      <c r="A1568" s="5" t="s">
        <v>40</v>
      </c>
      <c r="B1568" s="5" t="s">
        <v>41</v>
      </c>
      <c r="D1568" s="5" t="s">
        <v>3785</v>
      </c>
      <c r="E1568" s="10" t="s">
        <v>345</v>
      </c>
      <c r="F1568" s="5" t="s">
        <v>3718</v>
      </c>
      <c r="G1568" s="5" t="s">
        <v>373</v>
      </c>
      <c r="H1568" s="5" t="s">
        <v>357</v>
      </c>
      <c r="I1568" s="11">
        <v>1</v>
      </c>
      <c r="J1568" s="5" t="s">
        <v>60</v>
      </c>
      <c r="K1568" s="10" t="s">
        <v>46</v>
      </c>
      <c r="L1568" s="5" t="s">
        <v>47</v>
      </c>
      <c r="M1568" s="5" t="s">
        <v>145</v>
      </c>
      <c r="N1568" s="5" t="s">
        <v>164</v>
      </c>
      <c r="O1568" s="12"/>
      <c r="S1568" s="13">
        <v>2106</v>
      </c>
      <c r="U1568" s="13">
        <v>2106</v>
      </c>
      <c r="AC1568" s="10" t="s">
        <v>3786</v>
      </c>
      <c r="AD1568" s="5" t="s">
        <v>3735</v>
      </c>
      <c r="AE1568" s="5" t="s">
        <v>162</v>
      </c>
      <c r="AG1568" s="5" t="s">
        <v>3787</v>
      </c>
    </row>
    <row r="1569" spans="1:33" ht="10" customHeight="1" x14ac:dyDescent="0.2">
      <c r="A1569" s="5" t="s">
        <v>40</v>
      </c>
      <c r="B1569" s="5" t="s">
        <v>41</v>
      </c>
      <c r="D1569" s="5" t="s">
        <v>3788</v>
      </c>
      <c r="E1569" s="10" t="s">
        <v>345</v>
      </c>
      <c r="F1569" s="5" t="s">
        <v>3718</v>
      </c>
      <c r="G1569" s="5" t="s">
        <v>373</v>
      </c>
      <c r="H1569" s="5" t="s">
        <v>357</v>
      </c>
      <c r="I1569" s="11">
        <v>1</v>
      </c>
      <c r="J1569" s="5" t="s">
        <v>60</v>
      </c>
      <c r="K1569" s="10" t="s">
        <v>46</v>
      </c>
      <c r="L1569" s="5" t="s">
        <v>47</v>
      </c>
      <c r="M1569" s="5" t="s">
        <v>145</v>
      </c>
      <c r="N1569" s="5" t="s">
        <v>164</v>
      </c>
      <c r="O1569" s="12"/>
      <c r="S1569" s="13">
        <v>1448</v>
      </c>
      <c r="U1569" s="13">
        <v>1448</v>
      </c>
      <c r="AC1569" s="10" t="s">
        <v>3789</v>
      </c>
      <c r="AD1569" s="5" t="s">
        <v>3735</v>
      </c>
      <c r="AE1569" s="5" t="s">
        <v>162</v>
      </c>
      <c r="AG1569" s="5" t="s">
        <v>3530</v>
      </c>
    </row>
    <row r="1570" spans="1:33" ht="10" customHeight="1" x14ac:dyDescent="0.2">
      <c r="A1570" s="5" t="s">
        <v>40</v>
      </c>
      <c r="B1570" s="5" t="s">
        <v>41</v>
      </c>
      <c r="D1570" s="5" t="s">
        <v>3790</v>
      </c>
      <c r="E1570" s="10" t="s">
        <v>345</v>
      </c>
      <c r="F1570" s="5" t="s">
        <v>3718</v>
      </c>
      <c r="G1570" s="5" t="s">
        <v>373</v>
      </c>
      <c r="H1570" s="5" t="s">
        <v>357</v>
      </c>
      <c r="I1570" s="11">
        <v>1</v>
      </c>
      <c r="J1570" s="5" t="s">
        <v>60</v>
      </c>
      <c r="K1570" s="10" t="s">
        <v>46</v>
      </c>
      <c r="L1570" s="5" t="s">
        <v>47</v>
      </c>
      <c r="M1570" s="5" t="s">
        <v>145</v>
      </c>
      <c r="N1570" s="5" t="s">
        <v>164</v>
      </c>
      <c r="O1570" s="12"/>
      <c r="S1570" s="13">
        <v>623</v>
      </c>
      <c r="U1570" s="13">
        <v>623</v>
      </c>
      <c r="AC1570" s="10" t="s">
        <v>3791</v>
      </c>
      <c r="AD1570" s="5" t="s">
        <v>3735</v>
      </c>
      <c r="AE1570" s="5" t="s">
        <v>162</v>
      </c>
      <c r="AG1570" s="5" t="s">
        <v>3792</v>
      </c>
    </row>
    <row r="1571" spans="1:33" ht="10" customHeight="1" x14ac:dyDescent="0.2">
      <c r="A1571" s="5" t="s">
        <v>40</v>
      </c>
      <c r="B1571" s="5" t="s">
        <v>41</v>
      </c>
      <c r="D1571" s="5" t="s">
        <v>3793</v>
      </c>
      <c r="E1571" s="10" t="s">
        <v>345</v>
      </c>
      <c r="F1571" s="5" t="s">
        <v>3718</v>
      </c>
      <c r="G1571" s="5" t="s">
        <v>373</v>
      </c>
      <c r="H1571" s="5" t="s">
        <v>357</v>
      </c>
      <c r="I1571" s="11">
        <v>1</v>
      </c>
      <c r="J1571" s="5" t="s">
        <v>60</v>
      </c>
      <c r="K1571" s="10" t="s">
        <v>46</v>
      </c>
      <c r="L1571" s="5" t="s">
        <v>47</v>
      </c>
      <c r="M1571" s="5" t="s">
        <v>145</v>
      </c>
      <c r="N1571" s="5" t="s">
        <v>164</v>
      </c>
      <c r="O1571" s="12"/>
      <c r="S1571" s="13">
        <v>1264</v>
      </c>
      <c r="U1571" s="13">
        <v>1264</v>
      </c>
      <c r="AC1571" s="10" t="s">
        <v>3794</v>
      </c>
      <c r="AD1571" s="5" t="s">
        <v>3735</v>
      </c>
      <c r="AE1571" s="5" t="s">
        <v>162</v>
      </c>
      <c r="AG1571" s="5" t="s">
        <v>3795</v>
      </c>
    </row>
    <row r="1572" spans="1:33" ht="10" customHeight="1" x14ac:dyDescent="0.2">
      <c r="A1572" s="5" t="s">
        <v>40</v>
      </c>
      <c r="B1572" s="5" t="s">
        <v>41</v>
      </c>
      <c r="D1572" s="5" t="s">
        <v>3796</v>
      </c>
      <c r="E1572" s="10" t="s">
        <v>345</v>
      </c>
      <c r="F1572" s="5" t="s">
        <v>3718</v>
      </c>
      <c r="G1572" s="5" t="s">
        <v>373</v>
      </c>
      <c r="H1572" s="5" t="s">
        <v>357</v>
      </c>
      <c r="I1572" s="11">
        <v>1</v>
      </c>
      <c r="J1572" s="5" t="s">
        <v>60</v>
      </c>
      <c r="K1572" s="10" t="s">
        <v>46</v>
      </c>
      <c r="L1572" s="5" t="s">
        <v>47</v>
      </c>
      <c r="M1572" s="5" t="s">
        <v>145</v>
      </c>
      <c r="N1572" s="5" t="s">
        <v>164</v>
      </c>
      <c r="O1572" s="12"/>
      <c r="S1572" s="13">
        <v>566</v>
      </c>
      <c r="U1572" s="13">
        <v>566</v>
      </c>
      <c r="AC1572" s="10" t="s">
        <v>3797</v>
      </c>
      <c r="AD1572" s="5" t="s">
        <v>3735</v>
      </c>
      <c r="AE1572" s="5" t="s">
        <v>162</v>
      </c>
      <c r="AG1572" s="5" t="s">
        <v>3798</v>
      </c>
    </row>
    <row r="1573" spans="1:33" ht="10" customHeight="1" x14ac:dyDescent="0.2">
      <c r="A1573" s="5" t="s">
        <v>40</v>
      </c>
      <c r="B1573" s="5" t="s">
        <v>41</v>
      </c>
      <c r="D1573" s="5" t="s">
        <v>3799</v>
      </c>
      <c r="E1573" s="10" t="s">
        <v>345</v>
      </c>
      <c r="F1573" s="5" t="s">
        <v>3718</v>
      </c>
      <c r="G1573" s="5" t="s">
        <v>373</v>
      </c>
      <c r="H1573" s="5" t="s">
        <v>357</v>
      </c>
      <c r="I1573" s="11">
        <v>1</v>
      </c>
      <c r="J1573" s="5" t="s">
        <v>60</v>
      </c>
      <c r="K1573" s="10" t="s">
        <v>46</v>
      </c>
      <c r="L1573" s="5" t="s">
        <v>47</v>
      </c>
      <c r="M1573" s="5" t="s">
        <v>145</v>
      </c>
      <c r="N1573" s="5" t="s">
        <v>164</v>
      </c>
      <c r="O1573" s="12"/>
      <c r="S1573" s="13">
        <v>1326</v>
      </c>
      <c r="U1573" s="13">
        <v>1326</v>
      </c>
      <c r="AC1573" s="10" t="s">
        <v>3800</v>
      </c>
      <c r="AD1573" s="5" t="s">
        <v>3735</v>
      </c>
      <c r="AE1573" s="5" t="s">
        <v>162</v>
      </c>
      <c r="AG1573" s="5" t="s">
        <v>3801</v>
      </c>
    </row>
    <row r="1574" spans="1:33" ht="10" customHeight="1" x14ac:dyDescent="0.2">
      <c r="A1574" s="5" t="s">
        <v>40</v>
      </c>
      <c r="B1574" s="5" t="s">
        <v>41</v>
      </c>
      <c r="D1574" s="5" t="s">
        <v>3802</v>
      </c>
      <c r="E1574" s="10" t="s">
        <v>345</v>
      </c>
      <c r="F1574" s="5" t="s">
        <v>3718</v>
      </c>
      <c r="G1574" s="5" t="s">
        <v>373</v>
      </c>
      <c r="H1574" s="5" t="s">
        <v>357</v>
      </c>
      <c r="I1574" s="11">
        <v>1</v>
      </c>
      <c r="J1574" s="5" t="s">
        <v>60</v>
      </c>
      <c r="K1574" s="10" t="s">
        <v>46</v>
      </c>
      <c r="L1574" s="5" t="s">
        <v>47</v>
      </c>
      <c r="M1574" s="5" t="s">
        <v>145</v>
      </c>
      <c r="N1574" s="5" t="s">
        <v>164</v>
      </c>
      <c r="O1574" s="12"/>
      <c r="S1574" s="13">
        <v>1232</v>
      </c>
      <c r="U1574" s="13">
        <v>1232</v>
      </c>
      <c r="AC1574" s="10" t="s">
        <v>3803</v>
      </c>
      <c r="AD1574" s="5" t="s">
        <v>3735</v>
      </c>
      <c r="AE1574" s="5" t="s">
        <v>162</v>
      </c>
      <c r="AG1574" s="5" t="s">
        <v>3804</v>
      </c>
    </row>
    <row r="1575" spans="1:33" ht="10" customHeight="1" x14ac:dyDescent="0.2">
      <c r="A1575" s="5" t="s">
        <v>40</v>
      </c>
      <c r="B1575" s="5" t="s">
        <v>41</v>
      </c>
      <c r="D1575" s="5" t="s">
        <v>3805</v>
      </c>
      <c r="E1575" s="10" t="s">
        <v>345</v>
      </c>
      <c r="F1575" s="5" t="s">
        <v>3718</v>
      </c>
      <c r="G1575" s="5" t="s">
        <v>373</v>
      </c>
      <c r="H1575" s="5" t="s">
        <v>357</v>
      </c>
      <c r="I1575" s="11">
        <v>1</v>
      </c>
      <c r="J1575" s="5" t="s">
        <v>60</v>
      </c>
      <c r="K1575" s="10" t="s">
        <v>46</v>
      </c>
      <c r="L1575" s="5" t="s">
        <v>47</v>
      </c>
      <c r="M1575" s="5" t="s">
        <v>145</v>
      </c>
      <c r="N1575" s="5" t="s">
        <v>164</v>
      </c>
      <c r="O1575" s="12"/>
      <c r="S1575" s="13">
        <v>13237</v>
      </c>
      <c r="U1575" s="13">
        <v>13237</v>
      </c>
      <c r="AC1575" s="10" t="s">
        <v>3806</v>
      </c>
      <c r="AD1575" s="5" t="s">
        <v>3735</v>
      </c>
      <c r="AE1575" s="5" t="s">
        <v>162</v>
      </c>
      <c r="AG1575" s="5" t="s">
        <v>3545</v>
      </c>
    </row>
    <row r="1576" spans="1:33" ht="10" customHeight="1" x14ac:dyDescent="0.2">
      <c r="A1576" s="5" t="s">
        <v>40</v>
      </c>
      <c r="B1576" s="5" t="s">
        <v>41</v>
      </c>
      <c r="D1576" s="5" t="s">
        <v>3807</v>
      </c>
      <c r="E1576" s="10" t="s">
        <v>345</v>
      </c>
      <c r="F1576" s="5" t="s">
        <v>3718</v>
      </c>
      <c r="G1576" s="5" t="s">
        <v>373</v>
      </c>
      <c r="H1576" s="5" t="s">
        <v>363</v>
      </c>
      <c r="I1576" s="11">
        <v>1</v>
      </c>
      <c r="J1576" s="5" t="s">
        <v>60</v>
      </c>
      <c r="K1576" s="10" t="s">
        <v>46</v>
      </c>
      <c r="L1576" s="5" t="s">
        <v>47</v>
      </c>
      <c r="M1576" s="5" t="s">
        <v>145</v>
      </c>
      <c r="N1576" s="5" t="s">
        <v>164</v>
      </c>
      <c r="O1576" s="12"/>
      <c r="S1576" s="13">
        <v>47605</v>
      </c>
      <c r="U1576" s="13">
        <v>47605</v>
      </c>
      <c r="AC1576" s="10" t="s">
        <v>3808</v>
      </c>
      <c r="AD1576" s="5" t="s">
        <v>3809</v>
      </c>
      <c r="AE1576" s="5" t="s">
        <v>162</v>
      </c>
      <c r="AG1576" s="5" t="s">
        <v>3810</v>
      </c>
    </row>
    <row r="1577" spans="1:33" ht="10" customHeight="1" x14ac:dyDescent="0.2">
      <c r="A1577" s="5" t="s">
        <v>40</v>
      </c>
      <c r="B1577" s="5" t="s">
        <v>41</v>
      </c>
      <c r="D1577" s="5" t="s">
        <v>3811</v>
      </c>
      <c r="E1577" s="10" t="s">
        <v>345</v>
      </c>
      <c r="F1577" s="5" t="s">
        <v>3718</v>
      </c>
      <c r="G1577" s="5" t="s">
        <v>373</v>
      </c>
      <c r="H1577" s="5" t="s">
        <v>363</v>
      </c>
      <c r="I1577" s="11">
        <v>1</v>
      </c>
      <c r="J1577" s="5" t="s">
        <v>60</v>
      </c>
      <c r="K1577" s="10" t="s">
        <v>46</v>
      </c>
      <c r="L1577" s="5" t="s">
        <v>47</v>
      </c>
      <c r="M1577" s="5" t="s">
        <v>145</v>
      </c>
      <c r="N1577" s="5" t="s">
        <v>164</v>
      </c>
      <c r="O1577" s="12"/>
      <c r="S1577" s="13">
        <v>4813</v>
      </c>
      <c r="U1577" s="13">
        <v>4813</v>
      </c>
      <c r="AC1577" s="10" t="s">
        <v>3812</v>
      </c>
      <c r="AD1577" s="5" t="s">
        <v>3809</v>
      </c>
      <c r="AE1577" s="5" t="s">
        <v>162</v>
      </c>
      <c r="AG1577" s="5" t="s">
        <v>3813</v>
      </c>
    </row>
    <row r="1578" spans="1:33" ht="10" customHeight="1" x14ac:dyDescent="0.2">
      <c r="A1578" s="5" t="s">
        <v>40</v>
      </c>
      <c r="B1578" s="5" t="s">
        <v>41</v>
      </c>
      <c r="D1578" s="5" t="s">
        <v>3814</v>
      </c>
      <c r="E1578" s="10" t="s">
        <v>345</v>
      </c>
      <c r="F1578" s="5" t="s">
        <v>3718</v>
      </c>
      <c r="G1578" s="5" t="s">
        <v>373</v>
      </c>
      <c r="H1578" s="5" t="s">
        <v>363</v>
      </c>
      <c r="I1578" s="11">
        <v>1</v>
      </c>
      <c r="J1578" s="5" t="s">
        <v>60</v>
      </c>
      <c r="K1578" s="10" t="s">
        <v>46</v>
      </c>
      <c r="L1578" s="5" t="s">
        <v>47</v>
      </c>
      <c r="M1578" s="5" t="s">
        <v>145</v>
      </c>
      <c r="N1578" s="5" t="s">
        <v>164</v>
      </c>
      <c r="O1578" s="12"/>
      <c r="S1578" s="13">
        <v>9464</v>
      </c>
      <c r="U1578" s="13">
        <v>9464</v>
      </c>
      <c r="AC1578" s="10" t="s">
        <v>3815</v>
      </c>
      <c r="AD1578" s="5" t="s">
        <v>3809</v>
      </c>
      <c r="AE1578" s="5" t="s">
        <v>162</v>
      </c>
      <c r="AG1578" s="5" t="s">
        <v>3816</v>
      </c>
    </row>
    <row r="1579" spans="1:33" ht="10" customHeight="1" x14ac:dyDescent="0.2">
      <c r="A1579" s="5" t="s">
        <v>40</v>
      </c>
      <c r="B1579" s="5" t="s">
        <v>41</v>
      </c>
      <c r="D1579" s="5" t="s">
        <v>3817</v>
      </c>
      <c r="E1579" s="10" t="s">
        <v>345</v>
      </c>
      <c r="F1579" s="5" t="s">
        <v>3718</v>
      </c>
      <c r="G1579" s="5" t="s">
        <v>373</v>
      </c>
      <c r="H1579" s="5" t="s">
        <v>366</v>
      </c>
      <c r="I1579" s="11">
        <v>1</v>
      </c>
      <c r="J1579" s="5" t="s">
        <v>60</v>
      </c>
      <c r="K1579" s="10" t="s">
        <v>46</v>
      </c>
      <c r="L1579" s="5" t="s">
        <v>47</v>
      </c>
      <c r="M1579" s="5" t="s">
        <v>145</v>
      </c>
      <c r="N1579" s="5" t="s">
        <v>164</v>
      </c>
      <c r="O1579" s="12"/>
      <c r="S1579" s="13">
        <v>38262</v>
      </c>
      <c r="U1579" s="13">
        <v>38262</v>
      </c>
      <c r="AC1579" s="10" t="s">
        <v>3818</v>
      </c>
      <c r="AD1579" s="5" t="s">
        <v>3819</v>
      </c>
      <c r="AE1579" s="5" t="s">
        <v>162</v>
      </c>
      <c r="AG1579" s="5" t="s">
        <v>3225</v>
      </c>
    </row>
    <row r="1580" spans="1:33" ht="10" customHeight="1" x14ac:dyDescent="0.2">
      <c r="A1580" s="5" t="s">
        <v>40</v>
      </c>
      <c r="B1580" s="5" t="s">
        <v>41</v>
      </c>
      <c r="D1580" s="5" t="s">
        <v>3820</v>
      </c>
      <c r="E1580" s="10" t="s">
        <v>345</v>
      </c>
      <c r="F1580" s="5" t="s">
        <v>3718</v>
      </c>
      <c r="G1580" s="5" t="s">
        <v>373</v>
      </c>
      <c r="H1580" s="5" t="s">
        <v>366</v>
      </c>
      <c r="I1580" s="11">
        <v>1</v>
      </c>
      <c r="J1580" s="5" t="s">
        <v>60</v>
      </c>
      <c r="K1580" s="10" t="s">
        <v>46</v>
      </c>
      <c r="L1580" s="5" t="s">
        <v>47</v>
      </c>
      <c r="M1580" s="5" t="s">
        <v>145</v>
      </c>
      <c r="N1580" s="5" t="s">
        <v>164</v>
      </c>
      <c r="O1580" s="12"/>
      <c r="S1580" s="13">
        <v>34125</v>
      </c>
      <c r="U1580" s="13">
        <v>34125</v>
      </c>
      <c r="AC1580" s="10" t="s">
        <v>3821</v>
      </c>
      <c r="AD1580" s="5" t="s">
        <v>3819</v>
      </c>
      <c r="AE1580" s="5" t="s">
        <v>162</v>
      </c>
      <c r="AG1580" s="5" t="s">
        <v>3822</v>
      </c>
    </row>
    <row r="1581" spans="1:33" ht="10" customHeight="1" x14ac:dyDescent="0.2">
      <c r="A1581" s="5" t="s">
        <v>40</v>
      </c>
      <c r="B1581" s="5" t="s">
        <v>41</v>
      </c>
      <c r="D1581" s="5" t="s">
        <v>3823</v>
      </c>
      <c r="E1581" s="10" t="s">
        <v>345</v>
      </c>
      <c r="F1581" s="5" t="s">
        <v>3718</v>
      </c>
      <c r="G1581" s="5" t="s">
        <v>373</v>
      </c>
      <c r="H1581" s="5" t="s">
        <v>366</v>
      </c>
      <c r="I1581" s="11">
        <v>1</v>
      </c>
      <c r="J1581" s="5" t="s">
        <v>60</v>
      </c>
      <c r="K1581" s="10" t="s">
        <v>46</v>
      </c>
      <c r="L1581" s="5" t="s">
        <v>47</v>
      </c>
      <c r="M1581" s="5" t="s">
        <v>145</v>
      </c>
      <c r="N1581" s="5" t="s">
        <v>164</v>
      </c>
      <c r="O1581" s="12"/>
      <c r="S1581" s="13">
        <v>22290</v>
      </c>
      <c r="U1581" s="13">
        <v>22290</v>
      </c>
      <c r="AC1581" s="10" t="s">
        <v>3824</v>
      </c>
      <c r="AD1581" s="5" t="s">
        <v>3819</v>
      </c>
      <c r="AE1581" s="5" t="s">
        <v>162</v>
      </c>
      <c r="AG1581" s="5" t="s">
        <v>3825</v>
      </c>
    </row>
    <row r="1582" spans="1:33" ht="10" customHeight="1" x14ac:dyDescent="0.2">
      <c r="A1582" s="5" t="s">
        <v>40</v>
      </c>
      <c r="B1582" s="5" t="s">
        <v>41</v>
      </c>
      <c r="D1582" s="5" t="s">
        <v>3826</v>
      </c>
      <c r="E1582" s="10" t="s">
        <v>345</v>
      </c>
      <c r="F1582" s="5" t="s">
        <v>3718</v>
      </c>
      <c r="G1582" s="5" t="s">
        <v>373</v>
      </c>
      <c r="H1582" s="5" t="s">
        <v>366</v>
      </c>
      <c r="I1582" s="11">
        <v>1</v>
      </c>
      <c r="J1582" s="5" t="s">
        <v>60</v>
      </c>
      <c r="K1582" s="10" t="s">
        <v>46</v>
      </c>
      <c r="L1582" s="5" t="s">
        <v>47</v>
      </c>
      <c r="M1582" s="5" t="s">
        <v>145</v>
      </c>
      <c r="N1582" s="5" t="s">
        <v>164</v>
      </c>
      <c r="O1582" s="12"/>
      <c r="S1582" s="13">
        <v>18458</v>
      </c>
      <c r="U1582" s="13">
        <v>18458</v>
      </c>
      <c r="AC1582" s="10" t="s">
        <v>3827</v>
      </c>
      <c r="AD1582" s="5" t="s">
        <v>3819</v>
      </c>
      <c r="AE1582" s="5" t="s">
        <v>162</v>
      </c>
      <c r="AG1582" s="5" t="s">
        <v>3828</v>
      </c>
    </row>
    <row r="1583" spans="1:33" ht="10" customHeight="1" x14ac:dyDescent="0.2">
      <c r="A1583" s="5" t="s">
        <v>40</v>
      </c>
      <c r="B1583" s="5" t="s">
        <v>41</v>
      </c>
      <c r="D1583" s="5" t="s">
        <v>3829</v>
      </c>
      <c r="E1583" s="10" t="s">
        <v>345</v>
      </c>
      <c r="F1583" s="5" t="s">
        <v>3718</v>
      </c>
      <c r="G1583" s="5" t="s">
        <v>373</v>
      </c>
      <c r="H1583" s="5" t="s">
        <v>366</v>
      </c>
      <c r="I1583" s="11">
        <v>1</v>
      </c>
      <c r="J1583" s="5" t="s">
        <v>60</v>
      </c>
      <c r="K1583" s="10" t="s">
        <v>46</v>
      </c>
      <c r="L1583" s="5" t="s">
        <v>47</v>
      </c>
      <c r="M1583" s="5" t="s">
        <v>145</v>
      </c>
      <c r="N1583" s="5" t="s">
        <v>164</v>
      </c>
      <c r="O1583" s="12"/>
      <c r="S1583" s="13">
        <v>15265</v>
      </c>
      <c r="U1583" s="13">
        <v>15265</v>
      </c>
      <c r="AC1583" s="10" t="s">
        <v>3830</v>
      </c>
      <c r="AD1583" s="5" t="s">
        <v>3819</v>
      </c>
      <c r="AE1583" s="5" t="s">
        <v>162</v>
      </c>
      <c r="AG1583" s="5" t="s">
        <v>3831</v>
      </c>
    </row>
    <row r="1584" spans="1:33" ht="10" customHeight="1" x14ac:dyDescent="0.2">
      <c r="A1584" s="5" t="s">
        <v>40</v>
      </c>
      <c r="B1584" s="5" t="s">
        <v>41</v>
      </c>
      <c r="D1584" s="5" t="s">
        <v>3832</v>
      </c>
      <c r="E1584" s="10" t="s">
        <v>345</v>
      </c>
      <c r="F1584" s="5" t="s">
        <v>3718</v>
      </c>
      <c r="G1584" s="5" t="s">
        <v>373</v>
      </c>
      <c r="H1584" s="5" t="s">
        <v>366</v>
      </c>
      <c r="I1584" s="11">
        <v>1</v>
      </c>
      <c r="J1584" s="5" t="s">
        <v>60</v>
      </c>
      <c r="K1584" s="10" t="s">
        <v>46</v>
      </c>
      <c r="L1584" s="5" t="s">
        <v>47</v>
      </c>
      <c r="M1584" s="5" t="s">
        <v>145</v>
      </c>
      <c r="N1584" s="5" t="s">
        <v>164</v>
      </c>
      <c r="O1584" s="12"/>
      <c r="S1584" s="13">
        <v>7628</v>
      </c>
      <c r="U1584" s="13">
        <v>7628</v>
      </c>
      <c r="AC1584" s="10" t="s">
        <v>3833</v>
      </c>
      <c r="AD1584" s="5" t="s">
        <v>3819</v>
      </c>
      <c r="AE1584" s="5" t="s">
        <v>162</v>
      </c>
      <c r="AG1584" s="5" t="s">
        <v>3582</v>
      </c>
    </row>
    <row r="1585" spans="1:33" ht="10" customHeight="1" x14ac:dyDescent="0.2">
      <c r="A1585" s="5" t="s">
        <v>40</v>
      </c>
      <c r="B1585" s="5" t="s">
        <v>41</v>
      </c>
      <c r="D1585" s="5" t="s">
        <v>3834</v>
      </c>
      <c r="E1585" s="10" t="s">
        <v>345</v>
      </c>
      <c r="F1585" s="5" t="s">
        <v>3718</v>
      </c>
      <c r="G1585" s="5" t="s">
        <v>373</v>
      </c>
      <c r="H1585" s="5" t="s">
        <v>366</v>
      </c>
      <c r="I1585" s="11">
        <v>1</v>
      </c>
      <c r="J1585" s="5" t="s">
        <v>60</v>
      </c>
      <c r="K1585" s="10" t="s">
        <v>46</v>
      </c>
      <c r="L1585" s="5" t="s">
        <v>47</v>
      </c>
      <c r="M1585" s="5" t="s">
        <v>145</v>
      </c>
      <c r="N1585" s="5" t="s">
        <v>164</v>
      </c>
      <c r="O1585" s="12"/>
      <c r="S1585" s="13">
        <v>7143</v>
      </c>
      <c r="U1585" s="13">
        <v>7143</v>
      </c>
      <c r="AC1585" s="10" t="s">
        <v>3835</v>
      </c>
      <c r="AD1585" s="5" t="s">
        <v>3819</v>
      </c>
      <c r="AE1585" s="5" t="s">
        <v>162</v>
      </c>
      <c r="AG1585" s="5" t="s">
        <v>3836</v>
      </c>
    </row>
    <row r="1586" spans="1:33" ht="10" customHeight="1" x14ac:dyDescent="0.2">
      <c r="A1586" s="5" t="s">
        <v>40</v>
      </c>
      <c r="B1586" s="5" t="s">
        <v>41</v>
      </c>
      <c r="D1586" s="5" t="s">
        <v>3837</v>
      </c>
      <c r="E1586" s="10" t="s">
        <v>345</v>
      </c>
      <c r="F1586" s="5" t="s">
        <v>3718</v>
      </c>
      <c r="G1586" s="5" t="s">
        <v>373</v>
      </c>
      <c r="H1586" s="5" t="s">
        <v>366</v>
      </c>
      <c r="I1586" s="11">
        <v>1</v>
      </c>
      <c r="J1586" s="5" t="s">
        <v>60</v>
      </c>
      <c r="K1586" s="10" t="s">
        <v>46</v>
      </c>
      <c r="L1586" s="5" t="s">
        <v>47</v>
      </c>
      <c r="M1586" s="5" t="s">
        <v>145</v>
      </c>
      <c r="N1586" s="5" t="s">
        <v>164</v>
      </c>
      <c r="O1586" s="12"/>
      <c r="S1586" s="13">
        <v>947</v>
      </c>
      <c r="U1586" s="13">
        <v>947</v>
      </c>
      <c r="AC1586" s="10" t="s">
        <v>3838</v>
      </c>
      <c r="AD1586" s="5" t="s">
        <v>3819</v>
      </c>
      <c r="AE1586" s="5" t="s">
        <v>162</v>
      </c>
      <c r="AG1586" s="5" t="s">
        <v>3839</v>
      </c>
    </row>
    <row r="1587" spans="1:33" ht="10" customHeight="1" x14ac:dyDescent="0.2">
      <c r="A1587" s="5" t="s">
        <v>40</v>
      </c>
      <c r="B1587" s="5" t="s">
        <v>41</v>
      </c>
      <c r="D1587" s="5" t="s">
        <v>3840</v>
      </c>
      <c r="E1587" s="10" t="s">
        <v>345</v>
      </c>
      <c r="F1587" s="5" t="s">
        <v>3718</v>
      </c>
      <c r="G1587" s="5" t="s">
        <v>373</v>
      </c>
      <c r="H1587" s="5" t="s">
        <v>366</v>
      </c>
      <c r="I1587" s="11">
        <v>1</v>
      </c>
      <c r="J1587" s="5" t="s">
        <v>60</v>
      </c>
      <c r="K1587" s="10" t="s">
        <v>46</v>
      </c>
      <c r="L1587" s="5" t="s">
        <v>47</v>
      </c>
      <c r="M1587" s="5" t="s">
        <v>145</v>
      </c>
      <c r="N1587" s="5" t="s">
        <v>164</v>
      </c>
      <c r="O1587" s="12"/>
      <c r="S1587" s="13">
        <v>2395</v>
      </c>
      <c r="U1587" s="13">
        <v>2395</v>
      </c>
      <c r="AC1587" s="10" t="s">
        <v>3841</v>
      </c>
      <c r="AD1587" s="5" t="s">
        <v>3819</v>
      </c>
      <c r="AE1587" s="5" t="s">
        <v>162</v>
      </c>
      <c r="AG1587" s="5" t="s">
        <v>3842</v>
      </c>
    </row>
    <row r="1588" spans="1:33" ht="10" customHeight="1" x14ac:dyDescent="0.2">
      <c r="A1588" s="5" t="s">
        <v>40</v>
      </c>
      <c r="B1588" s="5" t="s">
        <v>41</v>
      </c>
      <c r="D1588" s="5" t="s">
        <v>3843</v>
      </c>
      <c r="E1588" s="10" t="s">
        <v>345</v>
      </c>
      <c r="F1588" s="5" t="s">
        <v>3718</v>
      </c>
      <c r="G1588" s="5" t="s">
        <v>373</v>
      </c>
      <c r="H1588" s="5" t="s">
        <v>366</v>
      </c>
      <c r="I1588" s="11">
        <v>1</v>
      </c>
      <c r="J1588" s="5" t="s">
        <v>60</v>
      </c>
      <c r="K1588" s="10" t="s">
        <v>46</v>
      </c>
      <c r="L1588" s="5" t="s">
        <v>47</v>
      </c>
      <c r="M1588" s="5" t="s">
        <v>145</v>
      </c>
      <c r="N1588" s="5" t="s">
        <v>164</v>
      </c>
      <c r="O1588" s="12"/>
      <c r="S1588" s="13">
        <v>8202</v>
      </c>
      <c r="U1588" s="13">
        <v>8202</v>
      </c>
      <c r="AC1588" s="10" t="s">
        <v>3844</v>
      </c>
      <c r="AD1588" s="5" t="s">
        <v>3819</v>
      </c>
      <c r="AE1588" s="5" t="s">
        <v>162</v>
      </c>
      <c r="AG1588" s="5" t="s">
        <v>3845</v>
      </c>
    </row>
    <row r="1589" spans="1:33" ht="10" customHeight="1" x14ac:dyDescent="0.2">
      <c r="A1589" s="5" t="s">
        <v>40</v>
      </c>
      <c r="B1589" s="5" t="s">
        <v>41</v>
      </c>
      <c r="D1589" s="5" t="s">
        <v>3846</v>
      </c>
      <c r="E1589" s="10" t="s">
        <v>345</v>
      </c>
      <c r="F1589" s="5" t="s">
        <v>3718</v>
      </c>
      <c r="G1589" s="5" t="s">
        <v>373</v>
      </c>
      <c r="H1589" s="5" t="s">
        <v>366</v>
      </c>
      <c r="I1589" s="11">
        <v>1</v>
      </c>
      <c r="J1589" s="5" t="s">
        <v>60</v>
      </c>
      <c r="K1589" s="10" t="s">
        <v>46</v>
      </c>
      <c r="L1589" s="5" t="s">
        <v>47</v>
      </c>
      <c r="M1589" s="5" t="s">
        <v>145</v>
      </c>
      <c r="N1589" s="5" t="s">
        <v>164</v>
      </c>
      <c r="O1589" s="12"/>
      <c r="S1589" s="13">
        <v>2964</v>
      </c>
      <c r="U1589" s="13">
        <v>2964</v>
      </c>
      <c r="AC1589" s="10" t="s">
        <v>3847</v>
      </c>
      <c r="AD1589" s="5" t="s">
        <v>3819</v>
      </c>
      <c r="AE1589" s="5" t="s">
        <v>162</v>
      </c>
      <c r="AG1589" s="5" t="s">
        <v>3848</v>
      </c>
    </row>
    <row r="1590" spans="1:33" ht="10" customHeight="1" x14ac:dyDescent="0.2">
      <c r="A1590" s="5" t="s">
        <v>40</v>
      </c>
      <c r="B1590" s="5" t="s">
        <v>41</v>
      </c>
      <c r="D1590" s="5" t="s">
        <v>3849</v>
      </c>
      <c r="E1590" s="10" t="s">
        <v>345</v>
      </c>
      <c r="F1590" s="5" t="s">
        <v>3718</v>
      </c>
      <c r="G1590" s="5" t="s">
        <v>464</v>
      </c>
      <c r="I1590" s="11">
        <v>1</v>
      </c>
      <c r="J1590" s="5" t="s">
        <v>60</v>
      </c>
      <c r="K1590" s="10" t="s">
        <v>46</v>
      </c>
      <c r="L1590" s="5" t="s">
        <v>47</v>
      </c>
      <c r="M1590" s="5" t="s">
        <v>145</v>
      </c>
      <c r="N1590" s="5" t="s">
        <v>164</v>
      </c>
      <c r="O1590" s="12"/>
      <c r="S1590" s="13">
        <v>93910</v>
      </c>
      <c r="U1590" s="13">
        <v>93910</v>
      </c>
      <c r="AC1590" s="10" t="s">
        <v>3850</v>
      </c>
      <c r="AD1590" s="5" t="s">
        <v>3851</v>
      </c>
      <c r="AE1590" s="5" t="s">
        <v>162</v>
      </c>
    </row>
    <row r="1591" spans="1:33" ht="10" customHeight="1" x14ac:dyDescent="0.2">
      <c r="A1591" s="5" t="s">
        <v>40</v>
      </c>
      <c r="B1591" s="5" t="s">
        <v>41</v>
      </c>
      <c r="D1591" s="5" t="s">
        <v>3852</v>
      </c>
      <c r="E1591" s="10" t="s">
        <v>345</v>
      </c>
      <c r="F1591" s="5" t="s">
        <v>3718</v>
      </c>
      <c r="G1591" s="5" t="s">
        <v>464</v>
      </c>
      <c r="I1591" s="11">
        <v>1</v>
      </c>
      <c r="J1591" s="5" t="s">
        <v>60</v>
      </c>
      <c r="K1591" s="10" t="s">
        <v>46</v>
      </c>
      <c r="L1591" s="5" t="s">
        <v>47</v>
      </c>
      <c r="M1591" s="5" t="s">
        <v>145</v>
      </c>
      <c r="N1591" s="5" t="s">
        <v>164</v>
      </c>
      <c r="O1591" s="12"/>
      <c r="S1591" s="13">
        <v>1607</v>
      </c>
      <c r="U1591" s="13">
        <v>1607</v>
      </c>
      <c r="AC1591" s="10" t="s">
        <v>3853</v>
      </c>
      <c r="AD1591" s="5" t="s">
        <v>3851</v>
      </c>
      <c r="AE1591" s="5" t="s">
        <v>162</v>
      </c>
    </row>
    <row r="1592" spans="1:33" ht="10" customHeight="1" x14ac:dyDescent="0.2">
      <c r="A1592" s="5" t="s">
        <v>40</v>
      </c>
      <c r="B1592" s="5" t="s">
        <v>41</v>
      </c>
      <c r="D1592" s="5" t="s">
        <v>3854</v>
      </c>
      <c r="E1592" s="10" t="s">
        <v>345</v>
      </c>
      <c r="F1592" s="5" t="s">
        <v>3718</v>
      </c>
      <c r="G1592" s="5" t="s">
        <v>464</v>
      </c>
      <c r="I1592" s="11">
        <v>1</v>
      </c>
      <c r="J1592" s="5" t="s">
        <v>60</v>
      </c>
      <c r="K1592" s="10" t="s">
        <v>46</v>
      </c>
      <c r="L1592" s="5" t="s">
        <v>47</v>
      </c>
      <c r="M1592" s="5" t="s">
        <v>145</v>
      </c>
      <c r="N1592" s="5" t="s">
        <v>164</v>
      </c>
      <c r="O1592" s="12"/>
      <c r="S1592" s="13">
        <v>5070</v>
      </c>
      <c r="U1592" s="13">
        <v>5070</v>
      </c>
      <c r="AC1592" s="10" t="s">
        <v>3855</v>
      </c>
      <c r="AD1592" s="5" t="s">
        <v>3851</v>
      </c>
      <c r="AE1592" s="5" t="s">
        <v>162</v>
      </c>
    </row>
    <row r="1593" spans="1:33" ht="10" customHeight="1" x14ac:dyDescent="0.2">
      <c r="A1593" s="5" t="s">
        <v>40</v>
      </c>
      <c r="B1593" s="5" t="s">
        <v>41</v>
      </c>
      <c r="D1593" s="5" t="s">
        <v>3856</v>
      </c>
      <c r="E1593" s="10" t="s">
        <v>345</v>
      </c>
      <c r="F1593" s="5" t="s">
        <v>3718</v>
      </c>
      <c r="G1593" s="5" t="s">
        <v>464</v>
      </c>
      <c r="I1593" s="11">
        <v>1</v>
      </c>
      <c r="J1593" s="5" t="s">
        <v>60</v>
      </c>
      <c r="K1593" s="10" t="s">
        <v>46</v>
      </c>
      <c r="L1593" s="5" t="s">
        <v>47</v>
      </c>
      <c r="M1593" s="5" t="s">
        <v>145</v>
      </c>
      <c r="N1593" s="5" t="s">
        <v>164</v>
      </c>
      <c r="O1593" s="12"/>
      <c r="S1593" s="13">
        <v>15493</v>
      </c>
      <c r="U1593" s="13">
        <v>15493</v>
      </c>
      <c r="AC1593" s="10" t="s">
        <v>3857</v>
      </c>
      <c r="AD1593" s="5" t="s">
        <v>3851</v>
      </c>
      <c r="AE1593" s="5" t="s">
        <v>162</v>
      </c>
    </row>
    <row r="1594" spans="1:33" ht="10" customHeight="1" x14ac:dyDescent="0.2">
      <c r="A1594" s="5" t="s">
        <v>40</v>
      </c>
      <c r="B1594" s="5" t="s">
        <v>41</v>
      </c>
      <c r="D1594" s="5" t="s">
        <v>3858</v>
      </c>
      <c r="E1594" s="10" t="s">
        <v>345</v>
      </c>
      <c r="F1594" s="5" t="s">
        <v>3718</v>
      </c>
      <c r="G1594" s="5" t="s">
        <v>464</v>
      </c>
      <c r="I1594" s="11">
        <v>1</v>
      </c>
      <c r="J1594" s="5" t="s">
        <v>60</v>
      </c>
      <c r="K1594" s="10" t="s">
        <v>46</v>
      </c>
      <c r="L1594" s="5" t="s">
        <v>47</v>
      </c>
      <c r="M1594" s="5" t="s">
        <v>145</v>
      </c>
      <c r="N1594" s="5" t="s">
        <v>164</v>
      </c>
      <c r="O1594" s="12"/>
      <c r="S1594" s="13">
        <v>28925</v>
      </c>
      <c r="U1594" s="13">
        <v>28925</v>
      </c>
      <c r="AC1594" s="10" t="s">
        <v>3859</v>
      </c>
      <c r="AD1594" s="5" t="s">
        <v>3851</v>
      </c>
      <c r="AE1594" s="5" t="s">
        <v>162</v>
      </c>
    </row>
    <row r="1595" spans="1:33" ht="10" customHeight="1" x14ac:dyDescent="0.2">
      <c r="A1595" s="5" t="s">
        <v>40</v>
      </c>
      <c r="B1595" s="5" t="s">
        <v>41</v>
      </c>
      <c r="D1595" s="5" t="s">
        <v>3860</v>
      </c>
      <c r="E1595" s="10" t="s">
        <v>345</v>
      </c>
      <c r="F1595" s="5" t="s">
        <v>3718</v>
      </c>
      <c r="G1595" s="5" t="s">
        <v>464</v>
      </c>
      <c r="I1595" s="11">
        <v>1</v>
      </c>
      <c r="J1595" s="5" t="s">
        <v>60</v>
      </c>
      <c r="K1595" s="10" t="s">
        <v>46</v>
      </c>
      <c r="L1595" s="5" t="s">
        <v>47</v>
      </c>
      <c r="M1595" s="5" t="s">
        <v>145</v>
      </c>
      <c r="N1595" s="5" t="s">
        <v>164</v>
      </c>
      <c r="O1595" s="12"/>
      <c r="S1595" s="13">
        <v>24696</v>
      </c>
      <c r="U1595" s="13">
        <v>24696</v>
      </c>
      <c r="AC1595" s="10" t="s">
        <v>3861</v>
      </c>
      <c r="AD1595" s="5" t="s">
        <v>3851</v>
      </c>
      <c r="AE1595" s="5" t="s">
        <v>162</v>
      </c>
      <c r="AG1595" s="5" t="s">
        <v>371</v>
      </c>
    </row>
    <row r="1596" spans="1:33" ht="10" customHeight="1" x14ac:dyDescent="0.2">
      <c r="A1596" s="5" t="s">
        <v>40</v>
      </c>
      <c r="B1596" s="5" t="s">
        <v>41</v>
      </c>
      <c r="D1596" s="5" t="s">
        <v>3862</v>
      </c>
      <c r="E1596" s="10" t="s">
        <v>345</v>
      </c>
      <c r="F1596" s="5" t="s">
        <v>3718</v>
      </c>
      <c r="G1596" s="5" t="s">
        <v>464</v>
      </c>
      <c r="I1596" s="11">
        <v>1</v>
      </c>
      <c r="J1596" s="5" t="s">
        <v>60</v>
      </c>
      <c r="K1596" s="10" t="s">
        <v>46</v>
      </c>
      <c r="L1596" s="5" t="s">
        <v>47</v>
      </c>
      <c r="M1596" s="5" t="s">
        <v>145</v>
      </c>
      <c r="N1596" s="5" t="s">
        <v>164</v>
      </c>
      <c r="O1596" s="12"/>
      <c r="S1596" s="13">
        <v>21824</v>
      </c>
      <c r="U1596" s="13">
        <v>21824</v>
      </c>
      <c r="AC1596" s="10" t="s">
        <v>3863</v>
      </c>
      <c r="AD1596" s="5" t="s">
        <v>3864</v>
      </c>
      <c r="AE1596" s="5" t="s">
        <v>162</v>
      </c>
    </row>
    <row r="1597" spans="1:33" ht="10" customHeight="1" x14ac:dyDescent="0.2">
      <c r="A1597" s="5" t="s">
        <v>40</v>
      </c>
      <c r="B1597" s="5" t="s">
        <v>41</v>
      </c>
      <c r="D1597" s="5" t="s">
        <v>3865</v>
      </c>
      <c r="E1597" s="10" t="s">
        <v>345</v>
      </c>
      <c r="F1597" s="5" t="s">
        <v>3718</v>
      </c>
      <c r="G1597" s="5" t="s">
        <v>464</v>
      </c>
      <c r="I1597" s="11">
        <v>1</v>
      </c>
      <c r="J1597" s="5" t="s">
        <v>60</v>
      </c>
      <c r="K1597" s="10" t="s">
        <v>46</v>
      </c>
      <c r="L1597" s="5" t="s">
        <v>47</v>
      </c>
      <c r="M1597" s="5" t="s">
        <v>145</v>
      </c>
      <c r="N1597" s="5" t="s">
        <v>164</v>
      </c>
      <c r="O1597" s="12"/>
      <c r="S1597" s="13">
        <v>689</v>
      </c>
      <c r="U1597" s="13">
        <v>689</v>
      </c>
      <c r="AC1597" s="10" t="s">
        <v>3866</v>
      </c>
      <c r="AD1597" s="5" t="s">
        <v>3864</v>
      </c>
      <c r="AE1597" s="5" t="s">
        <v>162</v>
      </c>
    </row>
    <row r="1598" spans="1:33" ht="10" customHeight="1" x14ac:dyDescent="0.2">
      <c r="A1598" s="5" t="s">
        <v>40</v>
      </c>
      <c r="B1598" s="5" t="s">
        <v>41</v>
      </c>
      <c r="D1598" s="5" t="s">
        <v>3867</v>
      </c>
      <c r="E1598" s="10" t="s">
        <v>345</v>
      </c>
      <c r="F1598" s="5" t="s">
        <v>3718</v>
      </c>
      <c r="G1598" s="5" t="s">
        <v>464</v>
      </c>
      <c r="I1598" s="11">
        <v>1</v>
      </c>
      <c r="J1598" s="5" t="s">
        <v>60</v>
      </c>
      <c r="K1598" s="10" t="s">
        <v>46</v>
      </c>
      <c r="L1598" s="5" t="s">
        <v>47</v>
      </c>
      <c r="M1598" s="5" t="s">
        <v>145</v>
      </c>
      <c r="N1598" s="5" t="s">
        <v>164</v>
      </c>
      <c r="O1598" s="12"/>
      <c r="S1598" s="13">
        <v>1434</v>
      </c>
      <c r="U1598" s="13">
        <v>1434</v>
      </c>
      <c r="AC1598" s="10" t="s">
        <v>3868</v>
      </c>
      <c r="AD1598" s="5" t="s">
        <v>3864</v>
      </c>
      <c r="AE1598" s="5" t="s">
        <v>162</v>
      </c>
    </row>
    <row r="1599" spans="1:33" ht="10" customHeight="1" x14ac:dyDescent="0.2">
      <c r="A1599" s="5" t="s">
        <v>40</v>
      </c>
      <c r="B1599" s="5" t="s">
        <v>41</v>
      </c>
      <c r="D1599" s="5" t="s">
        <v>3869</v>
      </c>
      <c r="E1599" s="10" t="s">
        <v>345</v>
      </c>
      <c r="F1599" s="5" t="s">
        <v>3718</v>
      </c>
      <c r="G1599" s="5" t="s">
        <v>464</v>
      </c>
      <c r="I1599" s="11">
        <v>1</v>
      </c>
      <c r="J1599" s="5" t="s">
        <v>60</v>
      </c>
      <c r="K1599" s="10" t="s">
        <v>46</v>
      </c>
      <c r="L1599" s="5" t="s">
        <v>47</v>
      </c>
      <c r="M1599" s="5" t="s">
        <v>145</v>
      </c>
      <c r="N1599" s="5" t="s">
        <v>164</v>
      </c>
      <c r="O1599" s="12"/>
      <c r="S1599" s="13">
        <v>2026</v>
      </c>
      <c r="U1599" s="13">
        <v>2026</v>
      </c>
      <c r="AC1599" s="10" t="s">
        <v>3870</v>
      </c>
      <c r="AD1599" s="5" t="s">
        <v>3864</v>
      </c>
      <c r="AE1599" s="5" t="s">
        <v>162</v>
      </c>
    </row>
    <row r="1600" spans="1:33" ht="10" customHeight="1" x14ac:dyDescent="0.2">
      <c r="A1600" s="5" t="s">
        <v>40</v>
      </c>
      <c r="B1600" s="5" t="s">
        <v>41</v>
      </c>
      <c r="D1600" s="5" t="s">
        <v>3871</v>
      </c>
      <c r="E1600" s="10" t="s">
        <v>345</v>
      </c>
      <c r="F1600" s="5" t="s">
        <v>3718</v>
      </c>
      <c r="G1600" s="5" t="s">
        <v>464</v>
      </c>
      <c r="I1600" s="11">
        <v>1</v>
      </c>
      <c r="J1600" s="5" t="s">
        <v>60</v>
      </c>
      <c r="K1600" s="10" t="s">
        <v>46</v>
      </c>
      <c r="L1600" s="5" t="s">
        <v>47</v>
      </c>
      <c r="M1600" s="5" t="s">
        <v>145</v>
      </c>
      <c r="N1600" s="5" t="s">
        <v>164</v>
      </c>
      <c r="O1600" s="12"/>
      <c r="S1600" s="13">
        <v>1229</v>
      </c>
      <c r="U1600" s="13">
        <v>1229</v>
      </c>
      <c r="AC1600" s="10" t="s">
        <v>3872</v>
      </c>
      <c r="AD1600" s="5" t="s">
        <v>3864</v>
      </c>
      <c r="AE1600" s="5" t="s">
        <v>162</v>
      </c>
    </row>
    <row r="1601" spans="1:33" ht="10" customHeight="1" x14ac:dyDescent="0.2">
      <c r="A1601" s="5" t="s">
        <v>40</v>
      </c>
      <c r="B1601" s="5" t="s">
        <v>41</v>
      </c>
      <c r="D1601" s="5" t="s">
        <v>3873</v>
      </c>
      <c r="E1601" s="10" t="s">
        <v>345</v>
      </c>
      <c r="F1601" s="5" t="s">
        <v>3718</v>
      </c>
      <c r="G1601" s="5" t="s">
        <v>464</v>
      </c>
      <c r="I1601" s="11">
        <v>1</v>
      </c>
      <c r="J1601" s="5" t="s">
        <v>60</v>
      </c>
      <c r="K1601" s="10" t="s">
        <v>46</v>
      </c>
      <c r="L1601" s="5" t="s">
        <v>47</v>
      </c>
      <c r="M1601" s="5" t="s">
        <v>145</v>
      </c>
      <c r="N1601" s="5" t="s">
        <v>164</v>
      </c>
      <c r="O1601" s="12"/>
      <c r="S1601" s="13">
        <v>8106</v>
      </c>
      <c r="U1601" s="13">
        <v>8106</v>
      </c>
      <c r="AC1601" s="10" t="s">
        <v>3874</v>
      </c>
      <c r="AD1601" s="5" t="s">
        <v>3864</v>
      </c>
      <c r="AE1601" s="5" t="s">
        <v>162</v>
      </c>
    </row>
    <row r="1602" spans="1:33" ht="10" customHeight="1" x14ac:dyDescent="0.2">
      <c r="A1602" s="5" t="s">
        <v>40</v>
      </c>
      <c r="B1602" s="5" t="s">
        <v>41</v>
      </c>
      <c r="D1602" s="5" t="s">
        <v>3875</v>
      </c>
      <c r="E1602" s="10" t="s">
        <v>345</v>
      </c>
      <c r="F1602" s="5" t="s">
        <v>3718</v>
      </c>
      <c r="G1602" s="5" t="s">
        <v>464</v>
      </c>
      <c r="I1602" s="11">
        <v>1</v>
      </c>
      <c r="J1602" s="5" t="s">
        <v>60</v>
      </c>
      <c r="K1602" s="10" t="s">
        <v>46</v>
      </c>
      <c r="L1602" s="5" t="s">
        <v>47</v>
      </c>
      <c r="M1602" s="5" t="s">
        <v>145</v>
      </c>
      <c r="N1602" s="5" t="s">
        <v>164</v>
      </c>
      <c r="O1602" s="12"/>
      <c r="S1602" s="13">
        <v>6772</v>
      </c>
      <c r="U1602" s="13">
        <v>6772</v>
      </c>
      <c r="AC1602" s="10" t="s">
        <v>3876</v>
      </c>
      <c r="AD1602" s="5" t="s">
        <v>3877</v>
      </c>
      <c r="AE1602" s="5" t="s">
        <v>162</v>
      </c>
    </row>
    <row r="1603" spans="1:33" ht="10" customHeight="1" x14ac:dyDescent="0.2">
      <c r="A1603" s="5" t="s">
        <v>40</v>
      </c>
      <c r="B1603" s="5" t="s">
        <v>41</v>
      </c>
      <c r="D1603" s="5" t="s">
        <v>3878</v>
      </c>
      <c r="E1603" s="10" t="s">
        <v>345</v>
      </c>
      <c r="F1603" s="5" t="s">
        <v>3718</v>
      </c>
      <c r="G1603" s="5" t="s">
        <v>464</v>
      </c>
      <c r="I1603" s="11">
        <v>1</v>
      </c>
      <c r="J1603" s="5" t="s">
        <v>60</v>
      </c>
      <c r="K1603" s="10" t="s">
        <v>46</v>
      </c>
      <c r="L1603" s="5" t="s">
        <v>47</v>
      </c>
      <c r="M1603" s="5" t="s">
        <v>145</v>
      </c>
      <c r="N1603" s="5" t="s">
        <v>164</v>
      </c>
      <c r="O1603" s="12"/>
      <c r="S1603" s="13">
        <v>125</v>
      </c>
      <c r="U1603" s="13">
        <v>125</v>
      </c>
      <c r="AC1603" s="10" t="s">
        <v>3879</v>
      </c>
      <c r="AD1603" s="5" t="s">
        <v>3877</v>
      </c>
      <c r="AE1603" s="5" t="s">
        <v>162</v>
      </c>
    </row>
    <row r="1604" spans="1:33" ht="10" customHeight="1" x14ac:dyDescent="0.2">
      <c r="A1604" s="5" t="s">
        <v>40</v>
      </c>
      <c r="B1604" s="5" t="s">
        <v>41</v>
      </c>
      <c r="D1604" s="5" t="s">
        <v>3880</v>
      </c>
      <c r="E1604" s="10" t="s">
        <v>345</v>
      </c>
      <c r="F1604" s="5" t="s">
        <v>3718</v>
      </c>
      <c r="G1604" s="5" t="s">
        <v>464</v>
      </c>
      <c r="I1604" s="11">
        <v>1</v>
      </c>
      <c r="J1604" s="5" t="s">
        <v>60</v>
      </c>
      <c r="K1604" s="10" t="s">
        <v>46</v>
      </c>
      <c r="L1604" s="5" t="s">
        <v>47</v>
      </c>
      <c r="M1604" s="5" t="s">
        <v>145</v>
      </c>
      <c r="N1604" s="5" t="s">
        <v>164</v>
      </c>
      <c r="O1604" s="12"/>
      <c r="S1604" s="13">
        <v>876</v>
      </c>
      <c r="U1604" s="13">
        <v>876</v>
      </c>
      <c r="AC1604" s="10" t="s">
        <v>3881</v>
      </c>
      <c r="AD1604" s="5" t="s">
        <v>3877</v>
      </c>
      <c r="AE1604" s="5" t="s">
        <v>162</v>
      </c>
    </row>
    <row r="1605" spans="1:33" ht="10" customHeight="1" x14ac:dyDescent="0.2">
      <c r="A1605" s="5" t="s">
        <v>40</v>
      </c>
      <c r="B1605" s="5" t="s">
        <v>41</v>
      </c>
      <c r="D1605" s="5" t="s">
        <v>3882</v>
      </c>
      <c r="E1605" s="10" t="s">
        <v>345</v>
      </c>
      <c r="F1605" s="5" t="s">
        <v>3718</v>
      </c>
      <c r="G1605" s="5" t="s">
        <v>464</v>
      </c>
      <c r="I1605" s="11">
        <v>1</v>
      </c>
      <c r="J1605" s="5" t="s">
        <v>60</v>
      </c>
      <c r="K1605" s="10" t="s">
        <v>46</v>
      </c>
      <c r="L1605" s="5" t="s">
        <v>47</v>
      </c>
      <c r="M1605" s="5" t="s">
        <v>145</v>
      </c>
      <c r="N1605" s="5" t="s">
        <v>164</v>
      </c>
      <c r="O1605" s="12"/>
      <c r="S1605" s="13">
        <v>1571</v>
      </c>
      <c r="U1605" s="13">
        <v>1571</v>
      </c>
      <c r="AC1605" s="10" t="s">
        <v>3883</v>
      </c>
      <c r="AD1605" s="5" t="s">
        <v>3877</v>
      </c>
      <c r="AE1605" s="5" t="s">
        <v>162</v>
      </c>
    </row>
    <row r="1606" spans="1:33" ht="10" customHeight="1" x14ac:dyDescent="0.2">
      <c r="A1606" s="5" t="s">
        <v>40</v>
      </c>
      <c r="B1606" s="5" t="s">
        <v>41</v>
      </c>
      <c r="D1606" s="5" t="s">
        <v>3884</v>
      </c>
      <c r="E1606" s="10" t="s">
        <v>345</v>
      </c>
      <c r="F1606" s="5" t="s">
        <v>3718</v>
      </c>
      <c r="G1606" s="5" t="s">
        <v>464</v>
      </c>
      <c r="I1606" s="11">
        <v>1</v>
      </c>
      <c r="J1606" s="5" t="s">
        <v>60</v>
      </c>
      <c r="K1606" s="10" t="s">
        <v>46</v>
      </c>
      <c r="L1606" s="5" t="s">
        <v>47</v>
      </c>
      <c r="M1606" s="5" t="s">
        <v>145</v>
      </c>
      <c r="N1606" s="5" t="s">
        <v>164</v>
      </c>
      <c r="O1606" s="12"/>
      <c r="S1606" s="13">
        <v>874</v>
      </c>
      <c r="U1606" s="13">
        <v>874</v>
      </c>
      <c r="AC1606" s="10" t="s">
        <v>3885</v>
      </c>
      <c r="AD1606" s="5" t="s">
        <v>3877</v>
      </c>
      <c r="AE1606" s="5" t="s">
        <v>162</v>
      </c>
    </row>
    <row r="1607" spans="1:33" ht="10" customHeight="1" x14ac:dyDescent="0.2">
      <c r="A1607" s="5" t="s">
        <v>40</v>
      </c>
      <c r="B1607" s="5" t="s">
        <v>41</v>
      </c>
      <c r="D1607" s="5" t="s">
        <v>3886</v>
      </c>
      <c r="E1607" s="10" t="s">
        <v>345</v>
      </c>
      <c r="F1607" s="5" t="s">
        <v>3718</v>
      </c>
      <c r="G1607" s="5" t="s">
        <v>464</v>
      </c>
      <c r="I1607" s="11">
        <v>1</v>
      </c>
      <c r="J1607" s="5" t="s">
        <v>60</v>
      </c>
      <c r="K1607" s="10" t="s">
        <v>46</v>
      </c>
      <c r="L1607" s="5" t="s">
        <v>47</v>
      </c>
      <c r="M1607" s="5" t="s">
        <v>145</v>
      </c>
      <c r="N1607" s="5" t="s">
        <v>164</v>
      </c>
      <c r="O1607" s="12"/>
      <c r="S1607" s="13">
        <v>12607</v>
      </c>
      <c r="U1607" s="13">
        <v>12607</v>
      </c>
      <c r="AC1607" s="10" t="s">
        <v>3887</v>
      </c>
      <c r="AD1607" s="5" t="s">
        <v>3888</v>
      </c>
      <c r="AE1607" s="5" t="s">
        <v>162</v>
      </c>
    </row>
    <row r="1608" spans="1:33" ht="10" customHeight="1" x14ac:dyDescent="0.2">
      <c r="A1608" s="5" t="s">
        <v>40</v>
      </c>
      <c r="B1608" s="5" t="s">
        <v>41</v>
      </c>
      <c r="D1608" s="5" t="s">
        <v>3889</v>
      </c>
      <c r="E1608" s="10" t="s">
        <v>345</v>
      </c>
      <c r="F1608" s="5" t="s">
        <v>3718</v>
      </c>
      <c r="G1608" s="5" t="s">
        <v>464</v>
      </c>
      <c r="I1608" s="11">
        <v>1</v>
      </c>
      <c r="J1608" s="5" t="s">
        <v>60</v>
      </c>
      <c r="K1608" s="10" t="s">
        <v>46</v>
      </c>
      <c r="L1608" s="5" t="s">
        <v>47</v>
      </c>
      <c r="M1608" s="5" t="s">
        <v>145</v>
      </c>
      <c r="N1608" s="5" t="s">
        <v>164</v>
      </c>
      <c r="O1608" s="12"/>
      <c r="S1608" s="13">
        <v>56</v>
      </c>
      <c r="U1608" s="13">
        <v>56</v>
      </c>
      <c r="AC1608" s="10" t="s">
        <v>3890</v>
      </c>
      <c r="AD1608" s="5" t="s">
        <v>3888</v>
      </c>
      <c r="AE1608" s="5" t="s">
        <v>162</v>
      </c>
    </row>
    <row r="1609" spans="1:33" ht="10" customHeight="1" x14ac:dyDescent="0.2">
      <c r="A1609" s="5" t="s">
        <v>40</v>
      </c>
      <c r="B1609" s="5" t="s">
        <v>41</v>
      </c>
      <c r="D1609" s="5" t="s">
        <v>3891</v>
      </c>
      <c r="E1609" s="10" t="s">
        <v>345</v>
      </c>
      <c r="F1609" s="5" t="s">
        <v>3718</v>
      </c>
      <c r="G1609" s="5" t="s">
        <v>464</v>
      </c>
      <c r="I1609" s="11">
        <v>1</v>
      </c>
      <c r="J1609" s="5" t="s">
        <v>60</v>
      </c>
      <c r="K1609" s="10" t="s">
        <v>46</v>
      </c>
      <c r="L1609" s="5" t="s">
        <v>47</v>
      </c>
      <c r="M1609" s="5" t="s">
        <v>145</v>
      </c>
      <c r="N1609" s="5" t="s">
        <v>164</v>
      </c>
      <c r="O1609" s="12"/>
      <c r="S1609" s="13">
        <v>286</v>
      </c>
      <c r="U1609" s="13">
        <v>286</v>
      </c>
      <c r="AC1609" s="10" t="s">
        <v>3892</v>
      </c>
      <c r="AD1609" s="5" t="s">
        <v>3888</v>
      </c>
      <c r="AE1609" s="5" t="s">
        <v>162</v>
      </c>
      <c r="AG1609" s="5" t="s">
        <v>3893</v>
      </c>
    </row>
    <row r="1610" spans="1:33" ht="10" customHeight="1" x14ac:dyDescent="0.2">
      <c r="A1610" s="5" t="s">
        <v>40</v>
      </c>
      <c r="B1610" s="5" t="s">
        <v>41</v>
      </c>
      <c r="D1610" s="5" t="s">
        <v>3894</v>
      </c>
      <c r="E1610" s="10" t="s">
        <v>345</v>
      </c>
      <c r="F1610" s="5" t="s">
        <v>3718</v>
      </c>
      <c r="G1610" s="5" t="s">
        <v>464</v>
      </c>
      <c r="I1610" s="11">
        <v>1</v>
      </c>
      <c r="J1610" s="5" t="s">
        <v>60</v>
      </c>
      <c r="K1610" s="10" t="s">
        <v>46</v>
      </c>
      <c r="L1610" s="5" t="s">
        <v>47</v>
      </c>
      <c r="M1610" s="5" t="s">
        <v>145</v>
      </c>
      <c r="N1610" s="5" t="s">
        <v>164</v>
      </c>
      <c r="O1610" s="12"/>
      <c r="S1610" s="13">
        <v>1087</v>
      </c>
      <c r="U1610" s="13">
        <v>1087</v>
      </c>
      <c r="AC1610" s="10" t="s">
        <v>3895</v>
      </c>
      <c r="AD1610" s="5" t="s">
        <v>3888</v>
      </c>
      <c r="AE1610" s="5" t="s">
        <v>162</v>
      </c>
    </row>
    <row r="1611" spans="1:33" ht="10" customHeight="1" x14ac:dyDescent="0.2">
      <c r="A1611" s="5" t="s">
        <v>40</v>
      </c>
      <c r="B1611" s="5" t="s">
        <v>41</v>
      </c>
      <c r="D1611" s="5" t="s">
        <v>3896</v>
      </c>
      <c r="E1611" s="10" t="s">
        <v>345</v>
      </c>
      <c r="F1611" s="5" t="s">
        <v>3718</v>
      </c>
      <c r="G1611" s="5" t="s">
        <v>464</v>
      </c>
      <c r="I1611" s="11">
        <v>1</v>
      </c>
      <c r="J1611" s="5" t="s">
        <v>60</v>
      </c>
      <c r="K1611" s="10" t="s">
        <v>46</v>
      </c>
      <c r="L1611" s="5" t="s">
        <v>47</v>
      </c>
      <c r="M1611" s="5" t="s">
        <v>145</v>
      </c>
      <c r="N1611" s="5" t="s">
        <v>164</v>
      </c>
      <c r="O1611" s="12"/>
      <c r="S1611" s="13">
        <v>170</v>
      </c>
      <c r="U1611" s="13">
        <v>170</v>
      </c>
      <c r="AC1611" s="10" t="s">
        <v>3897</v>
      </c>
      <c r="AD1611" s="5" t="s">
        <v>3888</v>
      </c>
      <c r="AE1611" s="5" t="s">
        <v>162</v>
      </c>
    </row>
    <row r="1612" spans="1:33" ht="10" customHeight="1" x14ac:dyDescent="0.2">
      <c r="A1612" s="5" t="s">
        <v>40</v>
      </c>
      <c r="B1612" s="5" t="s">
        <v>41</v>
      </c>
      <c r="D1612" s="5" t="s">
        <v>3898</v>
      </c>
      <c r="E1612" s="10" t="s">
        <v>345</v>
      </c>
      <c r="F1612" s="5" t="s">
        <v>3718</v>
      </c>
      <c r="G1612" s="5" t="s">
        <v>464</v>
      </c>
      <c r="I1612" s="11">
        <v>1</v>
      </c>
      <c r="J1612" s="5" t="s">
        <v>60</v>
      </c>
      <c r="K1612" s="10" t="s">
        <v>46</v>
      </c>
      <c r="L1612" s="5" t="s">
        <v>47</v>
      </c>
      <c r="M1612" s="5" t="s">
        <v>145</v>
      </c>
      <c r="N1612" s="5" t="s">
        <v>164</v>
      </c>
      <c r="O1612" s="12"/>
      <c r="S1612" s="13">
        <v>698</v>
      </c>
      <c r="U1612" s="13">
        <v>698</v>
      </c>
      <c r="AC1612" s="10" t="s">
        <v>3899</v>
      </c>
      <c r="AD1612" s="5" t="s">
        <v>3888</v>
      </c>
      <c r="AE1612" s="5" t="s">
        <v>162</v>
      </c>
    </row>
    <row r="1613" spans="1:33" ht="10" customHeight="1" x14ac:dyDescent="0.2">
      <c r="A1613" s="5" t="s">
        <v>40</v>
      </c>
      <c r="B1613" s="5" t="s">
        <v>41</v>
      </c>
      <c r="D1613" s="5" t="s">
        <v>3900</v>
      </c>
      <c r="E1613" s="10" t="s">
        <v>345</v>
      </c>
      <c r="F1613" s="5" t="s">
        <v>3718</v>
      </c>
      <c r="G1613" s="5" t="s">
        <v>464</v>
      </c>
      <c r="I1613" s="11">
        <v>1</v>
      </c>
      <c r="J1613" s="5" t="s">
        <v>60</v>
      </c>
      <c r="K1613" s="10" t="s">
        <v>46</v>
      </c>
      <c r="L1613" s="5" t="s">
        <v>47</v>
      </c>
      <c r="M1613" s="5" t="s">
        <v>145</v>
      </c>
      <c r="N1613" s="5" t="s">
        <v>164</v>
      </c>
      <c r="O1613" s="12"/>
      <c r="S1613" s="13">
        <v>13528</v>
      </c>
      <c r="U1613" s="13">
        <v>13528</v>
      </c>
      <c r="AC1613" s="10" t="s">
        <v>3901</v>
      </c>
      <c r="AD1613" s="5" t="s">
        <v>3902</v>
      </c>
      <c r="AE1613" s="5" t="s">
        <v>162</v>
      </c>
    </row>
    <row r="1614" spans="1:33" ht="10" customHeight="1" x14ac:dyDescent="0.2">
      <c r="A1614" s="5" t="s">
        <v>40</v>
      </c>
      <c r="B1614" s="5" t="s">
        <v>41</v>
      </c>
      <c r="D1614" s="5" t="s">
        <v>3903</v>
      </c>
      <c r="E1614" s="10" t="s">
        <v>345</v>
      </c>
      <c r="F1614" s="5" t="s">
        <v>3718</v>
      </c>
      <c r="G1614" s="5" t="s">
        <v>464</v>
      </c>
      <c r="I1614" s="11">
        <v>1</v>
      </c>
      <c r="J1614" s="5" t="s">
        <v>60</v>
      </c>
      <c r="K1614" s="10" t="s">
        <v>46</v>
      </c>
      <c r="L1614" s="5" t="s">
        <v>47</v>
      </c>
      <c r="M1614" s="5" t="s">
        <v>145</v>
      </c>
      <c r="N1614" s="5" t="s">
        <v>164</v>
      </c>
      <c r="O1614" s="12"/>
      <c r="S1614" s="13">
        <v>53</v>
      </c>
      <c r="U1614" s="13">
        <v>53</v>
      </c>
      <c r="AC1614" s="10" t="s">
        <v>3904</v>
      </c>
      <c r="AD1614" s="5" t="s">
        <v>3902</v>
      </c>
      <c r="AE1614" s="5" t="s">
        <v>162</v>
      </c>
    </row>
    <row r="1615" spans="1:33" ht="10" customHeight="1" x14ac:dyDescent="0.2">
      <c r="A1615" s="5" t="s">
        <v>40</v>
      </c>
      <c r="B1615" s="5" t="s">
        <v>41</v>
      </c>
      <c r="D1615" s="5" t="s">
        <v>3905</v>
      </c>
      <c r="E1615" s="10" t="s">
        <v>345</v>
      </c>
      <c r="F1615" s="5" t="s">
        <v>3718</v>
      </c>
      <c r="G1615" s="5" t="s">
        <v>464</v>
      </c>
      <c r="I1615" s="11">
        <v>1</v>
      </c>
      <c r="J1615" s="5" t="s">
        <v>60</v>
      </c>
      <c r="K1615" s="10" t="s">
        <v>46</v>
      </c>
      <c r="L1615" s="5" t="s">
        <v>47</v>
      </c>
      <c r="M1615" s="5" t="s">
        <v>145</v>
      </c>
      <c r="N1615" s="5" t="s">
        <v>164</v>
      </c>
      <c r="O1615" s="12"/>
      <c r="S1615" s="13">
        <v>1119</v>
      </c>
      <c r="U1615" s="13">
        <v>1119</v>
      </c>
      <c r="AC1615" s="10" t="s">
        <v>3906</v>
      </c>
      <c r="AD1615" s="5" t="s">
        <v>3902</v>
      </c>
      <c r="AE1615" s="5" t="s">
        <v>162</v>
      </c>
    </row>
    <row r="1616" spans="1:33" ht="10" customHeight="1" x14ac:dyDescent="0.2">
      <c r="A1616" s="5" t="s">
        <v>40</v>
      </c>
      <c r="B1616" s="5" t="s">
        <v>41</v>
      </c>
      <c r="D1616" s="5" t="s">
        <v>3907</v>
      </c>
      <c r="E1616" s="10" t="s">
        <v>345</v>
      </c>
      <c r="F1616" s="5" t="s">
        <v>3718</v>
      </c>
      <c r="G1616" s="5" t="s">
        <v>464</v>
      </c>
      <c r="I1616" s="11">
        <v>1</v>
      </c>
      <c r="J1616" s="5" t="s">
        <v>60</v>
      </c>
      <c r="K1616" s="10" t="s">
        <v>46</v>
      </c>
      <c r="L1616" s="5" t="s">
        <v>47</v>
      </c>
      <c r="M1616" s="5" t="s">
        <v>145</v>
      </c>
      <c r="N1616" s="5" t="s">
        <v>164</v>
      </c>
      <c r="O1616" s="12"/>
      <c r="S1616" s="13">
        <v>781</v>
      </c>
      <c r="U1616" s="13">
        <v>781</v>
      </c>
      <c r="AC1616" s="10" t="s">
        <v>3908</v>
      </c>
      <c r="AD1616" s="5" t="s">
        <v>3902</v>
      </c>
      <c r="AE1616" s="5" t="s">
        <v>162</v>
      </c>
    </row>
    <row r="1617" spans="1:33" ht="10" customHeight="1" x14ac:dyDescent="0.2">
      <c r="A1617" s="5" t="s">
        <v>40</v>
      </c>
      <c r="B1617" s="5" t="s">
        <v>41</v>
      </c>
      <c r="D1617" s="5" t="s">
        <v>3909</v>
      </c>
      <c r="E1617" s="10" t="s">
        <v>345</v>
      </c>
      <c r="F1617" s="5" t="s">
        <v>3718</v>
      </c>
      <c r="G1617" s="5" t="s">
        <v>464</v>
      </c>
      <c r="I1617" s="11">
        <v>1</v>
      </c>
      <c r="J1617" s="5" t="s">
        <v>60</v>
      </c>
      <c r="K1617" s="10" t="s">
        <v>46</v>
      </c>
      <c r="L1617" s="5" t="s">
        <v>47</v>
      </c>
      <c r="M1617" s="5" t="s">
        <v>145</v>
      </c>
      <c r="N1617" s="5" t="s">
        <v>164</v>
      </c>
      <c r="O1617" s="12"/>
      <c r="S1617" s="13">
        <v>564</v>
      </c>
      <c r="U1617" s="13">
        <v>564</v>
      </c>
      <c r="AC1617" s="10" t="s">
        <v>3910</v>
      </c>
      <c r="AD1617" s="5" t="s">
        <v>3902</v>
      </c>
      <c r="AE1617" s="5" t="s">
        <v>162</v>
      </c>
    </row>
    <row r="1618" spans="1:33" ht="10" customHeight="1" x14ac:dyDescent="0.2">
      <c r="A1618" s="5" t="s">
        <v>40</v>
      </c>
      <c r="B1618" s="5" t="s">
        <v>41</v>
      </c>
      <c r="D1618" s="5" t="s">
        <v>3911</v>
      </c>
      <c r="E1618" s="10" t="s">
        <v>345</v>
      </c>
      <c r="F1618" s="5" t="s">
        <v>3718</v>
      </c>
      <c r="G1618" s="5" t="s">
        <v>464</v>
      </c>
      <c r="I1618" s="11">
        <v>1</v>
      </c>
      <c r="J1618" s="5" t="s">
        <v>60</v>
      </c>
      <c r="K1618" s="10" t="s">
        <v>46</v>
      </c>
      <c r="L1618" s="5" t="s">
        <v>47</v>
      </c>
      <c r="M1618" s="5" t="s">
        <v>145</v>
      </c>
      <c r="N1618" s="5" t="s">
        <v>164</v>
      </c>
      <c r="O1618" s="12"/>
      <c r="S1618" s="13">
        <v>598</v>
      </c>
      <c r="U1618" s="13">
        <v>598</v>
      </c>
      <c r="AC1618" s="10" t="s">
        <v>3912</v>
      </c>
      <c r="AD1618" s="5" t="s">
        <v>3902</v>
      </c>
      <c r="AE1618" s="5" t="s">
        <v>162</v>
      </c>
    </row>
    <row r="1619" spans="1:33" ht="10" customHeight="1" x14ac:dyDescent="0.2">
      <c r="A1619" s="5" t="s">
        <v>40</v>
      </c>
      <c r="B1619" s="5" t="s">
        <v>41</v>
      </c>
      <c r="D1619" s="5" t="s">
        <v>3913</v>
      </c>
      <c r="E1619" s="10" t="s">
        <v>345</v>
      </c>
      <c r="F1619" s="5" t="s">
        <v>3718</v>
      </c>
      <c r="G1619" s="5" t="s">
        <v>464</v>
      </c>
      <c r="I1619" s="11">
        <v>1</v>
      </c>
      <c r="J1619" s="5" t="s">
        <v>60</v>
      </c>
      <c r="K1619" s="10" t="s">
        <v>46</v>
      </c>
      <c r="L1619" s="5" t="s">
        <v>47</v>
      </c>
      <c r="M1619" s="5" t="s">
        <v>145</v>
      </c>
      <c r="N1619" s="5" t="s">
        <v>164</v>
      </c>
      <c r="O1619" s="12"/>
      <c r="S1619" s="13">
        <v>3728</v>
      </c>
      <c r="U1619" s="13">
        <v>3728</v>
      </c>
      <c r="AC1619" s="10" t="s">
        <v>3914</v>
      </c>
      <c r="AD1619" s="5" t="s">
        <v>3915</v>
      </c>
      <c r="AE1619" s="5" t="s">
        <v>162</v>
      </c>
    </row>
    <row r="1620" spans="1:33" ht="10" customHeight="1" x14ac:dyDescent="0.2">
      <c r="A1620" s="5" t="s">
        <v>40</v>
      </c>
      <c r="B1620" s="5" t="s">
        <v>41</v>
      </c>
      <c r="D1620" s="5" t="s">
        <v>3916</v>
      </c>
      <c r="E1620" s="10" t="s">
        <v>345</v>
      </c>
      <c r="F1620" s="5" t="s">
        <v>3718</v>
      </c>
      <c r="G1620" s="5" t="s">
        <v>464</v>
      </c>
      <c r="I1620" s="11">
        <v>1</v>
      </c>
      <c r="J1620" s="5" t="s">
        <v>60</v>
      </c>
      <c r="K1620" s="10" t="s">
        <v>46</v>
      </c>
      <c r="L1620" s="5" t="s">
        <v>47</v>
      </c>
      <c r="M1620" s="5" t="s">
        <v>145</v>
      </c>
      <c r="N1620" s="5" t="s">
        <v>164</v>
      </c>
      <c r="O1620" s="12"/>
      <c r="S1620" s="13">
        <v>480</v>
      </c>
      <c r="U1620" s="13">
        <v>480</v>
      </c>
      <c r="AC1620" s="10" t="s">
        <v>3917</v>
      </c>
      <c r="AD1620" s="5" t="s">
        <v>3915</v>
      </c>
      <c r="AE1620" s="5" t="s">
        <v>162</v>
      </c>
      <c r="AG1620" s="5" t="s">
        <v>3918</v>
      </c>
    </row>
    <row r="1621" spans="1:33" ht="10" customHeight="1" x14ac:dyDescent="0.2">
      <c r="A1621" s="5" t="s">
        <v>40</v>
      </c>
      <c r="B1621" s="5" t="s">
        <v>41</v>
      </c>
      <c r="D1621" s="5" t="s">
        <v>3919</v>
      </c>
      <c r="E1621" s="10" t="s">
        <v>345</v>
      </c>
      <c r="F1621" s="5" t="s">
        <v>3718</v>
      </c>
      <c r="G1621" s="5" t="s">
        <v>464</v>
      </c>
      <c r="I1621" s="11">
        <v>1</v>
      </c>
      <c r="J1621" s="5" t="s">
        <v>60</v>
      </c>
      <c r="K1621" s="10" t="s">
        <v>46</v>
      </c>
      <c r="L1621" s="5" t="s">
        <v>47</v>
      </c>
      <c r="M1621" s="5" t="s">
        <v>145</v>
      </c>
      <c r="N1621" s="5" t="s">
        <v>164</v>
      </c>
      <c r="O1621" s="12"/>
      <c r="S1621" s="13">
        <v>821</v>
      </c>
      <c r="U1621" s="13">
        <v>821</v>
      </c>
      <c r="AC1621" s="10" t="s">
        <v>3920</v>
      </c>
      <c r="AD1621" s="5" t="s">
        <v>3915</v>
      </c>
      <c r="AE1621" s="5" t="s">
        <v>162</v>
      </c>
    </row>
    <row r="1622" spans="1:33" ht="10" customHeight="1" x14ac:dyDescent="0.2">
      <c r="A1622" s="5" t="s">
        <v>40</v>
      </c>
      <c r="B1622" s="5" t="s">
        <v>41</v>
      </c>
      <c r="D1622" s="5" t="s">
        <v>3921</v>
      </c>
      <c r="E1622" s="10" t="s">
        <v>345</v>
      </c>
      <c r="F1622" s="5" t="s">
        <v>3718</v>
      </c>
      <c r="G1622" s="5" t="s">
        <v>464</v>
      </c>
      <c r="I1622" s="11">
        <v>1</v>
      </c>
      <c r="J1622" s="5" t="s">
        <v>60</v>
      </c>
      <c r="K1622" s="10" t="s">
        <v>46</v>
      </c>
      <c r="L1622" s="5" t="s">
        <v>47</v>
      </c>
      <c r="M1622" s="5" t="s">
        <v>145</v>
      </c>
      <c r="N1622" s="5" t="s">
        <v>164</v>
      </c>
      <c r="O1622" s="12"/>
      <c r="S1622" s="13">
        <v>1251</v>
      </c>
      <c r="U1622" s="13">
        <v>1251</v>
      </c>
      <c r="AC1622" s="10" t="s">
        <v>3922</v>
      </c>
      <c r="AD1622" s="5" t="s">
        <v>3915</v>
      </c>
      <c r="AE1622" s="5" t="s">
        <v>162</v>
      </c>
    </row>
    <row r="1623" spans="1:33" ht="10" customHeight="1" x14ac:dyDescent="0.2">
      <c r="A1623" s="5" t="s">
        <v>40</v>
      </c>
      <c r="B1623" s="5" t="s">
        <v>41</v>
      </c>
      <c r="D1623" s="5" t="s">
        <v>3923</v>
      </c>
      <c r="E1623" s="10" t="s">
        <v>345</v>
      </c>
      <c r="F1623" s="5" t="s">
        <v>3718</v>
      </c>
      <c r="G1623" s="5" t="s">
        <v>464</v>
      </c>
      <c r="I1623" s="11">
        <v>1</v>
      </c>
      <c r="J1623" s="5" t="s">
        <v>60</v>
      </c>
      <c r="K1623" s="10" t="s">
        <v>46</v>
      </c>
      <c r="L1623" s="5" t="s">
        <v>47</v>
      </c>
      <c r="M1623" s="5" t="s">
        <v>145</v>
      </c>
      <c r="N1623" s="5" t="s">
        <v>164</v>
      </c>
      <c r="O1623" s="12"/>
      <c r="S1623" s="13">
        <v>605</v>
      </c>
      <c r="U1623" s="13">
        <v>605</v>
      </c>
      <c r="AC1623" s="10" t="s">
        <v>3924</v>
      </c>
      <c r="AD1623" s="5" t="s">
        <v>3915</v>
      </c>
      <c r="AE1623" s="5" t="s">
        <v>162</v>
      </c>
    </row>
    <row r="1624" spans="1:33" ht="10" customHeight="1" x14ac:dyDescent="0.2">
      <c r="A1624" s="5" t="s">
        <v>40</v>
      </c>
      <c r="B1624" s="5" t="s">
        <v>41</v>
      </c>
      <c r="D1624" s="5" t="s">
        <v>3925</v>
      </c>
      <c r="E1624" s="10" t="s">
        <v>345</v>
      </c>
      <c r="F1624" s="5" t="s">
        <v>3718</v>
      </c>
      <c r="G1624" s="5" t="s">
        <v>464</v>
      </c>
      <c r="I1624" s="11">
        <v>1</v>
      </c>
      <c r="J1624" s="5" t="s">
        <v>60</v>
      </c>
      <c r="K1624" s="10" t="s">
        <v>46</v>
      </c>
      <c r="L1624" s="5" t="s">
        <v>47</v>
      </c>
      <c r="M1624" s="5" t="s">
        <v>145</v>
      </c>
      <c r="N1624" s="5" t="s">
        <v>164</v>
      </c>
      <c r="O1624" s="12"/>
      <c r="S1624" s="13">
        <v>2924</v>
      </c>
      <c r="U1624" s="13">
        <v>2924</v>
      </c>
      <c r="AC1624" s="10" t="s">
        <v>3926</v>
      </c>
      <c r="AD1624" s="5" t="s">
        <v>3927</v>
      </c>
      <c r="AE1624" s="5" t="s">
        <v>162</v>
      </c>
    </row>
    <row r="1625" spans="1:33" ht="10" customHeight="1" x14ac:dyDescent="0.2">
      <c r="A1625" s="5" t="s">
        <v>40</v>
      </c>
      <c r="B1625" s="5" t="s">
        <v>41</v>
      </c>
      <c r="D1625" s="5" t="s">
        <v>3928</v>
      </c>
      <c r="E1625" s="10" t="s">
        <v>345</v>
      </c>
      <c r="F1625" s="5" t="s">
        <v>3718</v>
      </c>
      <c r="G1625" s="5" t="s">
        <v>464</v>
      </c>
      <c r="I1625" s="11">
        <v>1</v>
      </c>
      <c r="J1625" s="5" t="s">
        <v>60</v>
      </c>
      <c r="K1625" s="10" t="s">
        <v>46</v>
      </c>
      <c r="L1625" s="5" t="s">
        <v>47</v>
      </c>
      <c r="M1625" s="5" t="s">
        <v>145</v>
      </c>
      <c r="N1625" s="5" t="s">
        <v>164</v>
      </c>
      <c r="O1625" s="12"/>
      <c r="S1625" s="13">
        <v>179</v>
      </c>
      <c r="U1625" s="13">
        <v>179</v>
      </c>
      <c r="AC1625" s="10" t="s">
        <v>3929</v>
      </c>
      <c r="AD1625" s="5" t="s">
        <v>3927</v>
      </c>
      <c r="AE1625" s="5" t="s">
        <v>162</v>
      </c>
    </row>
    <row r="1626" spans="1:33" ht="10" customHeight="1" x14ac:dyDescent="0.2">
      <c r="A1626" s="5" t="s">
        <v>40</v>
      </c>
      <c r="B1626" s="5" t="s">
        <v>41</v>
      </c>
      <c r="D1626" s="5" t="s">
        <v>3930</v>
      </c>
      <c r="E1626" s="10" t="s">
        <v>345</v>
      </c>
      <c r="F1626" s="5" t="s">
        <v>3718</v>
      </c>
      <c r="G1626" s="5" t="s">
        <v>464</v>
      </c>
      <c r="I1626" s="11">
        <v>1</v>
      </c>
      <c r="J1626" s="5" t="s">
        <v>60</v>
      </c>
      <c r="K1626" s="10" t="s">
        <v>46</v>
      </c>
      <c r="L1626" s="5" t="s">
        <v>47</v>
      </c>
      <c r="M1626" s="5" t="s">
        <v>145</v>
      </c>
      <c r="N1626" s="5" t="s">
        <v>164</v>
      </c>
      <c r="O1626" s="12"/>
      <c r="S1626" s="13">
        <v>64</v>
      </c>
      <c r="U1626" s="13">
        <v>64</v>
      </c>
      <c r="AC1626" s="10" t="s">
        <v>3931</v>
      </c>
      <c r="AD1626" s="5" t="s">
        <v>3927</v>
      </c>
      <c r="AE1626" s="5" t="s">
        <v>162</v>
      </c>
      <c r="AG1626" s="5" t="s">
        <v>3932</v>
      </c>
    </row>
    <row r="1627" spans="1:33" ht="10" customHeight="1" x14ac:dyDescent="0.2">
      <c r="A1627" s="5" t="s">
        <v>40</v>
      </c>
      <c r="B1627" s="5" t="s">
        <v>41</v>
      </c>
      <c r="D1627" s="5" t="s">
        <v>3933</v>
      </c>
      <c r="E1627" s="10" t="s">
        <v>345</v>
      </c>
      <c r="F1627" s="5" t="s">
        <v>3718</v>
      </c>
      <c r="G1627" s="5" t="s">
        <v>464</v>
      </c>
      <c r="I1627" s="11">
        <v>1</v>
      </c>
      <c r="J1627" s="5" t="s">
        <v>60</v>
      </c>
      <c r="K1627" s="10" t="s">
        <v>46</v>
      </c>
      <c r="L1627" s="5" t="s">
        <v>47</v>
      </c>
      <c r="M1627" s="5" t="s">
        <v>145</v>
      </c>
      <c r="N1627" s="5" t="s">
        <v>164</v>
      </c>
      <c r="O1627" s="12"/>
      <c r="S1627" s="13">
        <v>952</v>
      </c>
      <c r="U1627" s="13">
        <v>952</v>
      </c>
      <c r="AC1627" s="10" t="s">
        <v>3934</v>
      </c>
      <c r="AD1627" s="5" t="s">
        <v>3927</v>
      </c>
      <c r="AE1627" s="5" t="s">
        <v>162</v>
      </c>
    </row>
    <row r="1628" spans="1:33" ht="10" customHeight="1" x14ac:dyDescent="0.2">
      <c r="A1628" s="5" t="s">
        <v>40</v>
      </c>
      <c r="B1628" s="5" t="s">
        <v>41</v>
      </c>
      <c r="D1628" s="5" t="s">
        <v>3935</v>
      </c>
      <c r="E1628" s="10" t="s">
        <v>345</v>
      </c>
      <c r="F1628" s="5" t="s">
        <v>3718</v>
      </c>
      <c r="G1628" s="5" t="s">
        <v>464</v>
      </c>
      <c r="I1628" s="11">
        <v>1</v>
      </c>
      <c r="J1628" s="5" t="s">
        <v>60</v>
      </c>
      <c r="K1628" s="10" t="s">
        <v>46</v>
      </c>
      <c r="L1628" s="5" t="s">
        <v>47</v>
      </c>
      <c r="M1628" s="5" t="s">
        <v>145</v>
      </c>
      <c r="N1628" s="5" t="s">
        <v>164</v>
      </c>
      <c r="O1628" s="12"/>
      <c r="S1628" s="13">
        <v>672</v>
      </c>
      <c r="U1628" s="13">
        <v>672</v>
      </c>
      <c r="AC1628" s="10" t="s">
        <v>3936</v>
      </c>
      <c r="AD1628" s="5" t="s">
        <v>3927</v>
      </c>
      <c r="AE1628" s="5" t="s">
        <v>162</v>
      </c>
    </row>
    <row r="1629" spans="1:33" ht="10" customHeight="1" x14ac:dyDescent="0.2">
      <c r="A1629" s="5" t="s">
        <v>40</v>
      </c>
      <c r="B1629" s="5" t="s">
        <v>41</v>
      </c>
      <c r="D1629" s="5" t="s">
        <v>3937</v>
      </c>
      <c r="E1629" s="10" t="s">
        <v>345</v>
      </c>
      <c r="F1629" s="5" t="s">
        <v>3718</v>
      </c>
      <c r="G1629" s="5" t="s">
        <v>464</v>
      </c>
      <c r="I1629" s="11">
        <v>1</v>
      </c>
      <c r="J1629" s="5" t="s">
        <v>60</v>
      </c>
      <c r="K1629" s="10" t="s">
        <v>46</v>
      </c>
      <c r="L1629" s="5" t="s">
        <v>47</v>
      </c>
      <c r="M1629" s="5" t="s">
        <v>145</v>
      </c>
      <c r="N1629" s="5" t="s">
        <v>164</v>
      </c>
      <c r="O1629" s="12"/>
      <c r="S1629" s="13">
        <v>1234</v>
      </c>
      <c r="U1629" s="13">
        <v>1234</v>
      </c>
      <c r="AC1629" s="10" t="s">
        <v>3938</v>
      </c>
      <c r="AD1629" s="5" t="s">
        <v>3927</v>
      </c>
      <c r="AE1629" s="5" t="s">
        <v>162</v>
      </c>
    </row>
    <row r="1630" spans="1:33" ht="10" customHeight="1" x14ac:dyDescent="0.2">
      <c r="A1630" s="5" t="s">
        <v>40</v>
      </c>
      <c r="B1630" s="5" t="s">
        <v>41</v>
      </c>
      <c r="D1630" s="5" t="s">
        <v>3939</v>
      </c>
      <c r="E1630" s="10" t="s">
        <v>345</v>
      </c>
      <c r="F1630" s="5" t="s">
        <v>3718</v>
      </c>
      <c r="G1630" s="5" t="s">
        <v>464</v>
      </c>
      <c r="I1630" s="11">
        <v>1</v>
      </c>
      <c r="J1630" s="5" t="s">
        <v>60</v>
      </c>
      <c r="K1630" s="10" t="s">
        <v>46</v>
      </c>
      <c r="L1630" s="5" t="s">
        <v>47</v>
      </c>
      <c r="M1630" s="5" t="s">
        <v>145</v>
      </c>
      <c r="N1630" s="5" t="s">
        <v>164</v>
      </c>
      <c r="O1630" s="12"/>
      <c r="S1630" s="13">
        <v>6143</v>
      </c>
      <c r="U1630" s="13">
        <v>6143</v>
      </c>
      <c r="AC1630" s="10" t="s">
        <v>3940</v>
      </c>
      <c r="AD1630" s="5" t="s">
        <v>3941</v>
      </c>
      <c r="AE1630" s="5" t="s">
        <v>162</v>
      </c>
    </row>
    <row r="1631" spans="1:33" ht="10" customHeight="1" x14ac:dyDescent="0.2">
      <c r="A1631" s="5" t="s">
        <v>40</v>
      </c>
      <c r="B1631" s="5" t="s">
        <v>41</v>
      </c>
      <c r="D1631" s="5" t="s">
        <v>3942</v>
      </c>
      <c r="E1631" s="10" t="s">
        <v>345</v>
      </c>
      <c r="F1631" s="5" t="s">
        <v>3718</v>
      </c>
      <c r="G1631" s="5" t="s">
        <v>464</v>
      </c>
      <c r="I1631" s="11">
        <v>1</v>
      </c>
      <c r="J1631" s="5" t="s">
        <v>60</v>
      </c>
      <c r="K1631" s="10" t="s">
        <v>46</v>
      </c>
      <c r="L1631" s="5" t="s">
        <v>47</v>
      </c>
      <c r="M1631" s="5" t="s">
        <v>145</v>
      </c>
      <c r="N1631" s="5" t="s">
        <v>164</v>
      </c>
      <c r="O1631" s="12"/>
      <c r="S1631" s="13">
        <v>747</v>
      </c>
      <c r="U1631" s="13">
        <v>747</v>
      </c>
      <c r="AC1631" s="10" t="s">
        <v>3943</v>
      </c>
      <c r="AD1631" s="5" t="s">
        <v>3941</v>
      </c>
      <c r="AE1631" s="5" t="s">
        <v>162</v>
      </c>
      <c r="AG1631" s="5" t="s">
        <v>3944</v>
      </c>
    </row>
    <row r="1632" spans="1:33" ht="10" customHeight="1" x14ac:dyDescent="0.2">
      <c r="A1632" s="5" t="s">
        <v>40</v>
      </c>
      <c r="B1632" s="5" t="s">
        <v>41</v>
      </c>
      <c r="D1632" s="5" t="s">
        <v>3945</v>
      </c>
      <c r="E1632" s="10" t="s">
        <v>345</v>
      </c>
      <c r="F1632" s="5" t="s">
        <v>3718</v>
      </c>
      <c r="G1632" s="5" t="s">
        <v>464</v>
      </c>
      <c r="I1632" s="11">
        <v>1</v>
      </c>
      <c r="J1632" s="5" t="s">
        <v>60</v>
      </c>
      <c r="K1632" s="10" t="s">
        <v>46</v>
      </c>
      <c r="L1632" s="5" t="s">
        <v>47</v>
      </c>
      <c r="M1632" s="5" t="s">
        <v>145</v>
      </c>
      <c r="N1632" s="5" t="s">
        <v>164</v>
      </c>
      <c r="O1632" s="12"/>
      <c r="S1632" s="13">
        <v>74</v>
      </c>
      <c r="U1632" s="13">
        <v>74</v>
      </c>
      <c r="AC1632" s="10" t="s">
        <v>3946</v>
      </c>
      <c r="AD1632" s="5" t="s">
        <v>3941</v>
      </c>
      <c r="AE1632" s="5" t="s">
        <v>162</v>
      </c>
    </row>
    <row r="1633" spans="1:33" ht="10" customHeight="1" x14ac:dyDescent="0.2">
      <c r="A1633" s="5" t="s">
        <v>40</v>
      </c>
      <c r="B1633" s="5" t="s">
        <v>41</v>
      </c>
      <c r="D1633" s="5" t="s">
        <v>3947</v>
      </c>
      <c r="E1633" s="10" t="s">
        <v>345</v>
      </c>
      <c r="F1633" s="5" t="s">
        <v>3718</v>
      </c>
      <c r="G1633" s="5" t="s">
        <v>464</v>
      </c>
      <c r="I1633" s="11">
        <v>1</v>
      </c>
      <c r="J1633" s="5" t="s">
        <v>60</v>
      </c>
      <c r="K1633" s="10" t="s">
        <v>46</v>
      </c>
      <c r="L1633" s="5" t="s">
        <v>47</v>
      </c>
      <c r="M1633" s="5" t="s">
        <v>145</v>
      </c>
      <c r="N1633" s="5" t="s">
        <v>164</v>
      </c>
      <c r="O1633" s="12"/>
      <c r="S1633" s="13">
        <v>252</v>
      </c>
      <c r="U1633" s="13">
        <v>252</v>
      </c>
      <c r="AC1633" s="10" t="s">
        <v>3948</v>
      </c>
      <c r="AD1633" s="5" t="s">
        <v>3941</v>
      </c>
      <c r="AE1633" s="5" t="s">
        <v>162</v>
      </c>
    </row>
    <row r="1634" spans="1:33" ht="10" customHeight="1" x14ac:dyDescent="0.2">
      <c r="A1634" s="5" t="s">
        <v>40</v>
      </c>
      <c r="B1634" s="5" t="s">
        <v>41</v>
      </c>
      <c r="D1634" s="5" t="s">
        <v>3949</v>
      </c>
      <c r="E1634" s="10" t="s">
        <v>345</v>
      </c>
      <c r="F1634" s="5" t="s">
        <v>3718</v>
      </c>
      <c r="G1634" s="5" t="s">
        <v>464</v>
      </c>
      <c r="I1634" s="11">
        <v>1</v>
      </c>
      <c r="J1634" s="5" t="s">
        <v>60</v>
      </c>
      <c r="K1634" s="10" t="s">
        <v>46</v>
      </c>
      <c r="L1634" s="5" t="s">
        <v>47</v>
      </c>
      <c r="M1634" s="5" t="s">
        <v>145</v>
      </c>
      <c r="N1634" s="5" t="s">
        <v>164</v>
      </c>
      <c r="O1634" s="12"/>
      <c r="S1634" s="13">
        <v>586</v>
      </c>
      <c r="U1634" s="13">
        <v>586</v>
      </c>
      <c r="AC1634" s="10" t="s">
        <v>3950</v>
      </c>
      <c r="AD1634" s="5" t="s">
        <v>3941</v>
      </c>
      <c r="AE1634" s="5" t="s">
        <v>162</v>
      </c>
    </row>
    <row r="1635" spans="1:33" ht="10" customHeight="1" x14ac:dyDescent="0.2">
      <c r="A1635" s="5" t="s">
        <v>40</v>
      </c>
      <c r="B1635" s="5" t="s">
        <v>41</v>
      </c>
      <c r="D1635" s="5" t="s">
        <v>3951</v>
      </c>
      <c r="E1635" s="10" t="s">
        <v>345</v>
      </c>
      <c r="F1635" s="5" t="s">
        <v>3718</v>
      </c>
      <c r="G1635" s="5" t="s">
        <v>464</v>
      </c>
      <c r="I1635" s="11">
        <v>1</v>
      </c>
      <c r="J1635" s="5" t="s">
        <v>60</v>
      </c>
      <c r="K1635" s="10" t="s">
        <v>46</v>
      </c>
      <c r="L1635" s="5" t="s">
        <v>47</v>
      </c>
      <c r="M1635" s="5" t="s">
        <v>145</v>
      </c>
      <c r="N1635" s="5" t="s">
        <v>164</v>
      </c>
      <c r="O1635" s="12"/>
      <c r="S1635" s="13">
        <v>4038</v>
      </c>
      <c r="U1635" s="13">
        <v>4038</v>
      </c>
      <c r="AC1635" s="10" t="s">
        <v>3952</v>
      </c>
      <c r="AD1635" s="5" t="s">
        <v>3953</v>
      </c>
      <c r="AE1635" s="5" t="s">
        <v>162</v>
      </c>
    </row>
    <row r="1636" spans="1:33" ht="10" customHeight="1" x14ac:dyDescent="0.2">
      <c r="A1636" s="5" t="s">
        <v>40</v>
      </c>
      <c r="B1636" s="5" t="s">
        <v>41</v>
      </c>
      <c r="D1636" s="5" t="s">
        <v>3954</v>
      </c>
      <c r="E1636" s="10" t="s">
        <v>345</v>
      </c>
      <c r="F1636" s="5" t="s">
        <v>3718</v>
      </c>
      <c r="G1636" s="5" t="s">
        <v>464</v>
      </c>
      <c r="I1636" s="11">
        <v>1</v>
      </c>
      <c r="J1636" s="5" t="s">
        <v>60</v>
      </c>
      <c r="K1636" s="10" t="s">
        <v>46</v>
      </c>
      <c r="L1636" s="5" t="s">
        <v>47</v>
      </c>
      <c r="M1636" s="5" t="s">
        <v>145</v>
      </c>
      <c r="N1636" s="5" t="s">
        <v>164</v>
      </c>
      <c r="O1636" s="12"/>
      <c r="S1636" s="13">
        <v>255</v>
      </c>
      <c r="U1636" s="13">
        <v>255</v>
      </c>
      <c r="AC1636" s="10" t="s">
        <v>3955</v>
      </c>
      <c r="AD1636" s="5" t="s">
        <v>3953</v>
      </c>
      <c r="AE1636" s="5" t="s">
        <v>162</v>
      </c>
    </row>
    <row r="1637" spans="1:33" ht="10" customHeight="1" x14ac:dyDescent="0.2">
      <c r="A1637" s="5" t="s">
        <v>40</v>
      </c>
      <c r="B1637" s="5" t="s">
        <v>41</v>
      </c>
      <c r="D1637" s="5" t="s">
        <v>3956</v>
      </c>
      <c r="E1637" s="10" t="s">
        <v>345</v>
      </c>
      <c r="F1637" s="5" t="s">
        <v>3718</v>
      </c>
      <c r="G1637" s="5" t="s">
        <v>464</v>
      </c>
      <c r="I1637" s="11">
        <v>1</v>
      </c>
      <c r="J1637" s="5" t="s">
        <v>60</v>
      </c>
      <c r="K1637" s="10" t="s">
        <v>46</v>
      </c>
      <c r="L1637" s="5" t="s">
        <v>47</v>
      </c>
      <c r="M1637" s="5" t="s">
        <v>145</v>
      </c>
      <c r="N1637" s="5" t="s">
        <v>164</v>
      </c>
      <c r="O1637" s="12"/>
      <c r="S1637" s="13">
        <v>356</v>
      </c>
      <c r="U1637" s="13">
        <v>356</v>
      </c>
      <c r="AC1637" s="10" t="s">
        <v>3957</v>
      </c>
      <c r="AD1637" s="5" t="s">
        <v>3953</v>
      </c>
      <c r="AE1637" s="5" t="s">
        <v>162</v>
      </c>
    </row>
    <row r="1638" spans="1:33" ht="10" customHeight="1" x14ac:dyDescent="0.2">
      <c r="A1638" s="5" t="s">
        <v>40</v>
      </c>
      <c r="B1638" s="5" t="s">
        <v>41</v>
      </c>
      <c r="D1638" s="5" t="s">
        <v>3958</v>
      </c>
      <c r="E1638" s="10" t="s">
        <v>345</v>
      </c>
      <c r="F1638" s="5" t="s">
        <v>3718</v>
      </c>
      <c r="G1638" s="5" t="s">
        <v>464</v>
      </c>
      <c r="I1638" s="11">
        <v>1</v>
      </c>
      <c r="J1638" s="5" t="s">
        <v>60</v>
      </c>
      <c r="K1638" s="10" t="s">
        <v>46</v>
      </c>
      <c r="L1638" s="5" t="s">
        <v>47</v>
      </c>
      <c r="M1638" s="5" t="s">
        <v>145</v>
      </c>
      <c r="N1638" s="5" t="s">
        <v>164</v>
      </c>
      <c r="O1638" s="12"/>
      <c r="S1638" s="13">
        <v>867</v>
      </c>
      <c r="U1638" s="13">
        <v>867</v>
      </c>
      <c r="AC1638" s="10" t="s">
        <v>3959</v>
      </c>
      <c r="AD1638" s="5" t="s">
        <v>3953</v>
      </c>
      <c r="AE1638" s="5" t="s">
        <v>162</v>
      </c>
    </row>
    <row r="1639" spans="1:33" ht="10" customHeight="1" x14ac:dyDescent="0.2">
      <c r="A1639" s="5" t="s">
        <v>40</v>
      </c>
      <c r="B1639" s="5" t="s">
        <v>41</v>
      </c>
      <c r="D1639" s="5" t="s">
        <v>3960</v>
      </c>
      <c r="E1639" s="10" t="s">
        <v>345</v>
      </c>
      <c r="F1639" s="5" t="s">
        <v>3718</v>
      </c>
      <c r="G1639" s="5" t="s">
        <v>464</v>
      </c>
      <c r="I1639" s="11">
        <v>1</v>
      </c>
      <c r="J1639" s="5" t="s">
        <v>60</v>
      </c>
      <c r="K1639" s="10" t="s">
        <v>46</v>
      </c>
      <c r="L1639" s="5" t="s">
        <v>47</v>
      </c>
      <c r="M1639" s="5" t="s">
        <v>145</v>
      </c>
      <c r="N1639" s="5" t="s">
        <v>164</v>
      </c>
      <c r="O1639" s="12"/>
      <c r="S1639" s="13">
        <v>3834</v>
      </c>
      <c r="U1639" s="13">
        <v>3834</v>
      </c>
      <c r="AC1639" s="10" t="s">
        <v>3961</v>
      </c>
      <c r="AD1639" s="5" t="s">
        <v>3962</v>
      </c>
      <c r="AE1639" s="5" t="s">
        <v>162</v>
      </c>
    </row>
    <row r="1640" spans="1:33" ht="10" customHeight="1" x14ac:dyDescent="0.2">
      <c r="A1640" s="5" t="s">
        <v>40</v>
      </c>
      <c r="B1640" s="5" t="s">
        <v>41</v>
      </c>
      <c r="D1640" s="5" t="s">
        <v>3963</v>
      </c>
      <c r="E1640" s="10" t="s">
        <v>345</v>
      </c>
      <c r="F1640" s="5" t="s">
        <v>3718</v>
      </c>
      <c r="G1640" s="5" t="s">
        <v>464</v>
      </c>
      <c r="I1640" s="11">
        <v>1</v>
      </c>
      <c r="J1640" s="5" t="s">
        <v>60</v>
      </c>
      <c r="K1640" s="10" t="s">
        <v>46</v>
      </c>
      <c r="L1640" s="5" t="s">
        <v>47</v>
      </c>
      <c r="M1640" s="5" t="s">
        <v>145</v>
      </c>
      <c r="N1640" s="5" t="s">
        <v>164</v>
      </c>
      <c r="O1640" s="12"/>
      <c r="S1640" s="13">
        <v>73</v>
      </c>
      <c r="U1640" s="13">
        <v>73</v>
      </c>
      <c r="AC1640" s="10" t="s">
        <v>3964</v>
      </c>
      <c r="AD1640" s="5" t="s">
        <v>3962</v>
      </c>
      <c r="AE1640" s="5" t="s">
        <v>162</v>
      </c>
      <c r="AG1640" s="5" t="s">
        <v>3965</v>
      </c>
    </row>
    <row r="1641" spans="1:33" ht="10" customHeight="1" x14ac:dyDescent="0.2">
      <c r="A1641" s="5" t="s">
        <v>40</v>
      </c>
      <c r="B1641" s="5" t="s">
        <v>41</v>
      </c>
      <c r="D1641" s="5" t="s">
        <v>3966</v>
      </c>
      <c r="E1641" s="10" t="s">
        <v>345</v>
      </c>
      <c r="F1641" s="5" t="s">
        <v>3718</v>
      </c>
      <c r="G1641" s="5" t="s">
        <v>464</v>
      </c>
      <c r="I1641" s="11">
        <v>1</v>
      </c>
      <c r="J1641" s="5" t="s">
        <v>60</v>
      </c>
      <c r="K1641" s="10" t="s">
        <v>46</v>
      </c>
      <c r="L1641" s="5" t="s">
        <v>47</v>
      </c>
      <c r="M1641" s="5" t="s">
        <v>145</v>
      </c>
      <c r="N1641" s="5" t="s">
        <v>164</v>
      </c>
      <c r="O1641" s="12"/>
      <c r="S1641" s="13">
        <v>288</v>
      </c>
      <c r="U1641" s="13">
        <v>288</v>
      </c>
      <c r="AC1641" s="10" t="s">
        <v>3967</v>
      </c>
      <c r="AD1641" s="5" t="s">
        <v>3962</v>
      </c>
      <c r="AE1641" s="5" t="s">
        <v>162</v>
      </c>
    </row>
    <row r="1642" spans="1:33" ht="10" customHeight="1" x14ac:dyDescent="0.2">
      <c r="A1642" s="5" t="s">
        <v>40</v>
      </c>
      <c r="B1642" s="5" t="s">
        <v>41</v>
      </c>
      <c r="D1642" s="5" t="s">
        <v>3968</v>
      </c>
      <c r="E1642" s="10" t="s">
        <v>345</v>
      </c>
      <c r="F1642" s="5" t="s">
        <v>3718</v>
      </c>
      <c r="G1642" s="5" t="s">
        <v>464</v>
      </c>
      <c r="I1642" s="11">
        <v>1</v>
      </c>
      <c r="J1642" s="5" t="s">
        <v>60</v>
      </c>
      <c r="K1642" s="10" t="s">
        <v>46</v>
      </c>
      <c r="L1642" s="5" t="s">
        <v>47</v>
      </c>
      <c r="M1642" s="5" t="s">
        <v>145</v>
      </c>
      <c r="N1642" s="5" t="s">
        <v>164</v>
      </c>
      <c r="O1642" s="12"/>
      <c r="S1642" s="13">
        <v>197</v>
      </c>
      <c r="U1642" s="13">
        <v>197</v>
      </c>
      <c r="AC1642" s="10" t="s">
        <v>3969</v>
      </c>
      <c r="AD1642" s="5" t="s">
        <v>3962</v>
      </c>
      <c r="AE1642" s="5" t="s">
        <v>162</v>
      </c>
    </row>
    <row r="1643" spans="1:33" ht="10" customHeight="1" x14ac:dyDescent="0.2">
      <c r="A1643" s="5" t="s">
        <v>40</v>
      </c>
      <c r="B1643" s="5" t="s">
        <v>41</v>
      </c>
      <c r="D1643" s="5" t="s">
        <v>3970</v>
      </c>
      <c r="E1643" s="10" t="s">
        <v>345</v>
      </c>
      <c r="F1643" s="5" t="s">
        <v>3718</v>
      </c>
      <c r="G1643" s="5" t="s">
        <v>464</v>
      </c>
      <c r="I1643" s="11">
        <v>1</v>
      </c>
      <c r="J1643" s="5" t="s">
        <v>60</v>
      </c>
      <c r="K1643" s="10" t="s">
        <v>46</v>
      </c>
      <c r="L1643" s="5" t="s">
        <v>47</v>
      </c>
      <c r="M1643" s="5" t="s">
        <v>145</v>
      </c>
      <c r="N1643" s="5" t="s">
        <v>164</v>
      </c>
      <c r="O1643" s="12"/>
      <c r="S1643" s="13">
        <v>941</v>
      </c>
      <c r="U1643" s="13">
        <v>941</v>
      </c>
      <c r="AC1643" s="10" t="s">
        <v>3971</v>
      </c>
      <c r="AD1643" s="5" t="s">
        <v>3962</v>
      </c>
      <c r="AE1643" s="5" t="s">
        <v>162</v>
      </c>
    </row>
    <row r="1644" spans="1:33" ht="10" customHeight="1" x14ac:dyDescent="0.2">
      <c r="A1644" s="5" t="s">
        <v>40</v>
      </c>
      <c r="B1644" s="5" t="s">
        <v>41</v>
      </c>
      <c r="D1644" s="5" t="s">
        <v>3972</v>
      </c>
      <c r="E1644" s="10" t="s">
        <v>345</v>
      </c>
      <c r="F1644" s="5" t="s">
        <v>3718</v>
      </c>
      <c r="G1644" s="5" t="s">
        <v>464</v>
      </c>
      <c r="I1644" s="11">
        <v>1</v>
      </c>
      <c r="J1644" s="5" t="s">
        <v>60</v>
      </c>
      <c r="K1644" s="10" t="s">
        <v>46</v>
      </c>
      <c r="L1644" s="5" t="s">
        <v>47</v>
      </c>
      <c r="M1644" s="5" t="s">
        <v>145</v>
      </c>
      <c r="N1644" s="5" t="s">
        <v>164</v>
      </c>
      <c r="O1644" s="12"/>
      <c r="S1644" s="13">
        <v>5295</v>
      </c>
      <c r="U1644" s="13">
        <v>5295</v>
      </c>
      <c r="AC1644" s="10" t="s">
        <v>3973</v>
      </c>
      <c r="AD1644" s="5" t="s">
        <v>3974</v>
      </c>
      <c r="AE1644" s="5" t="s">
        <v>162</v>
      </c>
    </row>
    <row r="1645" spans="1:33" ht="10" customHeight="1" x14ac:dyDescent="0.2">
      <c r="A1645" s="5" t="s">
        <v>40</v>
      </c>
      <c r="B1645" s="5" t="s">
        <v>41</v>
      </c>
      <c r="D1645" s="5" t="s">
        <v>3975</v>
      </c>
      <c r="E1645" s="10" t="s">
        <v>345</v>
      </c>
      <c r="F1645" s="5" t="s">
        <v>3718</v>
      </c>
      <c r="G1645" s="5" t="s">
        <v>464</v>
      </c>
      <c r="I1645" s="11">
        <v>1</v>
      </c>
      <c r="J1645" s="5" t="s">
        <v>60</v>
      </c>
      <c r="K1645" s="10" t="s">
        <v>46</v>
      </c>
      <c r="L1645" s="5" t="s">
        <v>47</v>
      </c>
      <c r="M1645" s="5" t="s">
        <v>145</v>
      </c>
      <c r="N1645" s="5" t="s">
        <v>164</v>
      </c>
      <c r="O1645" s="12"/>
      <c r="S1645" s="13">
        <v>581</v>
      </c>
      <c r="U1645" s="13">
        <v>581</v>
      </c>
      <c r="AC1645" s="10" t="s">
        <v>3976</v>
      </c>
      <c r="AD1645" s="5" t="s">
        <v>3974</v>
      </c>
      <c r="AE1645" s="5" t="s">
        <v>162</v>
      </c>
    </row>
    <row r="1646" spans="1:33" ht="10" customHeight="1" x14ac:dyDescent="0.2">
      <c r="A1646" s="5" t="s">
        <v>40</v>
      </c>
      <c r="B1646" s="5" t="s">
        <v>41</v>
      </c>
      <c r="D1646" s="5" t="s">
        <v>3977</v>
      </c>
      <c r="E1646" s="10" t="s">
        <v>345</v>
      </c>
      <c r="F1646" s="5" t="s">
        <v>3718</v>
      </c>
      <c r="G1646" s="5" t="s">
        <v>464</v>
      </c>
      <c r="I1646" s="11">
        <v>1</v>
      </c>
      <c r="J1646" s="5" t="s">
        <v>60</v>
      </c>
      <c r="K1646" s="10" t="s">
        <v>46</v>
      </c>
      <c r="L1646" s="5" t="s">
        <v>47</v>
      </c>
      <c r="M1646" s="5" t="s">
        <v>145</v>
      </c>
      <c r="N1646" s="5" t="s">
        <v>164</v>
      </c>
      <c r="O1646" s="12"/>
      <c r="S1646" s="13">
        <v>70</v>
      </c>
      <c r="U1646" s="13">
        <v>70</v>
      </c>
      <c r="AC1646" s="10" t="s">
        <v>3978</v>
      </c>
      <c r="AD1646" s="5" t="s">
        <v>3974</v>
      </c>
      <c r="AE1646" s="5" t="s">
        <v>162</v>
      </c>
    </row>
    <row r="1647" spans="1:33" ht="10" customHeight="1" x14ac:dyDescent="0.2">
      <c r="A1647" s="5" t="s">
        <v>40</v>
      </c>
      <c r="B1647" s="5" t="s">
        <v>41</v>
      </c>
      <c r="D1647" s="5" t="s">
        <v>3979</v>
      </c>
      <c r="E1647" s="10" t="s">
        <v>345</v>
      </c>
      <c r="F1647" s="5" t="s">
        <v>3718</v>
      </c>
      <c r="G1647" s="5" t="s">
        <v>464</v>
      </c>
      <c r="I1647" s="11">
        <v>1</v>
      </c>
      <c r="J1647" s="5" t="s">
        <v>60</v>
      </c>
      <c r="K1647" s="10" t="s">
        <v>46</v>
      </c>
      <c r="L1647" s="5" t="s">
        <v>47</v>
      </c>
      <c r="M1647" s="5" t="s">
        <v>145</v>
      </c>
      <c r="N1647" s="5" t="s">
        <v>164</v>
      </c>
      <c r="O1647" s="12"/>
      <c r="S1647" s="13">
        <v>327</v>
      </c>
      <c r="U1647" s="13">
        <v>327</v>
      </c>
      <c r="AC1647" s="10" t="s">
        <v>3980</v>
      </c>
      <c r="AD1647" s="5" t="s">
        <v>3974</v>
      </c>
      <c r="AE1647" s="5" t="s">
        <v>162</v>
      </c>
    </row>
    <row r="1648" spans="1:33" ht="10" customHeight="1" x14ac:dyDescent="0.2">
      <c r="A1648" s="5" t="s">
        <v>40</v>
      </c>
      <c r="B1648" s="5" t="s">
        <v>41</v>
      </c>
      <c r="D1648" s="5" t="s">
        <v>3981</v>
      </c>
      <c r="E1648" s="10" t="s">
        <v>345</v>
      </c>
      <c r="F1648" s="5" t="s">
        <v>3718</v>
      </c>
      <c r="G1648" s="5" t="s">
        <v>464</v>
      </c>
      <c r="I1648" s="11">
        <v>1</v>
      </c>
      <c r="J1648" s="5" t="s">
        <v>60</v>
      </c>
      <c r="K1648" s="10" t="s">
        <v>46</v>
      </c>
      <c r="L1648" s="5" t="s">
        <v>47</v>
      </c>
      <c r="M1648" s="5" t="s">
        <v>145</v>
      </c>
      <c r="N1648" s="5" t="s">
        <v>164</v>
      </c>
      <c r="O1648" s="12"/>
      <c r="S1648" s="13">
        <v>3618</v>
      </c>
      <c r="U1648" s="13">
        <v>3618</v>
      </c>
      <c r="AC1648" s="10" t="s">
        <v>3982</v>
      </c>
      <c r="AD1648" s="5" t="s">
        <v>3983</v>
      </c>
      <c r="AE1648" s="5" t="s">
        <v>162</v>
      </c>
    </row>
    <row r="1649" spans="1:33" ht="10" customHeight="1" x14ac:dyDescent="0.2">
      <c r="A1649" s="5" t="s">
        <v>40</v>
      </c>
      <c r="B1649" s="5" t="s">
        <v>41</v>
      </c>
      <c r="D1649" s="5" t="s">
        <v>3984</v>
      </c>
      <c r="E1649" s="10" t="s">
        <v>345</v>
      </c>
      <c r="F1649" s="5" t="s">
        <v>3718</v>
      </c>
      <c r="G1649" s="5" t="s">
        <v>464</v>
      </c>
      <c r="I1649" s="11">
        <v>1</v>
      </c>
      <c r="J1649" s="5" t="s">
        <v>60</v>
      </c>
      <c r="K1649" s="10" t="s">
        <v>46</v>
      </c>
      <c r="L1649" s="5" t="s">
        <v>47</v>
      </c>
      <c r="M1649" s="5" t="s">
        <v>145</v>
      </c>
      <c r="N1649" s="5" t="s">
        <v>164</v>
      </c>
      <c r="O1649" s="12"/>
      <c r="S1649" s="13">
        <v>616</v>
      </c>
      <c r="U1649" s="13">
        <v>616</v>
      </c>
      <c r="AC1649" s="10" t="s">
        <v>3985</v>
      </c>
      <c r="AD1649" s="5" t="s">
        <v>3983</v>
      </c>
      <c r="AE1649" s="5" t="s">
        <v>162</v>
      </c>
    </row>
    <row r="1650" spans="1:33" ht="10" customHeight="1" x14ac:dyDescent="0.2">
      <c r="A1650" s="5" t="s">
        <v>40</v>
      </c>
      <c r="B1650" s="5" t="s">
        <v>41</v>
      </c>
      <c r="D1650" s="5" t="s">
        <v>3986</v>
      </c>
      <c r="E1650" s="10" t="s">
        <v>345</v>
      </c>
      <c r="F1650" s="5" t="s">
        <v>3718</v>
      </c>
      <c r="G1650" s="5" t="s">
        <v>464</v>
      </c>
      <c r="I1650" s="11">
        <v>1</v>
      </c>
      <c r="J1650" s="5" t="s">
        <v>60</v>
      </c>
      <c r="K1650" s="10" t="s">
        <v>46</v>
      </c>
      <c r="L1650" s="5" t="s">
        <v>47</v>
      </c>
      <c r="M1650" s="5" t="s">
        <v>145</v>
      </c>
      <c r="N1650" s="5" t="s">
        <v>164</v>
      </c>
      <c r="O1650" s="12"/>
      <c r="S1650" s="13">
        <v>65</v>
      </c>
      <c r="U1650" s="13">
        <v>65</v>
      </c>
      <c r="AC1650" s="10" t="s">
        <v>3987</v>
      </c>
      <c r="AD1650" s="5" t="s">
        <v>3983</v>
      </c>
      <c r="AE1650" s="5" t="s">
        <v>162</v>
      </c>
    </row>
    <row r="1651" spans="1:33" ht="10" customHeight="1" x14ac:dyDescent="0.2">
      <c r="A1651" s="5" t="s">
        <v>40</v>
      </c>
      <c r="B1651" s="5" t="s">
        <v>41</v>
      </c>
      <c r="D1651" s="5" t="s">
        <v>3988</v>
      </c>
      <c r="E1651" s="10" t="s">
        <v>345</v>
      </c>
      <c r="F1651" s="5" t="s">
        <v>3718</v>
      </c>
      <c r="G1651" s="5" t="s">
        <v>464</v>
      </c>
      <c r="I1651" s="11">
        <v>1</v>
      </c>
      <c r="J1651" s="5" t="s">
        <v>60</v>
      </c>
      <c r="K1651" s="10" t="s">
        <v>46</v>
      </c>
      <c r="L1651" s="5" t="s">
        <v>47</v>
      </c>
      <c r="M1651" s="5" t="s">
        <v>145</v>
      </c>
      <c r="N1651" s="5" t="s">
        <v>164</v>
      </c>
      <c r="O1651" s="12"/>
      <c r="S1651" s="13">
        <v>318</v>
      </c>
      <c r="U1651" s="13">
        <v>318</v>
      </c>
      <c r="AC1651" s="10" t="s">
        <v>3989</v>
      </c>
      <c r="AD1651" s="5" t="s">
        <v>3983</v>
      </c>
      <c r="AE1651" s="5" t="s">
        <v>162</v>
      </c>
      <c r="AG1651" s="5" t="s">
        <v>3990</v>
      </c>
    </row>
    <row r="1652" spans="1:33" ht="10" customHeight="1" x14ac:dyDescent="0.2">
      <c r="A1652" s="5" t="s">
        <v>40</v>
      </c>
      <c r="B1652" s="5" t="s">
        <v>41</v>
      </c>
      <c r="D1652" s="5" t="s">
        <v>3991</v>
      </c>
      <c r="E1652" s="10" t="s">
        <v>345</v>
      </c>
      <c r="F1652" s="5" t="s">
        <v>3718</v>
      </c>
      <c r="G1652" s="5" t="s">
        <v>464</v>
      </c>
      <c r="I1652" s="11">
        <v>1</v>
      </c>
      <c r="J1652" s="5" t="s">
        <v>60</v>
      </c>
      <c r="K1652" s="10" t="s">
        <v>46</v>
      </c>
      <c r="L1652" s="5" t="s">
        <v>47</v>
      </c>
      <c r="M1652" s="5" t="s">
        <v>145</v>
      </c>
      <c r="N1652" s="5" t="s">
        <v>164</v>
      </c>
      <c r="O1652" s="12"/>
      <c r="S1652" s="13">
        <v>23735</v>
      </c>
      <c r="U1652" s="13">
        <v>23735</v>
      </c>
      <c r="AC1652" s="10" t="s">
        <v>3992</v>
      </c>
      <c r="AD1652" s="5" t="s">
        <v>3993</v>
      </c>
      <c r="AE1652" s="5" t="s">
        <v>162</v>
      </c>
    </row>
    <row r="1653" spans="1:33" ht="10" customHeight="1" x14ac:dyDescent="0.2">
      <c r="A1653" s="5" t="s">
        <v>40</v>
      </c>
      <c r="B1653" s="5" t="s">
        <v>41</v>
      </c>
      <c r="D1653" s="5" t="s">
        <v>3994</v>
      </c>
      <c r="E1653" s="10" t="s">
        <v>345</v>
      </c>
      <c r="F1653" s="5" t="s">
        <v>3718</v>
      </c>
      <c r="G1653" s="5" t="s">
        <v>464</v>
      </c>
      <c r="I1653" s="11">
        <v>1</v>
      </c>
      <c r="J1653" s="5" t="s">
        <v>60</v>
      </c>
      <c r="K1653" s="10" t="s">
        <v>46</v>
      </c>
      <c r="L1653" s="5" t="s">
        <v>47</v>
      </c>
      <c r="M1653" s="5" t="s">
        <v>145</v>
      </c>
      <c r="N1653" s="5" t="s">
        <v>164</v>
      </c>
      <c r="O1653" s="12"/>
      <c r="S1653" s="13">
        <v>34</v>
      </c>
      <c r="U1653" s="13">
        <v>34</v>
      </c>
      <c r="AC1653" s="10" t="s">
        <v>3995</v>
      </c>
      <c r="AD1653" s="5" t="s">
        <v>3993</v>
      </c>
      <c r="AE1653" s="5" t="s">
        <v>162</v>
      </c>
    </row>
    <row r="1654" spans="1:33" ht="10" customHeight="1" x14ac:dyDescent="0.2">
      <c r="A1654" s="5" t="s">
        <v>40</v>
      </c>
      <c r="B1654" s="5" t="s">
        <v>41</v>
      </c>
      <c r="D1654" s="5" t="s">
        <v>3996</v>
      </c>
      <c r="E1654" s="10" t="s">
        <v>345</v>
      </c>
      <c r="F1654" s="5" t="s">
        <v>3718</v>
      </c>
      <c r="G1654" s="5" t="s">
        <v>464</v>
      </c>
      <c r="I1654" s="11">
        <v>1</v>
      </c>
      <c r="J1654" s="5" t="s">
        <v>60</v>
      </c>
      <c r="K1654" s="10" t="s">
        <v>46</v>
      </c>
      <c r="L1654" s="5" t="s">
        <v>47</v>
      </c>
      <c r="M1654" s="5" t="s">
        <v>145</v>
      </c>
      <c r="N1654" s="5" t="s">
        <v>164</v>
      </c>
      <c r="O1654" s="12"/>
      <c r="S1654" s="13">
        <v>833</v>
      </c>
      <c r="U1654" s="13">
        <v>833</v>
      </c>
      <c r="AC1654" s="10" t="s">
        <v>3997</v>
      </c>
      <c r="AD1654" s="5" t="s">
        <v>3993</v>
      </c>
      <c r="AE1654" s="5" t="s">
        <v>162</v>
      </c>
    </row>
    <row r="1655" spans="1:33" ht="10" customHeight="1" x14ac:dyDescent="0.2">
      <c r="A1655" s="5" t="s">
        <v>40</v>
      </c>
      <c r="B1655" s="5" t="s">
        <v>41</v>
      </c>
      <c r="D1655" s="5" t="s">
        <v>3998</v>
      </c>
      <c r="E1655" s="10" t="s">
        <v>345</v>
      </c>
      <c r="F1655" s="5" t="s">
        <v>3718</v>
      </c>
      <c r="G1655" s="5" t="s">
        <v>464</v>
      </c>
      <c r="I1655" s="11">
        <v>1</v>
      </c>
      <c r="J1655" s="5" t="s">
        <v>60</v>
      </c>
      <c r="K1655" s="10" t="s">
        <v>46</v>
      </c>
      <c r="L1655" s="5" t="s">
        <v>47</v>
      </c>
      <c r="M1655" s="5" t="s">
        <v>145</v>
      </c>
      <c r="N1655" s="5" t="s">
        <v>164</v>
      </c>
      <c r="O1655" s="12"/>
      <c r="S1655" s="13">
        <v>1663</v>
      </c>
      <c r="U1655" s="13">
        <v>1663</v>
      </c>
      <c r="AC1655" s="10" t="s">
        <v>3999</v>
      </c>
      <c r="AD1655" s="5" t="s">
        <v>3993</v>
      </c>
      <c r="AE1655" s="5" t="s">
        <v>162</v>
      </c>
    </row>
    <row r="1656" spans="1:33" ht="10" customHeight="1" x14ac:dyDescent="0.2">
      <c r="A1656" s="5" t="s">
        <v>40</v>
      </c>
      <c r="B1656" s="5" t="s">
        <v>41</v>
      </c>
      <c r="D1656" s="5" t="s">
        <v>4000</v>
      </c>
      <c r="E1656" s="10" t="s">
        <v>345</v>
      </c>
      <c r="F1656" s="5" t="s">
        <v>3718</v>
      </c>
      <c r="G1656" s="5" t="s">
        <v>464</v>
      </c>
      <c r="I1656" s="11">
        <v>1</v>
      </c>
      <c r="J1656" s="5" t="s">
        <v>60</v>
      </c>
      <c r="K1656" s="10" t="s">
        <v>46</v>
      </c>
      <c r="L1656" s="5" t="s">
        <v>47</v>
      </c>
      <c r="M1656" s="5" t="s">
        <v>145</v>
      </c>
      <c r="N1656" s="5" t="s">
        <v>164</v>
      </c>
      <c r="O1656" s="12"/>
      <c r="S1656" s="13">
        <v>2233</v>
      </c>
      <c r="U1656" s="13">
        <v>2233</v>
      </c>
      <c r="AC1656" s="10" t="s">
        <v>4001</v>
      </c>
      <c r="AD1656" s="5" t="s">
        <v>3993</v>
      </c>
      <c r="AE1656" s="5" t="s">
        <v>162</v>
      </c>
    </row>
    <row r="1657" spans="1:33" ht="10" customHeight="1" x14ac:dyDescent="0.2">
      <c r="A1657" s="5" t="s">
        <v>40</v>
      </c>
      <c r="B1657" s="5" t="s">
        <v>41</v>
      </c>
      <c r="D1657" s="5" t="s">
        <v>4002</v>
      </c>
      <c r="E1657" s="10" t="s">
        <v>345</v>
      </c>
      <c r="F1657" s="5" t="s">
        <v>3718</v>
      </c>
      <c r="G1657" s="5" t="s">
        <v>464</v>
      </c>
      <c r="I1657" s="11">
        <v>1</v>
      </c>
      <c r="J1657" s="5" t="s">
        <v>60</v>
      </c>
      <c r="K1657" s="10" t="s">
        <v>46</v>
      </c>
      <c r="L1657" s="5" t="s">
        <v>47</v>
      </c>
      <c r="M1657" s="5" t="s">
        <v>145</v>
      </c>
      <c r="N1657" s="5" t="s">
        <v>164</v>
      </c>
      <c r="O1657" s="12"/>
      <c r="S1657" s="13">
        <v>9764</v>
      </c>
      <c r="U1657" s="13">
        <v>9764</v>
      </c>
      <c r="AC1657" s="10" t="s">
        <v>4003</v>
      </c>
      <c r="AD1657" s="5" t="s">
        <v>3993</v>
      </c>
      <c r="AE1657" s="5" t="s">
        <v>162</v>
      </c>
    </row>
    <row r="1658" spans="1:33" ht="10" customHeight="1" x14ac:dyDescent="0.2">
      <c r="A1658" s="5" t="s">
        <v>40</v>
      </c>
      <c r="B1658" s="5" t="s">
        <v>41</v>
      </c>
      <c r="D1658" s="5" t="s">
        <v>4004</v>
      </c>
      <c r="E1658" s="10" t="s">
        <v>345</v>
      </c>
      <c r="F1658" s="5" t="s">
        <v>3718</v>
      </c>
      <c r="G1658" s="5" t="s">
        <v>464</v>
      </c>
      <c r="I1658" s="11">
        <v>1</v>
      </c>
      <c r="J1658" s="5" t="s">
        <v>60</v>
      </c>
      <c r="K1658" s="10" t="s">
        <v>46</v>
      </c>
      <c r="L1658" s="5" t="s">
        <v>47</v>
      </c>
      <c r="M1658" s="5" t="s">
        <v>145</v>
      </c>
      <c r="N1658" s="5" t="s">
        <v>164</v>
      </c>
      <c r="O1658" s="12"/>
      <c r="S1658" s="13">
        <v>26442</v>
      </c>
      <c r="U1658" s="13">
        <v>26442</v>
      </c>
      <c r="AC1658" s="10" t="s">
        <v>4005</v>
      </c>
      <c r="AD1658" s="5" t="s">
        <v>4006</v>
      </c>
      <c r="AE1658" s="5" t="s">
        <v>162</v>
      </c>
    </row>
    <row r="1659" spans="1:33" ht="10" customHeight="1" x14ac:dyDescent="0.2">
      <c r="A1659" s="5" t="s">
        <v>40</v>
      </c>
      <c r="B1659" s="5" t="s">
        <v>41</v>
      </c>
      <c r="D1659" s="5" t="s">
        <v>4007</v>
      </c>
      <c r="E1659" s="10" t="s">
        <v>345</v>
      </c>
      <c r="F1659" s="5" t="s">
        <v>3718</v>
      </c>
      <c r="G1659" s="5" t="s">
        <v>464</v>
      </c>
      <c r="I1659" s="11">
        <v>1</v>
      </c>
      <c r="J1659" s="5" t="s">
        <v>60</v>
      </c>
      <c r="K1659" s="10" t="s">
        <v>46</v>
      </c>
      <c r="L1659" s="5" t="s">
        <v>47</v>
      </c>
      <c r="M1659" s="5" t="s">
        <v>145</v>
      </c>
      <c r="N1659" s="5" t="s">
        <v>164</v>
      </c>
      <c r="O1659" s="12"/>
      <c r="S1659" s="13">
        <v>1444</v>
      </c>
      <c r="U1659" s="13">
        <v>1444</v>
      </c>
      <c r="AC1659" s="10" t="s">
        <v>4008</v>
      </c>
      <c r="AD1659" s="5" t="s">
        <v>4006</v>
      </c>
      <c r="AE1659" s="5" t="s">
        <v>162</v>
      </c>
      <c r="AG1659" s="5" t="s">
        <v>4009</v>
      </c>
    </row>
    <row r="1660" spans="1:33" ht="10" customHeight="1" x14ac:dyDescent="0.2">
      <c r="A1660" s="5" t="s">
        <v>40</v>
      </c>
      <c r="B1660" s="5" t="s">
        <v>41</v>
      </c>
      <c r="D1660" s="5" t="s">
        <v>4010</v>
      </c>
      <c r="E1660" s="10" t="s">
        <v>345</v>
      </c>
      <c r="F1660" s="5" t="s">
        <v>3718</v>
      </c>
      <c r="G1660" s="5" t="s">
        <v>464</v>
      </c>
      <c r="I1660" s="11">
        <v>1</v>
      </c>
      <c r="J1660" s="5" t="s">
        <v>60</v>
      </c>
      <c r="K1660" s="10" t="s">
        <v>46</v>
      </c>
      <c r="L1660" s="5" t="s">
        <v>47</v>
      </c>
      <c r="M1660" s="5" t="s">
        <v>145</v>
      </c>
      <c r="N1660" s="5" t="s">
        <v>164</v>
      </c>
      <c r="O1660" s="12"/>
      <c r="S1660" s="13">
        <v>1464</v>
      </c>
      <c r="U1660" s="13">
        <v>1464</v>
      </c>
      <c r="AC1660" s="10" t="s">
        <v>4011</v>
      </c>
      <c r="AD1660" s="5" t="s">
        <v>4006</v>
      </c>
      <c r="AE1660" s="5" t="s">
        <v>162</v>
      </c>
    </row>
    <row r="1661" spans="1:33" ht="10" customHeight="1" x14ac:dyDescent="0.2">
      <c r="A1661" s="5" t="s">
        <v>40</v>
      </c>
      <c r="B1661" s="5" t="s">
        <v>41</v>
      </c>
      <c r="D1661" s="5" t="s">
        <v>4012</v>
      </c>
      <c r="E1661" s="10" t="s">
        <v>345</v>
      </c>
      <c r="F1661" s="5" t="s">
        <v>3718</v>
      </c>
      <c r="G1661" s="5" t="s">
        <v>464</v>
      </c>
      <c r="I1661" s="11">
        <v>1</v>
      </c>
      <c r="J1661" s="5" t="s">
        <v>60</v>
      </c>
      <c r="K1661" s="10" t="s">
        <v>46</v>
      </c>
      <c r="L1661" s="5" t="s">
        <v>47</v>
      </c>
      <c r="M1661" s="5" t="s">
        <v>145</v>
      </c>
      <c r="N1661" s="5" t="s">
        <v>164</v>
      </c>
      <c r="O1661" s="12"/>
      <c r="S1661" s="13">
        <v>2387</v>
      </c>
      <c r="U1661" s="13">
        <v>2387</v>
      </c>
      <c r="AC1661" s="10" t="s">
        <v>4013</v>
      </c>
      <c r="AD1661" s="5" t="s">
        <v>4006</v>
      </c>
      <c r="AE1661" s="5" t="s">
        <v>162</v>
      </c>
    </row>
    <row r="1662" spans="1:33" ht="10" customHeight="1" x14ac:dyDescent="0.2">
      <c r="A1662" s="5" t="s">
        <v>40</v>
      </c>
      <c r="B1662" s="5" t="s">
        <v>41</v>
      </c>
      <c r="D1662" s="5" t="s">
        <v>4014</v>
      </c>
      <c r="E1662" s="10" t="s">
        <v>345</v>
      </c>
      <c r="F1662" s="5" t="s">
        <v>3718</v>
      </c>
      <c r="G1662" s="5" t="s">
        <v>464</v>
      </c>
      <c r="I1662" s="11">
        <v>1</v>
      </c>
      <c r="J1662" s="5" t="s">
        <v>60</v>
      </c>
      <c r="K1662" s="10" t="s">
        <v>46</v>
      </c>
      <c r="L1662" s="5" t="s">
        <v>47</v>
      </c>
      <c r="M1662" s="5" t="s">
        <v>145</v>
      </c>
      <c r="N1662" s="5" t="s">
        <v>164</v>
      </c>
      <c r="O1662" s="12"/>
      <c r="S1662" s="13">
        <v>2388</v>
      </c>
      <c r="U1662" s="13">
        <v>2388</v>
      </c>
      <c r="AC1662" s="10" t="s">
        <v>4015</v>
      </c>
      <c r="AD1662" s="5" t="s">
        <v>4006</v>
      </c>
      <c r="AE1662" s="5" t="s">
        <v>162</v>
      </c>
    </row>
    <row r="1663" spans="1:33" ht="10" customHeight="1" x14ac:dyDescent="0.2">
      <c r="A1663" s="5" t="s">
        <v>40</v>
      </c>
      <c r="B1663" s="5" t="s">
        <v>41</v>
      </c>
      <c r="D1663" s="5" t="s">
        <v>4016</v>
      </c>
      <c r="E1663" s="10" t="s">
        <v>345</v>
      </c>
      <c r="F1663" s="5" t="s">
        <v>3718</v>
      </c>
      <c r="G1663" s="5" t="s">
        <v>464</v>
      </c>
      <c r="I1663" s="11">
        <v>1</v>
      </c>
      <c r="J1663" s="5" t="s">
        <v>60</v>
      </c>
      <c r="K1663" s="10" t="s">
        <v>46</v>
      </c>
      <c r="L1663" s="5" t="s">
        <v>47</v>
      </c>
      <c r="M1663" s="5" t="s">
        <v>145</v>
      </c>
      <c r="N1663" s="5" t="s">
        <v>164</v>
      </c>
      <c r="O1663" s="12"/>
      <c r="S1663" s="13">
        <v>17974</v>
      </c>
      <c r="U1663" s="13">
        <v>17974</v>
      </c>
      <c r="AC1663" s="10" t="s">
        <v>4017</v>
      </c>
      <c r="AD1663" s="5" t="s">
        <v>4018</v>
      </c>
      <c r="AE1663" s="5" t="s">
        <v>162</v>
      </c>
    </row>
    <row r="1664" spans="1:33" ht="10" customHeight="1" x14ac:dyDescent="0.2">
      <c r="A1664" s="5" t="s">
        <v>40</v>
      </c>
      <c r="B1664" s="5" t="s">
        <v>41</v>
      </c>
      <c r="D1664" s="5" t="s">
        <v>4019</v>
      </c>
      <c r="E1664" s="10" t="s">
        <v>345</v>
      </c>
      <c r="F1664" s="5" t="s">
        <v>3718</v>
      </c>
      <c r="G1664" s="5" t="s">
        <v>464</v>
      </c>
      <c r="I1664" s="11">
        <v>1</v>
      </c>
      <c r="J1664" s="5" t="s">
        <v>60</v>
      </c>
      <c r="K1664" s="10" t="s">
        <v>46</v>
      </c>
      <c r="L1664" s="5" t="s">
        <v>47</v>
      </c>
      <c r="M1664" s="5" t="s">
        <v>145</v>
      </c>
      <c r="N1664" s="5" t="s">
        <v>164</v>
      </c>
      <c r="O1664" s="12"/>
      <c r="S1664" s="13">
        <v>473</v>
      </c>
      <c r="U1664" s="13">
        <v>473</v>
      </c>
      <c r="AC1664" s="10" t="s">
        <v>4020</v>
      </c>
      <c r="AD1664" s="5" t="s">
        <v>4018</v>
      </c>
      <c r="AE1664" s="5" t="s">
        <v>162</v>
      </c>
    </row>
    <row r="1665" spans="1:33" ht="10" customHeight="1" x14ac:dyDescent="0.2">
      <c r="A1665" s="5" t="s">
        <v>40</v>
      </c>
      <c r="B1665" s="5" t="s">
        <v>41</v>
      </c>
      <c r="D1665" s="5" t="s">
        <v>4021</v>
      </c>
      <c r="E1665" s="10" t="s">
        <v>345</v>
      </c>
      <c r="F1665" s="5" t="s">
        <v>3718</v>
      </c>
      <c r="G1665" s="5" t="s">
        <v>464</v>
      </c>
      <c r="I1665" s="11">
        <v>1</v>
      </c>
      <c r="J1665" s="5" t="s">
        <v>60</v>
      </c>
      <c r="K1665" s="10" t="s">
        <v>46</v>
      </c>
      <c r="L1665" s="5" t="s">
        <v>47</v>
      </c>
      <c r="M1665" s="5" t="s">
        <v>145</v>
      </c>
      <c r="N1665" s="5" t="s">
        <v>164</v>
      </c>
      <c r="O1665" s="12"/>
      <c r="S1665" s="13">
        <v>103</v>
      </c>
      <c r="U1665" s="13">
        <v>103</v>
      </c>
      <c r="AC1665" s="10" t="s">
        <v>4022</v>
      </c>
      <c r="AD1665" s="5" t="s">
        <v>4018</v>
      </c>
      <c r="AE1665" s="5" t="s">
        <v>162</v>
      </c>
      <c r="AG1665" s="5" t="s">
        <v>4023</v>
      </c>
    </row>
    <row r="1666" spans="1:33" ht="10" customHeight="1" x14ac:dyDescent="0.2">
      <c r="A1666" s="5" t="s">
        <v>40</v>
      </c>
      <c r="B1666" s="5" t="s">
        <v>41</v>
      </c>
      <c r="D1666" s="5" t="s">
        <v>4024</v>
      </c>
      <c r="E1666" s="10" t="s">
        <v>345</v>
      </c>
      <c r="F1666" s="5" t="s">
        <v>3718</v>
      </c>
      <c r="G1666" s="5" t="s">
        <v>464</v>
      </c>
      <c r="I1666" s="11">
        <v>1</v>
      </c>
      <c r="J1666" s="5" t="s">
        <v>60</v>
      </c>
      <c r="K1666" s="10" t="s">
        <v>46</v>
      </c>
      <c r="L1666" s="5" t="s">
        <v>47</v>
      </c>
      <c r="M1666" s="5" t="s">
        <v>145</v>
      </c>
      <c r="N1666" s="5" t="s">
        <v>164</v>
      </c>
      <c r="O1666" s="12"/>
      <c r="S1666" s="13">
        <v>2093</v>
      </c>
      <c r="U1666" s="13">
        <v>2093</v>
      </c>
      <c r="AC1666" s="10" t="s">
        <v>4025</v>
      </c>
      <c r="AD1666" s="5" t="s">
        <v>4018</v>
      </c>
      <c r="AE1666" s="5" t="s">
        <v>162</v>
      </c>
    </row>
    <row r="1667" spans="1:33" ht="10" customHeight="1" x14ac:dyDescent="0.2">
      <c r="A1667" s="5" t="s">
        <v>40</v>
      </c>
      <c r="B1667" s="5" t="s">
        <v>41</v>
      </c>
      <c r="D1667" s="5" t="s">
        <v>4026</v>
      </c>
      <c r="E1667" s="10" t="s">
        <v>345</v>
      </c>
      <c r="F1667" s="5" t="s">
        <v>3718</v>
      </c>
      <c r="G1667" s="5" t="s">
        <v>464</v>
      </c>
      <c r="I1667" s="11">
        <v>1</v>
      </c>
      <c r="J1667" s="5" t="s">
        <v>60</v>
      </c>
      <c r="K1667" s="10" t="s">
        <v>46</v>
      </c>
      <c r="L1667" s="5" t="s">
        <v>47</v>
      </c>
      <c r="M1667" s="5" t="s">
        <v>145</v>
      </c>
      <c r="N1667" s="5" t="s">
        <v>164</v>
      </c>
      <c r="O1667" s="12"/>
      <c r="S1667" s="13">
        <v>279</v>
      </c>
      <c r="U1667" s="13">
        <v>279</v>
      </c>
      <c r="AC1667" s="10" t="s">
        <v>4027</v>
      </c>
      <c r="AD1667" s="5" t="s">
        <v>4018</v>
      </c>
      <c r="AE1667" s="5" t="s">
        <v>162</v>
      </c>
    </row>
    <row r="1668" spans="1:33" ht="10" customHeight="1" x14ac:dyDescent="0.2">
      <c r="A1668" s="5" t="s">
        <v>40</v>
      </c>
      <c r="B1668" s="5" t="s">
        <v>41</v>
      </c>
      <c r="D1668" s="5" t="s">
        <v>4028</v>
      </c>
      <c r="E1668" s="10" t="s">
        <v>345</v>
      </c>
      <c r="F1668" s="5" t="s">
        <v>3718</v>
      </c>
      <c r="G1668" s="5" t="s">
        <v>464</v>
      </c>
      <c r="I1668" s="11">
        <v>1</v>
      </c>
      <c r="J1668" s="5" t="s">
        <v>60</v>
      </c>
      <c r="K1668" s="10" t="s">
        <v>46</v>
      </c>
      <c r="L1668" s="5" t="s">
        <v>47</v>
      </c>
      <c r="M1668" s="5" t="s">
        <v>145</v>
      </c>
      <c r="N1668" s="5" t="s">
        <v>164</v>
      </c>
      <c r="O1668" s="12"/>
      <c r="S1668" s="13">
        <v>1368</v>
      </c>
      <c r="U1668" s="13">
        <v>1368</v>
      </c>
      <c r="AC1668" s="10" t="s">
        <v>4029</v>
      </c>
      <c r="AD1668" s="5" t="s">
        <v>4018</v>
      </c>
      <c r="AE1668" s="5" t="s">
        <v>162</v>
      </c>
    </row>
    <row r="1669" spans="1:33" ht="10" customHeight="1" x14ac:dyDescent="0.2">
      <c r="A1669" s="5" t="s">
        <v>40</v>
      </c>
      <c r="B1669" s="5" t="s">
        <v>41</v>
      </c>
      <c r="D1669" s="5" t="s">
        <v>4030</v>
      </c>
      <c r="E1669" s="10" t="s">
        <v>345</v>
      </c>
      <c r="F1669" s="5" t="s">
        <v>3718</v>
      </c>
      <c r="G1669" s="5" t="s">
        <v>464</v>
      </c>
      <c r="I1669" s="11">
        <v>1</v>
      </c>
      <c r="J1669" s="5" t="s">
        <v>60</v>
      </c>
      <c r="K1669" s="10" t="s">
        <v>46</v>
      </c>
      <c r="L1669" s="5" t="s">
        <v>47</v>
      </c>
      <c r="M1669" s="5" t="s">
        <v>145</v>
      </c>
      <c r="N1669" s="5" t="s">
        <v>164</v>
      </c>
      <c r="O1669" s="12"/>
      <c r="S1669" s="13">
        <v>15378</v>
      </c>
      <c r="U1669" s="13">
        <v>15378</v>
      </c>
      <c r="AC1669" s="10" t="s">
        <v>4031</v>
      </c>
      <c r="AD1669" s="5" t="s">
        <v>4032</v>
      </c>
      <c r="AE1669" s="5" t="s">
        <v>162</v>
      </c>
    </row>
    <row r="1670" spans="1:33" ht="10" customHeight="1" x14ac:dyDescent="0.2">
      <c r="A1670" s="5" t="s">
        <v>40</v>
      </c>
      <c r="B1670" s="5" t="s">
        <v>41</v>
      </c>
      <c r="D1670" s="5" t="s">
        <v>4033</v>
      </c>
      <c r="E1670" s="10" t="s">
        <v>345</v>
      </c>
      <c r="F1670" s="5" t="s">
        <v>3718</v>
      </c>
      <c r="G1670" s="5" t="s">
        <v>464</v>
      </c>
      <c r="I1670" s="11">
        <v>1</v>
      </c>
      <c r="J1670" s="5" t="s">
        <v>60</v>
      </c>
      <c r="K1670" s="10" t="s">
        <v>46</v>
      </c>
      <c r="L1670" s="5" t="s">
        <v>47</v>
      </c>
      <c r="M1670" s="5" t="s">
        <v>145</v>
      </c>
      <c r="N1670" s="5" t="s">
        <v>164</v>
      </c>
      <c r="O1670" s="12"/>
      <c r="S1670" s="13">
        <v>55</v>
      </c>
      <c r="U1670" s="13">
        <v>55</v>
      </c>
      <c r="AC1670" s="10" t="s">
        <v>4034</v>
      </c>
      <c r="AD1670" s="5" t="s">
        <v>4032</v>
      </c>
      <c r="AE1670" s="5" t="s">
        <v>162</v>
      </c>
    </row>
    <row r="1671" spans="1:33" ht="10" customHeight="1" x14ac:dyDescent="0.2">
      <c r="A1671" s="5" t="s">
        <v>40</v>
      </c>
      <c r="B1671" s="5" t="s">
        <v>41</v>
      </c>
      <c r="D1671" s="5" t="s">
        <v>4035</v>
      </c>
      <c r="E1671" s="10" t="s">
        <v>345</v>
      </c>
      <c r="F1671" s="5" t="s">
        <v>3718</v>
      </c>
      <c r="G1671" s="5" t="s">
        <v>464</v>
      </c>
      <c r="I1671" s="11">
        <v>1</v>
      </c>
      <c r="J1671" s="5" t="s">
        <v>60</v>
      </c>
      <c r="K1671" s="10" t="s">
        <v>46</v>
      </c>
      <c r="L1671" s="5" t="s">
        <v>47</v>
      </c>
      <c r="M1671" s="5" t="s">
        <v>145</v>
      </c>
      <c r="N1671" s="5" t="s">
        <v>164</v>
      </c>
      <c r="O1671" s="12"/>
      <c r="S1671" s="13">
        <v>177</v>
      </c>
      <c r="U1671" s="13">
        <v>177</v>
      </c>
      <c r="AC1671" s="10" t="s">
        <v>4036</v>
      </c>
      <c r="AD1671" s="5" t="s">
        <v>4032</v>
      </c>
      <c r="AE1671" s="5" t="s">
        <v>162</v>
      </c>
      <c r="AG1671" s="5" t="s">
        <v>4037</v>
      </c>
    </row>
    <row r="1672" spans="1:33" ht="10" customHeight="1" x14ac:dyDescent="0.2">
      <c r="A1672" s="5" t="s">
        <v>40</v>
      </c>
      <c r="B1672" s="5" t="s">
        <v>41</v>
      </c>
      <c r="D1672" s="5" t="s">
        <v>4038</v>
      </c>
      <c r="E1672" s="10" t="s">
        <v>345</v>
      </c>
      <c r="F1672" s="5" t="s">
        <v>3718</v>
      </c>
      <c r="G1672" s="5" t="s">
        <v>464</v>
      </c>
      <c r="I1672" s="11">
        <v>1</v>
      </c>
      <c r="J1672" s="5" t="s">
        <v>60</v>
      </c>
      <c r="K1672" s="10" t="s">
        <v>46</v>
      </c>
      <c r="L1672" s="5" t="s">
        <v>47</v>
      </c>
      <c r="M1672" s="5" t="s">
        <v>145</v>
      </c>
      <c r="N1672" s="5" t="s">
        <v>164</v>
      </c>
      <c r="O1672" s="12"/>
      <c r="S1672" s="13">
        <v>705</v>
      </c>
      <c r="U1672" s="13">
        <v>705</v>
      </c>
      <c r="AC1672" s="10" t="s">
        <v>4039</v>
      </c>
      <c r="AD1672" s="5" t="s">
        <v>4032</v>
      </c>
      <c r="AE1672" s="5" t="s">
        <v>162</v>
      </c>
    </row>
    <row r="1673" spans="1:33" ht="10" customHeight="1" x14ac:dyDescent="0.2">
      <c r="A1673" s="5" t="s">
        <v>40</v>
      </c>
      <c r="B1673" s="5" t="s">
        <v>41</v>
      </c>
      <c r="D1673" s="5" t="s">
        <v>4040</v>
      </c>
      <c r="E1673" s="10" t="s">
        <v>345</v>
      </c>
      <c r="F1673" s="5" t="s">
        <v>3718</v>
      </c>
      <c r="G1673" s="5" t="s">
        <v>464</v>
      </c>
      <c r="I1673" s="11">
        <v>1</v>
      </c>
      <c r="J1673" s="5" t="s">
        <v>60</v>
      </c>
      <c r="K1673" s="10" t="s">
        <v>46</v>
      </c>
      <c r="L1673" s="5" t="s">
        <v>47</v>
      </c>
      <c r="M1673" s="5" t="s">
        <v>145</v>
      </c>
      <c r="N1673" s="5" t="s">
        <v>164</v>
      </c>
      <c r="O1673" s="12"/>
      <c r="S1673" s="13">
        <v>545</v>
      </c>
      <c r="U1673" s="13">
        <v>545</v>
      </c>
      <c r="AC1673" s="10" t="s">
        <v>4041</v>
      </c>
      <c r="AD1673" s="5" t="s">
        <v>4032</v>
      </c>
      <c r="AE1673" s="5" t="s">
        <v>162</v>
      </c>
    </row>
    <row r="1674" spans="1:33" ht="10" customHeight="1" x14ac:dyDescent="0.2">
      <c r="A1674" s="5" t="s">
        <v>40</v>
      </c>
      <c r="B1674" s="5" t="s">
        <v>41</v>
      </c>
      <c r="D1674" s="5" t="s">
        <v>4042</v>
      </c>
      <c r="E1674" s="10" t="s">
        <v>345</v>
      </c>
      <c r="F1674" s="5" t="s">
        <v>3718</v>
      </c>
      <c r="G1674" s="5" t="s">
        <v>464</v>
      </c>
      <c r="I1674" s="11">
        <v>1</v>
      </c>
      <c r="J1674" s="5" t="s">
        <v>60</v>
      </c>
      <c r="K1674" s="10" t="s">
        <v>46</v>
      </c>
      <c r="L1674" s="5" t="s">
        <v>47</v>
      </c>
      <c r="M1674" s="5" t="s">
        <v>145</v>
      </c>
      <c r="N1674" s="5" t="s">
        <v>164</v>
      </c>
      <c r="O1674" s="12"/>
      <c r="S1674" s="13">
        <v>1598</v>
      </c>
      <c r="U1674" s="13">
        <v>1598</v>
      </c>
      <c r="AC1674" s="10" t="s">
        <v>4043</v>
      </c>
      <c r="AD1674" s="5" t="s">
        <v>4032</v>
      </c>
      <c r="AE1674" s="5" t="s">
        <v>162</v>
      </c>
    </row>
    <row r="1675" spans="1:33" ht="10" customHeight="1" x14ac:dyDescent="0.2">
      <c r="A1675" s="5" t="s">
        <v>40</v>
      </c>
      <c r="B1675" s="5" t="s">
        <v>41</v>
      </c>
      <c r="D1675" s="5" t="s">
        <v>4044</v>
      </c>
      <c r="E1675" s="10" t="s">
        <v>345</v>
      </c>
      <c r="F1675" s="5" t="s">
        <v>3718</v>
      </c>
      <c r="G1675" s="5" t="s">
        <v>464</v>
      </c>
      <c r="I1675" s="11">
        <v>1</v>
      </c>
      <c r="J1675" s="5" t="s">
        <v>60</v>
      </c>
      <c r="K1675" s="10" t="s">
        <v>46</v>
      </c>
      <c r="L1675" s="5" t="s">
        <v>47</v>
      </c>
      <c r="M1675" s="5" t="s">
        <v>145</v>
      </c>
      <c r="N1675" s="5" t="s">
        <v>164</v>
      </c>
      <c r="O1675" s="12"/>
      <c r="S1675" s="13">
        <v>13323</v>
      </c>
      <c r="U1675" s="13">
        <v>13323</v>
      </c>
      <c r="AC1675" s="10" t="s">
        <v>4045</v>
      </c>
      <c r="AD1675" s="5" t="s">
        <v>4046</v>
      </c>
      <c r="AE1675" s="5" t="s">
        <v>162</v>
      </c>
    </row>
    <row r="1676" spans="1:33" ht="10" customHeight="1" x14ac:dyDescent="0.2">
      <c r="A1676" s="5" t="s">
        <v>40</v>
      </c>
      <c r="B1676" s="5" t="s">
        <v>41</v>
      </c>
      <c r="D1676" s="5" t="s">
        <v>4047</v>
      </c>
      <c r="E1676" s="10" t="s">
        <v>345</v>
      </c>
      <c r="F1676" s="5" t="s">
        <v>3718</v>
      </c>
      <c r="G1676" s="5" t="s">
        <v>464</v>
      </c>
      <c r="I1676" s="11">
        <v>1</v>
      </c>
      <c r="J1676" s="5" t="s">
        <v>60</v>
      </c>
      <c r="K1676" s="10" t="s">
        <v>46</v>
      </c>
      <c r="L1676" s="5" t="s">
        <v>47</v>
      </c>
      <c r="M1676" s="5" t="s">
        <v>145</v>
      </c>
      <c r="N1676" s="5" t="s">
        <v>164</v>
      </c>
      <c r="O1676" s="12"/>
      <c r="S1676" s="13">
        <v>379</v>
      </c>
      <c r="U1676" s="13">
        <v>379</v>
      </c>
      <c r="AC1676" s="10" t="s">
        <v>4048</v>
      </c>
      <c r="AD1676" s="5" t="s">
        <v>4046</v>
      </c>
      <c r="AE1676" s="5" t="s">
        <v>162</v>
      </c>
    </row>
    <row r="1677" spans="1:33" ht="10" customHeight="1" x14ac:dyDescent="0.2">
      <c r="A1677" s="5" t="s">
        <v>40</v>
      </c>
      <c r="B1677" s="5" t="s">
        <v>41</v>
      </c>
      <c r="D1677" s="5" t="s">
        <v>4049</v>
      </c>
      <c r="E1677" s="10" t="s">
        <v>345</v>
      </c>
      <c r="F1677" s="5" t="s">
        <v>3718</v>
      </c>
      <c r="G1677" s="5" t="s">
        <v>464</v>
      </c>
      <c r="I1677" s="11">
        <v>1</v>
      </c>
      <c r="J1677" s="5" t="s">
        <v>60</v>
      </c>
      <c r="K1677" s="10" t="s">
        <v>46</v>
      </c>
      <c r="L1677" s="5" t="s">
        <v>47</v>
      </c>
      <c r="M1677" s="5" t="s">
        <v>145</v>
      </c>
      <c r="N1677" s="5" t="s">
        <v>164</v>
      </c>
      <c r="O1677" s="12"/>
      <c r="S1677" s="13">
        <v>608</v>
      </c>
      <c r="U1677" s="13">
        <v>608</v>
      </c>
      <c r="AC1677" s="10" t="s">
        <v>4050</v>
      </c>
      <c r="AD1677" s="5" t="s">
        <v>4046</v>
      </c>
      <c r="AE1677" s="5" t="s">
        <v>162</v>
      </c>
    </row>
    <row r="1678" spans="1:33" ht="10" customHeight="1" x14ac:dyDescent="0.2">
      <c r="A1678" s="5" t="s">
        <v>40</v>
      </c>
      <c r="B1678" s="5" t="s">
        <v>41</v>
      </c>
      <c r="D1678" s="5" t="s">
        <v>4051</v>
      </c>
      <c r="E1678" s="10" t="s">
        <v>345</v>
      </c>
      <c r="F1678" s="5" t="s">
        <v>3718</v>
      </c>
      <c r="G1678" s="5" t="s">
        <v>464</v>
      </c>
      <c r="I1678" s="11">
        <v>1</v>
      </c>
      <c r="J1678" s="5" t="s">
        <v>60</v>
      </c>
      <c r="K1678" s="10" t="s">
        <v>46</v>
      </c>
      <c r="L1678" s="5" t="s">
        <v>47</v>
      </c>
      <c r="M1678" s="5" t="s">
        <v>145</v>
      </c>
      <c r="N1678" s="5" t="s">
        <v>164</v>
      </c>
      <c r="O1678" s="12"/>
      <c r="S1678" s="13">
        <v>955</v>
      </c>
      <c r="U1678" s="13">
        <v>955</v>
      </c>
      <c r="AC1678" s="10" t="s">
        <v>4052</v>
      </c>
      <c r="AD1678" s="5" t="s">
        <v>4046</v>
      </c>
      <c r="AE1678" s="5" t="s">
        <v>162</v>
      </c>
      <c r="AG1678" s="5" t="s">
        <v>4053</v>
      </c>
    </row>
    <row r="1679" spans="1:33" ht="10" customHeight="1" x14ac:dyDescent="0.2">
      <c r="A1679" s="5" t="s">
        <v>40</v>
      </c>
      <c r="B1679" s="5" t="s">
        <v>41</v>
      </c>
      <c r="D1679" s="5" t="s">
        <v>4054</v>
      </c>
      <c r="E1679" s="10" t="s">
        <v>345</v>
      </c>
      <c r="F1679" s="5" t="s">
        <v>3718</v>
      </c>
      <c r="G1679" s="5" t="s">
        <v>464</v>
      </c>
      <c r="I1679" s="11">
        <v>1</v>
      </c>
      <c r="J1679" s="5" t="s">
        <v>60</v>
      </c>
      <c r="K1679" s="10" t="s">
        <v>46</v>
      </c>
      <c r="L1679" s="5" t="s">
        <v>47</v>
      </c>
      <c r="M1679" s="5" t="s">
        <v>145</v>
      </c>
      <c r="N1679" s="5" t="s">
        <v>164</v>
      </c>
      <c r="O1679" s="12"/>
      <c r="S1679" s="13">
        <v>5144</v>
      </c>
      <c r="U1679" s="13">
        <v>5144</v>
      </c>
      <c r="AC1679" s="10" t="s">
        <v>4055</v>
      </c>
      <c r="AD1679" s="5" t="s">
        <v>4056</v>
      </c>
      <c r="AE1679" s="5" t="s">
        <v>162</v>
      </c>
    </row>
    <row r="1680" spans="1:33" ht="10" customHeight="1" x14ac:dyDescent="0.2">
      <c r="A1680" s="5" t="s">
        <v>40</v>
      </c>
      <c r="B1680" s="5" t="s">
        <v>41</v>
      </c>
      <c r="D1680" s="5" t="s">
        <v>4057</v>
      </c>
      <c r="E1680" s="10" t="s">
        <v>345</v>
      </c>
      <c r="F1680" s="5" t="s">
        <v>3718</v>
      </c>
      <c r="G1680" s="5" t="s">
        <v>464</v>
      </c>
      <c r="I1680" s="11">
        <v>1</v>
      </c>
      <c r="J1680" s="5" t="s">
        <v>60</v>
      </c>
      <c r="K1680" s="10" t="s">
        <v>46</v>
      </c>
      <c r="L1680" s="5" t="s">
        <v>47</v>
      </c>
      <c r="M1680" s="5" t="s">
        <v>145</v>
      </c>
      <c r="N1680" s="5" t="s">
        <v>164</v>
      </c>
      <c r="O1680" s="12"/>
      <c r="S1680" s="13">
        <v>134</v>
      </c>
      <c r="U1680" s="13">
        <v>134</v>
      </c>
      <c r="AC1680" s="10" t="s">
        <v>4058</v>
      </c>
      <c r="AD1680" s="5" t="s">
        <v>4056</v>
      </c>
      <c r="AE1680" s="5" t="s">
        <v>162</v>
      </c>
    </row>
    <row r="1681" spans="1:33" ht="10" customHeight="1" x14ac:dyDescent="0.2">
      <c r="A1681" s="5" t="s">
        <v>40</v>
      </c>
      <c r="B1681" s="5" t="s">
        <v>41</v>
      </c>
      <c r="D1681" s="5" t="s">
        <v>4059</v>
      </c>
      <c r="E1681" s="10" t="s">
        <v>345</v>
      </c>
      <c r="F1681" s="5" t="s">
        <v>3718</v>
      </c>
      <c r="G1681" s="5" t="s">
        <v>464</v>
      </c>
      <c r="I1681" s="11">
        <v>1</v>
      </c>
      <c r="J1681" s="5" t="s">
        <v>60</v>
      </c>
      <c r="K1681" s="10" t="s">
        <v>46</v>
      </c>
      <c r="L1681" s="5" t="s">
        <v>47</v>
      </c>
      <c r="M1681" s="5" t="s">
        <v>145</v>
      </c>
      <c r="N1681" s="5" t="s">
        <v>164</v>
      </c>
      <c r="O1681" s="12"/>
      <c r="S1681" s="13">
        <v>247</v>
      </c>
      <c r="U1681" s="13">
        <v>247</v>
      </c>
      <c r="AC1681" s="10" t="s">
        <v>4060</v>
      </c>
      <c r="AD1681" s="5" t="s">
        <v>4056</v>
      </c>
      <c r="AE1681" s="5" t="s">
        <v>162</v>
      </c>
    </row>
    <row r="1682" spans="1:33" ht="10" customHeight="1" x14ac:dyDescent="0.2">
      <c r="A1682" s="5" t="s">
        <v>40</v>
      </c>
      <c r="B1682" s="5" t="s">
        <v>41</v>
      </c>
      <c r="D1682" s="5" t="s">
        <v>4061</v>
      </c>
      <c r="E1682" s="10" t="s">
        <v>345</v>
      </c>
      <c r="F1682" s="5" t="s">
        <v>3718</v>
      </c>
      <c r="G1682" s="5" t="s">
        <v>464</v>
      </c>
      <c r="I1682" s="11">
        <v>1</v>
      </c>
      <c r="J1682" s="5" t="s">
        <v>60</v>
      </c>
      <c r="K1682" s="10" t="s">
        <v>46</v>
      </c>
      <c r="L1682" s="5" t="s">
        <v>47</v>
      </c>
      <c r="M1682" s="5" t="s">
        <v>145</v>
      </c>
      <c r="N1682" s="5" t="s">
        <v>164</v>
      </c>
      <c r="O1682" s="12"/>
      <c r="S1682" s="13">
        <v>418</v>
      </c>
      <c r="U1682" s="13">
        <v>418</v>
      </c>
      <c r="AC1682" s="10" t="s">
        <v>4062</v>
      </c>
      <c r="AD1682" s="5" t="s">
        <v>4056</v>
      </c>
      <c r="AE1682" s="5" t="s">
        <v>162</v>
      </c>
    </row>
    <row r="1683" spans="1:33" ht="10" customHeight="1" x14ac:dyDescent="0.2">
      <c r="A1683" s="5" t="s">
        <v>40</v>
      </c>
      <c r="B1683" s="5" t="s">
        <v>41</v>
      </c>
      <c r="D1683" s="5" t="s">
        <v>4063</v>
      </c>
      <c r="E1683" s="10" t="s">
        <v>345</v>
      </c>
      <c r="F1683" s="5" t="s">
        <v>3718</v>
      </c>
      <c r="G1683" s="5" t="s">
        <v>464</v>
      </c>
      <c r="I1683" s="11">
        <v>1</v>
      </c>
      <c r="J1683" s="5" t="s">
        <v>60</v>
      </c>
      <c r="K1683" s="10" t="s">
        <v>46</v>
      </c>
      <c r="L1683" s="5" t="s">
        <v>47</v>
      </c>
      <c r="M1683" s="5" t="s">
        <v>145</v>
      </c>
      <c r="N1683" s="5" t="s">
        <v>164</v>
      </c>
      <c r="O1683" s="12"/>
      <c r="S1683" s="13">
        <v>790</v>
      </c>
      <c r="U1683" s="13">
        <v>790</v>
      </c>
      <c r="AC1683" s="10" t="s">
        <v>4064</v>
      </c>
      <c r="AD1683" s="5" t="s">
        <v>4056</v>
      </c>
      <c r="AE1683" s="5" t="s">
        <v>162</v>
      </c>
    </row>
    <row r="1684" spans="1:33" ht="10" customHeight="1" x14ac:dyDescent="0.2">
      <c r="A1684" s="5" t="s">
        <v>40</v>
      </c>
      <c r="B1684" s="5" t="s">
        <v>41</v>
      </c>
      <c r="D1684" s="5" t="s">
        <v>4065</v>
      </c>
      <c r="E1684" s="10" t="s">
        <v>345</v>
      </c>
      <c r="F1684" s="5" t="s">
        <v>3718</v>
      </c>
      <c r="G1684" s="5" t="s">
        <v>464</v>
      </c>
      <c r="I1684" s="11">
        <v>1</v>
      </c>
      <c r="J1684" s="5" t="s">
        <v>60</v>
      </c>
      <c r="K1684" s="10" t="s">
        <v>46</v>
      </c>
      <c r="L1684" s="5" t="s">
        <v>47</v>
      </c>
      <c r="M1684" s="5" t="s">
        <v>145</v>
      </c>
      <c r="N1684" s="5" t="s">
        <v>164</v>
      </c>
      <c r="O1684" s="12"/>
      <c r="S1684" s="13">
        <v>895</v>
      </c>
      <c r="U1684" s="13">
        <v>895</v>
      </c>
      <c r="AC1684" s="10" t="s">
        <v>4066</v>
      </c>
      <c r="AD1684" s="5" t="s">
        <v>4056</v>
      </c>
      <c r="AE1684" s="5" t="s">
        <v>162</v>
      </c>
    </row>
    <row r="1685" spans="1:33" ht="10" customHeight="1" x14ac:dyDescent="0.2">
      <c r="A1685" s="5" t="s">
        <v>40</v>
      </c>
      <c r="B1685" s="5" t="s">
        <v>41</v>
      </c>
      <c r="D1685" s="5" t="s">
        <v>4067</v>
      </c>
      <c r="E1685" s="10" t="s">
        <v>53</v>
      </c>
      <c r="F1685" s="5" t="s">
        <v>3718</v>
      </c>
      <c r="I1685" s="11">
        <v>1</v>
      </c>
      <c r="J1685" s="5" t="s">
        <v>60</v>
      </c>
      <c r="K1685" s="10" t="s">
        <v>46</v>
      </c>
      <c r="L1685" s="5" t="s">
        <v>47</v>
      </c>
      <c r="M1685" s="5" t="s">
        <v>145</v>
      </c>
      <c r="N1685" s="5" t="s">
        <v>164</v>
      </c>
      <c r="O1685" s="12"/>
      <c r="P1685" s="13">
        <v>61118</v>
      </c>
      <c r="Q1685" s="13">
        <v>0</v>
      </c>
      <c r="AC1685" s="10" t="s">
        <v>4068</v>
      </c>
      <c r="AD1685" s="5" t="s">
        <v>174</v>
      </c>
      <c r="AE1685" s="5" t="s">
        <v>162</v>
      </c>
    </row>
    <row r="1686" spans="1:33" ht="10" customHeight="1" x14ac:dyDescent="0.2">
      <c r="A1686" s="5" t="s">
        <v>40</v>
      </c>
      <c r="B1686" s="5" t="s">
        <v>41</v>
      </c>
      <c r="D1686" s="5" t="s">
        <v>4069</v>
      </c>
      <c r="E1686" s="10" t="s">
        <v>53</v>
      </c>
      <c r="F1686" s="5" t="s">
        <v>3718</v>
      </c>
      <c r="I1686" s="11">
        <v>1</v>
      </c>
      <c r="J1686" s="5" t="s">
        <v>60</v>
      </c>
      <c r="K1686" s="10" t="s">
        <v>46</v>
      </c>
      <c r="L1686" s="5" t="s">
        <v>47</v>
      </c>
      <c r="M1686" s="5" t="s">
        <v>145</v>
      </c>
      <c r="N1686" s="5" t="s">
        <v>164</v>
      </c>
      <c r="O1686" s="12"/>
      <c r="P1686" s="13">
        <v>0</v>
      </c>
      <c r="AC1686" s="10" t="s">
        <v>4070</v>
      </c>
      <c r="AD1686" s="5" t="s">
        <v>4071</v>
      </c>
      <c r="AE1686" s="5" t="s">
        <v>162</v>
      </c>
    </row>
    <row r="1687" spans="1:33" ht="10" customHeight="1" x14ac:dyDescent="0.2">
      <c r="A1687" s="5" t="s">
        <v>40</v>
      </c>
      <c r="B1687" s="5" t="s">
        <v>41</v>
      </c>
      <c r="D1687" s="5" t="s">
        <v>4072</v>
      </c>
      <c r="E1687" s="10" t="s">
        <v>345</v>
      </c>
      <c r="G1687" s="5" t="s">
        <v>346</v>
      </c>
      <c r="H1687" s="5" t="s">
        <v>347</v>
      </c>
      <c r="I1687" s="11">
        <v>1</v>
      </c>
      <c r="J1687" s="5" t="s">
        <v>60</v>
      </c>
      <c r="K1687" s="10" t="s">
        <v>46</v>
      </c>
      <c r="L1687" s="5" t="s">
        <v>47</v>
      </c>
      <c r="M1687" s="5" t="s">
        <v>178</v>
      </c>
      <c r="N1687" s="5" t="s">
        <v>179</v>
      </c>
      <c r="O1687" s="12"/>
      <c r="AC1687" s="10" t="s">
        <v>4073</v>
      </c>
      <c r="AD1687" s="5" t="s">
        <v>4074</v>
      </c>
      <c r="AE1687" s="5" t="s">
        <v>176</v>
      </c>
      <c r="AG1687" s="5" t="s">
        <v>350</v>
      </c>
    </row>
    <row r="1688" spans="1:33" ht="10" customHeight="1" x14ac:dyDescent="0.2">
      <c r="A1688" s="5" t="s">
        <v>40</v>
      </c>
      <c r="B1688" s="5" t="s">
        <v>41</v>
      </c>
      <c r="D1688" s="5" t="s">
        <v>4075</v>
      </c>
      <c r="E1688" s="10" t="s">
        <v>345</v>
      </c>
      <c r="G1688" s="5" t="s">
        <v>346</v>
      </c>
      <c r="H1688" s="5" t="s">
        <v>357</v>
      </c>
      <c r="I1688" s="11">
        <v>1</v>
      </c>
      <c r="J1688" s="5" t="s">
        <v>60</v>
      </c>
      <c r="K1688" s="10" t="s">
        <v>46</v>
      </c>
      <c r="L1688" s="5" t="s">
        <v>47</v>
      </c>
      <c r="M1688" s="5" t="s">
        <v>178</v>
      </c>
      <c r="N1688" s="5" t="s">
        <v>179</v>
      </c>
      <c r="O1688" s="12"/>
      <c r="AC1688" s="10" t="s">
        <v>4076</v>
      </c>
      <c r="AD1688" s="5" t="s">
        <v>4074</v>
      </c>
      <c r="AE1688" s="5" t="s">
        <v>176</v>
      </c>
      <c r="AG1688" s="5" t="s">
        <v>357</v>
      </c>
    </row>
    <row r="1689" spans="1:33" ht="10" customHeight="1" x14ac:dyDescent="0.2">
      <c r="A1689" s="5" t="s">
        <v>40</v>
      </c>
      <c r="B1689" s="5" t="s">
        <v>41</v>
      </c>
      <c r="D1689" s="5" t="s">
        <v>4077</v>
      </c>
      <c r="E1689" s="10" t="s">
        <v>345</v>
      </c>
      <c r="G1689" s="5" t="s">
        <v>346</v>
      </c>
      <c r="H1689" s="5" t="s">
        <v>369</v>
      </c>
      <c r="I1689" s="11">
        <v>1</v>
      </c>
      <c r="J1689" s="5" t="s">
        <v>60</v>
      </c>
      <c r="K1689" s="10" t="s">
        <v>46</v>
      </c>
      <c r="L1689" s="5" t="s">
        <v>47</v>
      </c>
      <c r="M1689" s="5" t="s">
        <v>178</v>
      </c>
      <c r="N1689" s="5" t="s">
        <v>179</v>
      </c>
      <c r="O1689" s="12"/>
      <c r="AC1689" s="10" t="s">
        <v>4078</v>
      </c>
      <c r="AD1689" s="5" t="s">
        <v>4074</v>
      </c>
      <c r="AE1689" s="5" t="s">
        <v>176</v>
      </c>
    </row>
    <row r="1690" spans="1:33" ht="10" customHeight="1" x14ac:dyDescent="0.2">
      <c r="A1690" s="5" t="s">
        <v>40</v>
      </c>
      <c r="B1690" s="5" t="s">
        <v>41</v>
      </c>
      <c r="D1690" s="5" t="s">
        <v>4079</v>
      </c>
      <c r="E1690" s="10" t="s">
        <v>345</v>
      </c>
      <c r="F1690" s="5" t="s">
        <v>4080</v>
      </c>
      <c r="G1690" s="5" t="s">
        <v>346</v>
      </c>
      <c r="H1690" s="5" t="s">
        <v>175</v>
      </c>
      <c r="I1690" s="11">
        <v>1</v>
      </c>
      <c r="J1690" s="5" t="s">
        <v>45</v>
      </c>
      <c r="K1690" s="10" t="s">
        <v>186</v>
      </c>
      <c r="L1690" s="5" t="s">
        <v>47</v>
      </c>
      <c r="M1690" s="5" t="s">
        <v>178</v>
      </c>
      <c r="N1690" s="5" t="s">
        <v>187</v>
      </c>
      <c r="O1690" s="12"/>
      <c r="AC1690" s="10" t="s">
        <v>4081</v>
      </c>
      <c r="AD1690" s="5" t="s">
        <v>4082</v>
      </c>
    </row>
    <row r="1691" spans="1:33" ht="10" customHeight="1" x14ac:dyDescent="0.2">
      <c r="A1691" s="5" t="s">
        <v>40</v>
      </c>
      <c r="B1691" s="5" t="s">
        <v>41</v>
      </c>
      <c r="D1691" s="5" t="s">
        <v>4083</v>
      </c>
      <c r="E1691" s="10" t="s">
        <v>345</v>
      </c>
      <c r="F1691" s="5" t="s">
        <v>4080</v>
      </c>
      <c r="G1691" s="5" t="s">
        <v>346</v>
      </c>
      <c r="H1691" s="5" t="s">
        <v>354</v>
      </c>
      <c r="I1691" s="11">
        <v>1</v>
      </c>
      <c r="J1691" s="5" t="s">
        <v>45</v>
      </c>
      <c r="K1691" s="10" t="s">
        <v>186</v>
      </c>
      <c r="L1691" s="5" t="s">
        <v>47</v>
      </c>
      <c r="M1691" s="5" t="s">
        <v>178</v>
      </c>
      <c r="N1691" s="5" t="s">
        <v>187</v>
      </c>
      <c r="O1691" s="12"/>
      <c r="AC1691" s="10" t="s">
        <v>4084</v>
      </c>
      <c r="AD1691" s="5" t="s">
        <v>4082</v>
      </c>
    </row>
    <row r="1692" spans="1:33" ht="10" customHeight="1" x14ac:dyDescent="0.2">
      <c r="A1692" s="5" t="s">
        <v>40</v>
      </c>
      <c r="B1692" s="5" t="s">
        <v>41</v>
      </c>
      <c r="D1692" s="5" t="s">
        <v>4085</v>
      </c>
      <c r="E1692" s="10" t="s">
        <v>345</v>
      </c>
      <c r="F1692" s="5" t="s">
        <v>4080</v>
      </c>
      <c r="G1692" s="5" t="s">
        <v>346</v>
      </c>
      <c r="H1692" s="5" t="s">
        <v>357</v>
      </c>
      <c r="I1692" s="11">
        <v>1</v>
      </c>
      <c r="J1692" s="5" t="s">
        <v>45</v>
      </c>
      <c r="K1692" s="10" t="s">
        <v>186</v>
      </c>
      <c r="L1692" s="5" t="s">
        <v>47</v>
      </c>
      <c r="M1692" s="5" t="s">
        <v>178</v>
      </c>
      <c r="N1692" s="5" t="s">
        <v>187</v>
      </c>
      <c r="O1692" s="12"/>
      <c r="AC1692" s="10" t="s">
        <v>4086</v>
      </c>
      <c r="AD1692" s="5" t="s">
        <v>4082</v>
      </c>
    </row>
    <row r="1693" spans="1:33" ht="10" customHeight="1" x14ac:dyDescent="0.2">
      <c r="A1693" s="5" t="s">
        <v>40</v>
      </c>
      <c r="B1693" s="5" t="s">
        <v>41</v>
      </c>
      <c r="D1693" s="5" t="s">
        <v>4087</v>
      </c>
      <c r="E1693" s="10" t="s">
        <v>345</v>
      </c>
      <c r="F1693" s="5" t="s">
        <v>4080</v>
      </c>
      <c r="G1693" s="5" t="s">
        <v>346</v>
      </c>
      <c r="H1693" s="5" t="s">
        <v>363</v>
      </c>
      <c r="I1693" s="11">
        <v>1</v>
      </c>
      <c r="J1693" s="5" t="s">
        <v>45</v>
      </c>
      <c r="K1693" s="10" t="s">
        <v>186</v>
      </c>
      <c r="L1693" s="5" t="s">
        <v>47</v>
      </c>
      <c r="M1693" s="5" t="s">
        <v>178</v>
      </c>
      <c r="N1693" s="5" t="s">
        <v>187</v>
      </c>
      <c r="O1693" s="12"/>
      <c r="AC1693" s="10" t="s">
        <v>4088</v>
      </c>
      <c r="AD1693" s="5" t="s">
        <v>4082</v>
      </c>
    </row>
    <row r="1694" spans="1:33" ht="10" customHeight="1" x14ac:dyDescent="0.2">
      <c r="A1694" s="5" t="s">
        <v>40</v>
      </c>
      <c r="B1694" s="5" t="s">
        <v>41</v>
      </c>
      <c r="D1694" s="5" t="s">
        <v>4089</v>
      </c>
      <c r="E1694" s="10" t="s">
        <v>345</v>
      </c>
      <c r="F1694" s="5" t="s">
        <v>4080</v>
      </c>
      <c r="G1694" s="5" t="s">
        <v>346</v>
      </c>
      <c r="H1694" s="5" t="s">
        <v>369</v>
      </c>
      <c r="I1694" s="11">
        <v>1</v>
      </c>
      <c r="J1694" s="5" t="s">
        <v>45</v>
      </c>
      <c r="K1694" s="10" t="s">
        <v>186</v>
      </c>
      <c r="L1694" s="5" t="s">
        <v>47</v>
      </c>
      <c r="M1694" s="5" t="s">
        <v>178</v>
      </c>
      <c r="N1694" s="5" t="s">
        <v>187</v>
      </c>
      <c r="O1694" s="12"/>
      <c r="AC1694" s="10" t="s">
        <v>4090</v>
      </c>
      <c r="AD1694" s="5" t="s">
        <v>4082</v>
      </c>
    </row>
    <row r="1695" spans="1:33" ht="10" customHeight="1" x14ac:dyDescent="0.2">
      <c r="A1695" s="5" t="s">
        <v>40</v>
      </c>
      <c r="B1695" s="5" t="s">
        <v>41</v>
      </c>
      <c r="D1695" s="5" t="s">
        <v>4091</v>
      </c>
      <c r="E1695" s="10" t="s">
        <v>345</v>
      </c>
      <c r="F1695" s="5" t="s">
        <v>4092</v>
      </c>
      <c r="G1695" s="5" t="s">
        <v>346</v>
      </c>
      <c r="H1695" s="5" t="s">
        <v>347</v>
      </c>
      <c r="I1695" s="11">
        <v>1</v>
      </c>
      <c r="J1695" s="5" t="s">
        <v>45</v>
      </c>
      <c r="K1695" s="10" t="s">
        <v>186</v>
      </c>
      <c r="L1695" s="5" t="s">
        <v>47</v>
      </c>
      <c r="M1695" s="5" t="s">
        <v>178</v>
      </c>
      <c r="N1695" s="5" t="s">
        <v>193</v>
      </c>
      <c r="O1695" s="12"/>
      <c r="S1695" s="13">
        <v>27000</v>
      </c>
      <c r="U1695" s="13">
        <v>27000</v>
      </c>
      <c r="AC1695" s="10" t="s">
        <v>4093</v>
      </c>
      <c r="AD1695" s="5" t="s">
        <v>4094</v>
      </c>
    </row>
    <row r="1696" spans="1:33" ht="10" customHeight="1" x14ac:dyDescent="0.2">
      <c r="A1696" s="5" t="s">
        <v>40</v>
      </c>
      <c r="B1696" s="5" t="s">
        <v>41</v>
      </c>
      <c r="D1696" s="5" t="s">
        <v>4095</v>
      </c>
      <c r="E1696" s="10" t="s">
        <v>345</v>
      </c>
      <c r="F1696" s="5" t="s">
        <v>4092</v>
      </c>
      <c r="G1696" s="5" t="s">
        <v>346</v>
      </c>
      <c r="H1696" s="5" t="s">
        <v>175</v>
      </c>
      <c r="I1696" s="11">
        <v>1</v>
      </c>
      <c r="J1696" s="5" t="s">
        <v>45</v>
      </c>
      <c r="K1696" s="10" t="s">
        <v>186</v>
      </c>
      <c r="L1696" s="5" t="s">
        <v>47</v>
      </c>
      <c r="M1696" s="5" t="s">
        <v>178</v>
      </c>
      <c r="N1696" s="5" t="s">
        <v>193</v>
      </c>
      <c r="O1696" s="12"/>
      <c r="P1696" s="13">
        <v>493000</v>
      </c>
      <c r="S1696" s="13">
        <v>537663</v>
      </c>
      <c r="U1696" s="13">
        <v>537663</v>
      </c>
      <c r="AC1696" s="10" t="s">
        <v>4096</v>
      </c>
      <c r="AD1696" s="5" t="s">
        <v>4094</v>
      </c>
    </row>
    <row r="1697" spans="1:33" ht="10" customHeight="1" x14ac:dyDescent="0.2">
      <c r="A1697" s="5" t="s">
        <v>40</v>
      </c>
      <c r="B1697" s="5" t="s">
        <v>41</v>
      </c>
      <c r="D1697" s="5" t="s">
        <v>4097</v>
      </c>
      <c r="E1697" s="10" t="s">
        <v>345</v>
      </c>
      <c r="F1697" s="5" t="s">
        <v>4092</v>
      </c>
      <c r="G1697" s="5" t="s">
        <v>346</v>
      </c>
      <c r="H1697" s="5" t="s">
        <v>354</v>
      </c>
      <c r="I1697" s="11">
        <v>1</v>
      </c>
      <c r="J1697" s="5" t="s">
        <v>45</v>
      </c>
      <c r="K1697" s="10" t="s">
        <v>186</v>
      </c>
      <c r="L1697" s="5" t="s">
        <v>47</v>
      </c>
      <c r="M1697" s="5" t="s">
        <v>178</v>
      </c>
      <c r="N1697" s="5" t="s">
        <v>193</v>
      </c>
      <c r="O1697" s="12"/>
      <c r="P1697" s="13">
        <v>10231</v>
      </c>
      <c r="S1697" s="13">
        <v>10753</v>
      </c>
      <c r="U1697" s="13">
        <v>10753</v>
      </c>
      <c r="AC1697" s="10" t="s">
        <v>4098</v>
      </c>
      <c r="AD1697" s="5" t="s">
        <v>4094</v>
      </c>
    </row>
    <row r="1698" spans="1:33" ht="10" customHeight="1" x14ac:dyDescent="0.2">
      <c r="A1698" s="5" t="s">
        <v>40</v>
      </c>
      <c r="B1698" s="5" t="s">
        <v>41</v>
      </c>
      <c r="D1698" s="5" t="s">
        <v>4099</v>
      </c>
      <c r="E1698" s="10" t="s">
        <v>345</v>
      </c>
      <c r="F1698" s="5" t="s">
        <v>4092</v>
      </c>
      <c r="G1698" s="5" t="s">
        <v>346</v>
      </c>
      <c r="H1698" s="5" t="s">
        <v>357</v>
      </c>
      <c r="I1698" s="11">
        <v>1</v>
      </c>
      <c r="J1698" s="5" t="s">
        <v>45</v>
      </c>
      <c r="K1698" s="10" t="s">
        <v>186</v>
      </c>
      <c r="L1698" s="5" t="s">
        <v>47</v>
      </c>
      <c r="M1698" s="5" t="s">
        <v>178</v>
      </c>
      <c r="N1698" s="5" t="s">
        <v>193</v>
      </c>
      <c r="O1698" s="12"/>
      <c r="P1698" s="13">
        <v>46000</v>
      </c>
      <c r="S1698" s="13">
        <v>56504</v>
      </c>
      <c r="U1698" s="13">
        <v>56504</v>
      </c>
      <c r="AC1698" s="10" t="s">
        <v>4100</v>
      </c>
      <c r="AD1698" s="5" t="s">
        <v>4094</v>
      </c>
    </row>
    <row r="1699" spans="1:33" ht="10" customHeight="1" x14ac:dyDescent="0.2">
      <c r="A1699" s="5" t="s">
        <v>40</v>
      </c>
      <c r="B1699" s="5" t="s">
        <v>41</v>
      </c>
      <c r="D1699" s="5" t="s">
        <v>4101</v>
      </c>
      <c r="E1699" s="10" t="s">
        <v>345</v>
      </c>
      <c r="F1699" s="5" t="s">
        <v>4092</v>
      </c>
      <c r="G1699" s="5" t="s">
        <v>346</v>
      </c>
      <c r="H1699" s="5" t="s">
        <v>363</v>
      </c>
      <c r="I1699" s="11">
        <v>1</v>
      </c>
      <c r="J1699" s="5" t="s">
        <v>45</v>
      </c>
      <c r="K1699" s="10" t="s">
        <v>186</v>
      </c>
      <c r="L1699" s="5" t="s">
        <v>47</v>
      </c>
      <c r="M1699" s="5" t="s">
        <v>178</v>
      </c>
      <c r="N1699" s="5" t="s">
        <v>193</v>
      </c>
      <c r="O1699" s="12"/>
      <c r="P1699" s="13">
        <v>43823</v>
      </c>
      <c r="S1699" s="13">
        <v>26720</v>
      </c>
      <c r="U1699" s="13">
        <v>26720</v>
      </c>
      <c r="AC1699" s="10" t="s">
        <v>4102</v>
      </c>
      <c r="AD1699" s="5" t="s">
        <v>4094</v>
      </c>
    </row>
    <row r="1700" spans="1:33" ht="10" customHeight="1" x14ac:dyDescent="0.2">
      <c r="A1700" s="5" t="s">
        <v>40</v>
      </c>
      <c r="B1700" s="5" t="s">
        <v>41</v>
      </c>
      <c r="D1700" s="5" t="s">
        <v>4103</v>
      </c>
      <c r="E1700" s="10" t="s">
        <v>345</v>
      </c>
      <c r="F1700" s="5" t="s">
        <v>4092</v>
      </c>
      <c r="G1700" s="5" t="s">
        <v>346</v>
      </c>
      <c r="H1700" s="5" t="s">
        <v>369</v>
      </c>
      <c r="I1700" s="11">
        <v>1</v>
      </c>
      <c r="J1700" s="5" t="s">
        <v>45</v>
      </c>
      <c r="K1700" s="10" t="s">
        <v>186</v>
      </c>
      <c r="L1700" s="5" t="s">
        <v>47</v>
      </c>
      <c r="M1700" s="5" t="s">
        <v>178</v>
      </c>
      <c r="N1700" s="5" t="s">
        <v>193</v>
      </c>
      <c r="O1700" s="12"/>
      <c r="P1700" s="13">
        <v>10000</v>
      </c>
      <c r="S1700" s="13">
        <v>13360</v>
      </c>
      <c r="U1700" s="13">
        <v>13360</v>
      </c>
      <c r="AC1700" s="10" t="s">
        <v>4104</v>
      </c>
      <c r="AD1700" s="5" t="s">
        <v>4094</v>
      </c>
    </row>
    <row r="1701" spans="1:33" ht="10" customHeight="1" x14ac:dyDescent="0.2">
      <c r="A1701" s="5" t="s">
        <v>40</v>
      </c>
      <c r="B1701" s="5" t="s">
        <v>41</v>
      </c>
      <c r="D1701" s="5" t="s">
        <v>4105</v>
      </c>
      <c r="E1701" s="10" t="s">
        <v>345</v>
      </c>
      <c r="F1701" s="5" t="s">
        <v>203</v>
      </c>
      <c r="G1701" s="5" t="s">
        <v>346</v>
      </c>
      <c r="H1701" s="5" t="s">
        <v>175</v>
      </c>
      <c r="I1701" s="11">
        <v>1</v>
      </c>
      <c r="J1701" s="5" t="s">
        <v>45</v>
      </c>
      <c r="K1701" s="10" t="s">
        <v>186</v>
      </c>
      <c r="L1701" s="5" t="s">
        <v>47</v>
      </c>
      <c r="M1701" s="5" t="s">
        <v>198</v>
      </c>
      <c r="N1701" s="5" t="s">
        <v>199</v>
      </c>
      <c r="O1701" s="12"/>
      <c r="P1701" s="13">
        <v>740403</v>
      </c>
      <c r="S1701" s="13">
        <v>8346</v>
      </c>
      <c r="U1701" s="13">
        <v>8346</v>
      </c>
      <c r="AC1701" s="10" t="s">
        <v>4106</v>
      </c>
      <c r="AD1701" s="5" t="s">
        <v>4107</v>
      </c>
      <c r="AE1701" s="5" t="s">
        <v>196</v>
      </c>
      <c r="AG1701" s="5" t="s">
        <v>175</v>
      </c>
    </row>
    <row r="1702" spans="1:33" ht="10" customHeight="1" x14ac:dyDescent="0.2">
      <c r="A1702" s="5" t="s">
        <v>40</v>
      </c>
      <c r="B1702" s="5" t="s">
        <v>41</v>
      </c>
      <c r="D1702" s="5" t="s">
        <v>4108</v>
      </c>
      <c r="E1702" s="10" t="s">
        <v>345</v>
      </c>
      <c r="F1702" s="5" t="s">
        <v>203</v>
      </c>
      <c r="G1702" s="5" t="s">
        <v>346</v>
      </c>
      <c r="H1702" s="5" t="s">
        <v>354</v>
      </c>
      <c r="I1702" s="11">
        <v>1</v>
      </c>
      <c r="J1702" s="5" t="s">
        <v>45</v>
      </c>
      <c r="K1702" s="10" t="s">
        <v>186</v>
      </c>
      <c r="L1702" s="5" t="s">
        <v>47</v>
      </c>
      <c r="M1702" s="5" t="s">
        <v>198</v>
      </c>
      <c r="N1702" s="5" t="s">
        <v>199</v>
      </c>
      <c r="O1702" s="12"/>
      <c r="P1702" s="13">
        <v>7350</v>
      </c>
      <c r="S1702" s="13">
        <v>7900</v>
      </c>
      <c r="U1702" s="13">
        <v>7900</v>
      </c>
      <c r="AC1702" s="10" t="s">
        <v>4109</v>
      </c>
      <c r="AD1702" s="5" t="s">
        <v>4107</v>
      </c>
      <c r="AE1702" s="5" t="s">
        <v>196</v>
      </c>
      <c r="AG1702" s="5" t="s">
        <v>354</v>
      </c>
    </row>
    <row r="1703" spans="1:33" ht="10" customHeight="1" x14ac:dyDescent="0.2">
      <c r="A1703" s="5" t="s">
        <v>40</v>
      </c>
      <c r="B1703" s="5" t="s">
        <v>41</v>
      </c>
      <c r="D1703" s="5" t="s">
        <v>4110</v>
      </c>
      <c r="E1703" s="10" t="s">
        <v>345</v>
      </c>
      <c r="F1703" s="5" t="s">
        <v>203</v>
      </c>
      <c r="G1703" s="5" t="s">
        <v>346</v>
      </c>
      <c r="H1703" s="5" t="s">
        <v>357</v>
      </c>
      <c r="I1703" s="11">
        <v>1</v>
      </c>
      <c r="J1703" s="5" t="s">
        <v>45</v>
      </c>
      <c r="K1703" s="10" t="s">
        <v>186</v>
      </c>
      <c r="L1703" s="5" t="s">
        <v>47</v>
      </c>
      <c r="M1703" s="5" t="s">
        <v>198</v>
      </c>
      <c r="N1703" s="5" t="s">
        <v>199</v>
      </c>
      <c r="O1703" s="12"/>
      <c r="P1703" s="13">
        <v>39779</v>
      </c>
      <c r="S1703" s="13">
        <v>51586</v>
      </c>
      <c r="U1703" s="13">
        <v>51586</v>
      </c>
      <c r="AC1703" s="10" t="s">
        <v>4111</v>
      </c>
      <c r="AD1703" s="5" t="s">
        <v>4107</v>
      </c>
      <c r="AE1703" s="5" t="s">
        <v>196</v>
      </c>
    </row>
    <row r="1704" spans="1:33" ht="10" customHeight="1" x14ac:dyDescent="0.2">
      <c r="A1704" s="5" t="s">
        <v>40</v>
      </c>
      <c r="B1704" s="5" t="s">
        <v>41</v>
      </c>
      <c r="D1704" s="5" t="s">
        <v>4112</v>
      </c>
      <c r="E1704" s="10" t="s">
        <v>345</v>
      </c>
      <c r="F1704" s="5" t="s">
        <v>203</v>
      </c>
      <c r="G1704" s="5" t="s">
        <v>346</v>
      </c>
      <c r="H1704" s="5" t="s">
        <v>363</v>
      </c>
      <c r="I1704" s="11">
        <v>1</v>
      </c>
      <c r="J1704" s="5" t="s">
        <v>45</v>
      </c>
      <c r="K1704" s="10" t="s">
        <v>186</v>
      </c>
      <c r="L1704" s="5" t="s">
        <v>47</v>
      </c>
      <c r="M1704" s="5" t="s">
        <v>198</v>
      </c>
      <c r="N1704" s="5" t="s">
        <v>199</v>
      </c>
      <c r="O1704" s="12"/>
      <c r="P1704" s="13">
        <v>15122</v>
      </c>
      <c r="S1704" s="13">
        <v>15531</v>
      </c>
      <c r="U1704" s="13">
        <v>15531</v>
      </c>
      <c r="AC1704" s="10" t="s">
        <v>4113</v>
      </c>
      <c r="AD1704" s="5" t="s">
        <v>4107</v>
      </c>
      <c r="AE1704" s="5" t="s">
        <v>196</v>
      </c>
    </row>
    <row r="1705" spans="1:33" ht="10" customHeight="1" x14ac:dyDescent="0.2">
      <c r="A1705" s="5" t="s">
        <v>40</v>
      </c>
      <c r="B1705" s="5" t="s">
        <v>41</v>
      </c>
      <c r="D1705" s="5" t="s">
        <v>4114</v>
      </c>
      <c r="E1705" s="10" t="s">
        <v>345</v>
      </c>
      <c r="F1705" s="5" t="s">
        <v>203</v>
      </c>
      <c r="G1705" s="5" t="s">
        <v>346</v>
      </c>
      <c r="H1705" s="5" t="s">
        <v>369</v>
      </c>
      <c r="I1705" s="11">
        <v>1</v>
      </c>
      <c r="J1705" s="5" t="s">
        <v>45</v>
      </c>
      <c r="K1705" s="10" t="s">
        <v>186</v>
      </c>
      <c r="L1705" s="5" t="s">
        <v>47</v>
      </c>
      <c r="M1705" s="5" t="s">
        <v>198</v>
      </c>
      <c r="N1705" s="5" t="s">
        <v>199</v>
      </c>
      <c r="O1705" s="12"/>
      <c r="P1705" s="13">
        <v>20000</v>
      </c>
      <c r="S1705" s="13">
        <v>20000</v>
      </c>
      <c r="U1705" s="13">
        <v>20000</v>
      </c>
      <c r="AC1705" s="10" t="s">
        <v>4115</v>
      </c>
      <c r="AD1705" s="5" t="s">
        <v>4107</v>
      </c>
      <c r="AE1705" s="5" t="s">
        <v>196</v>
      </c>
    </row>
    <row r="1706" spans="1:33" ht="10" customHeight="1" x14ac:dyDescent="0.2">
      <c r="A1706" s="5" t="s">
        <v>40</v>
      </c>
      <c r="B1706" s="5" t="s">
        <v>41</v>
      </c>
      <c r="D1706" s="5" t="s">
        <v>4116</v>
      </c>
      <c r="E1706" s="10" t="s">
        <v>345</v>
      </c>
      <c r="F1706" s="5" t="s">
        <v>203</v>
      </c>
      <c r="G1706" s="5" t="s">
        <v>346</v>
      </c>
      <c r="I1706" s="11">
        <v>1</v>
      </c>
      <c r="J1706" s="5" t="s">
        <v>45</v>
      </c>
      <c r="K1706" s="10" t="s">
        <v>186</v>
      </c>
      <c r="L1706" s="5" t="s">
        <v>47</v>
      </c>
      <c r="M1706" s="5" t="s">
        <v>198</v>
      </c>
      <c r="N1706" s="5" t="s">
        <v>199</v>
      </c>
      <c r="O1706" s="12"/>
      <c r="P1706" s="13">
        <v>36750</v>
      </c>
      <c r="S1706" s="13">
        <v>9837</v>
      </c>
      <c r="U1706" s="13">
        <v>9837</v>
      </c>
      <c r="AC1706" s="10" t="s">
        <v>4117</v>
      </c>
      <c r="AD1706" s="5" t="s">
        <v>4107</v>
      </c>
      <c r="AE1706" s="5" t="s">
        <v>196</v>
      </c>
    </row>
    <row r="1707" spans="1:33" ht="10" customHeight="1" x14ac:dyDescent="0.2">
      <c r="A1707" s="5" t="s">
        <v>40</v>
      </c>
      <c r="B1707" s="5" t="s">
        <v>41</v>
      </c>
      <c r="D1707" s="5" t="s">
        <v>4118</v>
      </c>
      <c r="E1707" s="10" t="s">
        <v>345</v>
      </c>
      <c r="F1707" s="5" t="s">
        <v>203</v>
      </c>
      <c r="G1707" s="5" t="s">
        <v>373</v>
      </c>
      <c r="H1707" s="5" t="s">
        <v>357</v>
      </c>
      <c r="I1707" s="11">
        <v>1</v>
      </c>
      <c r="J1707" s="5" t="s">
        <v>45</v>
      </c>
      <c r="K1707" s="10" t="s">
        <v>186</v>
      </c>
      <c r="L1707" s="5" t="s">
        <v>47</v>
      </c>
      <c r="M1707" s="5" t="s">
        <v>198</v>
      </c>
      <c r="N1707" s="5" t="s">
        <v>199</v>
      </c>
      <c r="O1707" s="12"/>
      <c r="S1707" s="13">
        <v>6574</v>
      </c>
      <c r="U1707" s="13">
        <v>6574</v>
      </c>
      <c r="AC1707" s="10" t="s">
        <v>4119</v>
      </c>
      <c r="AD1707" s="5" t="s">
        <v>4120</v>
      </c>
      <c r="AE1707" s="5" t="s">
        <v>196</v>
      </c>
      <c r="AG1707" s="5" t="s">
        <v>4121</v>
      </c>
    </row>
    <row r="1708" spans="1:33" ht="10" customHeight="1" x14ac:dyDescent="0.2">
      <c r="A1708" s="5" t="s">
        <v>40</v>
      </c>
      <c r="B1708" s="5" t="s">
        <v>41</v>
      </c>
      <c r="D1708" s="5" t="s">
        <v>4122</v>
      </c>
      <c r="E1708" s="10" t="s">
        <v>345</v>
      </c>
      <c r="F1708" s="5" t="s">
        <v>203</v>
      </c>
      <c r="G1708" s="5" t="s">
        <v>373</v>
      </c>
      <c r="H1708" s="5" t="s">
        <v>357</v>
      </c>
      <c r="I1708" s="11">
        <v>1</v>
      </c>
      <c r="J1708" s="5" t="s">
        <v>45</v>
      </c>
      <c r="K1708" s="10" t="s">
        <v>186</v>
      </c>
      <c r="L1708" s="5" t="s">
        <v>47</v>
      </c>
      <c r="M1708" s="5" t="s">
        <v>198</v>
      </c>
      <c r="N1708" s="5" t="s">
        <v>199</v>
      </c>
      <c r="O1708" s="12"/>
      <c r="S1708" s="13">
        <v>17829</v>
      </c>
      <c r="U1708" s="13">
        <v>17829</v>
      </c>
      <c r="AC1708" s="10" t="s">
        <v>4123</v>
      </c>
      <c r="AD1708" s="5" t="s">
        <v>4120</v>
      </c>
      <c r="AE1708" s="5" t="s">
        <v>196</v>
      </c>
      <c r="AG1708" s="5" t="s">
        <v>4124</v>
      </c>
    </row>
    <row r="1709" spans="1:33" ht="10" customHeight="1" x14ac:dyDescent="0.2">
      <c r="A1709" s="5" t="s">
        <v>40</v>
      </c>
      <c r="B1709" s="5" t="s">
        <v>41</v>
      </c>
      <c r="D1709" s="5" t="s">
        <v>4125</v>
      </c>
      <c r="E1709" s="10" t="s">
        <v>345</v>
      </c>
      <c r="F1709" s="5" t="s">
        <v>203</v>
      </c>
      <c r="G1709" s="5" t="s">
        <v>373</v>
      </c>
      <c r="H1709" s="5" t="s">
        <v>357</v>
      </c>
      <c r="I1709" s="11">
        <v>1</v>
      </c>
      <c r="J1709" s="5" t="s">
        <v>45</v>
      </c>
      <c r="K1709" s="10" t="s">
        <v>186</v>
      </c>
      <c r="L1709" s="5" t="s">
        <v>47</v>
      </c>
      <c r="M1709" s="5" t="s">
        <v>198</v>
      </c>
      <c r="N1709" s="5" t="s">
        <v>199</v>
      </c>
      <c r="O1709" s="12"/>
      <c r="S1709" s="13">
        <v>4624</v>
      </c>
      <c r="U1709" s="13">
        <v>4624</v>
      </c>
      <c r="AC1709" s="10" t="s">
        <v>4126</v>
      </c>
      <c r="AD1709" s="5" t="s">
        <v>4120</v>
      </c>
      <c r="AE1709" s="5" t="s">
        <v>196</v>
      </c>
      <c r="AG1709" s="5" t="s">
        <v>4127</v>
      </c>
    </row>
    <row r="1710" spans="1:33" ht="10" customHeight="1" x14ac:dyDescent="0.2">
      <c r="A1710" s="5" t="s">
        <v>40</v>
      </c>
      <c r="B1710" s="5" t="s">
        <v>41</v>
      </c>
      <c r="D1710" s="5" t="s">
        <v>4128</v>
      </c>
      <c r="E1710" s="10" t="s">
        <v>345</v>
      </c>
      <c r="F1710" s="5" t="s">
        <v>203</v>
      </c>
      <c r="G1710" s="5" t="s">
        <v>373</v>
      </c>
      <c r="H1710" s="5" t="s">
        <v>357</v>
      </c>
      <c r="I1710" s="11">
        <v>1</v>
      </c>
      <c r="J1710" s="5" t="s">
        <v>45</v>
      </c>
      <c r="K1710" s="10" t="s">
        <v>186</v>
      </c>
      <c r="L1710" s="5" t="s">
        <v>47</v>
      </c>
      <c r="M1710" s="5" t="s">
        <v>198</v>
      </c>
      <c r="N1710" s="5" t="s">
        <v>199</v>
      </c>
      <c r="O1710" s="12"/>
      <c r="S1710" s="13">
        <v>4184</v>
      </c>
      <c r="U1710" s="13">
        <v>4184</v>
      </c>
      <c r="AC1710" s="10" t="s">
        <v>4129</v>
      </c>
      <c r="AD1710" s="5" t="s">
        <v>4120</v>
      </c>
      <c r="AE1710" s="5" t="s">
        <v>196</v>
      </c>
      <c r="AG1710" s="5" t="s">
        <v>4130</v>
      </c>
    </row>
    <row r="1711" spans="1:33" ht="10" customHeight="1" x14ac:dyDescent="0.2">
      <c r="A1711" s="5" t="s">
        <v>40</v>
      </c>
      <c r="B1711" s="5" t="s">
        <v>41</v>
      </c>
      <c r="D1711" s="5" t="s">
        <v>4131</v>
      </c>
      <c r="E1711" s="10" t="s">
        <v>345</v>
      </c>
      <c r="F1711" s="5" t="s">
        <v>203</v>
      </c>
      <c r="G1711" s="5" t="s">
        <v>373</v>
      </c>
      <c r="H1711" s="5" t="s">
        <v>357</v>
      </c>
      <c r="I1711" s="11">
        <v>1</v>
      </c>
      <c r="J1711" s="5" t="s">
        <v>45</v>
      </c>
      <c r="K1711" s="10" t="s">
        <v>186</v>
      </c>
      <c r="L1711" s="5" t="s">
        <v>47</v>
      </c>
      <c r="M1711" s="5" t="s">
        <v>198</v>
      </c>
      <c r="N1711" s="5" t="s">
        <v>199</v>
      </c>
      <c r="O1711" s="12"/>
      <c r="S1711" s="13">
        <v>6213</v>
      </c>
      <c r="U1711" s="13">
        <v>6213</v>
      </c>
      <c r="AC1711" s="10" t="s">
        <v>4132</v>
      </c>
      <c r="AD1711" s="5" t="s">
        <v>4120</v>
      </c>
      <c r="AE1711" s="5" t="s">
        <v>196</v>
      </c>
      <c r="AG1711" s="5" t="s">
        <v>4133</v>
      </c>
    </row>
    <row r="1712" spans="1:33" ht="10" customHeight="1" x14ac:dyDescent="0.2">
      <c r="A1712" s="5" t="s">
        <v>40</v>
      </c>
      <c r="B1712" s="5" t="s">
        <v>41</v>
      </c>
      <c r="D1712" s="5" t="s">
        <v>4134</v>
      </c>
      <c r="E1712" s="10" t="s">
        <v>345</v>
      </c>
      <c r="F1712" s="5" t="s">
        <v>203</v>
      </c>
      <c r="G1712" s="5" t="s">
        <v>373</v>
      </c>
      <c r="H1712" s="5" t="s">
        <v>357</v>
      </c>
      <c r="I1712" s="11">
        <v>1</v>
      </c>
      <c r="J1712" s="5" t="s">
        <v>45</v>
      </c>
      <c r="K1712" s="10" t="s">
        <v>186</v>
      </c>
      <c r="L1712" s="5" t="s">
        <v>47</v>
      </c>
      <c r="M1712" s="5" t="s">
        <v>198</v>
      </c>
      <c r="N1712" s="5" t="s">
        <v>199</v>
      </c>
      <c r="O1712" s="12"/>
      <c r="S1712" s="13">
        <v>1449</v>
      </c>
      <c r="U1712" s="13">
        <v>1449</v>
      </c>
      <c r="AC1712" s="10" t="s">
        <v>4135</v>
      </c>
      <c r="AD1712" s="5" t="s">
        <v>4120</v>
      </c>
      <c r="AE1712" s="5" t="s">
        <v>196</v>
      </c>
      <c r="AG1712" s="5" t="s">
        <v>4136</v>
      </c>
    </row>
    <row r="1713" spans="1:33" ht="10" customHeight="1" x14ac:dyDescent="0.2">
      <c r="A1713" s="5" t="s">
        <v>40</v>
      </c>
      <c r="B1713" s="5" t="s">
        <v>41</v>
      </c>
      <c r="D1713" s="5" t="s">
        <v>4137</v>
      </c>
      <c r="E1713" s="10" t="s">
        <v>345</v>
      </c>
      <c r="F1713" s="5" t="s">
        <v>203</v>
      </c>
      <c r="G1713" s="5" t="s">
        <v>373</v>
      </c>
      <c r="H1713" s="5" t="s">
        <v>357</v>
      </c>
      <c r="I1713" s="11">
        <v>1</v>
      </c>
      <c r="J1713" s="5" t="s">
        <v>45</v>
      </c>
      <c r="K1713" s="10" t="s">
        <v>186</v>
      </c>
      <c r="L1713" s="5" t="s">
        <v>47</v>
      </c>
      <c r="M1713" s="5" t="s">
        <v>198</v>
      </c>
      <c r="N1713" s="5" t="s">
        <v>199</v>
      </c>
      <c r="O1713" s="12"/>
      <c r="S1713" s="13">
        <v>1915</v>
      </c>
      <c r="U1713" s="13">
        <v>1915</v>
      </c>
      <c r="AC1713" s="10" t="s">
        <v>4138</v>
      </c>
      <c r="AD1713" s="5" t="s">
        <v>4120</v>
      </c>
      <c r="AE1713" s="5" t="s">
        <v>196</v>
      </c>
      <c r="AG1713" s="5" t="s">
        <v>4139</v>
      </c>
    </row>
    <row r="1714" spans="1:33" ht="10" customHeight="1" x14ac:dyDescent="0.2">
      <c r="A1714" s="5" t="s">
        <v>40</v>
      </c>
      <c r="B1714" s="5" t="s">
        <v>41</v>
      </c>
      <c r="D1714" s="5" t="s">
        <v>4140</v>
      </c>
      <c r="E1714" s="10" t="s">
        <v>345</v>
      </c>
      <c r="F1714" s="5" t="s">
        <v>203</v>
      </c>
      <c r="G1714" s="5" t="s">
        <v>373</v>
      </c>
      <c r="H1714" s="5" t="s">
        <v>357</v>
      </c>
      <c r="I1714" s="11">
        <v>1</v>
      </c>
      <c r="J1714" s="5" t="s">
        <v>45</v>
      </c>
      <c r="K1714" s="10" t="s">
        <v>186</v>
      </c>
      <c r="L1714" s="5" t="s">
        <v>47</v>
      </c>
      <c r="M1714" s="5" t="s">
        <v>198</v>
      </c>
      <c r="N1714" s="5" t="s">
        <v>199</v>
      </c>
      <c r="O1714" s="12"/>
      <c r="S1714" s="13">
        <v>1533</v>
      </c>
      <c r="U1714" s="13">
        <v>1533</v>
      </c>
      <c r="AC1714" s="10" t="s">
        <v>4141</v>
      </c>
      <c r="AD1714" s="5" t="s">
        <v>4120</v>
      </c>
      <c r="AE1714" s="5" t="s">
        <v>196</v>
      </c>
      <c r="AG1714" s="5" t="s">
        <v>4142</v>
      </c>
    </row>
    <row r="1715" spans="1:33" ht="10" customHeight="1" x14ac:dyDescent="0.2">
      <c r="A1715" s="5" t="s">
        <v>40</v>
      </c>
      <c r="B1715" s="5" t="s">
        <v>41</v>
      </c>
      <c r="D1715" s="5" t="s">
        <v>4143</v>
      </c>
      <c r="E1715" s="10" t="s">
        <v>345</v>
      </c>
      <c r="F1715" s="5" t="s">
        <v>203</v>
      </c>
      <c r="G1715" s="5" t="s">
        <v>373</v>
      </c>
      <c r="H1715" s="5" t="s">
        <v>357</v>
      </c>
      <c r="I1715" s="11">
        <v>1</v>
      </c>
      <c r="J1715" s="5" t="s">
        <v>45</v>
      </c>
      <c r="K1715" s="10" t="s">
        <v>186</v>
      </c>
      <c r="L1715" s="5" t="s">
        <v>47</v>
      </c>
      <c r="M1715" s="5" t="s">
        <v>198</v>
      </c>
      <c r="N1715" s="5" t="s">
        <v>199</v>
      </c>
      <c r="O1715" s="12"/>
      <c r="S1715" s="13">
        <v>7265</v>
      </c>
      <c r="U1715" s="13">
        <v>7265</v>
      </c>
      <c r="AC1715" s="10" t="s">
        <v>4144</v>
      </c>
      <c r="AD1715" s="5" t="s">
        <v>4120</v>
      </c>
      <c r="AE1715" s="5" t="s">
        <v>196</v>
      </c>
      <c r="AG1715" s="5" t="s">
        <v>4145</v>
      </c>
    </row>
    <row r="1716" spans="1:33" ht="10" customHeight="1" x14ac:dyDescent="0.2">
      <c r="A1716" s="5" t="s">
        <v>40</v>
      </c>
      <c r="B1716" s="5" t="s">
        <v>41</v>
      </c>
      <c r="D1716" s="5" t="s">
        <v>4146</v>
      </c>
      <c r="E1716" s="10" t="s">
        <v>345</v>
      </c>
      <c r="F1716" s="5" t="s">
        <v>203</v>
      </c>
      <c r="G1716" s="5" t="s">
        <v>373</v>
      </c>
      <c r="H1716" s="5" t="s">
        <v>363</v>
      </c>
      <c r="I1716" s="11">
        <v>1</v>
      </c>
      <c r="J1716" s="5" t="s">
        <v>45</v>
      </c>
      <c r="K1716" s="10" t="s">
        <v>186</v>
      </c>
      <c r="L1716" s="5" t="s">
        <v>47</v>
      </c>
      <c r="M1716" s="5" t="s">
        <v>198</v>
      </c>
      <c r="N1716" s="5" t="s">
        <v>199</v>
      </c>
      <c r="O1716" s="12"/>
      <c r="S1716" s="13">
        <v>10355</v>
      </c>
      <c r="U1716" s="13">
        <v>10355</v>
      </c>
      <c r="AC1716" s="10" t="s">
        <v>4147</v>
      </c>
      <c r="AD1716" s="5" t="s">
        <v>4148</v>
      </c>
      <c r="AE1716" s="5" t="s">
        <v>196</v>
      </c>
      <c r="AG1716" s="5" t="s">
        <v>4149</v>
      </c>
    </row>
    <row r="1717" spans="1:33" ht="10" customHeight="1" x14ac:dyDescent="0.2">
      <c r="A1717" s="5" t="s">
        <v>40</v>
      </c>
      <c r="B1717" s="5" t="s">
        <v>41</v>
      </c>
      <c r="D1717" s="5" t="s">
        <v>4150</v>
      </c>
      <c r="E1717" s="10" t="s">
        <v>345</v>
      </c>
      <c r="F1717" s="5" t="s">
        <v>203</v>
      </c>
      <c r="G1717" s="5" t="s">
        <v>373</v>
      </c>
      <c r="H1717" s="5" t="s">
        <v>363</v>
      </c>
      <c r="I1717" s="11">
        <v>1</v>
      </c>
      <c r="J1717" s="5" t="s">
        <v>45</v>
      </c>
      <c r="K1717" s="10" t="s">
        <v>186</v>
      </c>
      <c r="L1717" s="5" t="s">
        <v>47</v>
      </c>
      <c r="M1717" s="5" t="s">
        <v>198</v>
      </c>
      <c r="N1717" s="5" t="s">
        <v>199</v>
      </c>
      <c r="O1717" s="12"/>
      <c r="S1717" s="13">
        <v>1729</v>
      </c>
      <c r="U1717" s="13">
        <v>1729</v>
      </c>
      <c r="AC1717" s="10" t="s">
        <v>4151</v>
      </c>
      <c r="AD1717" s="5" t="s">
        <v>4148</v>
      </c>
      <c r="AE1717" s="5" t="s">
        <v>196</v>
      </c>
      <c r="AG1717" s="5" t="s">
        <v>4152</v>
      </c>
    </row>
    <row r="1718" spans="1:33" ht="10" customHeight="1" x14ac:dyDescent="0.2">
      <c r="A1718" s="5" t="s">
        <v>40</v>
      </c>
      <c r="B1718" s="5" t="s">
        <v>41</v>
      </c>
      <c r="D1718" s="5" t="s">
        <v>4153</v>
      </c>
      <c r="E1718" s="10" t="s">
        <v>345</v>
      </c>
      <c r="F1718" s="5" t="s">
        <v>203</v>
      </c>
      <c r="G1718" s="5" t="s">
        <v>373</v>
      </c>
      <c r="H1718" s="5" t="s">
        <v>363</v>
      </c>
      <c r="I1718" s="11">
        <v>1</v>
      </c>
      <c r="J1718" s="5" t="s">
        <v>45</v>
      </c>
      <c r="K1718" s="10" t="s">
        <v>186</v>
      </c>
      <c r="L1718" s="5" t="s">
        <v>47</v>
      </c>
      <c r="M1718" s="5" t="s">
        <v>198</v>
      </c>
      <c r="N1718" s="5" t="s">
        <v>199</v>
      </c>
      <c r="O1718" s="12"/>
      <c r="S1718" s="13">
        <v>1157</v>
      </c>
      <c r="U1718" s="13">
        <v>1157</v>
      </c>
      <c r="AC1718" s="10" t="s">
        <v>4154</v>
      </c>
      <c r="AD1718" s="5" t="s">
        <v>4148</v>
      </c>
      <c r="AE1718" s="5" t="s">
        <v>196</v>
      </c>
      <c r="AG1718" s="5" t="s">
        <v>4155</v>
      </c>
    </row>
    <row r="1719" spans="1:33" ht="10" customHeight="1" x14ac:dyDescent="0.2">
      <c r="A1719" s="5" t="s">
        <v>40</v>
      </c>
      <c r="B1719" s="5" t="s">
        <v>41</v>
      </c>
      <c r="D1719" s="5" t="s">
        <v>4156</v>
      </c>
      <c r="E1719" s="10" t="s">
        <v>345</v>
      </c>
      <c r="F1719" s="5" t="s">
        <v>203</v>
      </c>
      <c r="G1719" s="5" t="s">
        <v>373</v>
      </c>
      <c r="H1719" s="5" t="s">
        <v>363</v>
      </c>
      <c r="I1719" s="11">
        <v>1</v>
      </c>
      <c r="J1719" s="5" t="s">
        <v>45</v>
      </c>
      <c r="K1719" s="10" t="s">
        <v>186</v>
      </c>
      <c r="L1719" s="5" t="s">
        <v>47</v>
      </c>
      <c r="M1719" s="5" t="s">
        <v>198</v>
      </c>
      <c r="N1719" s="5" t="s">
        <v>199</v>
      </c>
      <c r="O1719" s="12"/>
      <c r="S1719" s="13">
        <v>475</v>
      </c>
      <c r="U1719" s="13">
        <v>475</v>
      </c>
      <c r="AC1719" s="10" t="s">
        <v>4157</v>
      </c>
      <c r="AD1719" s="5" t="s">
        <v>4148</v>
      </c>
      <c r="AE1719" s="5" t="s">
        <v>196</v>
      </c>
      <c r="AG1719" s="5" t="s">
        <v>4158</v>
      </c>
    </row>
    <row r="1720" spans="1:33" ht="10" customHeight="1" x14ac:dyDescent="0.2">
      <c r="A1720" s="5" t="s">
        <v>40</v>
      </c>
      <c r="B1720" s="5" t="s">
        <v>41</v>
      </c>
      <c r="D1720" s="5" t="s">
        <v>4159</v>
      </c>
      <c r="E1720" s="10" t="s">
        <v>345</v>
      </c>
      <c r="F1720" s="5" t="s">
        <v>203</v>
      </c>
      <c r="G1720" s="5" t="s">
        <v>373</v>
      </c>
      <c r="H1720" s="5" t="s">
        <v>363</v>
      </c>
      <c r="I1720" s="11">
        <v>1</v>
      </c>
      <c r="J1720" s="5" t="s">
        <v>45</v>
      </c>
      <c r="K1720" s="10" t="s">
        <v>186</v>
      </c>
      <c r="L1720" s="5" t="s">
        <v>47</v>
      </c>
      <c r="M1720" s="5" t="s">
        <v>198</v>
      </c>
      <c r="N1720" s="5" t="s">
        <v>199</v>
      </c>
      <c r="O1720" s="12"/>
      <c r="S1720" s="13">
        <v>660</v>
      </c>
      <c r="U1720" s="13">
        <v>660</v>
      </c>
      <c r="AC1720" s="10" t="s">
        <v>4160</v>
      </c>
      <c r="AD1720" s="5" t="s">
        <v>4148</v>
      </c>
      <c r="AE1720" s="5" t="s">
        <v>196</v>
      </c>
      <c r="AG1720" s="5" t="s">
        <v>4161</v>
      </c>
    </row>
    <row r="1721" spans="1:33" ht="10" customHeight="1" x14ac:dyDescent="0.2">
      <c r="A1721" s="5" t="s">
        <v>40</v>
      </c>
      <c r="B1721" s="5" t="s">
        <v>41</v>
      </c>
      <c r="D1721" s="5" t="s">
        <v>4162</v>
      </c>
      <c r="E1721" s="10" t="s">
        <v>345</v>
      </c>
      <c r="F1721" s="5" t="s">
        <v>203</v>
      </c>
      <c r="G1721" s="5" t="s">
        <v>464</v>
      </c>
      <c r="I1721" s="11">
        <v>1</v>
      </c>
      <c r="J1721" s="5" t="s">
        <v>45</v>
      </c>
      <c r="K1721" s="10" t="s">
        <v>186</v>
      </c>
      <c r="L1721" s="5" t="s">
        <v>47</v>
      </c>
      <c r="M1721" s="5" t="s">
        <v>198</v>
      </c>
      <c r="N1721" s="5" t="s">
        <v>199</v>
      </c>
      <c r="O1721" s="12"/>
      <c r="S1721" s="13">
        <v>1347</v>
      </c>
      <c r="U1721" s="13">
        <v>1347</v>
      </c>
      <c r="AC1721" s="10" t="s">
        <v>4163</v>
      </c>
      <c r="AD1721" s="5" t="s">
        <v>4164</v>
      </c>
      <c r="AE1721" s="5" t="s">
        <v>196</v>
      </c>
    </row>
    <row r="1722" spans="1:33" ht="10" customHeight="1" x14ac:dyDescent="0.2">
      <c r="A1722" s="5" t="s">
        <v>40</v>
      </c>
      <c r="B1722" s="5" t="s">
        <v>41</v>
      </c>
      <c r="D1722" s="5" t="s">
        <v>4165</v>
      </c>
      <c r="E1722" s="10" t="s">
        <v>345</v>
      </c>
      <c r="F1722" s="5" t="s">
        <v>203</v>
      </c>
      <c r="G1722" s="5" t="s">
        <v>464</v>
      </c>
      <c r="I1722" s="11">
        <v>1</v>
      </c>
      <c r="J1722" s="5" t="s">
        <v>45</v>
      </c>
      <c r="K1722" s="10" t="s">
        <v>186</v>
      </c>
      <c r="L1722" s="5" t="s">
        <v>47</v>
      </c>
      <c r="M1722" s="5" t="s">
        <v>198</v>
      </c>
      <c r="N1722" s="5" t="s">
        <v>199</v>
      </c>
      <c r="O1722" s="12"/>
      <c r="S1722" s="13">
        <v>102</v>
      </c>
      <c r="U1722" s="13">
        <v>102</v>
      </c>
      <c r="AC1722" s="10" t="s">
        <v>4166</v>
      </c>
      <c r="AD1722" s="5" t="s">
        <v>4164</v>
      </c>
      <c r="AE1722" s="5" t="s">
        <v>196</v>
      </c>
    </row>
    <row r="1723" spans="1:33" ht="10" customHeight="1" x14ac:dyDescent="0.2">
      <c r="A1723" s="5" t="s">
        <v>40</v>
      </c>
      <c r="B1723" s="5" t="s">
        <v>41</v>
      </c>
      <c r="D1723" s="5" t="s">
        <v>4167</v>
      </c>
      <c r="E1723" s="10" t="s">
        <v>345</v>
      </c>
      <c r="F1723" s="5" t="s">
        <v>203</v>
      </c>
      <c r="G1723" s="5" t="s">
        <v>464</v>
      </c>
      <c r="I1723" s="11">
        <v>1</v>
      </c>
      <c r="J1723" s="5" t="s">
        <v>45</v>
      </c>
      <c r="K1723" s="10" t="s">
        <v>186</v>
      </c>
      <c r="L1723" s="5" t="s">
        <v>47</v>
      </c>
      <c r="M1723" s="5" t="s">
        <v>198</v>
      </c>
      <c r="N1723" s="5" t="s">
        <v>199</v>
      </c>
      <c r="O1723" s="12"/>
      <c r="S1723" s="13">
        <v>2035</v>
      </c>
      <c r="U1723" s="13">
        <v>2035</v>
      </c>
      <c r="AC1723" s="10" t="s">
        <v>4168</v>
      </c>
      <c r="AD1723" s="5" t="s">
        <v>4164</v>
      </c>
      <c r="AE1723" s="5" t="s">
        <v>196</v>
      </c>
    </row>
    <row r="1724" spans="1:33" ht="10" customHeight="1" x14ac:dyDescent="0.2">
      <c r="A1724" s="5" t="s">
        <v>40</v>
      </c>
      <c r="B1724" s="5" t="s">
        <v>41</v>
      </c>
      <c r="D1724" s="5" t="s">
        <v>4169</v>
      </c>
      <c r="E1724" s="10" t="s">
        <v>345</v>
      </c>
      <c r="F1724" s="5" t="s">
        <v>203</v>
      </c>
      <c r="G1724" s="5" t="s">
        <v>464</v>
      </c>
      <c r="I1724" s="11">
        <v>1</v>
      </c>
      <c r="J1724" s="5" t="s">
        <v>45</v>
      </c>
      <c r="K1724" s="10" t="s">
        <v>186</v>
      </c>
      <c r="L1724" s="5" t="s">
        <v>47</v>
      </c>
      <c r="M1724" s="5" t="s">
        <v>198</v>
      </c>
      <c r="N1724" s="5" t="s">
        <v>199</v>
      </c>
      <c r="O1724" s="12"/>
      <c r="S1724" s="13">
        <v>2715</v>
      </c>
      <c r="U1724" s="13">
        <v>2715</v>
      </c>
      <c r="AC1724" s="10" t="s">
        <v>4170</v>
      </c>
      <c r="AD1724" s="5" t="s">
        <v>4164</v>
      </c>
      <c r="AE1724" s="5" t="s">
        <v>196</v>
      </c>
    </row>
    <row r="1725" spans="1:33" ht="10" customHeight="1" x14ac:dyDescent="0.2">
      <c r="A1725" s="5" t="s">
        <v>40</v>
      </c>
      <c r="B1725" s="5" t="s">
        <v>41</v>
      </c>
      <c r="D1725" s="5" t="s">
        <v>4171</v>
      </c>
      <c r="E1725" s="10" t="s">
        <v>345</v>
      </c>
      <c r="F1725" s="5" t="s">
        <v>203</v>
      </c>
      <c r="G1725" s="5" t="s">
        <v>464</v>
      </c>
      <c r="I1725" s="11">
        <v>1</v>
      </c>
      <c r="J1725" s="5" t="s">
        <v>45</v>
      </c>
      <c r="K1725" s="10" t="s">
        <v>186</v>
      </c>
      <c r="L1725" s="5" t="s">
        <v>47</v>
      </c>
      <c r="M1725" s="5" t="s">
        <v>198</v>
      </c>
      <c r="N1725" s="5" t="s">
        <v>199</v>
      </c>
      <c r="O1725" s="12"/>
      <c r="S1725" s="13">
        <v>375</v>
      </c>
      <c r="U1725" s="13">
        <v>375</v>
      </c>
      <c r="AC1725" s="10" t="s">
        <v>4172</v>
      </c>
      <c r="AD1725" s="5" t="s">
        <v>4164</v>
      </c>
      <c r="AE1725" s="5" t="s">
        <v>196</v>
      </c>
    </row>
    <row r="1726" spans="1:33" ht="10" customHeight="1" x14ac:dyDescent="0.2">
      <c r="A1726" s="5" t="s">
        <v>40</v>
      </c>
      <c r="B1726" s="5" t="s">
        <v>41</v>
      </c>
      <c r="D1726" s="5" t="s">
        <v>4173</v>
      </c>
      <c r="E1726" s="10" t="s">
        <v>345</v>
      </c>
      <c r="F1726" s="5" t="s">
        <v>203</v>
      </c>
      <c r="G1726" s="5" t="s">
        <v>464</v>
      </c>
      <c r="I1726" s="11">
        <v>1</v>
      </c>
      <c r="J1726" s="5" t="s">
        <v>45</v>
      </c>
      <c r="K1726" s="10" t="s">
        <v>186</v>
      </c>
      <c r="L1726" s="5" t="s">
        <v>47</v>
      </c>
      <c r="M1726" s="5" t="s">
        <v>198</v>
      </c>
      <c r="N1726" s="5" t="s">
        <v>199</v>
      </c>
      <c r="O1726" s="12"/>
      <c r="S1726" s="13">
        <v>3766</v>
      </c>
      <c r="U1726" s="13">
        <v>3766</v>
      </c>
      <c r="AC1726" s="10" t="s">
        <v>4174</v>
      </c>
      <c r="AD1726" s="5" t="s">
        <v>4175</v>
      </c>
      <c r="AE1726" s="5" t="s">
        <v>196</v>
      </c>
    </row>
    <row r="1727" spans="1:33" ht="10" customHeight="1" x14ac:dyDescent="0.2">
      <c r="A1727" s="5" t="s">
        <v>40</v>
      </c>
      <c r="B1727" s="5" t="s">
        <v>41</v>
      </c>
      <c r="D1727" s="5" t="s">
        <v>4176</v>
      </c>
      <c r="E1727" s="10" t="s">
        <v>345</v>
      </c>
      <c r="F1727" s="5" t="s">
        <v>203</v>
      </c>
      <c r="G1727" s="5" t="s">
        <v>464</v>
      </c>
      <c r="I1727" s="11">
        <v>1</v>
      </c>
      <c r="J1727" s="5" t="s">
        <v>45</v>
      </c>
      <c r="K1727" s="10" t="s">
        <v>186</v>
      </c>
      <c r="L1727" s="5" t="s">
        <v>47</v>
      </c>
      <c r="M1727" s="5" t="s">
        <v>198</v>
      </c>
      <c r="N1727" s="5" t="s">
        <v>199</v>
      </c>
      <c r="O1727" s="12"/>
      <c r="S1727" s="13">
        <v>6000</v>
      </c>
      <c r="U1727" s="13">
        <v>6000</v>
      </c>
      <c r="AC1727" s="10" t="s">
        <v>4177</v>
      </c>
      <c r="AD1727" s="5" t="s">
        <v>4175</v>
      </c>
      <c r="AE1727" s="5" t="s">
        <v>196</v>
      </c>
    </row>
    <row r="1728" spans="1:33" ht="10" customHeight="1" x14ac:dyDescent="0.2">
      <c r="A1728" s="5" t="s">
        <v>40</v>
      </c>
      <c r="B1728" s="5" t="s">
        <v>41</v>
      </c>
      <c r="D1728" s="5" t="s">
        <v>4178</v>
      </c>
      <c r="E1728" s="10" t="s">
        <v>345</v>
      </c>
      <c r="F1728" s="5" t="s">
        <v>203</v>
      </c>
      <c r="G1728" s="5" t="s">
        <v>464</v>
      </c>
      <c r="I1728" s="11">
        <v>1</v>
      </c>
      <c r="J1728" s="5" t="s">
        <v>45</v>
      </c>
      <c r="K1728" s="10" t="s">
        <v>186</v>
      </c>
      <c r="L1728" s="5" t="s">
        <v>47</v>
      </c>
      <c r="M1728" s="5" t="s">
        <v>198</v>
      </c>
      <c r="N1728" s="5" t="s">
        <v>199</v>
      </c>
      <c r="O1728" s="12"/>
      <c r="S1728" s="13">
        <v>3039</v>
      </c>
      <c r="U1728" s="13">
        <v>3039</v>
      </c>
      <c r="AC1728" s="10" t="s">
        <v>4179</v>
      </c>
      <c r="AD1728" s="5" t="s">
        <v>4175</v>
      </c>
      <c r="AE1728" s="5" t="s">
        <v>196</v>
      </c>
    </row>
    <row r="1729" spans="1:33" ht="10" customHeight="1" x14ac:dyDescent="0.2">
      <c r="A1729" s="5" t="s">
        <v>40</v>
      </c>
      <c r="B1729" s="5" t="s">
        <v>41</v>
      </c>
      <c r="D1729" s="5" t="s">
        <v>4180</v>
      </c>
      <c r="E1729" s="10" t="s">
        <v>345</v>
      </c>
      <c r="F1729" s="5" t="s">
        <v>203</v>
      </c>
      <c r="G1729" s="5" t="s">
        <v>464</v>
      </c>
      <c r="I1729" s="11">
        <v>1</v>
      </c>
      <c r="J1729" s="5" t="s">
        <v>45</v>
      </c>
      <c r="K1729" s="10" t="s">
        <v>186</v>
      </c>
      <c r="L1729" s="5" t="s">
        <v>47</v>
      </c>
      <c r="M1729" s="5" t="s">
        <v>198</v>
      </c>
      <c r="N1729" s="5" t="s">
        <v>199</v>
      </c>
      <c r="O1729" s="12"/>
      <c r="S1729" s="13">
        <v>2432</v>
      </c>
      <c r="U1729" s="13">
        <v>2432</v>
      </c>
      <c r="AC1729" s="10" t="s">
        <v>4181</v>
      </c>
      <c r="AD1729" s="5" t="s">
        <v>4175</v>
      </c>
      <c r="AE1729" s="5" t="s">
        <v>196</v>
      </c>
    </row>
    <row r="1730" spans="1:33" ht="10" customHeight="1" x14ac:dyDescent="0.2">
      <c r="A1730" s="5" t="s">
        <v>40</v>
      </c>
      <c r="B1730" s="5" t="s">
        <v>41</v>
      </c>
      <c r="D1730" s="5" t="s">
        <v>4182</v>
      </c>
      <c r="E1730" s="10" t="s">
        <v>345</v>
      </c>
      <c r="F1730" s="5" t="s">
        <v>203</v>
      </c>
      <c r="G1730" s="5" t="s">
        <v>464</v>
      </c>
      <c r="I1730" s="11">
        <v>1</v>
      </c>
      <c r="J1730" s="5" t="s">
        <v>45</v>
      </c>
      <c r="K1730" s="10" t="s">
        <v>186</v>
      </c>
      <c r="L1730" s="5" t="s">
        <v>47</v>
      </c>
      <c r="M1730" s="5" t="s">
        <v>198</v>
      </c>
      <c r="N1730" s="5" t="s">
        <v>199</v>
      </c>
      <c r="O1730" s="12"/>
      <c r="S1730" s="13">
        <v>661</v>
      </c>
      <c r="U1730" s="13">
        <v>661</v>
      </c>
      <c r="AC1730" s="10" t="s">
        <v>4183</v>
      </c>
      <c r="AD1730" s="5" t="s">
        <v>4175</v>
      </c>
      <c r="AE1730" s="5" t="s">
        <v>196</v>
      </c>
    </row>
    <row r="1731" spans="1:33" ht="10" customHeight="1" x14ac:dyDescent="0.2">
      <c r="A1731" s="5" t="s">
        <v>40</v>
      </c>
      <c r="B1731" s="5" t="s">
        <v>41</v>
      </c>
      <c r="D1731" s="5" t="s">
        <v>4184</v>
      </c>
      <c r="E1731" s="10" t="s">
        <v>345</v>
      </c>
      <c r="F1731" s="5" t="s">
        <v>203</v>
      </c>
      <c r="G1731" s="5" t="s">
        <v>464</v>
      </c>
      <c r="I1731" s="11">
        <v>1</v>
      </c>
      <c r="J1731" s="5" t="s">
        <v>45</v>
      </c>
      <c r="K1731" s="10" t="s">
        <v>186</v>
      </c>
      <c r="L1731" s="5" t="s">
        <v>47</v>
      </c>
      <c r="M1731" s="5" t="s">
        <v>198</v>
      </c>
      <c r="N1731" s="5" t="s">
        <v>199</v>
      </c>
      <c r="O1731" s="12"/>
      <c r="S1731" s="13">
        <v>854</v>
      </c>
      <c r="U1731" s="13">
        <v>854</v>
      </c>
      <c r="AC1731" s="10" t="s">
        <v>4185</v>
      </c>
      <c r="AD1731" s="5" t="s">
        <v>4175</v>
      </c>
      <c r="AE1731" s="5" t="s">
        <v>196</v>
      </c>
    </row>
    <row r="1732" spans="1:33" ht="10" customHeight="1" x14ac:dyDescent="0.2">
      <c r="A1732" s="5" t="s">
        <v>40</v>
      </c>
      <c r="B1732" s="5" t="s">
        <v>41</v>
      </c>
      <c r="D1732" s="5" t="s">
        <v>4186</v>
      </c>
      <c r="E1732" s="10" t="s">
        <v>345</v>
      </c>
      <c r="F1732" s="5" t="s">
        <v>203</v>
      </c>
      <c r="G1732" s="5" t="s">
        <v>464</v>
      </c>
      <c r="I1732" s="11">
        <v>1</v>
      </c>
      <c r="J1732" s="5" t="s">
        <v>45</v>
      </c>
      <c r="K1732" s="10" t="s">
        <v>186</v>
      </c>
      <c r="L1732" s="5" t="s">
        <v>47</v>
      </c>
      <c r="M1732" s="5" t="s">
        <v>198</v>
      </c>
      <c r="N1732" s="5" t="s">
        <v>199</v>
      </c>
      <c r="O1732" s="12"/>
      <c r="S1732" s="13">
        <v>1077</v>
      </c>
      <c r="U1732" s="13">
        <v>1077</v>
      </c>
      <c r="AC1732" s="10" t="s">
        <v>4187</v>
      </c>
      <c r="AD1732" s="5" t="s">
        <v>4175</v>
      </c>
      <c r="AE1732" s="5" t="s">
        <v>196</v>
      </c>
    </row>
    <row r="1733" spans="1:33" ht="10" customHeight="1" x14ac:dyDescent="0.2">
      <c r="A1733" s="5" t="s">
        <v>40</v>
      </c>
      <c r="B1733" s="5" t="s">
        <v>41</v>
      </c>
      <c r="D1733" s="5" t="s">
        <v>4188</v>
      </c>
      <c r="E1733" s="10" t="s">
        <v>345</v>
      </c>
      <c r="F1733" s="5" t="s">
        <v>215</v>
      </c>
      <c r="G1733" s="5" t="s">
        <v>346</v>
      </c>
      <c r="H1733" s="5" t="s">
        <v>347</v>
      </c>
      <c r="I1733" s="11">
        <v>1</v>
      </c>
      <c r="J1733" s="5" t="s">
        <v>45</v>
      </c>
      <c r="K1733" s="10" t="s">
        <v>186</v>
      </c>
      <c r="L1733" s="5" t="s">
        <v>47</v>
      </c>
      <c r="M1733" s="5" t="s">
        <v>210</v>
      </c>
      <c r="N1733" s="5" t="s">
        <v>211</v>
      </c>
      <c r="O1733" s="12"/>
      <c r="S1733" s="13">
        <v>113906</v>
      </c>
      <c r="U1733" s="13">
        <v>113906</v>
      </c>
      <c r="AC1733" s="10" t="s">
        <v>4189</v>
      </c>
      <c r="AD1733" s="5" t="s">
        <v>4190</v>
      </c>
      <c r="AE1733" s="5" t="s">
        <v>208</v>
      </c>
      <c r="AG1733" s="5" t="s">
        <v>350</v>
      </c>
    </row>
    <row r="1734" spans="1:33" ht="10" customHeight="1" x14ac:dyDescent="0.2">
      <c r="A1734" s="5" t="s">
        <v>40</v>
      </c>
      <c r="B1734" s="5" t="s">
        <v>41</v>
      </c>
      <c r="D1734" s="5" t="s">
        <v>4191</v>
      </c>
      <c r="E1734" s="10" t="s">
        <v>345</v>
      </c>
      <c r="F1734" s="5" t="s">
        <v>215</v>
      </c>
      <c r="G1734" s="5" t="s">
        <v>346</v>
      </c>
      <c r="H1734" s="5" t="s">
        <v>175</v>
      </c>
      <c r="I1734" s="11">
        <v>1</v>
      </c>
      <c r="J1734" s="5" t="s">
        <v>45</v>
      </c>
      <c r="K1734" s="10" t="s">
        <v>186</v>
      </c>
      <c r="L1734" s="5" t="s">
        <v>47</v>
      </c>
      <c r="M1734" s="5" t="s">
        <v>210</v>
      </c>
      <c r="N1734" s="5" t="s">
        <v>211</v>
      </c>
      <c r="O1734" s="12"/>
      <c r="P1734" s="13">
        <v>528974</v>
      </c>
      <c r="S1734" s="13">
        <v>460560</v>
      </c>
      <c r="U1734" s="13">
        <v>460560</v>
      </c>
      <c r="AC1734" s="10" t="s">
        <v>4192</v>
      </c>
      <c r="AD1734" s="5" t="s">
        <v>4190</v>
      </c>
      <c r="AE1734" s="5" t="s">
        <v>208</v>
      </c>
      <c r="AG1734" s="5" t="s">
        <v>175</v>
      </c>
    </row>
    <row r="1735" spans="1:33" ht="10" customHeight="1" x14ac:dyDescent="0.2">
      <c r="A1735" s="5" t="s">
        <v>40</v>
      </c>
      <c r="B1735" s="5" t="s">
        <v>41</v>
      </c>
      <c r="D1735" s="5" t="s">
        <v>4193</v>
      </c>
      <c r="E1735" s="10" t="s">
        <v>345</v>
      </c>
      <c r="F1735" s="5" t="s">
        <v>215</v>
      </c>
      <c r="G1735" s="5" t="s">
        <v>346</v>
      </c>
      <c r="H1735" s="5" t="s">
        <v>354</v>
      </c>
      <c r="I1735" s="11">
        <v>1</v>
      </c>
      <c r="J1735" s="5" t="s">
        <v>45</v>
      </c>
      <c r="K1735" s="10" t="s">
        <v>186</v>
      </c>
      <c r="L1735" s="5" t="s">
        <v>47</v>
      </c>
      <c r="M1735" s="5" t="s">
        <v>210</v>
      </c>
      <c r="N1735" s="5" t="s">
        <v>211</v>
      </c>
      <c r="O1735" s="12"/>
      <c r="P1735" s="13">
        <v>11470</v>
      </c>
      <c r="S1735" s="13">
        <v>13662</v>
      </c>
      <c r="U1735" s="13">
        <v>13662</v>
      </c>
      <c r="AC1735" s="10" t="s">
        <v>4194</v>
      </c>
      <c r="AD1735" s="5" t="s">
        <v>4190</v>
      </c>
      <c r="AE1735" s="5" t="s">
        <v>208</v>
      </c>
      <c r="AG1735" s="5" t="s">
        <v>354</v>
      </c>
    </row>
    <row r="1736" spans="1:33" ht="10" customHeight="1" x14ac:dyDescent="0.2">
      <c r="A1736" s="5" t="s">
        <v>40</v>
      </c>
      <c r="B1736" s="5" t="s">
        <v>41</v>
      </c>
      <c r="D1736" s="5" t="s">
        <v>4195</v>
      </c>
      <c r="E1736" s="10" t="s">
        <v>345</v>
      </c>
      <c r="F1736" s="5" t="s">
        <v>215</v>
      </c>
      <c r="G1736" s="5" t="s">
        <v>346</v>
      </c>
      <c r="H1736" s="5" t="s">
        <v>357</v>
      </c>
      <c r="I1736" s="11">
        <v>1</v>
      </c>
      <c r="J1736" s="5" t="s">
        <v>45</v>
      </c>
      <c r="K1736" s="10" t="s">
        <v>186</v>
      </c>
      <c r="L1736" s="5" t="s">
        <v>47</v>
      </c>
      <c r="M1736" s="5" t="s">
        <v>210</v>
      </c>
      <c r="N1736" s="5" t="s">
        <v>211</v>
      </c>
      <c r="O1736" s="12"/>
      <c r="P1736" s="13">
        <v>105000</v>
      </c>
      <c r="S1736" s="13">
        <v>115983</v>
      </c>
      <c r="U1736" s="13">
        <v>115983</v>
      </c>
      <c r="AC1736" s="10" t="s">
        <v>4196</v>
      </c>
      <c r="AD1736" s="5" t="s">
        <v>4190</v>
      </c>
      <c r="AE1736" s="5" t="s">
        <v>208</v>
      </c>
    </row>
    <row r="1737" spans="1:33" ht="10" customHeight="1" x14ac:dyDescent="0.2">
      <c r="A1737" s="5" t="s">
        <v>40</v>
      </c>
      <c r="B1737" s="5" t="s">
        <v>41</v>
      </c>
      <c r="D1737" s="5" t="s">
        <v>4197</v>
      </c>
      <c r="E1737" s="10" t="s">
        <v>345</v>
      </c>
      <c r="F1737" s="5" t="s">
        <v>215</v>
      </c>
      <c r="G1737" s="5" t="s">
        <v>346</v>
      </c>
      <c r="H1737" s="5" t="s">
        <v>363</v>
      </c>
      <c r="I1737" s="11">
        <v>1</v>
      </c>
      <c r="J1737" s="5" t="s">
        <v>45</v>
      </c>
      <c r="K1737" s="10" t="s">
        <v>186</v>
      </c>
      <c r="L1737" s="5" t="s">
        <v>47</v>
      </c>
      <c r="M1737" s="5" t="s">
        <v>210</v>
      </c>
      <c r="N1737" s="5" t="s">
        <v>211</v>
      </c>
      <c r="O1737" s="12"/>
      <c r="P1737" s="13">
        <v>30200</v>
      </c>
      <c r="S1737" s="13">
        <v>22000</v>
      </c>
      <c r="U1737" s="13">
        <v>22000</v>
      </c>
      <c r="AC1737" s="10" t="s">
        <v>4198</v>
      </c>
      <c r="AD1737" s="5" t="s">
        <v>4190</v>
      </c>
      <c r="AE1737" s="5" t="s">
        <v>208</v>
      </c>
      <c r="AG1737" s="5" t="s">
        <v>4199</v>
      </c>
    </row>
    <row r="1738" spans="1:33" ht="10" customHeight="1" x14ac:dyDescent="0.2">
      <c r="A1738" s="5" t="s">
        <v>40</v>
      </c>
      <c r="B1738" s="5" t="s">
        <v>41</v>
      </c>
      <c r="D1738" s="5" t="s">
        <v>4200</v>
      </c>
      <c r="E1738" s="10" t="s">
        <v>345</v>
      </c>
      <c r="F1738" s="5" t="s">
        <v>215</v>
      </c>
      <c r="G1738" s="5" t="s">
        <v>373</v>
      </c>
      <c r="H1738" s="5" t="s">
        <v>357</v>
      </c>
      <c r="I1738" s="11">
        <v>1</v>
      </c>
      <c r="J1738" s="5" t="s">
        <v>45</v>
      </c>
      <c r="K1738" s="10" t="s">
        <v>186</v>
      </c>
      <c r="L1738" s="5" t="s">
        <v>47</v>
      </c>
      <c r="M1738" s="5" t="s">
        <v>210</v>
      </c>
      <c r="N1738" s="5" t="s">
        <v>211</v>
      </c>
      <c r="O1738" s="12"/>
      <c r="P1738" s="13">
        <v>33747</v>
      </c>
      <c r="S1738" s="13">
        <v>26468</v>
      </c>
      <c r="U1738" s="13">
        <v>26468</v>
      </c>
      <c r="AC1738" s="10" t="s">
        <v>4201</v>
      </c>
      <c r="AD1738" s="5" t="s">
        <v>4202</v>
      </c>
      <c r="AE1738" s="5" t="s">
        <v>208</v>
      </c>
      <c r="AG1738" s="5" t="s">
        <v>4203</v>
      </c>
    </row>
    <row r="1739" spans="1:33" ht="10" customHeight="1" x14ac:dyDescent="0.2">
      <c r="A1739" s="5" t="s">
        <v>40</v>
      </c>
      <c r="B1739" s="5" t="s">
        <v>41</v>
      </c>
      <c r="D1739" s="5" t="s">
        <v>4204</v>
      </c>
      <c r="E1739" s="10" t="s">
        <v>345</v>
      </c>
      <c r="F1739" s="5" t="s">
        <v>215</v>
      </c>
      <c r="G1739" s="5" t="s">
        <v>373</v>
      </c>
      <c r="H1739" s="5" t="s">
        <v>357</v>
      </c>
      <c r="I1739" s="11">
        <v>1</v>
      </c>
      <c r="J1739" s="5" t="s">
        <v>45</v>
      </c>
      <c r="K1739" s="10" t="s">
        <v>186</v>
      </c>
      <c r="L1739" s="5" t="s">
        <v>47</v>
      </c>
      <c r="M1739" s="5" t="s">
        <v>210</v>
      </c>
      <c r="N1739" s="5" t="s">
        <v>211</v>
      </c>
      <c r="O1739" s="12"/>
      <c r="P1739" s="13">
        <v>71253</v>
      </c>
      <c r="S1739" s="13">
        <v>89515</v>
      </c>
      <c r="U1739" s="13">
        <v>89515</v>
      </c>
      <c r="AC1739" s="10" t="s">
        <v>4205</v>
      </c>
      <c r="AD1739" s="5" t="s">
        <v>4202</v>
      </c>
      <c r="AE1739" s="5" t="s">
        <v>208</v>
      </c>
      <c r="AG1739" s="5" t="s">
        <v>4206</v>
      </c>
    </row>
    <row r="1740" spans="1:33" ht="10" customHeight="1" x14ac:dyDescent="0.2">
      <c r="A1740" s="5" t="s">
        <v>40</v>
      </c>
      <c r="B1740" s="5" t="s">
        <v>41</v>
      </c>
      <c r="D1740" s="5" t="s">
        <v>4207</v>
      </c>
      <c r="E1740" s="10" t="s">
        <v>345</v>
      </c>
      <c r="F1740" s="5" t="s">
        <v>215</v>
      </c>
      <c r="G1740" s="5" t="s">
        <v>464</v>
      </c>
      <c r="I1740" s="11">
        <v>1</v>
      </c>
      <c r="J1740" s="5" t="s">
        <v>45</v>
      </c>
      <c r="K1740" s="10" t="s">
        <v>186</v>
      </c>
      <c r="L1740" s="5" t="s">
        <v>47</v>
      </c>
      <c r="M1740" s="5" t="s">
        <v>210</v>
      </c>
      <c r="N1740" s="5" t="s">
        <v>211</v>
      </c>
      <c r="O1740" s="12"/>
      <c r="P1740" s="13">
        <v>14274</v>
      </c>
      <c r="S1740" s="13">
        <v>14022</v>
      </c>
      <c r="U1740" s="13">
        <v>14022</v>
      </c>
      <c r="AC1740" s="10" t="s">
        <v>4208</v>
      </c>
      <c r="AD1740" s="5" t="s">
        <v>4209</v>
      </c>
      <c r="AE1740" s="5" t="s">
        <v>208</v>
      </c>
      <c r="AG1740" s="5" t="s">
        <v>4210</v>
      </c>
    </row>
    <row r="1741" spans="1:33" ht="10" customHeight="1" x14ac:dyDescent="0.2">
      <c r="A1741" s="5" t="s">
        <v>40</v>
      </c>
      <c r="B1741" s="5" t="s">
        <v>41</v>
      </c>
      <c r="D1741" s="5" t="s">
        <v>4211</v>
      </c>
      <c r="E1741" s="10" t="s">
        <v>345</v>
      </c>
      <c r="F1741" s="5" t="s">
        <v>215</v>
      </c>
      <c r="G1741" s="5" t="s">
        <v>464</v>
      </c>
      <c r="I1741" s="11">
        <v>1</v>
      </c>
      <c r="J1741" s="5" t="s">
        <v>45</v>
      </c>
      <c r="K1741" s="10" t="s">
        <v>186</v>
      </c>
      <c r="L1741" s="5" t="s">
        <v>47</v>
      </c>
      <c r="M1741" s="5" t="s">
        <v>210</v>
      </c>
      <c r="N1741" s="5" t="s">
        <v>211</v>
      </c>
      <c r="O1741" s="12"/>
      <c r="P1741" s="13">
        <v>13743</v>
      </c>
      <c r="S1741" s="13">
        <v>7792</v>
      </c>
      <c r="U1741" s="13">
        <v>7792</v>
      </c>
      <c r="AC1741" s="10" t="s">
        <v>4212</v>
      </c>
      <c r="AD1741" s="5" t="s">
        <v>4209</v>
      </c>
      <c r="AE1741" s="5" t="s">
        <v>208</v>
      </c>
      <c r="AG1741" s="5" t="s">
        <v>4203</v>
      </c>
    </row>
    <row r="1742" spans="1:33" ht="10" customHeight="1" x14ac:dyDescent="0.2">
      <c r="A1742" s="5" t="s">
        <v>40</v>
      </c>
      <c r="B1742" s="5" t="s">
        <v>41</v>
      </c>
      <c r="D1742" s="5" t="s">
        <v>4213</v>
      </c>
      <c r="E1742" s="10" t="s">
        <v>345</v>
      </c>
      <c r="F1742" s="5" t="s">
        <v>215</v>
      </c>
      <c r="G1742" s="5" t="s">
        <v>464</v>
      </c>
      <c r="I1742" s="11">
        <v>1</v>
      </c>
      <c r="J1742" s="5" t="s">
        <v>45</v>
      </c>
      <c r="K1742" s="10" t="s">
        <v>186</v>
      </c>
      <c r="L1742" s="5" t="s">
        <v>47</v>
      </c>
      <c r="M1742" s="5" t="s">
        <v>210</v>
      </c>
      <c r="N1742" s="5" t="s">
        <v>211</v>
      </c>
      <c r="O1742" s="12"/>
      <c r="P1742" s="13">
        <v>3252</v>
      </c>
      <c r="S1742" s="13">
        <v>1774</v>
      </c>
      <c r="U1742" s="13">
        <v>1774</v>
      </c>
      <c r="AC1742" s="10" t="s">
        <v>4214</v>
      </c>
      <c r="AD1742" s="5" t="s">
        <v>4209</v>
      </c>
      <c r="AE1742" s="5" t="s">
        <v>208</v>
      </c>
      <c r="AG1742" s="5" t="s">
        <v>4203</v>
      </c>
    </row>
    <row r="1743" spans="1:33" ht="10" customHeight="1" x14ac:dyDescent="0.2">
      <c r="A1743" s="5" t="s">
        <v>40</v>
      </c>
      <c r="B1743" s="5" t="s">
        <v>41</v>
      </c>
      <c r="D1743" s="5" t="s">
        <v>4215</v>
      </c>
      <c r="E1743" s="10" t="s">
        <v>345</v>
      </c>
      <c r="F1743" s="5" t="s">
        <v>215</v>
      </c>
      <c r="G1743" s="5" t="s">
        <v>464</v>
      </c>
      <c r="I1743" s="11">
        <v>1</v>
      </c>
      <c r="J1743" s="5" t="s">
        <v>45</v>
      </c>
      <c r="K1743" s="10" t="s">
        <v>186</v>
      </c>
      <c r="L1743" s="5" t="s">
        <v>47</v>
      </c>
      <c r="M1743" s="5" t="s">
        <v>210</v>
      </c>
      <c r="N1743" s="5" t="s">
        <v>211</v>
      </c>
      <c r="O1743" s="12"/>
      <c r="P1743" s="13">
        <v>2478</v>
      </c>
      <c r="S1743" s="13">
        <v>2880</v>
      </c>
      <c r="U1743" s="13">
        <v>2880</v>
      </c>
      <c r="AC1743" s="10" t="s">
        <v>4216</v>
      </c>
      <c r="AD1743" s="5" t="s">
        <v>4209</v>
      </c>
      <c r="AE1743" s="5" t="s">
        <v>208</v>
      </c>
      <c r="AG1743" s="5" t="s">
        <v>4203</v>
      </c>
    </row>
    <row r="1744" spans="1:33" ht="10" customHeight="1" x14ac:dyDescent="0.2">
      <c r="A1744" s="5" t="s">
        <v>40</v>
      </c>
      <c r="B1744" s="5" t="s">
        <v>41</v>
      </c>
      <c r="D1744" s="5" t="s">
        <v>4217</v>
      </c>
      <c r="E1744" s="10" t="s">
        <v>345</v>
      </c>
      <c r="F1744" s="5" t="s">
        <v>215</v>
      </c>
      <c r="G1744" s="5" t="s">
        <v>464</v>
      </c>
      <c r="I1744" s="11">
        <v>1</v>
      </c>
      <c r="J1744" s="5" t="s">
        <v>45</v>
      </c>
      <c r="K1744" s="10" t="s">
        <v>186</v>
      </c>
      <c r="L1744" s="5" t="s">
        <v>47</v>
      </c>
      <c r="M1744" s="5" t="s">
        <v>210</v>
      </c>
      <c r="N1744" s="5" t="s">
        <v>211</v>
      </c>
      <c r="O1744" s="12"/>
      <c r="P1744" s="13">
        <v>30363</v>
      </c>
      <c r="S1744" s="13">
        <v>38145</v>
      </c>
      <c r="U1744" s="13">
        <v>38145</v>
      </c>
      <c r="AC1744" s="10" t="s">
        <v>4218</v>
      </c>
      <c r="AD1744" s="5" t="s">
        <v>4219</v>
      </c>
      <c r="AE1744" s="5" t="s">
        <v>208</v>
      </c>
      <c r="AG1744" s="5" t="s">
        <v>4220</v>
      </c>
    </row>
    <row r="1745" spans="1:33" ht="10" customHeight="1" x14ac:dyDescent="0.2">
      <c r="A1745" s="5" t="s">
        <v>40</v>
      </c>
      <c r="B1745" s="5" t="s">
        <v>41</v>
      </c>
      <c r="D1745" s="5" t="s">
        <v>4221</v>
      </c>
      <c r="E1745" s="10" t="s">
        <v>345</v>
      </c>
      <c r="F1745" s="5" t="s">
        <v>215</v>
      </c>
      <c r="G1745" s="5" t="s">
        <v>464</v>
      </c>
      <c r="I1745" s="11">
        <v>1</v>
      </c>
      <c r="J1745" s="5" t="s">
        <v>45</v>
      </c>
      <c r="K1745" s="10" t="s">
        <v>186</v>
      </c>
      <c r="L1745" s="5" t="s">
        <v>47</v>
      </c>
      <c r="M1745" s="5" t="s">
        <v>210</v>
      </c>
      <c r="N1745" s="5" t="s">
        <v>211</v>
      </c>
      <c r="O1745" s="12"/>
      <c r="P1745" s="13">
        <v>3176</v>
      </c>
      <c r="S1745" s="13">
        <v>3990</v>
      </c>
      <c r="U1745" s="13">
        <v>3990</v>
      </c>
      <c r="AC1745" s="10" t="s">
        <v>4222</v>
      </c>
      <c r="AD1745" s="5" t="s">
        <v>4219</v>
      </c>
      <c r="AE1745" s="5" t="s">
        <v>208</v>
      </c>
      <c r="AG1745" s="5" t="s">
        <v>4206</v>
      </c>
    </row>
    <row r="1746" spans="1:33" ht="10" customHeight="1" x14ac:dyDescent="0.2">
      <c r="A1746" s="5" t="s">
        <v>40</v>
      </c>
      <c r="B1746" s="5" t="s">
        <v>41</v>
      </c>
      <c r="D1746" s="5" t="s">
        <v>4223</v>
      </c>
      <c r="E1746" s="10" t="s">
        <v>345</v>
      </c>
      <c r="F1746" s="5" t="s">
        <v>215</v>
      </c>
      <c r="G1746" s="5" t="s">
        <v>464</v>
      </c>
      <c r="I1746" s="11">
        <v>1</v>
      </c>
      <c r="J1746" s="5" t="s">
        <v>45</v>
      </c>
      <c r="K1746" s="10" t="s">
        <v>186</v>
      </c>
      <c r="L1746" s="5" t="s">
        <v>47</v>
      </c>
      <c r="M1746" s="5" t="s">
        <v>210</v>
      </c>
      <c r="N1746" s="5" t="s">
        <v>211</v>
      </c>
      <c r="O1746" s="12"/>
      <c r="P1746" s="13">
        <v>4196</v>
      </c>
      <c r="S1746" s="13">
        <v>5271</v>
      </c>
      <c r="U1746" s="13">
        <v>5271</v>
      </c>
      <c r="AC1746" s="10" t="s">
        <v>4224</v>
      </c>
      <c r="AD1746" s="5" t="s">
        <v>4219</v>
      </c>
      <c r="AE1746" s="5" t="s">
        <v>208</v>
      </c>
      <c r="AG1746" s="5" t="s">
        <v>4206</v>
      </c>
    </row>
    <row r="1747" spans="1:33" ht="10" customHeight="1" x14ac:dyDescent="0.2">
      <c r="A1747" s="5" t="s">
        <v>40</v>
      </c>
      <c r="B1747" s="5" t="s">
        <v>41</v>
      </c>
      <c r="D1747" s="5" t="s">
        <v>4225</v>
      </c>
      <c r="E1747" s="10" t="s">
        <v>345</v>
      </c>
      <c r="F1747" s="5" t="s">
        <v>215</v>
      </c>
      <c r="G1747" s="5" t="s">
        <v>464</v>
      </c>
      <c r="I1747" s="11">
        <v>1</v>
      </c>
      <c r="J1747" s="5" t="s">
        <v>45</v>
      </c>
      <c r="K1747" s="10" t="s">
        <v>186</v>
      </c>
      <c r="L1747" s="5" t="s">
        <v>47</v>
      </c>
      <c r="M1747" s="5" t="s">
        <v>210</v>
      </c>
      <c r="N1747" s="5" t="s">
        <v>211</v>
      </c>
      <c r="O1747" s="12"/>
      <c r="P1747" s="13">
        <v>19604</v>
      </c>
      <c r="S1747" s="13">
        <v>24628</v>
      </c>
      <c r="U1747" s="13">
        <v>24628</v>
      </c>
      <c r="AC1747" s="10" t="s">
        <v>4226</v>
      </c>
      <c r="AD1747" s="5" t="s">
        <v>4219</v>
      </c>
      <c r="AE1747" s="5" t="s">
        <v>208</v>
      </c>
      <c r="AG1747" s="5" t="s">
        <v>4206</v>
      </c>
    </row>
    <row r="1748" spans="1:33" ht="10" customHeight="1" x14ac:dyDescent="0.2">
      <c r="A1748" s="5" t="s">
        <v>40</v>
      </c>
      <c r="B1748" s="5" t="s">
        <v>41</v>
      </c>
      <c r="D1748" s="5" t="s">
        <v>4227</v>
      </c>
      <c r="E1748" s="10" t="s">
        <v>345</v>
      </c>
      <c r="F1748" s="5" t="s">
        <v>215</v>
      </c>
      <c r="G1748" s="5" t="s">
        <v>464</v>
      </c>
      <c r="I1748" s="11">
        <v>1</v>
      </c>
      <c r="J1748" s="5" t="s">
        <v>45</v>
      </c>
      <c r="K1748" s="10" t="s">
        <v>186</v>
      </c>
      <c r="L1748" s="5" t="s">
        <v>47</v>
      </c>
      <c r="M1748" s="5" t="s">
        <v>210</v>
      </c>
      <c r="N1748" s="5" t="s">
        <v>211</v>
      </c>
      <c r="O1748" s="12"/>
      <c r="P1748" s="13">
        <v>9278</v>
      </c>
      <c r="S1748" s="13">
        <v>11656</v>
      </c>
      <c r="U1748" s="13">
        <v>11656</v>
      </c>
      <c r="AC1748" s="10" t="s">
        <v>4228</v>
      </c>
      <c r="AD1748" s="5" t="s">
        <v>4219</v>
      </c>
      <c r="AE1748" s="5" t="s">
        <v>208</v>
      </c>
    </row>
    <row r="1749" spans="1:33" ht="10" customHeight="1" x14ac:dyDescent="0.2">
      <c r="A1749" s="5" t="s">
        <v>40</v>
      </c>
      <c r="B1749" s="5" t="s">
        <v>41</v>
      </c>
      <c r="D1749" s="5" t="s">
        <v>4229</v>
      </c>
      <c r="E1749" s="10" t="s">
        <v>345</v>
      </c>
      <c r="F1749" s="5" t="s">
        <v>215</v>
      </c>
      <c r="G1749" s="5" t="s">
        <v>464</v>
      </c>
      <c r="I1749" s="11">
        <v>1</v>
      </c>
      <c r="J1749" s="5" t="s">
        <v>45</v>
      </c>
      <c r="K1749" s="10" t="s">
        <v>186</v>
      </c>
      <c r="L1749" s="5" t="s">
        <v>47</v>
      </c>
      <c r="M1749" s="5" t="s">
        <v>210</v>
      </c>
      <c r="N1749" s="5" t="s">
        <v>211</v>
      </c>
      <c r="O1749" s="12"/>
      <c r="P1749" s="13">
        <v>4636</v>
      </c>
      <c r="S1749" s="13">
        <v>5825</v>
      </c>
      <c r="U1749" s="13">
        <v>5825</v>
      </c>
      <c r="AC1749" s="10" t="s">
        <v>4230</v>
      </c>
      <c r="AD1749" s="5" t="s">
        <v>4219</v>
      </c>
      <c r="AE1749" s="5" t="s">
        <v>208</v>
      </c>
    </row>
    <row r="1750" spans="1:33" ht="10" customHeight="1" x14ac:dyDescent="0.2">
      <c r="A1750" s="5" t="s">
        <v>40</v>
      </c>
      <c r="B1750" s="5" t="s">
        <v>41</v>
      </c>
      <c r="D1750" s="5" t="s">
        <v>4231</v>
      </c>
      <c r="E1750" s="10" t="s">
        <v>345</v>
      </c>
      <c r="F1750" s="5" t="s">
        <v>4232</v>
      </c>
      <c r="G1750" s="5" t="s">
        <v>346</v>
      </c>
      <c r="H1750" s="5" t="s">
        <v>175</v>
      </c>
      <c r="I1750" s="11">
        <v>1</v>
      </c>
      <c r="J1750" s="5" t="s">
        <v>45</v>
      </c>
      <c r="K1750" s="10" t="s">
        <v>186</v>
      </c>
      <c r="L1750" s="5" t="s">
        <v>47</v>
      </c>
      <c r="M1750" s="5" t="s">
        <v>222</v>
      </c>
      <c r="N1750" s="5" t="s">
        <v>223</v>
      </c>
      <c r="O1750" s="12"/>
      <c r="P1750" s="13">
        <v>170643</v>
      </c>
      <c r="S1750" s="13">
        <v>82816</v>
      </c>
      <c r="U1750" s="13">
        <v>82816</v>
      </c>
      <c r="AC1750" s="10" t="s">
        <v>4233</v>
      </c>
      <c r="AD1750" s="5" t="s">
        <v>4234</v>
      </c>
      <c r="AE1750" s="5" t="s">
        <v>220</v>
      </c>
      <c r="AG1750" s="5" t="s">
        <v>175</v>
      </c>
    </row>
    <row r="1751" spans="1:33" ht="10" customHeight="1" x14ac:dyDescent="0.2">
      <c r="A1751" s="5" t="s">
        <v>40</v>
      </c>
      <c r="B1751" s="5" t="s">
        <v>41</v>
      </c>
      <c r="D1751" s="5" t="s">
        <v>4235</v>
      </c>
      <c r="E1751" s="10" t="s">
        <v>345</v>
      </c>
      <c r="F1751" s="5" t="s">
        <v>4232</v>
      </c>
      <c r="G1751" s="5" t="s">
        <v>346</v>
      </c>
      <c r="H1751" s="5" t="s">
        <v>354</v>
      </c>
      <c r="I1751" s="11">
        <v>1</v>
      </c>
      <c r="J1751" s="5" t="s">
        <v>45</v>
      </c>
      <c r="K1751" s="10" t="s">
        <v>186</v>
      </c>
      <c r="L1751" s="5" t="s">
        <v>47</v>
      </c>
      <c r="M1751" s="5" t="s">
        <v>222</v>
      </c>
      <c r="N1751" s="5" t="s">
        <v>223</v>
      </c>
      <c r="O1751" s="12"/>
      <c r="P1751" s="13">
        <v>4366</v>
      </c>
      <c r="S1751" s="13">
        <v>2493</v>
      </c>
      <c r="U1751" s="13">
        <v>2493</v>
      </c>
      <c r="AC1751" s="10" t="s">
        <v>4236</v>
      </c>
      <c r="AD1751" s="5" t="s">
        <v>4234</v>
      </c>
      <c r="AE1751" s="5" t="s">
        <v>220</v>
      </c>
      <c r="AG1751" s="5" t="s">
        <v>354</v>
      </c>
    </row>
    <row r="1752" spans="1:33" ht="10" customHeight="1" x14ac:dyDescent="0.2">
      <c r="A1752" s="5" t="s">
        <v>40</v>
      </c>
      <c r="B1752" s="5" t="s">
        <v>41</v>
      </c>
      <c r="D1752" s="5" t="s">
        <v>4237</v>
      </c>
      <c r="E1752" s="10" t="s">
        <v>345</v>
      </c>
      <c r="F1752" s="5" t="s">
        <v>4232</v>
      </c>
      <c r="G1752" s="5" t="s">
        <v>346</v>
      </c>
      <c r="H1752" s="5" t="s">
        <v>357</v>
      </c>
      <c r="I1752" s="11">
        <v>1</v>
      </c>
      <c r="J1752" s="5" t="s">
        <v>45</v>
      </c>
      <c r="K1752" s="10" t="s">
        <v>186</v>
      </c>
      <c r="L1752" s="5" t="s">
        <v>47</v>
      </c>
      <c r="M1752" s="5" t="s">
        <v>222</v>
      </c>
      <c r="N1752" s="5" t="s">
        <v>223</v>
      </c>
      <c r="O1752" s="12"/>
      <c r="P1752" s="13">
        <v>11756</v>
      </c>
      <c r="S1752" s="13">
        <v>5696</v>
      </c>
      <c r="U1752" s="13">
        <v>5696</v>
      </c>
      <c r="AC1752" s="10" t="s">
        <v>4238</v>
      </c>
      <c r="AD1752" s="5" t="s">
        <v>4234</v>
      </c>
      <c r="AE1752" s="5" t="s">
        <v>220</v>
      </c>
      <c r="AG1752" s="5" t="s">
        <v>357</v>
      </c>
    </row>
    <row r="1753" spans="1:33" ht="10" customHeight="1" x14ac:dyDescent="0.2">
      <c r="A1753" s="5" t="s">
        <v>40</v>
      </c>
      <c r="B1753" s="5" t="s">
        <v>41</v>
      </c>
      <c r="D1753" s="5" t="s">
        <v>4239</v>
      </c>
      <c r="E1753" s="10" t="s">
        <v>345</v>
      </c>
      <c r="F1753" s="5" t="s">
        <v>4240</v>
      </c>
      <c r="G1753" s="5" t="s">
        <v>346</v>
      </c>
      <c r="H1753" s="5" t="s">
        <v>175</v>
      </c>
      <c r="I1753" s="11">
        <v>1</v>
      </c>
      <c r="J1753" s="5" t="s">
        <v>45</v>
      </c>
      <c r="K1753" s="10" t="s">
        <v>186</v>
      </c>
      <c r="L1753" s="5" t="s">
        <v>228</v>
      </c>
      <c r="M1753" s="5" t="s">
        <v>229</v>
      </c>
      <c r="N1753" s="5" t="s">
        <v>230</v>
      </c>
      <c r="O1753" s="12"/>
      <c r="AC1753" s="10" t="s">
        <v>4241</v>
      </c>
      <c r="AD1753" s="5" t="s">
        <v>4242</v>
      </c>
      <c r="AE1753" s="5" t="s">
        <v>226</v>
      </c>
      <c r="AG1753" s="5" t="s">
        <v>175</v>
      </c>
    </row>
    <row r="1754" spans="1:33" ht="10" customHeight="1" x14ac:dyDescent="0.2">
      <c r="A1754" s="5" t="s">
        <v>40</v>
      </c>
      <c r="B1754" s="5" t="s">
        <v>41</v>
      </c>
      <c r="D1754" s="5" t="s">
        <v>4243</v>
      </c>
      <c r="E1754" s="10" t="s">
        <v>345</v>
      </c>
      <c r="F1754" s="5" t="s">
        <v>4240</v>
      </c>
      <c r="G1754" s="5" t="s">
        <v>346</v>
      </c>
      <c r="H1754" s="5" t="s">
        <v>354</v>
      </c>
      <c r="I1754" s="11">
        <v>1</v>
      </c>
      <c r="J1754" s="5" t="s">
        <v>45</v>
      </c>
      <c r="K1754" s="10" t="s">
        <v>186</v>
      </c>
      <c r="L1754" s="5" t="s">
        <v>228</v>
      </c>
      <c r="M1754" s="5" t="s">
        <v>229</v>
      </c>
      <c r="N1754" s="5" t="s">
        <v>230</v>
      </c>
      <c r="O1754" s="12"/>
      <c r="AC1754" s="10" t="s">
        <v>4244</v>
      </c>
      <c r="AD1754" s="5" t="s">
        <v>4242</v>
      </c>
      <c r="AE1754" s="5" t="s">
        <v>226</v>
      </c>
      <c r="AG1754" s="5" t="s">
        <v>354</v>
      </c>
    </row>
    <row r="1755" spans="1:33" ht="10" customHeight="1" x14ac:dyDescent="0.2">
      <c r="A1755" s="5" t="s">
        <v>40</v>
      </c>
      <c r="B1755" s="5" t="s">
        <v>41</v>
      </c>
      <c r="D1755" s="5" t="s">
        <v>4245</v>
      </c>
      <c r="E1755" s="10" t="s">
        <v>345</v>
      </c>
      <c r="F1755" s="5" t="s">
        <v>4240</v>
      </c>
      <c r="G1755" s="5" t="s">
        <v>346</v>
      </c>
      <c r="H1755" s="5" t="s">
        <v>357</v>
      </c>
      <c r="I1755" s="11">
        <v>1</v>
      </c>
      <c r="J1755" s="5" t="s">
        <v>45</v>
      </c>
      <c r="K1755" s="10" t="s">
        <v>186</v>
      </c>
      <c r="L1755" s="5" t="s">
        <v>228</v>
      </c>
      <c r="M1755" s="5" t="s">
        <v>229</v>
      </c>
      <c r="N1755" s="5" t="s">
        <v>230</v>
      </c>
      <c r="O1755" s="12"/>
      <c r="AC1755" s="10" t="s">
        <v>4246</v>
      </c>
      <c r="AD1755" s="5" t="s">
        <v>4242</v>
      </c>
      <c r="AE1755" s="5" t="s">
        <v>226</v>
      </c>
      <c r="AG1755" s="5" t="s">
        <v>357</v>
      </c>
    </row>
    <row r="1756" spans="1:33" ht="10" customHeight="1" x14ac:dyDescent="0.2">
      <c r="A1756" s="5" t="s">
        <v>40</v>
      </c>
      <c r="B1756" s="5" t="s">
        <v>41</v>
      </c>
      <c r="D1756" s="5" t="s">
        <v>4247</v>
      </c>
      <c r="E1756" s="10" t="s">
        <v>345</v>
      </c>
      <c r="F1756" s="5" t="s">
        <v>4240</v>
      </c>
      <c r="G1756" s="5" t="s">
        <v>346</v>
      </c>
      <c r="H1756" s="5" t="s">
        <v>363</v>
      </c>
      <c r="I1756" s="11">
        <v>1</v>
      </c>
      <c r="J1756" s="5" t="s">
        <v>45</v>
      </c>
      <c r="K1756" s="10" t="s">
        <v>186</v>
      </c>
      <c r="L1756" s="5" t="s">
        <v>228</v>
      </c>
      <c r="M1756" s="5" t="s">
        <v>229</v>
      </c>
      <c r="N1756" s="5" t="s">
        <v>230</v>
      </c>
      <c r="O1756" s="12"/>
      <c r="AC1756" s="10" t="s">
        <v>4248</v>
      </c>
      <c r="AD1756" s="5" t="s">
        <v>4242</v>
      </c>
      <c r="AE1756" s="5" t="s">
        <v>226</v>
      </c>
    </row>
    <row r="1757" spans="1:33" ht="10" customHeight="1" x14ac:dyDescent="0.2">
      <c r="A1757" s="5" t="s">
        <v>40</v>
      </c>
      <c r="B1757" s="5" t="s">
        <v>41</v>
      </c>
      <c r="D1757" s="5" t="s">
        <v>4249</v>
      </c>
      <c r="E1757" s="10" t="s">
        <v>345</v>
      </c>
      <c r="F1757" s="5" t="s">
        <v>4250</v>
      </c>
      <c r="G1757" s="5" t="s">
        <v>346</v>
      </c>
      <c r="H1757" s="5" t="s">
        <v>175</v>
      </c>
      <c r="I1757" s="11">
        <v>1</v>
      </c>
      <c r="J1757" s="5" t="s">
        <v>45</v>
      </c>
      <c r="K1757" s="10" t="s">
        <v>46</v>
      </c>
      <c r="L1757" s="5" t="s">
        <v>235</v>
      </c>
      <c r="M1757" s="5" t="s">
        <v>236</v>
      </c>
      <c r="N1757" s="5" t="s">
        <v>237</v>
      </c>
      <c r="O1757" s="12"/>
      <c r="P1757" s="13">
        <v>61726</v>
      </c>
      <c r="S1757" s="13">
        <v>58200</v>
      </c>
      <c r="U1757" s="13">
        <v>58200</v>
      </c>
      <c r="AC1757" s="10" t="s">
        <v>4251</v>
      </c>
      <c r="AD1757" s="5" t="s">
        <v>4252</v>
      </c>
      <c r="AE1757" s="5" t="s">
        <v>233</v>
      </c>
      <c r="AG1757" s="5" t="s">
        <v>175</v>
      </c>
    </row>
    <row r="1758" spans="1:33" ht="10" customHeight="1" x14ac:dyDescent="0.2">
      <c r="A1758" s="5" t="s">
        <v>40</v>
      </c>
      <c r="B1758" s="5" t="s">
        <v>41</v>
      </c>
      <c r="D1758" s="5" t="s">
        <v>4253</v>
      </c>
      <c r="E1758" s="10" t="s">
        <v>345</v>
      </c>
      <c r="F1758" s="5" t="s">
        <v>4250</v>
      </c>
      <c r="G1758" s="5" t="s">
        <v>346</v>
      </c>
      <c r="H1758" s="5" t="s">
        <v>354</v>
      </c>
      <c r="I1758" s="11">
        <v>1</v>
      </c>
      <c r="J1758" s="5" t="s">
        <v>45</v>
      </c>
      <c r="K1758" s="10" t="s">
        <v>46</v>
      </c>
      <c r="L1758" s="5" t="s">
        <v>235</v>
      </c>
      <c r="M1758" s="5" t="s">
        <v>236</v>
      </c>
      <c r="N1758" s="5" t="s">
        <v>237</v>
      </c>
      <c r="O1758" s="12"/>
      <c r="P1758" s="13">
        <v>2263</v>
      </c>
      <c r="S1758" s="13">
        <v>1500</v>
      </c>
      <c r="U1758" s="13">
        <v>1500</v>
      </c>
      <c r="AC1758" s="10" t="s">
        <v>4254</v>
      </c>
      <c r="AD1758" s="5" t="s">
        <v>4252</v>
      </c>
      <c r="AE1758" s="5" t="s">
        <v>233</v>
      </c>
      <c r="AG1758" s="5" t="s">
        <v>354</v>
      </c>
    </row>
    <row r="1759" spans="1:33" ht="10" customHeight="1" x14ac:dyDescent="0.2">
      <c r="A1759" s="5" t="s">
        <v>40</v>
      </c>
      <c r="B1759" s="5" t="s">
        <v>41</v>
      </c>
      <c r="D1759" s="5" t="s">
        <v>4255</v>
      </c>
      <c r="E1759" s="10" t="s">
        <v>345</v>
      </c>
      <c r="F1759" s="5" t="s">
        <v>4250</v>
      </c>
      <c r="G1759" s="5" t="s">
        <v>346</v>
      </c>
      <c r="H1759" s="5" t="s">
        <v>357</v>
      </c>
      <c r="I1759" s="11">
        <v>1</v>
      </c>
      <c r="J1759" s="5" t="s">
        <v>45</v>
      </c>
      <c r="K1759" s="10" t="s">
        <v>46</v>
      </c>
      <c r="L1759" s="5" t="s">
        <v>235</v>
      </c>
      <c r="M1759" s="5" t="s">
        <v>236</v>
      </c>
      <c r="N1759" s="5" t="s">
        <v>237</v>
      </c>
      <c r="O1759" s="12"/>
      <c r="P1759" s="13">
        <v>362</v>
      </c>
      <c r="S1759" s="13">
        <v>300</v>
      </c>
      <c r="U1759" s="13">
        <v>300</v>
      </c>
      <c r="AC1759" s="10" t="s">
        <v>4256</v>
      </c>
      <c r="AD1759" s="5" t="s">
        <v>4252</v>
      </c>
      <c r="AE1759" s="5" t="s">
        <v>233</v>
      </c>
      <c r="AG1759" s="5" t="s">
        <v>357</v>
      </c>
    </row>
    <row r="1760" spans="1:33" ht="10" customHeight="1" x14ac:dyDescent="0.2">
      <c r="A1760" s="5" t="s">
        <v>40</v>
      </c>
      <c r="B1760" s="5" t="s">
        <v>41</v>
      </c>
      <c r="D1760" s="5" t="s">
        <v>4257</v>
      </c>
      <c r="E1760" s="10" t="s">
        <v>345</v>
      </c>
      <c r="F1760" s="5" t="s">
        <v>4250</v>
      </c>
      <c r="G1760" s="5" t="s">
        <v>346</v>
      </c>
      <c r="H1760" s="5" t="s">
        <v>363</v>
      </c>
      <c r="I1760" s="11">
        <v>1</v>
      </c>
      <c r="J1760" s="5" t="s">
        <v>45</v>
      </c>
      <c r="K1760" s="10" t="s">
        <v>46</v>
      </c>
      <c r="L1760" s="5" t="s">
        <v>235</v>
      </c>
      <c r="M1760" s="5" t="s">
        <v>236</v>
      </c>
      <c r="N1760" s="5" t="s">
        <v>237</v>
      </c>
      <c r="O1760" s="12"/>
      <c r="P1760" s="13">
        <v>1805</v>
      </c>
      <c r="S1760" s="13">
        <v>1000</v>
      </c>
      <c r="U1760" s="13">
        <v>1000</v>
      </c>
      <c r="AC1760" s="10" t="s">
        <v>4258</v>
      </c>
      <c r="AD1760" s="5" t="s">
        <v>4252</v>
      </c>
      <c r="AE1760" s="5" t="s">
        <v>233</v>
      </c>
    </row>
    <row r="1761" spans="1:33" ht="10" customHeight="1" x14ac:dyDescent="0.2">
      <c r="A1761" s="5" t="s">
        <v>40</v>
      </c>
      <c r="B1761" s="5" t="s">
        <v>41</v>
      </c>
      <c r="D1761" s="5" t="s">
        <v>4259</v>
      </c>
      <c r="E1761" s="10" t="s">
        <v>345</v>
      </c>
      <c r="F1761" s="5" t="s">
        <v>4250</v>
      </c>
      <c r="G1761" s="5" t="s">
        <v>346</v>
      </c>
      <c r="H1761" s="5" t="s">
        <v>369</v>
      </c>
      <c r="I1761" s="11">
        <v>1</v>
      </c>
      <c r="J1761" s="5" t="s">
        <v>45</v>
      </c>
      <c r="K1761" s="10" t="s">
        <v>46</v>
      </c>
      <c r="L1761" s="5" t="s">
        <v>235</v>
      </c>
      <c r="M1761" s="5" t="s">
        <v>236</v>
      </c>
      <c r="N1761" s="5" t="s">
        <v>237</v>
      </c>
      <c r="O1761" s="12"/>
      <c r="P1761" s="13">
        <v>1772</v>
      </c>
      <c r="S1761" s="13">
        <v>1532</v>
      </c>
      <c r="U1761" s="13">
        <v>1532</v>
      </c>
      <c r="AC1761" s="10" t="s">
        <v>4260</v>
      </c>
      <c r="AD1761" s="5" t="s">
        <v>4252</v>
      </c>
      <c r="AE1761" s="5" t="s">
        <v>233</v>
      </c>
    </row>
    <row r="1762" spans="1:33" ht="10" customHeight="1" x14ac:dyDescent="0.2">
      <c r="A1762" s="5" t="s">
        <v>40</v>
      </c>
      <c r="B1762" s="5" t="s">
        <v>41</v>
      </c>
      <c r="D1762" s="5" t="s">
        <v>4261</v>
      </c>
      <c r="E1762" s="10" t="s">
        <v>345</v>
      </c>
      <c r="F1762" s="5" t="s">
        <v>4262</v>
      </c>
      <c r="G1762" s="5" t="s">
        <v>346</v>
      </c>
      <c r="H1762" s="5" t="s">
        <v>175</v>
      </c>
      <c r="I1762" s="11">
        <v>1</v>
      </c>
      <c r="J1762" s="5" t="s">
        <v>45</v>
      </c>
      <c r="K1762" s="10" t="s">
        <v>46</v>
      </c>
      <c r="L1762" s="5" t="s">
        <v>235</v>
      </c>
      <c r="M1762" s="5" t="s">
        <v>236</v>
      </c>
      <c r="N1762" s="5" t="s">
        <v>283</v>
      </c>
      <c r="O1762" s="12"/>
      <c r="P1762" s="13">
        <v>428706</v>
      </c>
      <c r="S1762" s="13">
        <v>355656</v>
      </c>
      <c r="U1762" s="13">
        <v>355656</v>
      </c>
      <c r="AC1762" s="10" t="s">
        <v>4263</v>
      </c>
      <c r="AD1762" s="5" t="s">
        <v>4264</v>
      </c>
      <c r="AE1762" s="5" t="s">
        <v>290</v>
      </c>
      <c r="AG1762" s="5" t="s">
        <v>175</v>
      </c>
    </row>
    <row r="1763" spans="1:33" ht="10" customHeight="1" x14ac:dyDescent="0.2">
      <c r="A1763" s="5" t="s">
        <v>40</v>
      </c>
      <c r="B1763" s="5" t="s">
        <v>41</v>
      </c>
      <c r="D1763" s="5" t="s">
        <v>4265</v>
      </c>
      <c r="E1763" s="10" t="s">
        <v>345</v>
      </c>
      <c r="F1763" s="5" t="s">
        <v>4262</v>
      </c>
      <c r="G1763" s="5" t="s">
        <v>346</v>
      </c>
      <c r="H1763" s="5" t="s">
        <v>354</v>
      </c>
      <c r="I1763" s="11">
        <v>1</v>
      </c>
      <c r="J1763" s="5" t="s">
        <v>45</v>
      </c>
      <c r="K1763" s="10" t="s">
        <v>46</v>
      </c>
      <c r="L1763" s="5" t="s">
        <v>235</v>
      </c>
      <c r="M1763" s="5" t="s">
        <v>236</v>
      </c>
      <c r="N1763" s="5" t="s">
        <v>283</v>
      </c>
      <c r="O1763" s="12"/>
      <c r="P1763" s="13">
        <v>10718</v>
      </c>
      <c r="S1763" s="13">
        <v>8892</v>
      </c>
      <c r="U1763" s="13">
        <v>8892</v>
      </c>
      <c r="AC1763" s="10" t="s">
        <v>4266</v>
      </c>
      <c r="AD1763" s="5" t="s">
        <v>4264</v>
      </c>
      <c r="AE1763" s="5" t="s">
        <v>290</v>
      </c>
      <c r="AG1763" s="5" t="s">
        <v>354</v>
      </c>
    </row>
    <row r="1764" spans="1:33" ht="10" customHeight="1" x14ac:dyDescent="0.2">
      <c r="A1764" s="5" t="s">
        <v>40</v>
      </c>
      <c r="B1764" s="5" t="s">
        <v>41</v>
      </c>
      <c r="D1764" s="5" t="s">
        <v>4267</v>
      </c>
      <c r="E1764" s="10" t="s">
        <v>345</v>
      </c>
      <c r="F1764" s="5" t="s">
        <v>4262</v>
      </c>
      <c r="G1764" s="5" t="s">
        <v>346</v>
      </c>
      <c r="H1764" s="5" t="s">
        <v>357</v>
      </c>
      <c r="I1764" s="11">
        <v>1</v>
      </c>
      <c r="J1764" s="5" t="s">
        <v>45</v>
      </c>
      <c r="K1764" s="10" t="s">
        <v>46</v>
      </c>
      <c r="L1764" s="5" t="s">
        <v>235</v>
      </c>
      <c r="M1764" s="5" t="s">
        <v>236</v>
      </c>
      <c r="N1764" s="5" t="s">
        <v>283</v>
      </c>
      <c r="O1764" s="12"/>
      <c r="P1764" s="13">
        <v>15200</v>
      </c>
      <c r="S1764" s="13">
        <v>11742</v>
      </c>
      <c r="U1764" s="13">
        <v>11742</v>
      </c>
      <c r="AC1764" s="10" t="s">
        <v>4268</v>
      </c>
      <c r="AD1764" s="5" t="s">
        <v>4264</v>
      </c>
      <c r="AE1764" s="5" t="s">
        <v>290</v>
      </c>
      <c r="AG1764" s="5" t="s">
        <v>357</v>
      </c>
    </row>
    <row r="1765" spans="1:33" ht="10" customHeight="1" x14ac:dyDescent="0.2">
      <c r="A1765" s="5" t="s">
        <v>40</v>
      </c>
      <c r="B1765" s="5" t="s">
        <v>41</v>
      </c>
      <c r="D1765" s="5" t="s">
        <v>4269</v>
      </c>
      <c r="E1765" s="10" t="s">
        <v>345</v>
      </c>
      <c r="F1765" s="5" t="s">
        <v>4262</v>
      </c>
      <c r="G1765" s="5" t="s">
        <v>346</v>
      </c>
      <c r="H1765" s="5" t="s">
        <v>369</v>
      </c>
      <c r="I1765" s="11">
        <v>1</v>
      </c>
      <c r="J1765" s="5" t="s">
        <v>45</v>
      </c>
      <c r="K1765" s="10" t="s">
        <v>46</v>
      </c>
      <c r="L1765" s="5" t="s">
        <v>235</v>
      </c>
      <c r="M1765" s="5" t="s">
        <v>236</v>
      </c>
      <c r="N1765" s="5" t="s">
        <v>283</v>
      </c>
      <c r="O1765" s="12"/>
      <c r="P1765" s="13">
        <v>28836</v>
      </c>
      <c r="S1765" s="13">
        <v>22276</v>
      </c>
      <c r="U1765" s="13">
        <v>22276</v>
      </c>
      <c r="AC1765" s="10" t="s">
        <v>4270</v>
      </c>
      <c r="AD1765" s="5" t="s">
        <v>4264</v>
      </c>
      <c r="AE1765" s="5" t="s">
        <v>290</v>
      </c>
      <c r="AG1765" s="5" t="s">
        <v>371</v>
      </c>
    </row>
    <row r="1766" spans="1:33" ht="10" customHeight="1" x14ac:dyDescent="0.2">
      <c r="A1766" s="5" t="s">
        <v>40</v>
      </c>
      <c r="B1766" s="5" t="s">
        <v>41</v>
      </c>
      <c r="D1766" s="5" t="s">
        <v>4271</v>
      </c>
      <c r="E1766" s="10" t="s">
        <v>345</v>
      </c>
      <c r="F1766" s="5" t="s">
        <v>4262</v>
      </c>
      <c r="G1766" s="5" t="s">
        <v>373</v>
      </c>
      <c r="H1766" s="5" t="s">
        <v>363</v>
      </c>
      <c r="I1766" s="11">
        <v>1</v>
      </c>
      <c r="J1766" s="5" t="s">
        <v>45</v>
      </c>
      <c r="K1766" s="10" t="s">
        <v>46</v>
      </c>
      <c r="L1766" s="5" t="s">
        <v>235</v>
      </c>
      <c r="M1766" s="5" t="s">
        <v>236</v>
      </c>
      <c r="N1766" s="5" t="s">
        <v>283</v>
      </c>
      <c r="O1766" s="12"/>
      <c r="P1766" s="13">
        <v>94636</v>
      </c>
      <c r="S1766" s="13">
        <v>72934</v>
      </c>
      <c r="U1766" s="13">
        <v>72934</v>
      </c>
      <c r="AC1766" s="10" t="s">
        <v>4272</v>
      </c>
      <c r="AD1766" s="5" t="s">
        <v>4273</v>
      </c>
      <c r="AE1766" s="5" t="s">
        <v>290</v>
      </c>
      <c r="AG1766" s="5" t="s">
        <v>4274</v>
      </c>
    </row>
    <row r="1767" spans="1:33" ht="10" customHeight="1" x14ac:dyDescent="0.2">
      <c r="A1767" s="5" t="s">
        <v>40</v>
      </c>
      <c r="B1767" s="5" t="s">
        <v>41</v>
      </c>
      <c r="D1767" s="5" t="s">
        <v>4275</v>
      </c>
      <c r="E1767" s="10" t="s">
        <v>345</v>
      </c>
      <c r="F1767" s="5" t="s">
        <v>4262</v>
      </c>
      <c r="G1767" s="5" t="s">
        <v>373</v>
      </c>
      <c r="H1767" s="5" t="s">
        <v>363</v>
      </c>
      <c r="I1767" s="11">
        <v>1</v>
      </c>
      <c r="J1767" s="5" t="s">
        <v>45</v>
      </c>
      <c r="K1767" s="10" t="s">
        <v>46</v>
      </c>
      <c r="L1767" s="5" t="s">
        <v>235</v>
      </c>
      <c r="M1767" s="5" t="s">
        <v>236</v>
      </c>
      <c r="N1767" s="5" t="s">
        <v>283</v>
      </c>
      <c r="O1767" s="12"/>
      <c r="P1767" s="13">
        <v>5085</v>
      </c>
      <c r="S1767" s="13">
        <v>6645</v>
      </c>
      <c r="U1767" s="13">
        <v>6645</v>
      </c>
      <c r="AC1767" s="10" t="s">
        <v>4276</v>
      </c>
      <c r="AD1767" s="5" t="s">
        <v>4273</v>
      </c>
      <c r="AE1767" s="5" t="s">
        <v>290</v>
      </c>
      <c r="AG1767" s="5" t="s">
        <v>4277</v>
      </c>
    </row>
    <row r="1768" spans="1:33" ht="10" customHeight="1" x14ac:dyDescent="0.2">
      <c r="A1768" s="5" t="s">
        <v>40</v>
      </c>
      <c r="B1768" s="5" t="s">
        <v>41</v>
      </c>
      <c r="D1768" s="5" t="s">
        <v>4278</v>
      </c>
      <c r="E1768" s="10" t="s">
        <v>345</v>
      </c>
      <c r="F1768" s="5" t="s">
        <v>4262</v>
      </c>
      <c r="G1768" s="5" t="s">
        <v>373</v>
      </c>
      <c r="H1768" s="5" t="s">
        <v>363</v>
      </c>
      <c r="I1768" s="11">
        <v>1</v>
      </c>
      <c r="J1768" s="5" t="s">
        <v>45</v>
      </c>
      <c r="K1768" s="10" t="s">
        <v>46</v>
      </c>
      <c r="L1768" s="5" t="s">
        <v>235</v>
      </c>
      <c r="M1768" s="5" t="s">
        <v>236</v>
      </c>
      <c r="N1768" s="5" t="s">
        <v>283</v>
      </c>
      <c r="O1768" s="12"/>
      <c r="P1768" s="13">
        <v>1819</v>
      </c>
      <c r="S1768" s="13">
        <v>1855</v>
      </c>
      <c r="U1768" s="13">
        <v>1855</v>
      </c>
      <c r="AC1768" s="10" t="s">
        <v>4279</v>
      </c>
      <c r="AD1768" s="5" t="s">
        <v>4273</v>
      </c>
      <c r="AE1768" s="5" t="s">
        <v>290</v>
      </c>
      <c r="AG1768" s="5" t="s">
        <v>3813</v>
      </c>
    </row>
    <row r="1769" spans="1:33" ht="10" customHeight="1" x14ac:dyDescent="0.2">
      <c r="A1769" s="5" t="s">
        <v>40</v>
      </c>
      <c r="B1769" s="5" t="s">
        <v>41</v>
      </c>
      <c r="D1769" s="5" t="s">
        <v>4280</v>
      </c>
      <c r="E1769" s="10" t="s">
        <v>345</v>
      </c>
      <c r="F1769" s="5" t="s">
        <v>4281</v>
      </c>
      <c r="G1769" s="5" t="s">
        <v>346</v>
      </c>
      <c r="H1769" s="5" t="s">
        <v>175</v>
      </c>
      <c r="I1769" s="11">
        <v>1</v>
      </c>
      <c r="J1769" s="5" t="s">
        <v>45</v>
      </c>
      <c r="K1769" s="12"/>
      <c r="O1769" s="12"/>
      <c r="P1769" s="13">
        <v>39269</v>
      </c>
      <c r="S1769" s="13">
        <v>31002</v>
      </c>
      <c r="U1769" s="13">
        <v>31002</v>
      </c>
      <c r="AC1769" s="10" t="s">
        <v>4282</v>
      </c>
      <c r="AD1769" s="5" t="s">
        <v>4283</v>
      </c>
      <c r="AE1769" s="5" t="s">
        <v>294</v>
      </c>
      <c r="AG1769" s="5" t="s">
        <v>175</v>
      </c>
    </row>
    <row r="1770" spans="1:33" ht="10" customHeight="1" x14ac:dyDescent="0.2">
      <c r="A1770" s="5" t="s">
        <v>40</v>
      </c>
      <c r="B1770" s="5" t="s">
        <v>41</v>
      </c>
      <c r="D1770" s="5" t="s">
        <v>4284</v>
      </c>
      <c r="E1770" s="10" t="s">
        <v>345</v>
      </c>
      <c r="F1770" s="5" t="s">
        <v>4281</v>
      </c>
      <c r="G1770" s="5" t="s">
        <v>346</v>
      </c>
      <c r="H1770" s="5" t="s">
        <v>354</v>
      </c>
      <c r="I1770" s="11">
        <v>1</v>
      </c>
      <c r="J1770" s="5" t="s">
        <v>45</v>
      </c>
      <c r="K1770" s="12"/>
      <c r="O1770" s="12"/>
      <c r="P1770" s="13">
        <v>943</v>
      </c>
      <c r="S1770" s="13">
        <v>600</v>
      </c>
      <c r="U1770" s="13">
        <v>600</v>
      </c>
      <c r="AC1770" s="10" t="s">
        <v>4285</v>
      </c>
      <c r="AD1770" s="5" t="s">
        <v>4283</v>
      </c>
      <c r="AE1770" s="5" t="s">
        <v>294</v>
      </c>
      <c r="AG1770" s="5" t="s">
        <v>354</v>
      </c>
    </row>
    <row r="1771" spans="1:33" ht="10" customHeight="1" x14ac:dyDescent="0.2">
      <c r="A1771" s="5" t="s">
        <v>40</v>
      </c>
      <c r="B1771" s="5" t="s">
        <v>41</v>
      </c>
      <c r="D1771" s="5" t="s">
        <v>4286</v>
      </c>
      <c r="E1771" s="10" t="s">
        <v>345</v>
      </c>
      <c r="F1771" s="5" t="s">
        <v>4281</v>
      </c>
      <c r="G1771" s="5" t="s">
        <v>346</v>
      </c>
      <c r="I1771" s="11">
        <v>1</v>
      </c>
      <c r="J1771" s="5" t="s">
        <v>45</v>
      </c>
      <c r="K1771" s="12"/>
      <c r="O1771" s="12"/>
      <c r="AC1771" s="10" t="s">
        <v>4287</v>
      </c>
      <c r="AD1771" s="5" t="s">
        <v>4288</v>
      </c>
      <c r="AE1771" s="5" t="s">
        <v>294</v>
      </c>
    </row>
    <row r="1772" spans="1:33" ht="10" customHeight="1" x14ac:dyDescent="0.2">
      <c r="A1772" s="5" t="s">
        <v>40</v>
      </c>
      <c r="B1772" s="5" t="s">
        <v>41</v>
      </c>
      <c r="D1772" s="5" t="s">
        <v>4289</v>
      </c>
      <c r="E1772" s="10" t="s">
        <v>345</v>
      </c>
      <c r="F1772" s="5" t="s">
        <v>4281</v>
      </c>
      <c r="G1772" s="5" t="s">
        <v>346</v>
      </c>
      <c r="I1772" s="11">
        <v>1</v>
      </c>
      <c r="J1772" s="5" t="s">
        <v>45</v>
      </c>
      <c r="K1772" s="12"/>
      <c r="O1772" s="12"/>
      <c r="AC1772" s="10" t="s">
        <v>4290</v>
      </c>
      <c r="AD1772" s="5" t="s">
        <v>4288</v>
      </c>
      <c r="AE1772" s="5" t="s">
        <v>294</v>
      </c>
    </row>
    <row r="1773" spans="1:33" ht="10" customHeight="1" x14ac:dyDescent="0.2">
      <c r="A1773" s="5" t="s">
        <v>40</v>
      </c>
      <c r="B1773" s="5" t="s">
        <v>41</v>
      </c>
      <c r="D1773" s="5" t="s">
        <v>4291</v>
      </c>
      <c r="E1773" s="10" t="s">
        <v>345</v>
      </c>
      <c r="F1773" s="5" t="s">
        <v>4292</v>
      </c>
      <c r="G1773" s="5" t="s">
        <v>346</v>
      </c>
      <c r="H1773" s="5" t="s">
        <v>175</v>
      </c>
      <c r="I1773" s="11">
        <v>1</v>
      </c>
      <c r="J1773" s="5" t="s">
        <v>45</v>
      </c>
      <c r="K1773" s="10" t="s">
        <v>46</v>
      </c>
      <c r="L1773" s="5" t="s">
        <v>300</v>
      </c>
      <c r="M1773" s="5" t="s">
        <v>301</v>
      </c>
      <c r="N1773" s="5" t="s">
        <v>302</v>
      </c>
      <c r="O1773" s="12"/>
      <c r="P1773" s="13">
        <v>69607</v>
      </c>
      <c r="S1773" s="13">
        <v>73083</v>
      </c>
      <c r="U1773" s="13">
        <v>73083</v>
      </c>
      <c r="AC1773" s="10" t="s">
        <v>4293</v>
      </c>
      <c r="AD1773" s="5" t="s">
        <v>4294</v>
      </c>
      <c r="AE1773" s="5" t="s">
        <v>298</v>
      </c>
      <c r="AG1773" s="5" t="s">
        <v>175</v>
      </c>
    </row>
    <row r="1774" spans="1:33" ht="10" customHeight="1" x14ac:dyDescent="0.2">
      <c r="A1774" s="5" t="s">
        <v>40</v>
      </c>
      <c r="B1774" s="5" t="s">
        <v>41</v>
      </c>
      <c r="D1774" s="5" t="s">
        <v>4295</v>
      </c>
      <c r="E1774" s="10" t="s">
        <v>345</v>
      </c>
      <c r="F1774" s="5" t="s">
        <v>4292</v>
      </c>
      <c r="G1774" s="5" t="s">
        <v>346</v>
      </c>
      <c r="H1774" s="5" t="s">
        <v>354</v>
      </c>
      <c r="I1774" s="11">
        <v>1</v>
      </c>
      <c r="J1774" s="5" t="s">
        <v>45</v>
      </c>
      <c r="K1774" s="10" t="s">
        <v>46</v>
      </c>
      <c r="L1774" s="5" t="s">
        <v>300</v>
      </c>
      <c r="M1774" s="5" t="s">
        <v>301</v>
      </c>
      <c r="N1774" s="5" t="s">
        <v>302</v>
      </c>
      <c r="O1774" s="12"/>
      <c r="P1774" s="13">
        <v>1593</v>
      </c>
      <c r="S1774" s="13">
        <v>2285</v>
      </c>
      <c r="U1774" s="13">
        <v>2285</v>
      </c>
      <c r="AC1774" s="10" t="s">
        <v>4296</v>
      </c>
      <c r="AD1774" s="5" t="s">
        <v>4294</v>
      </c>
      <c r="AE1774" s="5" t="s">
        <v>298</v>
      </c>
      <c r="AG1774" s="5" t="s">
        <v>354</v>
      </c>
    </row>
    <row r="1775" spans="1:33" ht="10" customHeight="1" x14ac:dyDescent="0.2">
      <c r="A1775" s="5" t="s">
        <v>40</v>
      </c>
      <c r="B1775" s="5" t="s">
        <v>41</v>
      </c>
      <c r="D1775" s="5" t="s">
        <v>4297</v>
      </c>
      <c r="E1775" s="10" t="s">
        <v>345</v>
      </c>
      <c r="F1775" s="5" t="s">
        <v>4292</v>
      </c>
      <c r="G1775" s="5" t="s">
        <v>346</v>
      </c>
      <c r="H1775" s="5" t="s">
        <v>363</v>
      </c>
      <c r="I1775" s="11">
        <v>1</v>
      </c>
      <c r="J1775" s="5" t="s">
        <v>45</v>
      </c>
      <c r="K1775" s="10" t="s">
        <v>46</v>
      </c>
      <c r="L1775" s="5" t="s">
        <v>300</v>
      </c>
      <c r="M1775" s="5" t="s">
        <v>301</v>
      </c>
      <c r="N1775" s="5" t="s">
        <v>302</v>
      </c>
      <c r="O1775" s="12"/>
      <c r="P1775" s="13">
        <v>800</v>
      </c>
      <c r="S1775" s="13">
        <v>800</v>
      </c>
      <c r="U1775" s="13">
        <v>800</v>
      </c>
      <c r="AC1775" s="10" t="s">
        <v>4298</v>
      </c>
      <c r="AD1775" s="5" t="s">
        <v>4294</v>
      </c>
      <c r="AE1775" s="5" t="s">
        <v>298</v>
      </c>
      <c r="AG1775" s="5" t="s">
        <v>4199</v>
      </c>
    </row>
    <row r="1776" spans="1:33" ht="10" customHeight="1" x14ac:dyDescent="0.2">
      <c r="A1776" s="5" t="s">
        <v>40</v>
      </c>
      <c r="B1776" s="5" t="s">
        <v>41</v>
      </c>
      <c r="D1776" s="5" t="s">
        <v>4299</v>
      </c>
      <c r="E1776" s="10" t="s">
        <v>345</v>
      </c>
      <c r="F1776" s="5" t="s">
        <v>4300</v>
      </c>
      <c r="G1776" s="5" t="s">
        <v>346</v>
      </c>
      <c r="H1776" s="5" t="s">
        <v>175</v>
      </c>
      <c r="I1776" s="11">
        <v>5</v>
      </c>
      <c r="J1776" s="5" t="s">
        <v>286</v>
      </c>
      <c r="K1776" s="10" t="s">
        <v>46</v>
      </c>
      <c r="L1776" s="5" t="s">
        <v>235</v>
      </c>
      <c r="M1776" s="5" t="s">
        <v>236</v>
      </c>
      <c r="N1776" s="5" t="s">
        <v>283</v>
      </c>
      <c r="O1776" s="12"/>
      <c r="P1776" s="13">
        <v>8502</v>
      </c>
      <c r="S1776" s="13">
        <v>25269</v>
      </c>
      <c r="U1776" s="13">
        <v>25269</v>
      </c>
      <c r="AC1776" s="10" t="s">
        <v>4301</v>
      </c>
      <c r="AD1776" s="5" t="s">
        <v>4302</v>
      </c>
      <c r="AE1776" s="5" t="s">
        <v>305</v>
      </c>
      <c r="AG1776" s="5" t="s">
        <v>175</v>
      </c>
    </row>
    <row r="1777" spans="1:33" ht="10" customHeight="1" x14ac:dyDescent="0.2">
      <c r="A1777" s="5" t="s">
        <v>40</v>
      </c>
      <c r="B1777" s="5" t="s">
        <v>41</v>
      </c>
      <c r="D1777" s="5" t="s">
        <v>4303</v>
      </c>
      <c r="E1777" s="10" t="s">
        <v>345</v>
      </c>
      <c r="F1777" s="5" t="s">
        <v>4300</v>
      </c>
      <c r="G1777" s="5" t="s">
        <v>346</v>
      </c>
      <c r="H1777" s="5" t="s">
        <v>357</v>
      </c>
      <c r="I1777" s="11">
        <v>5</v>
      </c>
      <c r="J1777" s="5" t="s">
        <v>286</v>
      </c>
      <c r="K1777" s="10" t="s">
        <v>46</v>
      </c>
      <c r="L1777" s="5" t="s">
        <v>235</v>
      </c>
      <c r="M1777" s="5" t="s">
        <v>236</v>
      </c>
      <c r="N1777" s="5" t="s">
        <v>283</v>
      </c>
      <c r="O1777" s="12"/>
      <c r="P1777" s="13">
        <v>651</v>
      </c>
      <c r="S1777" s="13">
        <v>4764</v>
      </c>
      <c r="U1777" s="13">
        <v>4764</v>
      </c>
      <c r="AC1777" s="10" t="s">
        <v>4304</v>
      </c>
      <c r="AD1777" s="5" t="s">
        <v>4302</v>
      </c>
      <c r="AE1777" s="5" t="s">
        <v>305</v>
      </c>
      <c r="AG1777" s="5" t="s">
        <v>357</v>
      </c>
    </row>
    <row r="1778" spans="1:33" ht="10" customHeight="1" x14ac:dyDescent="0.2">
      <c r="A1778" s="5" t="s">
        <v>40</v>
      </c>
      <c r="B1778" s="5" t="s">
        <v>41</v>
      </c>
      <c r="D1778" s="5" t="s">
        <v>4305</v>
      </c>
      <c r="E1778" s="10" t="s">
        <v>345</v>
      </c>
      <c r="F1778" s="5" t="s">
        <v>4300</v>
      </c>
      <c r="G1778" s="5" t="s">
        <v>346</v>
      </c>
      <c r="H1778" s="5" t="s">
        <v>363</v>
      </c>
      <c r="I1778" s="11">
        <v>5</v>
      </c>
      <c r="J1778" s="5" t="s">
        <v>286</v>
      </c>
      <c r="K1778" s="10" t="s">
        <v>46</v>
      </c>
      <c r="L1778" s="5" t="s">
        <v>235</v>
      </c>
      <c r="M1778" s="5" t="s">
        <v>236</v>
      </c>
      <c r="N1778" s="5" t="s">
        <v>283</v>
      </c>
      <c r="O1778" s="12"/>
      <c r="P1778" s="13">
        <v>5483</v>
      </c>
      <c r="S1778" s="13">
        <v>14124</v>
      </c>
      <c r="U1778" s="13">
        <v>14124</v>
      </c>
      <c r="AC1778" s="10" t="s">
        <v>4306</v>
      </c>
      <c r="AD1778" s="5" t="s">
        <v>4302</v>
      </c>
      <c r="AE1778" s="5" t="s">
        <v>305</v>
      </c>
      <c r="AG1778" s="5" t="s">
        <v>4199</v>
      </c>
    </row>
    <row r="1779" spans="1:33" ht="10" customHeight="1" x14ac:dyDescent="0.2">
      <c r="A1779" s="5" t="s">
        <v>40</v>
      </c>
      <c r="B1779" s="5" t="s">
        <v>41</v>
      </c>
      <c r="D1779" s="5" t="s">
        <v>4307</v>
      </c>
      <c r="E1779" s="10" t="s">
        <v>345</v>
      </c>
      <c r="F1779" s="5" t="s">
        <v>4300</v>
      </c>
      <c r="G1779" s="5" t="s">
        <v>346</v>
      </c>
      <c r="H1779" s="5" t="s">
        <v>369</v>
      </c>
      <c r="I1779" s="11">
        <v>5</v>
      </c>
      <c r="J1779" s="5" t="s">
        <v>286</v>
      </c>
      <c r="K1779" s="10" t="s">
        <v>46</v>
      </c>
      <c r="L1779" s="5" t="s">
        <v>235</v>
      </c>
      <c r="M1779" s="5" t="s">
        <v>236</v>
      </c>
      <c r="N1779" s="5" t="s">
        <v>283</v>
      </c>
      <c r="O1779" s="12"/>
      <c r="P1779" s="13">
        <v>650</v>
      </c>
      <c r="S1779" s="13">
        <v>930</v>
      </c>
      <c r="U1779" s="13">
        <v>930</v>
      </c>
      <c r="AC1779" s="10" t="s">
        <v>4308</v>
      </c>
      <c r="AD1779" s="5" t="s">
        <v>4302</v>
      </c>
      <c r="AE1779" s="5" t="s">
        <v>305</v>
      </c>
      <c r="AG1779" s="5" t="s">
        <v>371</v>
      </c>
    </row>
    <row r="1780" spans="1:33" ht="10" customHeight="1" x14ac:dyDescent="0.2">
      <c r="A1780" s="5" t="s">
        <v>40</v>
      </c>
      <c r="B1780" s="5" t="s">
        <v>41</v>
      </c>
      <c r="D1780" s="5" t="s">
        <v>4309</v>
      </c>
      <c r="E1780" s="10" t="s">
        <v>345</v>
      </c>
      <c r="F1780" s="5" t="s">
        <v>4310</v>
      </c>
      <c r="G1780" s="5" t="s">
        <v>346</v>
      </c>
      <c r="H1780" s="5" t="s">
        <v>175</v>
      </c>
      <c r="I1780" s="11">
        <v>1</v>
      </c>
      <c r="J1780" s="5" t="s">
        <v>45</v>
      </c>
      <c r="K1780" s="12"/>
      <c r="O1780" s="12"/>
      <c r="P1780" s="13">
        <v>204939</v>
      </c>
      <c r="S1780" s="13">
        <v>45000</v>
      </c>
      <c r="U1780" s="13">
        <v>45000</v>
      </c>
      <c r="AC1780" s="10" t="s">
        <v>4311</v>
      </c>
      <c r="AD1780" s="5" t="s">
        <v>4312</v>
      </c>
      <c r="AE1780" s="5" t="s">
        <v>309</v>
      </c>
    </row>
    <row r="1781" spans="1:33" ht="10" customHeight="1" x14ac:dyDescent="0.2">
      <c r="A1781" s="5" t="s">
        <v>4313</v>
      </c>
      <c r="B1781" s="5" t="s">
        <v>4314</v>
      </c>
      <c r="D1781" s="5" t="s">
        <v>4315</v>
      </c>
      <c r="E1781" s="10" t="s">
        <v>44</v>
      </c>
      <c r="I1781" s="11">
        <v>7</v>
      </c>
      <c r="K1781" s="12"/>
      <c r="O1781" s="12"/>
      <c r="P1781" s="13">
        <v>4419500</v>
      </c>
      <c r="Q1781" s="13">
        <v>4304300</v>
      </c>
      <c r="S1781" s="13">
        <v>2808100</v>
      </c>
      <c r="U1781" s="13">
        <v>2808100</v>
      </c>
      <c r="AC1781" s="10" t="s">
        <v>4316</v>
      </c>
      <c r="AD1781" s="5" t="s">
        <v>2736</v>
      </c>
      <c r="AE1781" s="5" t="s">
        <v>4317</v>
      </c>
    </row>
    <row r="1782" spans="1:33" ht="10" customHeight="1" x14ac:dyDescent="0.2">
      <c r="A1782" s="5" t="s">
        <v>4313</v>
      </c>
      <c r="B1782" s="5" t="s">
        <v>4314</v>
      </c>
      <c r="D1782" s="5" t="s">
        <v>4318</v>
      </c>
      <c r="E1782" s="10" t="s">
        <v>345</v>
      </c>
      <c r="F1782" s="5" t="s">
        <v>4315</v>
      </c>
      <c r="I1782" s="11">
        <v>7</v>
      </c>
      <c r="K1782" s="12"/>
      <c r="O1782" s="12"/>
      <c r="P1782" s="13">
        <v>4310200</v>
      </c>
      <c r="Q1782" s="13">
        <v>4304300</v>
      </c>
      <c r="S1782" s="13">
        <v>2808100</v>
      </c>
      <c r="U1782" s="13">
        <v>2808100</v>
      </c>
      <c r="AC1782" s="10" t="s">
        <v>4319</v>
      </c>
      <c r="AD1782" s="5" t="s">
        <v>2749</v>
      </c>
      <c r="AE1782" s="5" t="s">
        <v>4317</v>
      </c>
    </row>
    <row r="1783" spans="1:33" ht="10" customHeight="1" x14ac:dyDescent="0.2">
      <c r="A1783" s="5" t="s">
        <v>4313</v>
      </c>
      <c r="B1783" s="5" t="s">
        <v>4314</v>
      </c>
      <c r="D1783" s="5" t="s">
        <v>4320</v>
      </c>
      <c r="E1783" s="10" t="s">
        <v>345</v>
      </c>
      <c r="F1783" s="5" t="s">
        <v>4315</v>
      </c>
      <c r="I1783" s="11">
        <v>7</v>
      </c>
      <c r="K1783" s="12"/>
      <c r="O1783" s="12"/>
      <c r="P1783" s="13">
        <v>4367700</v>
      </c>
      <c r="Q1783" s="13">
        <v>4493900</v>
      </c>
      <c r="S1783" s="13">
        <v>3070000</v>
      </c>
      <c r="U1783" s="13">
        <v>3070000</v>
      </c>
      <c r="AC1783" s="10" t="s">
        <v>4321</v>
      </c>
      <c r="AD1783" s="5" t="s">
        <v>2749</v>
      </c>
      <c r="AE1783" s="5" t="s">
        <v>4317</v>
      </c>
    </row>
    <row r="1784" spans="1:33" ht="10" customHeight="1" x14ac:dyDescent="0.2">
      <c r="A1784" s="5" t="s">
        <v>4313</v>
      </c>
      <c r="B1784" s="5" t="s">
        <v>4314</v>
      </c>
      <c r="D1784" s="5" t="s">
        <v>4322</v>
      </c>
      <c r="E1784" s="10" t="s">
        <v>53</v>
      </c>
      <c r="F1784" s="5" t="s">
        <v>4323</v>
      </c>
      <c r="I1784" s="11">
        <v>2</v>
      </c>
      <c r="J1784" s="5" t="s">
        <v>4324</v>
      </c>
      <c r="K1784" s="10" t="s">
        <v>46</v>
      </c>
      <c r="L1784" s="5" t="s">
        <v>47</v>
      </c>
      <c r="M1784" s="5" t="s">
        <v>198</v>
      </c>
      <c r="O1784" s="12"/>
      <c r="S1784" s="13">
        <v>-969320</v>
      </c>
      <c r="U1784" s="13">
        <v>-969320</v>
      </c>
      <c r="AC1784" s="10" t="s">
        <v>4325</v>
      </c>
      <c r="AD1784" s="5" t="s">
        <v>2583</v>
      </c>
      <c r="AE1784" s="5" t="s">
        <v>4317</v>
      </c>
      <c r="AF1784" s="5" t="s">
        <v>4326</v>
      </c>
      <c r="AG1784" s="5" t="s">
        <v>4326</v>
      </c>
    </row>
    <row r="1785" spans="1:33" ht="10" customHeight="1" x14ac:dyDescent="0.2">
      <c r="A1785" s="5" t="s">
        <v>4313</v>
      </c>
      <c r="B1785" s="5" t="s">
        <v>4314</v>
      </c>
      <c r="D1785" s="5" t="s">
        <v>4327</v>
      </c>
      <c r="E1785" s="10" t="s">
        <v>53</v>
      </c>
      <c r="F1785" s="5" t="s">
        <v>4323</v>
      </c>
      <c r="I1785" s="11">
        <v>2</v>
      </c>
      <c r="J1785" s="5" t="s">
        <v>4324</v>
      </c>
      <c r="K1785" s="12"/>
      <c r="O1785" s="12"/>
      <c r="S1785" s="13">
        <v>-95820</v>
      </c>
      <c r="U1785" s="13">
        <v>-95820</v>
      </c>
      <c r="AC1785" s="10" t="s">
        <v>4328</v>
      </c>
      <c r="AD1785" s="5" t="s">
        <v>2583</v>
      </c>
      <c r="AE1785" s="5" t="s">
        <v>4317</v>
      </c>
      <c r="AF1785" s="5" t="s">
        <v>4329</v>
      </c>
      <c r="AG1785" s="5" t="s">
        <v>4329</v>
      </c>
    </row>
    <row r="1786" spans="1:33" ht="10" customHeight="1" x14ac:dyDescent="0.2">
      <c r="A1786" s="5" t="s">
        <v>4313</v>
      </c>
      <c r="B1786" s="5" t="s">
        <v>4314</v>
      </c>
      <c r="D1786" s="5" t="s">
        <v>4330</v>
      </c>
      <c r="E1786" s="10" t="s">
        <v>53</v>
      </c>
      <c r="F1786" s="5" t="s">
        <v>4323</v>
      </c>
      <c r="I1786" s="11">
        <v>2</v>
      </c>
      <c r="J1786" s="5" t="s">
        <v>4324</v>
      </c>
      <c r="K1786" s="12"/>
      <c r="O1786" s="12"/>
      <c r="S1786" s="13">
        <v>-209400</v>
      </c>
      <c r="U1786" s="13">
        <v>-209400</v>
      </c>
      <c r="AC1786" s="10" t="s">
        <v>4331</v>
      </c>
      <c r="AD1786" s="5" t="s">
        <v>4332</v>
      </c>
      <c r="AE1786" s="5" t="s">
        <v>4317</v>
      </c>
      <c r="AF1786" s="5" t="s">
        <v>4333</v>
      </c>
      <c r="AG1786" s="5" t="s">
        <v>4333</v>
      </c>
    </row>
    <row r="1787" spans="1:33" ht="10" customHeight="1" x14ac:dyDescent="0.2">
      <c r="A1787" s="5" t="s">
        <v>4313</v>
      </c>
      <c r="B1787" s="5" t="s">
        <v>4314</v>
      </c>
      <c r="D1787" s="5" t="s">
        <v>4334</v>
      </c>
      <c r="E1787" s="10" t="s">
        <v>53</v>
      </c>
      <c r="F1787" s="5" t="s">
        <v>4323</v>
      </c>
      <c r="I1787" s="11">
        <v>2</v>
      </c>
      <c r="J1787" s="5" t="s">
        <v>4324</v>
      </c>
      <c r="K1787" s="12"/>
      <c r="O1787" s="12"/>
      <c r="S1787" s="13">
        <v>-125460</v>
      </c>
      <c r="U1787" s="13">
        <v>-125460</v>
      </c>
      <c r="AC1787" s="10" t="s">
        <v>4335</v>
      </c>
      <c r="AD1787" s="5" t="s">
        <v>4336</v>
      </c>
      <c r="AE1787" s="5" t="s">
        <v>4317</v>
      </c>
      <c r="AF1787" s="5" t="s">
        <v>4337</v>
      </c>
      <c r="AG1787" s="5" t="s">
        <v>4337</v>
      </c>
    </row>
    <row r="1788" spans="1:33" ht="10" customHeight="1" x14ac:dyDescent="0.2">
      <c r="A1788" s="5" t="s">
        <v>4313</v>
      </c>
      <c r="B1788" s="5" t="s">
        <v>4314</v>
      </c>
      <c r="D1788" s="5" t="s">
        <v>4323</v>
      </c>
      <c r="E1788" s="10" t="s">
        <v>44</v>
      </c>
      <c r="I1788" s="11">
        <v>2</v>
      </c>
      <c r="J1788" s="5" t="s">
        <v>4324</v>
      </c>
      <c r="K1788" s="12"/>
      <c r="O1788" s="12"/>
      <c r="S1788" s="13">
        <v>-1494060</v>
      </c>
      <c r="U1788" s="13">
        <v>-1494060</v>
      </c>
      <c r="AC1788" s="10" t="s">
        <v>4338</v>
      </c>
      <c r="AD1788" s="5" t="s">
        <v>2680</v>
      </c>
      <c r="AE1788" s="5" t="s">
        <v>4317</v>
      </c>
    </row>
    <row r="1789" spans="1:33" ht="10" customHeight="1" x14ac:dyDescent="0.2">
      <c r="A1789" s="5" t="s">
        <v>4313</v>
      </c>
      <c r="B1789" s="5" t="s">
        <v>4314</v>
      </c>
      <c r="D1789" s="5" t="s">
        <v>4339</v>
      </c>
      <c r="E1789" s="10" t="s">
        <v>184</v>
      </c>
      <c r="I1789" s="11">
        <v>7</v>
      </c>
      <c r="K1789" s="10" t="s">
        <v>46</v>
      </c>
      <c r="L1789" s="5" t="s">
        <v>47</v>
      </c>
      <c r="M1789" s="5" t="s">
        <v>198</v>
      </c>
      <c r="O1789" s="12"/>
      <c r="P1789" s="13">
        <v>176.25899999999999</v>
      </c>
      <c r="Q1789" s="13">
        <v>207.21799999999999</v>
      </c>
      <c r="S1789" s="13">
        <v>112.76</v>
      </c>
      <c r="U1789" s="13">
        <v>112.76</v>
      </c>
      <c r="AC1789" s="10" t="s">
        <v>4340</v>
      </c>
      <c r="AD1789" s="5" t="s">
        <v>2598</v>
      </c>
      <c r="AE1789" s="5" t="s">
        <v>4317</v>
      </c>
    </row>
    <row r="1790" spans="1:33" ht="10" customHeight="1" x14ac:dyDescent="0.2">
      <c r="A1790" s="5" t="s">
        <v>4313</v>
      </c>
      <c r="B1790" s="5" t="s">
        <v>4314</v>
      </c>
      <c r="D1790" s="5" t="s">
        <v>4341</v>
      </c>
      <c r="E1790" s="10" t="s">
        <v>184</v>
      </c>
      <c r="I1790" s="11">
        <v>7</v>
      </c>
      <c r="K1790" s="12"/>
      <c r="O1790" s="12"/>
      <c r="P1790" s="13">
        <v>70.003</v>
      </c>
      <c r="Q1790" s="13">
        <v>61.195999999999998</v>
      </c>
      <c r="S1790" s="13">
        <v>45.331000000000003</v>
      </c>
      <c r="U1790" s="13">
        <v>45.331000000000003</v>
      </c>
      <c r="AC1790" s="10" t="s">
        <v>4340</v>
      </c>
      <c r="AD1790" s="5" t="s">
        <v>2598</v>
      </c>
      <c r="AE1790" s="5" t="s">
        <v>4317</v>
      </c>
    </row>
    <row r="1791" spans="1:33" ht="10" customHeight="1" x14ac:dyDescent="0.2">
      <c r="A1791" s="5" t="s">
        <v>4313</v>
      </c>
      <c r="B1791" s="5" t="s">
        <v>4314</v>
      </c>
      <c r="D1791" s="5" t="s">
        <v>4342</v>
      </c>
      <c r="E1791" s="10" t="s">
        <v>184</v>
      </c>
      <c r="I1791" s="11">
        <v>7</v>
      </c>
      <c r="K1791" s="12"/>
      <c r="O1791" s="12"/>
      <c r="P1791" s="13">
        <v>83.105000000000004</v>
      </c>
      <c r="Q1791" s="13">
        <v>76.16</v>
      </c>
      <c r="S1791" s="13">
        <v>64.540000000000006</v>
      </c>
      <c r="U1791" s="13">
        <v>64.540000000000006</v>
      </c>
      <c r="AC1791" s="10" t="s">
        <v>4340</v>
      </c>
      <c r="AD1791" s="5" t="s">
        <v>2598</v>
      </c>
      <c r="AE1791" s="5" t="s">
        <v>4317</v>
      </c>
    </row>
    <row r="1792" spans="1:33" ht="10" customHeight="1" x14ac:dyDescent="0.2">
      <c r="A1792" s="5" t="s">
        <v>4313</v>
      </c>
      <c r="B1792" s="5" t="s">
        <v>4314</v>
      </c>
      <c r="D1792" s="5" t="s">
        <v>4343</v>
      </c>
      <c r="E1792" s="10" t="s">
        <v>184</v>
      </c>
      <c r="I1792" s="11">
        <v>7</v>
      </c>
      <c r="K1792" s="12"/>
      <c r="O1792" s="12"/>
      <c r="P1792" s="13">
        <v>79.119</v>
      </c>
      <c r="Q1792" s="13">
        <v>83.358000000000004</v>
      </c>
      <c r="S1792" s="13">
        <v>87.394000000000005</v>
      </c>
      <c r="U1792" s="13">
        <v>87.394000000000005</v>
      </c>
      <c r="AC1792" s="10" t="s">
        <v>4340</v>
      </c>
      <c r="AD1792" s="5" t="s">
        <v>2598</v>
      </c>
      <c r="AE1792" s="5" t="s">
        <v>4317</v>
      </c>
    </row>
    <row r="1793" spans="1:33" ht="10" customHeight="1" x14ac:dyDescent="0.2">
      <c r="A1793" s="5" t="s">
        <v>4313</v>
      </c>
      <c r="B1793" s="5" t="s">
        <v>4314</v>
      </c>
      <c r="D1793" s="5" t="s">
        <v>4344</v>
      </c>
      <c r="E1793" s="10" t="s">
        <v>184</v>
      </c>
      <c r="I1793" s="11">
        <v>7</v>
      </c>
      <c r="K1793" s="10" t="s">
        <v>46</v>
      </c>
      <c r="L1793" s="5" t="s">
        <v>47</v>
      </c>
      <c r="M1793" s="5" t="s">
        <v>198</v>
      </c>
      <c r="O1793" s="12"/>
      <c r="P1793" s="13">
        <v>11637</v>
      </c>
      <c r="Q1793" s="13">
        <v>12245</v>
      </c>
      <c r="S1793" s="13">
        <v>12471</v>
      </c>
      <c r="U1793" s="13">
        <v>12471</v>
      </c>
      <c r="AC1793" s="10" t="s">
        <v>4345</v>
      </c>
      <c r="AD1793" s="5" t="s">
        <v>2650</v>
      </c>
      <c r="AE1793" s="5" t="s">
        <v>4317</v>
      </c>
    </row>
    <row r="1794" spans="1:33" ht="10" customHeight="1" x14ac:dyDescent="0.2">
      <c r="A1794" s="5" t="s">
        <v>4313</v>
      </c>
      <c r="B1794" s="5" t="s">
        <v>4314</v>
      </c>
      <c r="D1794" s="5" t="s">
        <v>4346</v>
      </c>
      <c r="E1794" s="10" t="s">
        <v>184</v>
      </c>
      <c r="I1794" s="11">
        <v>7</v>
      </c>
      <c r="K1794" s="12"/>
      <c r="O1794" s="12"/>
      <c r="P1794" s="13">
        <v>6954</v>
      </c>
      <c r="Q1794" s="13">
        <v>6935</v>
      </c>
      <c r="S1794" s="13">
        <v>6692</v>
      </c>
      <c r="U1794" s="13">
        <v>6692</v>
      </c>
      <c r="AC1794" s="10" t="s">
        <v>4345</v>
      </c>
      <c r="AD1794" s="5" t="s">
        <v>2650</v>
      </c>
      <c r="AE1794" s="5" t="s">
        <v>4317</v>
      </c>
    </row>
    <row r="1795" spans="1:33" ht="10" customHeight="1" x14ac:dyDescent="0.2">
      <c r="A1795" s="5" t="s">
        <v>4313</v>
      </c>
      <c r="B1795" s="5" t="s">
        <v>4314</v>
      </c>
      <c r="D1795" s="5" t="s">
        <v>4347</v>
      </c>
      <c r="E1795" s="10" t="s">
        <v>184</v>
      </c>
      <c r="I1795" s="11">
        <v>7</v>
      </c>
      <c r="K1795" s="12"/>
      <c r="O1795" s="12"/>
      <c r="P1795" s="13">
        <v>5964</v>
      </c>
      <c r="Q1795" s="13">
        <v>6205</v>
      </c>
      <c r="S1795" s="13">
        <v>5232</v>
      </c>
      <c r="U1795" s="13">
        <v>5232</v>
      </c>
      <c r="AC1795" s="10" t="s">
        <v>4345</v>
      </c>
      <c r="AD1795" s="5" t="s">
        <v>2650</v>
      </c>
      <c r="AE1795" s="5" t="s">
        <v>4317</v>
      </c>
    </row>
    <row r="1796" spans="1:33" ht="10" customHeight="1" x14ac:dyDescent="0.2">
      <c r="A1796" s="5" t="s">
        <v>4313</v>
      </c>
      <c r="B1796" s="5" t="s">
        <v>4314</v>
      </c>
      <c r="D1796" s="5" t="s">
        <v>4348</v>
      </c>
      <c r="E1796" s="10" t="s">
        <v>184</v>
      </c>
      <c r="I1796" s="11">
        <v>7</v>
      </c>
      <c r="K1796" s="12"/>
      <c r="O1796" s="12"/>
      <c r="P1796" s="13">
        <v>8784</v>
      </c>
      <c r="Q1796" s="13">
        <v>8702</v>
      </c>
      <c r="S1796" s="13">
        <v>8557</v>
      </c>
      <c r="U1796" s="13">
        <v>8557</v>
      </c>
      <c r="AC1796" s="10" t="s">
        <v>4345</v>
      </c>
      <c r="AD1796" s="5" t="s">
        <v>2650</v>
      </c>
      <c r="AE1796" s="5" t="s">
        <v>4317</v>
      </c>
    </row>
    <row r="1797" spans="1:33" ht="10" customHeight="1" x14ac:dyDescent="0.2">
      <c r="A1797" s="5" t="s">
        <v>4313</v>
      </c>
      <c r="B1797" s="5" t="s">
        <v>4314</v>
      </c>
      <c r="D1797" s="5" t="s">
        <v>4349</v>
      </c>
      <c r="E1797" s="10" t="s">
        <v>53</v>
      </c>
      <c r="F1797" s="5" t="s">
        <v>4315</v>
      </c>
      <c r="I1797" s="11">
        <v>7</v>
      </c>
      <c r="K1797" s="12"/>
      <c r="O1797" s="12"/>
      <c r="P1797" s="13">
        <v>3935900</v>
      </c>
      <c r="Q1797" s="13">
        <v>4202300</v>
      </c>
      <c r="S1797" s="13">
        <v>2678100</v>
      </c>
      <c r="U1797" s="13">
        <v>2678100</v>
      </c>
      <c r="AC1797" s="10" t="s">
        <v>4350</v>
      </c>
      <c r="AD1797" s="5" t="s">
        <v>2736</v>
      </c>
      <c r="AE1797" s="5" t="s">
        <v>4317</v>
      </c>
      <c r="AF1797" s="5" t="s">
        <v>4351</v>
      </c>
      <c r="AG1797" s="5" t="s">
        <v>4351</v>
      </c>
    </row>
    <row r="1798" spans="1:33" ht="10" customHeight="1" x14ac:dyDescent="0.2">
      <c r="A1798" s="5" t="s">
        <v>4313</v>
      </c>
      <c r="B1798" s="5" t="s">
        <v>4314</v>
      </c>
      <c r="D1798" s="5" t="s">
        <v>4352</v>
      </c>
      <c r="E1798" s="10" t="s">
        <v>53</v>
      </c>
      <c r="F1798" s="5" t="s">
        <v>4315</v>
      </c>
      <c r="I1798" s="11">
        <v>7</v>
      </c>
      <c r="K1798" s="12"/>
      <c r="O1798" s="12"/>
      <c r="P1798" s="13">
        <v>29800</v>
      </c>
      <c r="Q1798" s="13">
        <v>31700</v>
      </c>
      <c r="S1798" s="13">
        <v>30000</v>
      </c>
      <c r="U1798" s="13">
        <v>30000</v>
      </c>
      <c r="AC1798" s="10" t="s">
        <v>4353</v>
      </c>
      <c r="AD1798" s="5" t="s">
        <v>2736</v>
      </c>
      <c r="AE1798" s="5" t="s">
        <v>4317</v>
      </c>
      <c r="AF1798" s="5" t="s">
        <v>4354</v>
      </c>
      <c r="AG1798" s="5" t="s">
        <v>4354</v>
      </c>
    </row>
    <row r="1799" spans="1:33" ht="10" customHeight="1" x14ac:dyDescent="0.2">
      <c r="A1799" s="5" t="s">
        <v>4313</v>
      </c>
      <c r="B1799" s="5" t="s">
        <v>4314</v>
      </c>
      <c r="D1799" s="5" t="s">
        <v>4355</v>
      </c>
      <c r="E1799" s="10" t="s">
        <v>53</v>
      </c>
      <c r="F1799" s="5" t="s">
        <v>4315</v>
      </c>
      <c r="I1799" s="11">
        <v>1</v>
      </c>
      <c r="J1799" s="5" t="s">
        <v>246</v>
      </c>
      <c r="K1799" s="12"/>
      <c r="O1799" s="12"/>
      <c r="P1799" s="13">
        <v>10900</v>
      </c>
      <c r="Q1799" s="13">
        <v>0</v>
      </c>
      <c r="S1799" s="13">
        <v>0</v>
      </c>
      <c r="U1799" s="13">
        <v>0</v>
      </c>
      <c r="AC1799" s="10" t="s">
        <v>4356</v>
      </c>
      <c r="AD1799" s="5" t="s">
        <v>2736</v>
      </c>
      <c r="AE1799" s="5" t="s">
        <v>4317</v>
      </c>
      <c r="AF1799" s="5" t="s">
        <v>4357</v>
      </c>
      <c r="AG1799" s="5" t="s">
        <v>4357</v>
      </c>
    </row>
    <row r="1800" spans="1:33" ht="10" customHeight="1" x14ac:dyDescent="0.2">
      <c r="A1800" s="5" t="s">
        <v>4313</v>
      </c>
      <c r="B1800" s="5" t="s">
        <v>4314</v>
      </c>
      <c r="D1800" s="5" t="s">
        <v>4358</v>
      </c>
      <c r="E1800" s="10" t="s">
        <v>53</v>
      </c>
      <c r="F1800" s="5" t="s">
        <v>4315</v>
      </c>
      <c r="I1800" s="11">
        <v>4</v>
      </c>
      <c r="K1800" s="12"/>
      <c r="O1800" s="12"/>
      <c r="P1800" s="13">
        <v>112700</v>
      </c>
      <c r="Q1800" s="13">
        <v>0</v>
      </c>
      <c r="S1800" s="13">
        <v>0</v>
      </c>
      <c r="U1800" s="13">
        <v>0</v>
      </c>
      <c r="AC1800" s="10" t="s">
        <v>4359</v>
      </c>
      <c r="AD1800" s="5" t="s">
        <v>2736</v>
      </c>
      <c r="AE1800" s="5" t="s">
        <v>4317</v>
      </c>
      <c r="AF1800" s="5" t="s">
        <v>4360</v>
      </c>
      <c r="AG1800" s="5" t="s">
        <v>4360</v>
      </c>
    </row>
    <row r="1801" spans="1:33" ht="10" customHeight="1" x14ac:dyDescent="0.2">
      <c r="A1801" s="5" t="s">
        <v>4313</v>
      </c>
      <c r="B1801" s="5" t="s">
        <v>4314</v>
      </c>
      <c r="D1801" s="5" t="s">
        <v>4361</v>
      </c>
      <c r="E1801" s="10" t="s">
        <v>53</v>
      </c>
      <c r="F1801" s="5" t="s">
        <v>4315</v>
      </c>
      <c r="I1801" s="11">
        <v>6</v>
      </c>
      <c r="K1801" s="12"/>
      <c r="O1801" s="12"/>
      <c r="P1801" s="13">
        <v>31300</v>
      </c>
      <c r="Q1801" s="13">
        <v>0</v>
      </c>
      <c r="S1801" s="13">
        <v>0</v>
      </c>
      <c r="U1801" s="13">
        <v>0</v>
      </c>
      <c r="AC1801" s="10" t="s">
        <v>4362</v>
      </c>
      <c r="AD1801" s="5" t="s">
        <v>2736</v>
      </c>
      <c r="AE1801" s="5" t="s">
        <v>4317</v>
      </c>
      <c r="AF1801" s="5" t="s">
        <v>4363</v>
      </c>
      <c r="AG1801" s="5" t="s">
        <v>4363</v>
      </c>
    </row>
    <row r="1802" spans="1:33" ht="10" customHeight="1" x14ac:dyDescent="0.2">
      <c r="A1802" s="5" t="s">
        <v>4313</v>
      </c>
      <c r="B1802" s="5" t="s">
        <v>4314</v>
      </c>
      <c r="D1802" s="5" t="s">
        <v>4364</v>
      </c>
      <c r="E1802" s="10" t="s">
        <v>53</v>
      </c>
      <c r="F1802" s="5" t="s">
        <v>4315</v>
      </c>
      <c r="I1802" s="11">
        <v>1</v>
      </c>
      <c r="J1802" s="5" t="s">
        <v>45</v>
      </c>
      <c r="K1802" s="12"/>
      <c r="O1802" s="12"/>
      <c r="P1802" s="13">
        <v>4800</v>
      </c>
      <c r="Q1802" s="13">
        <v>0</v>
      </c>
      <c r="S1802" s="13">
        <v>0</v>
      </c>
      <c r="U1802" s="13">
        <v>0</v>
      </c>
      <c r="AC1802" s="10" t="s">
        <v>4365</v>
      </c>
      <c r="AD1802" s="5" t="s">
        <v>2736</v>
      </c>
      <c r="AE1802" s="5" t="s">
        <v>4317</v>
      </c>
      <c r="AF1802" s="5" t="s">
        <v>4366</v>
      </c>
      <c r="AG1802" s="5" t="s">
        <v>4366</v>
      </c>
    </row>
    <row r="1803" spans="1:33" ht="10" customHeight="1" x14ac:dyDescent="0.2">
      <c r="A1803" s="5" t="s">
        <v>4313</v>
      </c>
      <c r="B1803" s="5" t="s">
        <v>4314</v>
      </c>
      <c r="D1803" s="5" t="s">
        <v>4367</v>
      </c>
      <c r="E1803" s="10" t="s">
        <v>53</v>
      </c>
      <c r="F1803" s="5" t="s">
        <v>4315</v>
      </c>
      <c r="I1803" s="11">
        <v>7</v>
      </c>
      <c r="K1803" s="12"/>
      <c r="O1803" s="12"/>
      <c r="P1803" s="13">
        <v>45900</v>
      </c>
      <c r="Q1803" s="13">
        <v>33900</v>
      </c>
      <c r="S1803" s="13">
        <v>43200</v>
      </c>
      <c r="U1803" s="13">
        <v>43200</v>
      </c>
      <c r="AC1803" s="10" t="s">
        <v>4368</v>
      </c>
      <c r="AD1803" s="5" t="s">
        <v>2736</v>
      </c>
      <c r="AE1803" s="5" t="s">
        <v>4317</v>
      </c>
      <c r="AF1803" s="5" t="s">
        <v>4369</v>
      </c>
      <c r="AG1803" s="5" t="s">
        <v>4369</v>
      </c>
    </row>
    <row r="1804" spans="1:33" ht="10" customHeight="1" x14ac:dyDescent="0.2">
      <c r="A1804" s="5" t="s">
        <v>4313</v>
      </c>
      <c r="B1804" s="5" t="s">
        <v>4314</v>
      </c>
      <c r="D1804" s="5" t="s">
        <v>4370</v>
      </c>
      <c r="E1804" s="10" t="s">
        <v>53</v>
      </c>
      <c r="F1804" s="5" t="s">
        <v>4315</v>
      </c>
      <c r="I1804" s="11">
        <v>7</v>
      </c>
      <c r="K1804" s="12"/>
      <c r="O1804" s="12"/>
      <c r="P1804" s="13">
        <v>90100</v>
      </c>
      <c r="Q1804" s="13">
        <v>18800</v>
      </c>
      <c r="S1804" s="13">
        <v>19100</v>
      </c>
      <c r="U1804" s="13">
        <v>19100</v>
      </c>
      <c r="AC1804" s="10" t="s">
        <v>4371</v>
      </c>
      <c r="AD1804" s="5" t="s">
        <v>2744</v>
      </c>
      <c r="AE1804" s="5" t="s">
        <v>4317</v>
      </c>
      <c r="AF1804" s="5" t="s">
        <v>4372</v>
      </c>
      <c r="AG1804" s="5" t="s">
        <v>4372</v>
      </c>
    </row>
    <row r="1805" spans="1:33" ht="10" customHeight="1" x14ac:dyDescent="0.2">
      <c r="A1805" s="5" t="s">
        <v>4313</v>
      </c>
      <c r="B1805" s="5" t="s">
        <v>4314</v>
      </c>
      <c r="D1805" s="5" t="s">
        <v>4373</v>
      </c>
      <c r="E1805" s="10" t="s">
        <v>53</v>
      </c>
      <c r="F1805" s="5" t="s">
        <v>4315</v>
      </c>
      <c r="I1805" s="11">
        <v>6</v>
      </c>
      <c r="K1805" s="12"/>
      <c r="O1805" s="12"/>
      <c r="P1805" s="13">
        <v>125400</v>
      </c>
      <c r="Q1805" s="13">
        <v>17500</v>
      </c>
      <c r="S1805" s="13">
        <v>37800</v>
      </c>
      <c r="U1805" s="13">
        <v>37800</v>
      </c>
      <c r="AC1805" s="10" t="s">
        <v>4374</v>
      </c>
      <c r="AD1805" s="5" t="s">
        <v>2744</v>
      </c>
      <c r="AE1805" s="5" t="s">
        <v>4317</v>
      </c>
      <c r="AF1805" s="5" t="s">
        <v>4375</v>
      </c>
      <c r="AG1805" s="5" t="s">
        <v>4375</v>
      </c>
    </row>
    <row r="1806" spans="1:33" ht="10" customHeight="1" x14ac:dyDescent="0.2">
      <c r="A1806" s="5" t="s">
        <v>4313</v>
      </c>
      <c r="B1806" s="5" t="s">
        <v>4314</v>
      </c>
      <c r="D1806" s="5" t="s">
        <v>4376</v>
      </c>
      <c r="E1806" s="10" t="s">
        <v>184</v>
      </c>
      <c r="I1806" s="11">
        <v>7</v>
      </c>
      <c r="K1806" s="12"/>
      <c r="O1806" s="12"/>
      <c r="P1806" s="13">
        <v>244600</v>
      </c>
      <c r="Q1806" s="13">
        <v>354000</v>
      </c>
      <c r="S1806" s="13">
        <v>354000</v>
      </c>
      <c r="U1806" s="13">
        <v>354000</v>
      </c>
      <c r="AC1806" s="10" t="s">
        <v>4377</v>
      </c>
      <c r="AD1806" s="5" t="s">
        <v>2744</v>
      </c>
      <c r="AE1806" s="5" t="s">
        <v>4317</v>
      </c>
    </row>
    <row r="1807" spans="1:33" ht="10" customHeight="1" x14ac:dyDescent="0.2">
      <c r="A1807" s="5" t="s">
        <v>4313</v>
      </c>
      <c r="B1807" s="5" t="s">
        <v>4314</v>
      </c>
      <c r="D1807" s="5" t="s">
        <v>4378</v>
      </c>
      <c r="E1807" s="10" t="s">
        <v>44</v>
      </c>
      <c r="I1807" s="11">
        <v>7</v>
      </c>
      <c r="K1807" s="12"/>
      <c r="O1807" s="12"/>
      <c r="P1807" s="13">
        <v>4664100</v>
      </c>
      <c r="Q1807" s="13">
        <v>4658200</v>
      </c>
      <c r="S1807" s="13">
        <v>3162100</v>
      </c>
      <c r="U1807" s="13">
        <v>3162100</v>
      </c>
      <c r="AC1807" s="10" t="s">
        <v>4379</v>
      </c>
      <c r="AD1807" s="5" t="s">
        <v>2744</v>
      </c>
      <c r="AE1807" s="5" t="s">
        <v>4317</v>
      </c>
    </row>
    <row r="1808" spans="1:33" ht="10" customHeight="1" x14ac:dyDescent="0.2">
      <c r="A1808" s="5" t="s">
        <v>4313</v>
      </c>
      <c r="B1808" s="5" t="s">
        <v>4314</v>
      </c>
      <c r="D1808" s="5" t="s">
        <v>4380</v>
      </c>
      <c r="E1808" s="10" t="s">
        <v>53</v>
      </c>
      <c r="F1808" s="5" t="s">
        <v>4320</v>
      </c>
      <c r="I1808" s="11">
        <v>7</v>
      </c>
      <c r="K1808" s="12"/>
      <c r="O1808" s="12"/>
      <c r="P1808" s="13">
        <v>17500</v>
      </c>
      <c r="Q1808" s="13">
        <v>19700</v>
      </c>
      <c r="S1808" s="13">
        <v>20400</v>
      </c>
      <c r="U1808" s="13">
        <v>20400</v>
      </c>
      <c r="AC1808" s="10" t="s">
        <v>4381</v>
      </c>
      <c r="AD1808" s="5" t="s">
        <v>2749</v>
      </c>
      <c r="AE1808" s="5" t="s">
        <v>4317</v>
      </c>
      <c r="AF1808" s="5" t="s">
        <v>4382</v>
      </c>
      <c r="AG1808" s="5" t="s">
        <v>4382</v>
      </c>
    </row>
    <row r="1809" spans="1:33" ht="10" customHeight="1" x14ac:dyDescent="0.2">
      <c r="A1809" s="5" t="s">
        <v>4313</v>
      </c>
      <c r="B1809" s="5" t="s">
        <v>4314</v>
      </c>
      <c r="D1809" s="5" t="s">
        <v>4383</v>
      </c>
      <c r="E1809" s="10" t="s">
        <v>53</v>
      </c>
      <c r="F1809" s="5" t="s">
        <v>4320</v>
      </c>
      <c r="I1809" s="11">
        <v>7</v>
      </c>
      <c r="K1809" s="12"/>
      <c r="O1809" s="12"/>
      <c r="P1809" s="13">
        <v>1041700</v>
      </c>
      <c r="Q1809" s="13">
        <v>1138900</v>
      </c>
      <c r="S1809" s="13">
        <v>1126200</v>
      </c>
      <c r="U1809" s="13">
        <v>1126200</v>
      </c>
      <c r="AC1809" s="10" t="s">
        <v>4384</v>
      </c>
      <c r="AD1809" s="5" t="s">
        <v>2749</v>
      </c>
      <c r="AE1809" s="5" t="s">
        <v>4317</v>
      </c>
      <c r="AF1809" s="5" t="s">
        <v>4385</v>
      </c>
      <c r="AG1809" s="5" t="s">
        <v>4385</v>
      </c>
    </row>
    <row r="1810" spans="1:33" ht="10" customHeight="1" x14ac:dyDescent="0.2">
      <c r="A1810" s="5" t="s">
        <v>4313</v>
      </c>
      <c r="B1810" s="5" t="s">
        <v>4314</v>
      </c>
      <c r="D1810" s="5" t="s">
        <v>4386</v>
      </c>
      <c r="E1810" s="10" t="s">
        <v>53</v>
      </c>
      <c r="F1810" s="5" t="s">
        <v>4320</v>
      </c>
      <c r="I1810" s="11">
        <v>7</v>
      </c>
      <c r="K1810" s="12"/>
      <c r="O1810" s="12"/>
      <c r="P1810" s="13">
        <v>78900</v>
      </c>
      <c r="Q1810" s="13">
        <v>61800</v>
      </c>
      <c r="S1810" s="13">
        <v>50500</v>
      </c>
      <c r="U1810" s="13">
        <v>50500</v>
      </c>
      <c r="AC1810" s="10" t="s">
        <v>4387</v>
      </c>
      <c r="AD1810" s="5" t="s">
        <v>2749</v>
      </c>
      <c r="AE1810" s="5" t="s">
        <v>4317</v>
      </c>
      <c r="AF1810" s="5" t="s">
        <v>4388</v>
      </c>
      <c r="AG1810" s="5" t="s">
        <v>4388</v>
      </c>
    </row>
    <row r="1811" spans="1:33" ht="10" customHeight="1" x14ac:dyDescent="0.2">
      <c r="A1811" s="5" t="s">
        <v>4313</v>
      </c>
      <c r="B1811" s="5" t="s">
        <v>4314</v>
      </c>
      <c r="D1811" s="5" t="s">
        <v>4389</v>
      </c>
      <c r="E1811" s="10" t="s">
        <v>53</v>
      </c>
      <c r="F1811" s="5" t="s">
        <v>4320</v>
      </c>
      <c r="I1811" s="11">
        <v>2</v>
      </c>
      <c r="K1811" s="12"/>
      <c r="O1811" s="12"/>
      <c r="P1811" s="13">
        <v>734800</v>
      </c>
      <c r="Q1811" s="13">
        <v>622100</v>
      </c>
      <c r="S1811" s="13">
        <v>699300</v>
      </c>
      <c r="U1811" s="13">
        <v>699300</v>
      </c>
      <c r="AC1811" s="10" t="s">
        <v>4390</v>
      </c>
      <c r="AD1811" s="5" t="s">
        <v>2749</v>
      </c>
      <c r="AE1811" s="5" t="s">
        <v>4317</v>
      </c>
      <c r="AF1811" s="5" t="s">
        <v>4391</v>
      </c>
      <c r="AG1811" s="5" t="s">
        <v>4391</v>
      </c>
    </row>
    <row r="1812" spans="1:33" ht="10" customHeight="1" x14ac:dyDescent="0.2">
      <c r="A1812" s="5" t="s">
        <v>4313</v>
      </c>
      <c r="B1812" s="5" t="s">
        <v>4314</v>
      </c>
      <c r="D1812" s="5" t="s">
        <v>4392</v>
      </c>
      <c r="E1812" s="10" t="s">
        <v>53</v>
      </c>
      <c r="F1812" s="5" t="s">
        <v>4320</v>
      </c>
      <c r="I1812" s="11">
        <v>4</v>
      </c>
      <c r="K1812" s="12"/>
      <c r="O1812" s="12"/>
      <c r="P1812" s="13">
        <v>35900</v>
      </c>
      <c r="Q1812" s="13">
        <v>161800</v>
      </c>
      <c r="S1812" s="13">
        <v>11800</v>
      </c>
      <c r="U1812" s="13">
        <v>11800</v>
      </c>
      <c r="AC1812" s="10" t="s">
        <v>4393</v>
      </c>
      <c r="AD1812" s="5" t="s">
        <v>2749</v>
      </c>
      <c r="AE1812" s="5" t="s">
        <v>4317</v>
      </c>
      <c r="AF1812" s="5" t="s">
        <v>4394</v>
      </c>
      <c r="AG1812" s="5" t="s">
        <v>4394</v>
      </c>
    </row>
    <row r="1813" spans="1:33" ht="10" customHeight="1" x14ac:dyDescent="0.2">
      <c r="A1813" s="5" t="s">
        <v>4313</v>
      </c>
      <c r="B1813" s="5" t="s">
        <v>4314</v>
      </c>
      <c r="D1813" s="5" t="s">
        <v>4395</v>
      </c>
      <c r="E1813" s="10" t="s">
        <v>53</v>
      </c>
      <c r="F1813" s="5" t="s">
        <v>4320</v>
      </c>
      <c r="I1813" s="11">
        <v>7</v>
      </c>
      <c r="K1813" s="12"/>
      <c r="O1813" s="12"/>
      <c r="P1813" s="13">
        <v>719300</v>
      </c>
      <c r="Q1813" s="13">
        <v>12200</v>
      </c>
      <c r="S1813" s="13">
        <v>12500</v>
      </c>
      <c r="U1813" s="13">
        <v>12500</v>
      </c>
      <c r="AC1813" s="10" t="s">
        <v>4396</v>
      </c>
      <c r="AD1813" s="5" t="s">
        <v>2749</v>
      </c>
      <c r="AE1813" s="5" t="s">
        <v>4317</v>
      </c>
      <c r="AF1813" s="5" t="s">
        <v>4397</v>
      </c>
      <c r="AG1813" s="5" t="s">
        <v>4397</v>
      </c>
    </row>
    <row r="1814" spans="1:33" ht="10" customHeight="1" x14ac:dyDescent="0.2">
      <c r="A1814" s="5" t="s">
        <v>4313</v>
      </c>
      <c r="B1814" s="5" t="s">
        <v>4314</v>
      </c>
      <c r="D1814" s="5" t="s">
        <v>4398</v>
      </c>
      <c r="E1814" s="10" t="s">
        <v>53</v>
      </c>
      <c r="F1814" s="5" t="s">
        <v>4320</v>
      </c>
      <c r="I1814" s="11">
        <v>6</v>
      </c>
      <c r="K1814" s="12"/>
      <c r="O1814" s="12"/>
      <c r="P1814" s="13">
        <v>90800</v>
      </c>
      <c r="Q1814" s="13">
        <v>0</v>
      </c>
      <c r="S1814" s="13">
        <v>3900</v>
      </c>
      <c r="U1814" s="13">
        <v>3900</v>
      </c>
      <c r="AC1814" s="10" t="s">
        <v>4399</v>
      </c>
      <c r="AD1814" s="5" t="s">
        <v>2749</v>
      </c>
      <c r="AE1814" s="5" t="s">
        <v>4317</v>
      </c>
      <c r="AF1814" s="5" t="s">
        <v>4400</v>
      </c>
      <c r="AG1814" s="5" t="s">
        <v>4400</v>
      </c>
    </row>
    <row r="1815" spans="1:33" ht="10" customHeight="1" x14ac:dyDescent="0.2">
      <c r="A1815" s="5" t="s">
        <v>4313</v>
      </c>
      <c r="B1815" s="5" t="s">
        <v>4314</v>
      </c>
      <c r="D1815" s="5" t="s">
        <v>4401</v>
      </c>
      <c r="E1815" s="10" t="s">
        <v>53</v>
      </c>
      <c r="F1815" s="5" t="s">
        <v>4320</v>
      </c>
      <c r="I1815" s="11">
        <v>7</v>
      </c>
      <c r="K1815" s="12"/>
      <c r="O1815" s="12"/>
      <c r="P1815" s="13">
        <v>71300</v>
      </c>
      <c r="Q1815" s="13">
        <v>445700</v>
      </c>
      <c r="S1815" s="13">
        <v>421000</v>
      </c>
      <c r="U1815" s="13">
        <v>421000</v>
      </c>
      <c r="AC1815" s="10" t="s">
        <v>4402</v>
      </c>
      <c r="AD1815" s="5" t="s">
        <v>2749</v>
      </c>
      <c r="AE1815" s="5" t="s">
        <v>4317</v>
      </c>
      <c r="AF1815" s="5" t="s">
        <v>4403</v>
      </c>
      <c r="AG1815" s="5" t="s">
        <v>4403</v>
      </c>
    </row>
    <row r="1816" spans="1:33" ht="10" customHeight="1" x14ac:dyDescent="0.2">
      <c r="A1816" s="5" t="s">
        <v>4313</v>
      </c>
      <c r="B1816" s="5" t="s">
        <v>4314</v>
      </c>
      <c r="D1816" s="5" t="s">
        <v>4404</v>
      </c>
      <c r="E1816" s="10" t="s">
        <v>53</v>
      </c>
      <c r="F1816" s="5" t="s">
        <v>4320</v>
      </c>
      <c r="I1816" s="11">
        <v>7</v>
      </c>
      <c r="K1816" s="12"/>
      <c r="O1816" s="12"/>
      <c r="P1816" s="13">
        <v>1577300</v>
      </c>
      <c r="Q1816" s="13">
        <v>2031200</v>
      </c>
      <c r="S1816" s="13">
        <v>724300</v>
      </c>
      <c r="U1816" s="13">
        <v>724300</v>
      </c>
      <c r="AC1816" s="10" t="s">
        <v>4405</v>
      </c>
      <c r="AD1816" s="5" t="s">
        <v>2749</v>
      </c>
      <c r="AE1816" s="5" t="s">
        <v>4317</v>
      </c>
      <c r="AF1816" s="5" t="s">
        <v>4406</v>
      </c>
      <c r="AG1816" s="5" t="s">
        <v>4406</v>
      </c>
    </row>
    <row r="1817" spans="1:33" ht="10" customHeight="1" x14ac:dyDescent="0.2">
      <c r="A1817" s="5" t="s">
        <v>4313</v>
      </c>
      <c r="B1817" s="5" t="s">
        <v>4314</v>
      </c>
      <c r="D1817" s="5" t="s">
        <v>4407</v>
      </c>
      <c r="E1817" s="10" t="s">
        <v>184</v>
      </c>
      <c r="I1817" s="11">
        <v>7</v>
      </c>
      <c r="K1817" s="12"/>
      <c r="O1817" s="12"/>
      <c r="P1817" s="13">
        <v>-57600</v>
      </c>
      <c r="Q1817" s="13">
        <v>-189600</v>
      </c>
      <c r="S1817" s="13">
        <v>-261900</v>
      </c>
      <c r="U1817" s="13">
        <v>-261900</v>
      </c>
      <c r="AC1817" s="10" t="s">
        <v>4408</v>
      </c>
      <c r="AD1817" s="5" t="s">
        <v>2749</v>
      </c>
      <c r="AE1817" s="5" t="s">
        <v>4317</v>
      </c>
    </row>
    <row r="1818" spans="1:33" ht="10" customHeight="1" x14ac:dyDescent="0.2">
      <c r="A1818" s="5" t="s">
        <v>4313</v>
      </c>
      <c r="B1818" s="5" t="s">
        <v>4314</v>
      </c>
      <c r="D1818" s="5" t="s">
        <v>4409</v>
      </c>
      <c r="E1818" s="10" t="s">
        <v>53</v>
      </c>
      <c r="F1818" s="5" t="s">
        <v>4320</v>
      </c>
      <c r="I1818" s="11">
        <v>7</v>
      </c>
      <c r="K1818" s="12"/>
      <c r="O1818" s="12"/>
      <c r="P1818" s="13">
        <v>31120</v>
      </c>
      <c r="Q1818" s="13">
        <v>26040</v>
      </c>
      <c r="S1818" s="13">
        <v>33870</v>
      </c>
      <c r="U1818" s="13">
        <v>33870</v>
      </c>
      <c r="AC1818" s="10" t="s">
        <v>4410</v>
      </c>
      <c r="AD1818" s="5" t="s">
        <v>2757</v>
      </c>
      <c r="AE1818" s="5" t="s">
        <v>4317</v>
      </c>
      <c r="AF1818" s="5" t="s">
        <v>4411</v>
      </c>
      <c r="AG1818" s="5" t="s">
        <v>4411</v>
      </c>
    </row>
    <row r="1819" spans="1:33" ht="10" customHeight="1" x14ac:dyDescent="0.2">
      <c r="A1819" s="5" t="s">
        <v>4313</v>
      </c>
      <c r="B1819" s="5" t="s">
        <v>4314</v>
      </c>
      <c r="D1819" s="5" t="s">
        <v>4412</v>
      </c>
      <c r="E1819" s="10" t="s">
        <v>53</v>
      </c>
      <c r="F1819" s="5" t="s">
        <v>4320</v>
      </c>
      <c r="I1819" s="11">
        <v>7</v>
      </c>
      <c r="K1819" s="12"/>
      <c r="O1819" s="12"/>
      <c r="P1819" s="13">
        <v>468310</v>
      </c>
      <c r="Q1819" s="13">
        <v>508710</v>
      </c>
      <c r="S1819" s="13">
        <v>474480</v>
      </c>
      <c r="U1819" s="13">
        <v>474480</v>
      </c>
      <c r="AC1819" s="10" t="s">
        <v>4413</v>
      </c>
      <c r="AD1819" s="5" t="s">
        <v>2757</v>
      </c>
      <c r="AE1819" s="5" t="s">
        <v>4317</v>
      </c>
      <c r="AF1819" s="5" t="s">
        <v>4414</v>
      </c>
      <c r="AG1819" s="5" t="s">
        <v>4414</v>
      </c>
    </row>
    <row r="1820" spans="1:33" ht="10" customHeight="1" x14ac:dyDescent="0.2">
      <c r="A1820" s="5" t="s">
        <v>4313</v>
      </c>
      <c r="B1820" s="5" t="s">
        <v>4314</v>
      </c>
      <c r="D1820" s="5" t="s">
        <v>4415</v>
      </c>
      <c r="E1820" s="10" t="s">
        <v>44</v>
      </c>
      <c r="I1820" s="11">
        <v>7</v>
      </c>
      <c r="K1820" s="12"/>
      <c r="O1820" s="12"/>
      <c r="P1820" s="13">
        <v>499430</v>
      </c>
      <c r="Q1820" s="13">
        <v>534740</v>
      </c>
      <c r="S1820" s="13">
        <v>508350</v>
      </c>
      <c r="U1820" s="13">
        <v>508350</v>
      </c>
      <c r="AC1820" s="10" t="s">
        <v>4416</v>
      </c>
      <c r="AD1820" s="5" t="s">
        <v>2757</v>
      </c>
      <c r="AE1820" s="5" t="s">
        <v>4317</v>
      </c>
    </row>
    <row r="1821" spans="1:33" ht="10" customHeight="1" x14ac:dyDescent="0.2">
      <c r="A1821" s="5" t="s">
        <v>4313</v>
      </c>
      <c r="B1821" s="5" t="s">
        <v>4314</v>
      </c>
      <c r="D1821" s="5" t="s">
        <v>4417</v>
      </c>
      <c r="E1821" s="10" t="s">
        <v>53</v>
      </c>
      <c r="F1821" s="5" t="s">
        <v>4320</v>
      </c>
      <c r="I1821" s="11">
        <v>7</v>
      </c>
      <c r="K1821" s="12"/>
      <c r="O1821" s="12"/>
      <c r="S1821" s="13">
        <v>70200</v>
      </c>
      <c r="U1821" s="13">
        <v>70200</v>
      </c>
      <c r="AC1821" s="10" t="s">
        <v>4418</v>
      </c>
      <c r="AD1821" s="5" t="s">
        <v>2680</v>
      </c>
      <c r="AE1821" s="5" t="s">
        <v>4317</v>
      </c>
      <c r="AF1821" s="5" t="s">
        <v>4419</v>
      </c>
      <c r="AG1821" s="5" t="s">
        <v>4419</v>
      </c>
    </row>
    <row r="1822" spans="1:33" ht="10" customHeight="1" x14ac:dyDescent="0.2">
      <c r="A1822" s="5" t="s">
        <v>4313</v>
      </c>
      <c r="B1822" s="5" t="s">
        <v>4314</v>
      </c>
      <c r="D1822" s="5" t="s">
        <v>4420</v>
      </c>
      <c r="E1822" s="10" t="s">
        <v>44</v>
      </c>
      <c r="I1822" s="11">
        <v>6</v>
      </c>
      <c r="J1822" s="5" t="s">
        <v>4421</v>
      </c>
      <c r="K1822" s="12"/>
      <c r="O1822" s="12"/>
      <c r="P1822" s="13">
        <v>1122540</v>
      </c>
      <c r="Q1822" s="13">
        <v>1130960</v>
      </c>
      <c r="S1822" s="13">
        <v>1168800</v>
      </c>
      <c r="U1822" s="13">
        <v>1168800</v>
      </c>
      <c r="AC1822" s="10" t="s">
        <v>4422</v>
      </c>
      <c r="AD1822" s="5" t="s">
        <v>1428</v>
      </c>
      <c r="AE1822" s="5" t="s">
        <v>4423</v>
      </c>
    </row>
    <row r="1823" spans="1:33" ht="10" customHeight="1" x14ac:dyDescent="0.2">
      <c r="A1823" s="5" t="s">
        <v>4313</v>
      </c>
      <c r="B1823" s="5" t="s">
        <v>4314</v>
      </c>
      <c r="D1823" s="5" t="s">
        <v>4424</v>
      </c>
      <c r="E1823" s="10" t="s">
        <v>53</v>
      </c>
      <c r="F1823" s="5" t="s">
        <v>4425</v>
      </c>
      <c r="I1823" s="11">
        <v>6</v>
      </c>
      <c r="J1823" s="5" t="s">
        <v>4421</v>
      </c>
      <c r="K1823" s="12"/>
      <c r="O1823" s="12"/>
      <c r="P1823" s="13">
        <v>0</v>
      </c>
      <c r="Q1823" s="13">
        <v>35000</v>
      </c>
      <c r="S1823" s="13">
        <v>35000</v>
      </c>
      <c r="U1823" s="13">
        <v>35000</v>
      </c>
      <c r="AC1823" s="10" t="s">
        <v>4426</v>
      </c>
      <c r="AD1823" s="5" t="s">
        <v>1428</v>
      </c>
      <c r="AE1823" s="5" t="s">
        <v>4423</v>
      </c>
      <c r="AF1823" s="5" t="s">
        <v>4427</v>
      </c>
      <c r="AG1823" s="5" t="s">
        <v>4427</v>
      </c>
    </row>
    <row r="1824" spans="1:33" ht="10" customHeight="1" x14ac:dyDescent="0.2">
      <c r="A1824" s="5" t="s">
        <v>4313</v>
      </c>
      <c r="B1824" s="5" t="s">
        <v>4314</v>
      </c>
      <c r="D1824" s="5" t="s">
        <v>4425</v>
      </c>
      <c r="E1824" s="10" t="s">
        <v>44</v>
      </c>
      <c r="I1824" s="11">
        <v>6</v>
      </c>
      <c r="J1824" s="5" t="s">
        <v>4421</v>
      </c>
      <c r="K1824" s="12"/>
      <c r="O1824" s="12"/>
      <c r="P1824" s="13">
        <v>1122540</v>
      </c>
      <c r="Q1824" s="13">
        <v>1165960</v>
      </c>
      <c r="S1824" s="13">
        <v>1203800</v>
      </c>
      <c r="U1824" s="13">
        <v>1203800</v>
      </c>
      <c r="AC1824" s="10" t="s">
        <v>4428</v>
      </c>
      <c r="AD1824" s="5" t="s">
        <v>1428</v>
      </c>
      <c r="AE1824" s="5" t="s">
        <v>4423</v>
      </c>
    </row>
    <row r="1825" spans="1:33" ht="10" customHeight="1" x14ac:dyDescent="0.2">
      <c r="A1825" s="5" t="s">
        <v>4313</v>
      </c>
      <c r="B1825" s="5" t="s">
        <v>4314</v>
      </c>
      <c r="D1825" s="5" t="s">
        <v>4429</v>
      </c>
      <c r="E1825" s="10" t="s">
        <v>184</v>
      </c>
      <c r="I1825" s="11">
        <v>6</v>
      </c>
      <c r="K1825" s="12"/>
      <c r="O1825" s="12"/>
      <c r="P1825" s="13">
        <v>2654880</v>
      </c>
      <c r="Q1825" s="13">
        <v>2604020</v>
      </c>
      <c r="S1825" s="13">
        <v>2506290</v>
      </c>
      <c r="U1825" s="13">
        <v>2506290</v>
      </c>
      <c r="AC1825" s="10" t="s">
        <v>4430</v>
      </c>
      <c r="AD1825" s="5" t="s">
        <v>1428</v>
      </c>
      <c r="AE1825" s="5" t="s">
        <v>4423</v>
      </c>
    </row>
    <row r="1826" spans="1:33" ht="10" customHeight="1" x14ac:dyDescent="0.2">
      <c r="A1826" s="5" t="s">
        <v>4313</v>
      </c>
      <c r="B1826" s="5" t="s">
        <v>4314</v>
      </c>
      <c r="D1826" s="5" t="s">
        <v>4431</v>
      </c>
      <c r="E1826" s="10" t="s">
        <v>44</v>
      </c>
      <c r="I1826" s="11">
        <v>6</v>
      </c>
      <c r="J1826" s="5" t="s">
        <v>4421</v>
      </c>
      <c r="K1826" s="12"/>
      <c r="O1826" s="12"/>
      <c r="P1826" s="13">
        <v>2152110</v>
      </c>
      <c r="Q1826" s="13">
        <v>2367140</v>
      </c>
      <c r="S1826" s="13">
        <v>2386350</v>
      </c>
      <c r="U1826" s="13">
        <v>2386350</v>
      </c>
      <c r="AC1826" s="10" t="s">
        <v>4432</v>
      </c>
      <c r="AD1826" s="5" t="s">
        <v>1428</v>
      </c>
      <c r="AE1826" s="5" t="s">
        <v>4433</v>
      </c>
    </row>
    <row r="1827" spans="1:33" ht="10" customHeight="1" x14ac:dyDescent="0.2">
      <c r="A1827" s="5" t="s">
        <v>4313</v>
      </c>
      <c r="B1827" s="5" t="s">
        <v>4314</v>
      </c>
      <c r="D1827" s="5" t="s">
        <v>4434</v>
      </c>
      <c r="E1827" s="10" t="s">
        <v>53</v>
      </c>
      <c r="F1827" s="5" t="s">
        <v>4435</v>
      </c>
      <c r="I1827" s="11">
        <v>6</v>
      </c>
      <c r="J1827" s="5" t="s">
        <v>4421</v>
      </c>
      <c r="K1827" s="12"/>
      <c r="O1827" s="12"/>
      <c r="P1827" s="13">
        <v>0</v>
      </c>
      <c r="Q1827" s="13">
        <v>176000</v>
      </c>
      <c r="S1827" s="13">
        <v>176000</v>
      </c>
      <c r="U1827" s="13">
        <v>176000</v>
      </c>
      <c r="AC1827" s="10" t="s">
        <v>4436</v>
      </c>
      <c r="AD1827" s="5" t="s">
        <v>1428</v>
      </c>
      <c r="AE1827" s="5" t="s">
        <v>4433</v>
      </c>
      <c r="AF1827" s="5" t="s">
        <v>4437</v>
      </c>
      <c r="AG1827" s="5" t="s">
        <v>4437</v>
      </c>
    </row>
    <row r="1828" spans="1:33" ht="10" customHeight="1" x14ac:dyDescent="0.2">
      <c r="A1828" s="5" t="s">
        <v>4313</v>
      </c>
      <c r="B1828" s="5" t="s">
        <v>4314</v>
      </c>
      <c r="D1828" s="5" t="s">
        <v>4435</v>
      </c>
      <c r="E1828" s="10" t="s">
        <v>44</v>
      </c>
      <c r="I1828" s="11">
        <v>6</v>
      </c>
      <c r="J1828" s="5" t="s">
        <v>4421</v>
      </c>
      <c r="K1828" s="12"/>
      <c r="O1828" s="12"/>
      <c r="P1828" s="13">
        <v>2152110</v>
      </c>
      <c r="Q1828" s="13">
        <v>2543140</v>
      </c>
      <c r="S1828" s="13">
        <v>2562350</v>
      </c>
      <c r="U1828" s="13">
        <v>2562350</v>
      </c>
      <c r="AC1828" s="10" t="s">
        <v>4438</v>
      </c>
      <c r="AD1828" s="5" t="s">
        <v>1428</v>
      </c>
      <c r="AE1828" s="5" t="s">
        <v>4433</v>
      </c>
    </row>
    <row r="1829" spans="1:33" ht="10" customHeight="1" x14ac:dyDescent="0.2">
      <c r="A1829" s="5" t="s">
        <v>4313</v>
      </c>
      <c r="B1829" s="5" t="s">
        <v>4314</v>
      </c>
      <c r="D1829" s="5" t="s">
        <v>4439</v>
      </c>
      <c r="E1829" s="10" t="s">
        <v>184</v>
      </c>
      <c r="I1829" s="11">
        <v>6</v>
      </c>
      <c r="K1829" s="12"/>
      <c r="O1829" s="12"/>
      <c r="P1829" s="13">
        <v>8353550</v>
      </c>
      <c r="Q1829" s="13">
        <v>9515870</v>
      </c>
      <c r="S1829" s="13">
        <v>10739130</v>
      </c>
      <c r="U1829" s="13">
        <v>10739130</v>
      </c>
      <c r="AC1829" s="10" t="s">
        <v>4440</v>
      </c>
      <c r="AD1829" s="5" t="s">
        <v>1428</v>
      </c>
      <c r="AE1829" s="5" t="s">
        <v>4433</v>
      </c>
    </row>
    <row r="1830" spans="1:33" ht="10" customHeight="1" x14ac:dyDescent="0.2">
      <c r="A1830" s="5" t="s">
        <v>4313</v>
      </c>
      <c r="B1830" s="5" t="s">
        <v>4314</v>
      </c>
      <c r="D1830" s="5" t="s">
        <v>4441</v>
      </c>
      <c r="E1830" s="10" t="s">
        <v>44</v>
      </c>
      <c r="I1830" s="11">
        <v>6</v>
      </c>
      <c r="J1830" s="5" t="s">
        <v>4421</v>
      </c>
      <c r="K1830" s="12"/>
      <c r="O1830" s="12"/>
      <c r="P1830" s="13">
        <v>111700</v>
      </c>
      <c r="Q1830" s="13">
        <v>45280</v>
      </c>
      <c r="S1830" s="13">
        <v>52070</v>
      </c>
      <c r="U1830" s="13">
        <v>52070</v>
      </c>
      <c r="AC1830" s="10" t="s">
        <v>4442</v>
      </c>
      <c r="AD1830" s="5" t="s">
        <v>1428</v>
      </c>
      <c r="AE1830" s="5" t="s">
        <v>4443</v>
      </c>
    </row>
    <row r="1831" spans="1:33" ht="10" customHeight="1" x14ac:dyDescent="0.2">
      <c r="A1831" s="5" t="s">
        <v>4313</v>
      </c>
      <c r="B1831" s="5" t="s">
        <v>4314</v>
      </c>
      <c r="D1831" s="5" t="s">
        <v>4444</v>
      </c>
      <c r="E1831" s="10" t="s">
        <v>44</v>
      </c>
      <c r="I1831" s="11">
        <v>6</v>
      </c>
      <c r="J1831" s="5" t="s">
        <v>4421</v>
      </c>
      <c r="K1831" s="12"/>
      <c r="O1831" s="12"/>
      <c r="P1831" s="13">
        <v>111700</v>
      </c>
      <c r="Q1831" s="13">
        <v>58280</v>
      </c>
      <c r="S1831" s="13">
        <v>65070</v>
      </c>
      <c r="U1831" s="13">
        <v>65070</v>
      </c>
      <c r="AC1831" s="10" t="s">
        <v>4445</v>
      </c>
      <c r="AD1831" s="5" t="s">
        <v>1428</v>
      </c>
      <c r="AE1831" s="5" t="s">
        <v>4443</v>
      </c>
    </row>
    <row r="1832" spans="1:33" ht="10" customHeight="1" x14ac:dyDescent="0.2">
      <c r="A1832" s="5" t="s">
        <v>4313</v>
      </c>
      <c r="B1832" s="5" t="s">
        <v>4314</v>
      </c>
      <c r="D1832" s="5" t="s">
        <v>4446</v>
      </c>
      <c r="E1832" s="10" t="s">
        <v>44</v>
      </c>
      <c r="I1832" s="11">
        <v>6</v>
      </c>
      <c r="J1832" s="5" t="s">
        <v>4421</v>
      </c>
      <c r="K1832" s="12"/>
      <c r="O1832" s="12"/>
      <c r="P1832" s="13">
        <v>4315260</v>
      </c>
      <c r="Q1832" s="13">
        <v>4694620</v>
      </c>
      <c r="S1832" s="13">
        <v>4200500</v>
      </c>
      <c r="U1832" s="13">
        <v>4200500</v>
      </c>
      <c r="AC1832" s="10" t="s">
        <v>4447</v>
      </c>
      <c r="AD1832" s="5" t="s">
        <v>1428</v>
      </c>
      <c r="AE1832" s="5" t="s">
        <v>4448</v>
      </c>
    </row>
    <row r="1833" spans="1:33" ht="10" customHeight="1" x14ac:dyDescent="0.2">
      <c r="A1833" s="5" t="s">
        <v>4313</v>
      </c>
      <c r="B1833" s="5" t="s">
        <v>4314</v>
      </c>
      <c r="D1833" s="5" t="s">
        <v>4449</v>
      </c>
      <c r="E1833" s="10" t="s">
        <v>53</v>
      </c>
      <c r="F1833" s="5" t="s">
        <v>4450</v>
      </c>
      <c r="I1833" s="11">
        <v>6</v>
      </c>
      <c r="K1833" s="12"/>
      <c r="O1833" s="12"/>
      <c r="P1833" s="13">
        <v>636000</v>
      </c>
      <c r="Q1833" s="13">
        <v>636000</v>
      </c>
      <c r="S1833" s="13">
        <v>636000</v>
      </c>
      <c r="U1833" s="13">
        <v>636000</v>
      </c>
      <c r="AC1833" s="10" t="s">
        <v>4451</v>
      </c>
      <c r="AD1833" s="5" t="s">
        <v>1428</v>
      </c>
      <c r="AE1833" s="5" t="s">
        <v>4448</v>
      </c>
      <c r="AF1833" s="5" t="s">
        <v>4452</v>
      </c>
      <c r="AG1833" s="5" t="s">
        <v>4452</v>
      </c>
    </row>
    <row r="1834" spans="1:33" ht="10" customHeight="1" x14ac:dyDescent="0.2">
      <c r="A1834" s="5" t="s">
        <v>4313</v>
      </c>
      <c r="B1834" s="5" t="s">
        <v>4314</v>
      </c>
      <c r="D1834" s="5" t="s">
        <v>4450</v>
      </c>
      <c r="E1834" s="10" t="s">
        <v>44</v>
      </c>
      <c r="I1834" s="11">
        <v>6</v>
      </c>
      <c r="K1834" s="12"/>
      <c r="O1834" s="12"/>
      <c r="P1834" s="13">
        <v>4951260</v>
      </c>
      <c r="Q1834" s="13">
        <v>5330620</v>
      </c>
      <c r="S1834" s="13">
        <v>4836500</v>
      </c>
      <c r="U1834" s="13">
        <v>4836500</v>
      </c>
      <c r="AC1834" s="10" t="s">
        <v>4453</v>
      </c>
      <c r="AD1834" s="5" t="s">
        <v>1428</v>
      </c>
      <c r="AE1834" s="5" t="s">
        <v>4448</v>
      </c>
    </row>
    <row r="1835" spans="1:33" ht="10" customHeight="1" x14ac:dyDescent="0.2">
      <c r="A1835" s="5" t="s">
        <v>4313</v>
      </c>
      <c r="B1835" s="5" t="s">
        <v>4314</v>
      </c>
      <c r="D1835" s="5" t="s">
        <v>4454</v>
      </c>
      <c r="E1835" s="10" t="s">
        <v>44</v>
      </c>
      <c r="I1835" s="11">
        <v>6</v>
      </c>
      <c r="K1835" s="12"/>
      <c r="O1835" s="12"/>
      <c r="P1835" s="13">
        <v>1391300</v>
      </c>
      <c r="Q1835" s="13">
        <v>1459270</v>
      </c>
      <c r="S1835" s="13">
        <v>1316570</v>
      </c>
      <c r="U1835" s="13">
        <v>1316570</v>
      </c>
      <c r="AC1835" s="10" t="s">
        <v>4455</v>
      </c>
      <c r="AD1835" s="5" t="s">
        <v>1428</v>
      </c>
      <c r="AE1835" s="5" t="s">
        <v>4456</v>
      </c>
    </row>
    <row r="1836" spans="1:33" ht="10" customHeight="1" x14ac:dyDescent="0.2">
      <c r="A1836" s="5" t="s">
        <v>4313</v>
      </c>
      <c r="B1836" s="5" t="s">
        <v>4314</v>
      </c>
      <c r="D1836" s="5" t="s">
        <v>4457</v>
      </c>
      <c r="E1836" s="10" t="s">
        <v>44</v>
      </c>
      <c r="I1836" s="11">
        <v>6</v>
      </c>
      <c r="K1836" s="12"/>
      <c r="O1836" s="12"/>
      <c r="P1836" s="13">
        <v>9163970</v>
      </c>
      <c r="Q1836" s="13">
        <v>9767260</v>
      </c>
      <c r="S1836" s="13">
        <v>9194290</v>
      </c>
      <c r="U1836" s="13">
        <v>9194290</v>
      </c>
      <c r="AC1836" s="10" t="s">
        <v>4458</v>
      </c>
      <c r="AD1836" s="5" t="s">
        <v>1428</v>
      </c>
      <c r="AE1836" s="5" t="s">
        <v>4459</v>
      </c>
    </row>
    <row r="1837" spans="1:33" ht="10" customHeight="1" x14ac:dyDescent="0.2">
      <c r="A1837" s="5" t="s">
        <v>4313</v>
      </c>
      <c r="B1837" s="5" t="s">
        <v>4314</v>
      </c>
      <c r="D1837" s="5" t="s">
        <v>4460</v>
      </c>
      <c r="E1837" s="10" t="s">
        <v>345</v>
      </c>
      <c r="F1837" s="5" t="s">
        <v>4461</v>
      </c>
      <c r="I1837" s="11">
        <v>6</v>
      </c>
      <c r="K1837" s="12"/>
      <c r="O1837" s="12"/>
      <c r="P1837" s="13">
        <v>124450</v>
      </c>
      <c r="AC1837" s="10" t="s">
        <v>4462</v>
      </c>
      <c r="AD1837" s="5" t="s">
        <v>1466</v>
      </c>
      <c r="AE1837" s="5" t="s">
        <v>4433</v>
      </c>
      <c r="AF1837" s="5" t="s">
        <v>4463</v>
      </c>
      <c r="AG1837" s="5" t="s">
        <v>4463</v>
      </c>
    </row>
    <row r="1838" spans="1:33" ht="10" customHeight="1" x14ac:dyDescent="0.2">
      <c r="A1838" s="5" t="s">
        <v>4313</v>
      </c>
      <c r="B1838" s="5" t="s">
        <v>4314</v>
      </c>
      <c r="D1838" s="5" t="s">
        <v>4464</v>
      </c>
      <c r="E1838" s="10" t="s">
        <v>345</v>
      </c>
      <c r="F1838" s="5" t="s">
        <v>4461</v>
      </c>
      <c r="I1838" s="11">
        <v>6</v>
      </c>
      <c r="K1838" s="10" t="s">
        <v>46</v>
      </c>
      <c r="L1838" s="5" t="s">
        <v>47</v>
      </c>
      <c r="M1838" s="5" t="s">
        <v>145</v>
      </c>
      <c r="O1838" s="12"/>
      <c r="P1838" s="13">
        <v>48800</v>
      </c>
      <c r="AC1838" s="10" t="s">
        <v>4465</v>
      </c>
      <c r="AD1838" s="5" t="s">
        <v>1466</v>
      </c>
      <c r="AE1838" s="5" t="s">
        <v>4433</v>
      </c>
      <c r="AF1838" s="5" t="s">
        <v>4466</v>
      </c>
      <c r="AG1838" s="5" t="s">
        <v>4466</v>
      </c>
    </row>
    <row r="1839" spans="1:33" ht="10" customHeight="1" x14ac:dyDescent="0.2">
      <c r="A1839" s="5" t="s">
        <v>4313</v>
      </c>
      <c r="B1839" s="5" t="s">
        <v>4314</v>
      </c>
      <c r="D1839" s="5" t="s">
        <v>4467</v>
      </c>
      <c r="E1839" s="10" t="s">
        <v>345</v>
      </c>
      <c r="F1839" s="5" t="s">
        <v>4461</v>
      </c>
      <c r="I1839" s="11">
        <v>6</v>
      </c>
      <c r="K1839" s="12"/>
      <c r="O1839" s="12"/>
      <c r="P1839" s="13">
        <v>413120</v>
      </c>
      <c r="AC1839" s="10" t="s">
        <v>4468</v>
      </c>
      <c r="AD1839" s="5" t="s">
        <v>1466</v>
      </c>
      <c r="AE1839" s="5" t="s">
        <v>4433</v>
      </c>
      <c r="AF1839" s="5" t="s">
        <v>4469</v>
      </c>
      <c r="AG1839" s="5" t="s">
        <v>4469</v>
      </c>
    </row>
    <row r="1840" spans="1:33" ht="10" customHeight="1" x14ac:dyDescent="0.2">
      <c r="A1840" s="5" t="s">
        <v>4313</v>
      </c>
      <c r="B1840" s="5" t="s">
        <v>4314</v>
      </c>
      <c r="D1840" s="5" t="s">
        <v>4470</v>
      </c>
      <c r="E1840" s="10" t="s">
        <v>345</v>
      </c>
      <c r="F1840" s="5" t="s">
        <v>4461</v>
      </c>
      <c r="I1840" s="11">
        <v>6</v>
      </c>
      <c r="K1840" s="12"/>
      <c r="O1840" s="12"/>
      <c r="P1840" s="13">
        <v>306790</v>
      </c>
      <c r="AC1840" s="10" t="s">
        <v>4471</v>
      </c>
      <c r="AD1840" s="5" t="s">
        <v>1466</v>
      </c>
      <c r="AE1840" s="5" t="s">
        <v>4433</v>
      </c>
      <c r="AF1840" s="5" t="s">
        <v>4472</v>
      </c>
      <c r="AG1840" s="5" t="s">
        <v>4472</v>
      </c>
    </row>
    <row r="1841" spans="1:33" ht="10" customHeight="1" x14ac:dyDescent="0.2">
      <c r="A1841" s="5" t="s">
        <v>4313</v>
      </c>
      <c r="B1841" s="5" t="s">
        <v>4314</v>
      </c>
      <c r="D1841" s="5" t="s">
        <v>4473</v>
      </c>
      <c r="E1841" s="10" t="s">
        <v>345</v>
      </c>
      <c r="F1841" s="5" t="s">
        <v>4461</v>
      </c>
      <c r="I1841" s="11">
        <v>6</v>
      </c>
      <c r="K1841" s="10" t="s">
        <v>46</v>
      </c>
      <c r="L1841" s="5" t="s">
        <v>47</v>
      </c>
      <c r="M1841" s="5" t="s">
        <v>115</v>
      </c>
      <c r="O1841" s="12"/>
      <c r="P1841" s="13">
        <v>503860</v>
      </c>
      <c r="AC1841" s="10" t="s">
        <v>4474</v>
      </c>
      <c r="AD1841" s="5" t="s">
        <v>1466</v>
      </c>
      <c r="AE1841" s="5" t="s">
        <v>4433</v>
      </c>
      <c r="AF1841" s="5" t="s">
        <v>4475</v>
      </c>
      <c r="AG1841" s="5" t="s">
        <v>4475</v>
      </c>
    </row>
    <row r="1842" spans="1:33" ht="10" customHeight="1" x14ac:dyDescent="0.2">
      <c r="A1842" s="5" t="s">
        <v>4313</v>
      </c>
      <c r="B1842" s="5" t="s">
        <v>4314</v>
      </c>
      <c r="D1842" s="5" t="s">
        <v>4476</v>
      </c>
      <c r="E1842" s="10" t="s">
        <v>345</v>
      </c>
      <c r="F1842" s="5" t="s">
        <v>4461</v>
      </c>
      <c r="I1842" s="11">
        <v>6</v>
      </c>
      <c r="K1842" s="10" t="s">
        <v>46</v>
      </c>
      <c r="L1842" s="5" t="s">
        <v>47</v>
      </c>
      <c r="M1842" s="5" t="s">
        <v>65</v>
      </c>
      <c r="O1842" s="12"/>
      <c r="P1842" s="13">
        <v>66900</v>
      </c>
      <c r="AC1842" s="10" t="s">
        <v>4477</v>
      </c>
      <c r="AD1842" s="5" t="s">
        <v>1466</v>
      </c>
      <c r="AE1842" s="5" t="s">
        <v>4433</v>
      </c>
      <c r="AF1842" s="5" t="s">
        <v>66</v>
      </c>
      <c r="AG1842" s="5" t="s">
        <v>66</v>
      </c>
    </row>
    <row r="1843" spans="1:33" ht="10" customHeight="1" x14ac:dyDescent="0.2">
      <c r="A1843" s="5" t="s">
        <v>4313</v>
      </c>
      <c r="B1843" s="5" t="s">
        <v>4314</v>
      </c>
      <c r="D1843" s="5" t="s">
        <v>4478</v>
      </c>
      <c r="E1843" s="10" t="s">
        <v>345</v>
      </c>
      <c r="F1843" s="5" t="s">
        <v>4461</v>
      </c>
      <c r="I1843" s="11">
        <v>6</v>
      </c>
      <c r="K1843" s="10" t="s">
        <v>46</v>
      </c>
      <c r="L1843" s="5" t="s">
        <v>47</v>
      </c>
      <c r="M1843" s="5" t="s">
        <v>178</v>
      </c>
      <c r="O1843" s="12"/>
      <c r="P1843" s="13">
        <v>21230</v>
      </c>
      <c r="AC1843" s="10" t="s">
        <v>4479</v>
      </c>
      <c r="AD1843" s="5" t="s">
        <v>1466</v>
      </c>
      <c r="AE1843" s="5" t="s">
        <v>4433</v>
      </c>
      <c r="AF1843" s="5" t="s">
        <v>4480</v>
      </c>
      <c r="AG1843" s="5" t="s">
        <v>4480</v>
      </c>
    </row>
    <row r="1844" spans="1:33" ht="10" customHeight="1" x14ac:dyDescent="0.2">
      <c r="A1844" s="5" t="s">
        <v>4313</v>
      </c>
      <c r="B1844" s="5" t="s">
        <v>4314</v>
      </c>
      <c r="D1844" s="5" t="s">
        <v>4481</v>
      </c>
      <c r="E1844" s="10" t="s">
        <v>345</v>
      </c>
      <c r="F1844" s="5" t="s">
        <v>4461</v>
      </c>
      <c r="I1844" s="11">
        <v>6</v>
      </c>
      <c r="K1844" s="12"/>
      <c r="O1844" s="12"/>
      <c r="P1844" s="13">
        <v>41840</v>
      </c>
      <c r="AC1844" s="10" t="s">
        <v>4482</v>
      </c>
      <c r="AD1844" s="5" t="s">
        <v>1466</v>
      </c>
      <c r="AE1844" s="5" t="s">
        <v>4433</v>
      </c>
      <c r="AF1844" s="5" t="s">
        <v>4483</v>
      </c>
      <c r="AG1844" s="5" t="s">
        <v>4483</v>
      </c>
    </row>
    <row r="1845" spans="1:33" ht="10" customHeight="1" x14ac:dyDescent="0.2">
      <c r="A1845" s="5" t="s">
        <v>4313</v>
      </c>
      <c r="B1845" s="5" t="s">
        <v>4314</v>
      </c>
      <c r="D1845" s="5" t="s">
        <v>4484</v>
      </c>
      <c r="E1845" s="10" t="s">
        <v>345</v>
      </c>
      <c r="F1845" s="5" t="s">
        <v>4461</v>
      </c>
      <c r="I1845" s="11">
        <v>6</v>
      </c>
      <c r="K1845" s="10" t="s">
        <v>46</v>
      </c>
      <c r="L1845" s="5" t="s">
        <v>47</v>
      </c>
      <c r="M1845" s="5" t="s">
        <v>48</v>
      </c>
      <c r="O1845" s="12"/>
      <c r="P1845" s="13">
        <v>242380</v>
      </c>
      <c r="AC1845" s="10" t="s">
        <v>4485</v>
      </c>
      <c r="AD1845" s="5" t="s">
        <v>1466</v>
      </c>
      <c r="AE1845" s="5" t="s">
        <v>4433</v>
      </c>
      <c r="AF1845" s="5" t="s">
        <v>4486</v>
      </c>
      <c r="AG1845" s="5" t="s">
        <v>4486</v>
      </c>
    </row>
    <row r="1846" spans="1:33" ht="10" customHeight="1" x14ac:dyDescent="0.2">
      <c r="A1846" s="5" t="s">
        <v>4313</v>
      </c>
      <c r="B1846" s="5" t="s">
        <v>4314</v>
      </c>
      <c r="D1846" s="5" t="s">
        <v>4487</v>
      </c>
      <c r="E1846" s="10" t="s">
        <v>345</v>
      </c>
      <c r="F1846" s="5" t="s">
        <v>4461</v>
      </c>
      <c r="I1846" s="11">
        <v>6</v>
      </c>
      <c r="K1846" s="10" t="s">
        <v>46</v>
      </c>
      <c r="L1846" s="5" t="s">
        <v>47</v>
      </c>
      <c r="M1846" s="5" t="s">
        <v>48</v>
      </c>
      <c r="O1846" s="12"/>
      <c r="P1846" s="13">
        <v>382740</v>
      </c>
      <c r="AC1846" s="10" t="s">
        <v>4488</v>
      </c>
      <c r="AD1846" s="5" t="s">
        <v>1466</v>
      </c>
      <c r="AE1846" s="5" t="s">
        <v>4433</v>
      </c>
      <c r="AF1846" s="5" t="s">
        <v>4489</v>
      </c>
      <c r="AG1846" s="5" t="s">
        <v>4489</v>
      </c>
    </row>
    <row r="1847" spans="1:33" ht="10" customHeight="1" x14ac:dyDescent="0.2">
      <c r="A1847" s="5" t="s">
        <v>4313</v>
      </c>
      <c r="B1847" s="5" t="s">
        <v>4314</v>
      </c>
      <c r="D1847" s="5" t="s">
        <v>4490</v>
      </c>
      <c r="E1847" s="10" t="s">
        <v>44</v>
      </c>
      <c r="I1847" s="11">
        <v>6</v>
      </c>
      <c r="K1847" s="12"/>
      <c r="O1847" s="12"/>
      <c r="P1847" s="13">
        <v>2152110</v>
      </c>
      <c r="AC1847" s="10" t="s">
        <v>4491</v>
      </c>
      <c r="AD1847" s="5" t="s">
        <v>1466</v>
      </c>
      <c r="AE1847" s="5" t="s">
        <v>4433</v>
      </c>
    </row>
    <row r="1848" spans="1:33" ht="10" customHeight="1" x14ac:dyDescent="0.2">
      <c r="A1848" s="5" t="s">
        <v>4313</v>
      </c>
      <c r="B1848" s="5" t="s">
        <v>4314</v>
      </c>
      <c r="D1848" s="5" t="s">
        <v>4492</v>
      </c>
      <c r="E1848" s="10" t="s">
        <v>345</v>
      </c>
      <c r="F1848" s="5" t="s">
        <v>4461</v>
      </c>
      <c r="I1848" s="11">
        <v>6</v>
      </c>
      <c r="K1848" s="12"/>
      <c r="O1848" s="12"/>
      <c r="Q1848" s="13">
        <v>129880</v>
      </c>
      <c r="AC1848" s="10" t="s">
        <v>4493</v>
      </c>
      <c r="AD1848" s="5" t="s">
        <v>1538</v>
      </c>
      <c r="AE1848" s="5" t="s">
        <v>4433</v>
      </c>
      <c r="AF1848" s="5" t="s">
        <v>4463</v>
      </c>
      <c r="AG1848" s="5" t="s">
        <v>4463</v>
      </c>
    </row>
    <row r="1849" spans="1:33" ht="10" customHeight="1" x14ac:dyDescent="0.2">
      <c r="A1849" s="5" t="s">
        <v>4313</v>
      </c>
      <c r="B1849" s="5" t="s">
        <v>4314</v>
      </c>
      <c r="D1849" s="5" t="s">
        <v>4494</v>
      </c>
      <c r="E1849" s="10" t="s">
        <v>345</v>
      </c>
      <c r="F1849" s="5" t="s">
        <v>4461</v>
      </c>
      <c r="I1849" s="11">
        <v>6</v>
      </c>
      <c r="K1849" s="10" t="s">
        <v>46</v>
      </c>
      <c r="L1849" s="5" t="s">
        <v>47</v>
      </c>
      <c r="M1849" s="5" t="s">
        <v>145</v>
      </c>
      <c r="O1849" s="12"/>
      <c r="Q1849" s="13">
        <v>15130</v>
      </c>
      <c r="AC1849" s="10" t="s">
        <v>4495</v>
      </c>
      <c r="AD1849" s="5" t="s">
        <v>1538</v>
      </c>
      <c r="AE1849" s="5" t="s">
        <v>4433</v>
      </c>
      <c r="AF1849" s="5" t="s">
        <v>4466</v>
      </c>
      <c r="AG1849" s="5" t="s">
        <v>4466</v>
      </c>
    </row>
    <row r="1850" spans="1:33" ht="10" customHeight="1" x14ac:dyDescent="0.2">
      <c r="A1850" s="5" t="s">
        <v>4313</v>
      </c>
      <c r="B1850" s="5" t="s">
        <v>4314</v>
      </c>
      <c r="D1850" s="5" t="s">
        <v>4496</v>
      </c>
      <c r="E1850" s="10" t="s">
        <v>345</v>
      </c>
      <c r="F1850" s="5" t="s">
        <v>4461</v>
      </c>
      <c r="I1850" s="11">
        <v>6</v>
      </c>
      <c r="K1850" s="12"/>
      <c r="O1850" s="12"/>
      <c r="Q1850" s="13">
        <v>341330</v>
      </c>
      <c r="AC1850" s="10" t="s">
        <v>4497</v>
      </c>
      <c r="AD1850" s="5" t="s">
        <v>1538</v>
      </c>
      <c r="AE1850" s="5" t="s">
        <v>4433</v>
      </c>
      <c r="AF1850" s="5" t="s">
        <v>4469</v>
      </c>
      <c r="AG1850" s="5" t="s">
        <v>4469</v>
      </c>
    </row>
    <row r="1851" spans="1:33" ht="10" customHeight="1" x14ac:dyDescent="0.2">
      <c r="A1851" s="5" t="s">
        <v>4313</v>
      </c>
      <c r="B1851" s="5" t="s">
        <v>4314</v>
      </c>
      <c r="D1851" s="5" t="s">
        <v>4498</v>
      </c>
      <c r="E1851" s="10" t="s">
        <v>345</v>
      </c>
      <c r="F1851" s="5" t="s">
        <v>4461</v>
      </c>
      <c r="I1851" s="11">
        <v>6</v>
      </c>
      <c r="K1851" s="12"/>
      <c r="O1851" s="12"/>
      <c r="Q1851" s="13">
        <v>139960</v>
      </c>
      <c r="AC1851" s="10" t="s">
        <v>4499</v>
      </c>
      <c r="AD1851" s="5" t="s">
        <v>1538</v>
      </c>
      <c r="AE1851" s="5" t="s">
        <v>4433</v>
      </c>
      <c r="AF1851" s="5" t="s">
        <v>4472</v>
      </c>
      <c r="AG1851" s="5" t="s">
        <v>4472</v>
      </c>
    </row>
    <row r="1852" spans="1:33" ht="10" customHeight="1" x14ac:dyDescent="0.2">
      <c r="A1852" s="5" t="s">
        <v>4313</v>
      </c>
      <c r="B1852" s="5" t="s">
        <v>4314</v>
      </c>
      <c r="D1852" s="5" t="s">
        <v>4500</v>
      </c>
      <c r="E1852" s="10" t="s">
        <v>345</v>
      </c>
      <c r="F1852" s="5" t="s">
        <v>4461</v>
      </c>
      <c r="I1852" s="11">
        <v>6</v>
      </c>
      <c r="K1852" s="10" t="s">
        <v>46</v>
      </c>
      <c r="L1852" s="5" t="s">
        <v>47</v>
      </c>
      <c r="M1852" s="5" t="s">
        <v>115</v>
      </c>
      <c r="O1852" s="12"/>
      <c r="Q1852" s="13">
        <v>833020</v>
      </c>
      <c r="AC1852" s="10" t="s">
        <v>4501</v>
      </c>
      <c r="AD1852" s="5" t="s">
        <v>1538</v>
      </c>
      <c r="AE1852" s="5" t="s">
        <v>4433</v>
      </c>
      <c r="AF1852" s="5" t="s">
        <v>4475</v>
      </c>
      <c r="AG1852" s="5" t="s">
        <v>4475</v>
      </c>
    </row>
    <row r="1853" spans="1:33" ht="10" customHeight="1" x14ac:dyDescent="0.2">
      <c r="A1853" s="5" t="s">
        <v>4313</v>
      </c>
      <c r="B1853" s="5" t="s">
        <v>4314</v>
      </c>
      <c r="D1853" s="5" t="s">
        <v>4502</v>
      </c>
      <c r="E1853" s="10" t="s">
        <v>345</v>
      </c>
      <c r="F1853" s="5" t="s">
        <v>4461</v>
      </c>
      <c r="I1853" s="11">
        <v>6</v>
      </c>
      <c r="K1853" s="10" t="s">
        <v>46</v>
      </c>
      <c r="L1853" s="5" t="s">
        <v>47</v>
      </c>
      <c r="M1853" s="5" t="s">
        <v>65</v>
      </c>
      <c r="O1853" s="12"/>
      <c r="Q1853" s="13">
        <v>54100</v>
      </c>
      <c r="AC1853" s="10" t="s">
        <v>4503</v>
      </c>
      <c r="AD1853" s="5" t="s">
        <v>1538</v>
      </c>
      <c r="AE1853" s="5" t="s">
        <v>4433</v>
      </c>
      <c r="AF1853" s="5" t="s">
        <v>66</v>
      </c>
      <c r="AG1853" s="5" t="s">
        <v>66</v>
      </c>
    </row>
    <row r="1854" spans="1:33" ht="10" customHeight="1" x14ac:dyDescent="0.2">
      <c r="A1854" s="5" t="s">
        <v>4313</v>
      </c>
      <c r="B1854" s="5" t="s">
        <v>4314</v>
      </c>
      <c r="D1854" s="5" t="s">
        <v>4504</v>
      </c>
      <c r="E1854" s="10" t="s">
        <v>345</v>
      </c>
      <c r="F1854" s="5" t="s">
        <v>4461</v>
      </c>
      <c r="I1854" s="11">
        <v>6</v>
      </c>
      <c r="K1854" s="10" t="s">
        <v>46</v>
      </c>
      <c r="L1854" s="5" t="s">
        <v>47</v>
      </c>
      <c r="M1854" s="5" t="s">
        <v>178</v>
      </c>
      <c r="O1854" s="12"/>
      <c r="Q1854" s="13">
        <v>21830</v>
      </c>
      <c r="AC1854" s="10" t="s">
        <v>4505</v>
      </c>
      <c r="AD1854" s="5" t="s">
        <v>1538</v>
      </c>
      <c r="AE1854" s="5" t="s">
        <v>4433</v>
      </c>
      <c r="AF1854" s="5" t="s">
        <v>4480</v>
      </c>
      <c r="AG1854" s="5" t="s">
        <v>4480</v>
      </c>
    </row>
    <row r="1855" spans="1:33" ht="10" customHeight="1" x14ac:dyDescent="0.2">
      <c r="A1855" s="5" t="s">
        <v>4313</v>
      </c>
      <c r="B1855" s="5" t="s">
        <v>4314</v>
      </c>
      <c r="D1855" s="5" t="s">
        <v>4506</v>
      </c>
      <c r="E1855" s="10" t="s">
        <v>345</v>
      </c>
      <c r="F1855" s="5" t="s">
        <v>4461</v>
      </c>
      <c r="I1855" s="11">
        <v>6</v>
      </c>
      <c r="K1855" s="12"/>
      <c r="O1855" s="12"/>
      <c r="Q1855" s="13">
        <v>41010</v>
      </c>
      <c r="AC1855" s="10" t="s">
        <v>4507</v>
      </c>
      <c r="AD1855" s="5" t="s">
        <v>1538</v>
      </c>
      <c r="AE1855" s="5" t="s">
        <v>4433</v>
      </c>
      <c r="AF1855" s="5" t="s">
        <v>4483</v>
      </c>
      <c r="AG1855" s="5" t="s">
        <v>4483</v>
      </c>
    </row>
    <row r="1856" spans="1:33" ht="10" customHeight="1" x14ac:dyDescent="0.2">
      <c r="A1856" s="5" t="s">
        <v>4313</v>
      </c>
      <c r="B1856" s="5" t="s">
        <v>4314</v>
      </c>
      <c r="D1856" s="5" t="s">
        <v>4508</v>
      </c>
      <c r="E1856" s="10" t="s">
        <v>345</v>
      </c>
      <c r="F1856" s="5" t="s">
        <v>4461</v>
      </c>
      <c r="I1856" s="11">
        <v>6</v>
      </c>
      <c r="K1856" s="10" t="s">
        <v>46</v>
      </c>
      <c r="L1856" s="5" t="s">
        <v>47</v>
      </c>
      <c r="M1856" s="5" t="s">
        <v>48</v>
      </c>
      <c r="O1856" s="12"/>
      <c r="Q1856" s="13">
        <v>309200</v>
      </c>
      <c r="AC1856" s="10" t="s">
        <v>4509</v>
      </c>
      <c r="AD1856" s="5" t="s">
        <v>1538</v>
      </c>
      <c r="AE1856" s="5" t="s">
        <v>4433</v>
      </c>
      <c r="AF1856" s="5" t="s">
        <v>4486</v>
      </c>
      <c r="AG1856" s="5" t="s">
        <v>4486</v>
      </c>
    </row>
    <row r="1857" spans="1:33" ht="10" customHeight="1" x14ac:dyDescent="0.2">
      <c r="A1857" s="5" t="s">
        <v>4313</v>
      </c>
      <c r="B1857" s="5" t="s">
        <v>4314</v>
      </c>
      <c r="D1857" s="5" t="s">
        <v>4510</v>
      </c>
      <c r="E1857" s="10" t="s">
        <v>345</v>
      </c>
      <c r="F1857" s="5" t="s">
        <v>4461</v>
      </c>
      <c r="I1857" s="11">
        <v>6</v>
      </c>
      <c r="K1857" s="10" t="s">
        <v>46</v>
      </c>
      <c r="L1857" s="5" t="s">
        <v>47</v>
      </c>
      <c r="M1857" s="5" t="s">
        <v>48</v>
      </c>
      <c r="O1857" s="12"/>
      <c r="Q1857" s="13">
        <v>447480</v>
      </c>
      <c r="AC1857" s="10" t="s">
        <v>4511</v>
      </c>
      <c r="AD1857" s="5" t="s">
        <v>1538</v>
      </c>
      <c r="AE1857" s="5" t="s">
        <v>4433</v>
      </c>
      <c r="AF1857" s="5" t="s">
        <v>4489</v>
      </c>
      <c r="AG1857" s="5" t="s">
        <v>4489</v>
      </c>
    </row>
    <row r="1858" spans="1:33" ht="10" customHeight="1" x14ac:dyDescent="0.2">
      <c r="A1858" s="5" t="s">
        <v>4313</v>
      </c>
      <c r="B1858" s="5" t="s">
        <v>4314</v>
      </c>
      <c r="D1858" s="5" t="s">
        <v>4512</v>
      </c>
      <c r="E1858" s="10" t="s">
        <v>345</v>
      </c>
      <c r="F1858" s="5" t="s">
        <v>4461</v>
      </c>
      <c r="I1858" s="11">
        <v>6</v>
      </c>
      <c r="K1858" s="12"/>
      <c r="O1858" s="12"/>
      <c r="Q1858" s="13">
        <v>34200</v>
      </c>
      <c r="AC1858" s="10" t="s">
        <v>4513</v>
      </c>
      <c r="AD1858" s="5" t="s">
        <v>1538</v>
      </c>
      <c r="AE1858" s="5" t="s">
        <v>4433</v>
      </c>
      <c r="AF1858" s="5" t="s">
        <v>4514</v>
      </c>
      <c r="AG1858" s="5" t="s">
        <v>4514</v>
      </c>
    </row>
    <row r="1859" spans="1:33" ht="10" customHeight="1" x14ac:dyDescent="0.2">
      <c r="A1859" s="5" t="s">
        <v>4313</v>
      </c>
      <c r="B1859" s="5" t="s">
        <v>4314</v>
      </c>
      <c r="D1859" s="5" t="s">
        <v>4515</v>
      </c>
      <c r="E1859" s="10" t="s">
        <v>44</v>
      </c>
      <c r="I1859" s="11">
        <v>6</v>
      </c>
      <c r="K1859" s="12"/>
      <c r="O1859" s="12"/>
      <c r="Q1859" s="13">
        <v>2367140</v>
      </c>
      <c r="AC1859" s="10" t="s">
        <v>4516</v>
      </c>
      <c r="AD1859" s="5" t="s">
        <v>1538</v>
      </c>
      <c r="AE1859" s="5" t="s">
        <v>4433</v>
      </c>
    </row>
    <row r="1860" spans="1:33" ht="10" customHeight="1" x14ac:dyDescent="0.2">
      <c r="A1860" s="5" t="s">
        <v>4313</v>
      </c>
      <c r="B1860" s="5" t="s">
        <v>4314</v>
      </c>
      <c r="D1860" s="5" t="s">
        <v>4517</v>
      </c>
      <c r="E1860" s="10" t="s">
        <v>345</v>
      </c>
      <c r="F1860" s="5" t="s">
        <v>4461</v>
      </c>
      <c r="I1860" s="11">
        <v>6</v>
      </c>
      <c r="K1860" s="12"/>
      <c r="O1860" s="12"/>
      <c r="S1860" s="13">
        <v>130080</v>
      </c>
      <c r="U1860" s="13">
        <v>130080</v>
      </c>
      <c r="AC1860" s="10" t="s">
        <v>4518</v>
      </c>
      <c r="AD1860" s="5" t="s">
        <v>1567</v>
      </c>
      <c r="AE1860" s="5" t="s">
        <v>4433</v>
      </c>
      <c r="AF1860" s="5" t="s">
        <v>4463</v>
      </c>
      <c r="AG1860" s="5" t="s">
        <v>4463</v>
      </c>
    </row>
    <row r="1861" spans="1:33" ht="10" customHeight="1" x14ac:dyDescent="0.2">
      <c r="A1861" s="5" t="s">
        <v>4313</v>
      </c>
      <c r="B1861" s="5" t="s">
        <v>4314</v>
      </c>
      <c r="D1861" s="5" t="s">
        <v>4519</v>
      </c>
      <c r="E1861" s="10" t="s">
        <v>345</v>
      </c>
      <c r="F1861" s="5" t="s">
        <v>4461</v>
      </c>
      <c r="I1861" s="11">
        <v>6</v>
      </c>
      <c r="K1861" s="10" t="s">
        <v>46</v>
      </c>
      <c r="L1861" s="5" t="s">
        <v>47</v>
      </c>
      <c r="M1861" s="5" t="s">
        <v>145</v>
      </c>
      <c r="O1861" s="12"/>
      <c r="S1861" s="13">
        <v>21700</v>
      </c>
      <c r="U1861" s="13">
        <v>21700</v>
      </c>
      <c r="AC1861" s="10" t="s">
        <v>4520</v>
      </c>
      <c r="AD1861" s="5" t="s">
        <v>1567</v>
      </c>
      <c r="AE1861" s="5" t="s">
        <v>4433</v>
      </c>
      <c r="AF1861" s="5" t="s">
        <v>4466</v>
      </c>
      <c r="AG1861" s="5" t="s">
        <v>4466</v>
      </c>
    </row>
    <row r="1862" spans="1:33" ht="10" customHeight="1" x14ac:dyDescent="0.2">
      <c r="A1862" s="5" t="s">
        <v>4313</v>
      </c>
      <c r="B1862" s="5" t="s">
        <v>4314</v>
      </c>
      <c r="D1862" s="5" t="s">
        <v>4521</v>
      </c>
      <c r="E1862" s="10" t="s">
        <v>345</v>
      </c>
      <c r="F1862" s="5" t="s">
        <v>4461</v>
      </c>
      <c r="I1862" s="11">
        <v>6</v>
      </c>
      <c r="K1862" s="12"/>
      <c r="O1862" s="12"/>
      <c r="S1862" s="13">
        <v>544420</v>
      </c>
      <c r="U1862" s="13">
        <v>544420</v>
      </c>
      <c r="AC1862" s="10" t="s">
        <v>4522</v>
      </c>
      <c r="AD1862" s="5" t="s">
        <v>1567</v>
      </c>
      <c r="AE1862" s="5" t="s">
        <v>4433</v>
      </c>
      <c r="AF1862" s="5" t="s">
        <v>4469</v>
      </c>
      <c r="AG1862" s="5" t="s">
        <v>4469</v>
      </c>
    </row>
    <row r="1863" spans="1:33" ht="10" customHeight="1" x14ac:dyDescent="0.2">
      <c r="A1863" s="5" t="s">
        <v>4313</v>
      </c>
      <c r="B1863" s="5" t="s">
        <v>4314</v>
      </c>
      <c r="D1863" s="5" t="s">
        <v>4523</v>
      </c>
      <c r="E1863" s="10" t="s">
        <v>345</v>
      </c>
      <c r="F1863" s="5" t="s">
        <v>4461</v>
      </c>
      <c r="I1863" s="11">
        <v>6</v>
      </c>
      <c r="K1863" s="12"/>
      <c r="O1863" s="12"/>
      <c r="S1863" s="13">
        <v>190460</v>
      </c>
      <c r="U1863" s="13">
        <v>190460</v>
      </c>
      <c r="AC1863" s="10" t="s">
        <v>4524</v>
      </c>
      <c r="AD1863" s="5" t="s">
        <v>1567</v>
      </c>
      <c r="AE1863" s="5" t="s">
        <v>4433</v>
      </c>
      <c r="AF1863" s="5" t="s">
        <v>4472</v>
      </c>
      <c r="AG1863" s="5" t="s">
        <v>4472</v>
      </c>
    </row>
    <row r="1864" spans="1:33" ht="10" customHeight="1" x14ac:dyDescent="0.2">
      <c r="A1864" s="5" t="s">
        <v>4313</v>
      </c>
      <c r="B1864" s="5" t="s">
        <v>4314</v>
      </c>
      <c r="D1864" s="5" t="s">
        <v>4525</v>
      </c>
      <c r="E1864" s="10" t="s">
        <v>345</v>
      </c>
      <c r="F1864" s="5" t="s">
        <v>4461</v>
      </c>
      <c r="I1864" s="11">
        <v>6</v>
      </c>
      <c r="K1864" s="10" t="s">
        <v>46</v>
      </c>
      <c r="L1864" s="5" t="s">
        <v>47</v>
      </c>
      <c r="M1864" s="5" t="s">
        <v>115</v>
      </c>
      <c r="O1864" s="12"/>
      <c r="S1864" s="13">
        <v>676910</v>
      </c>
      <c r="U1864" s="13">
        <v>676910</v>
      </c>
      <c r="AC1864" s="10" t="s">
        <v>4526</v>
      </c>
      <c r="AD1864" s="5" t="s">
        <v>1567</v>
      </c>
      <c r="AE1864" s="5" t="s">
        <v>4433</v>
      </c>
      <c r="AF1864" s="5" t="s">
        <v>4475</v>
      </c>
      <c r="AG1864" s="5" t="s">
        <v>4475</v>
      </c>
    </row>
    <row r="1865" spans="1:33" ht="10" customHeight="1" x14ac:dyDescent="0.2">
      <c r="A1865" s="5" t="s">
        <v>4313</v>
      </c>
      <c r="B1865" s="5" t="s">
        <v>4314</v>
      </c>
      <c r="D1865" s="5" t="s">
        <v>4527</v>
      </c>
      <c r="E1865" s="10" t="s">
        <v>345</v>
      </c>
      <c r="F1865" s="5" t="s">
        <v>4461</v>
      </c>
      <c r="I1865" s="11">
        <v>6</v>
      </c>
      <c r="K1865" s="10" t="s">
        <v>46</v>
      </c>
      <c r="L1865" s="5" t="s">
        <v>47</v>
      </c>
      <c r="M1865" s="5" t="s">
        <v>65</v>
      </c>
      <c r="O1865" s="12"/>
      <c r="S1865" s="13">
        <v>89070</v>
      </c>
      <c r="U1865" s="13">
        <v>89070</v>
      </c>
      <c r="AC1865" s="10" t="s">
        <v>4528</v>
      </c>
      <c r="AD1865" s="5" t="s">
        <v>1567</v>
      </c>
      <c r="AE1865" s="5" t="s">
        <v>4433</v>
      </c>
      <c r="AF1865" s="5" t="s">
        <v>66</v>
      </c>
      <c r="AG1865" s="5" t="s">
        <v>66</v>
      </c>
    </row>
    <row r="1866" spans="1:33" ht="10" customHeight="1" x14ac:dyDescent="0.2">
      <c r="A1866" s="5" t="s">
        <v>4313</v>
      </c>
      <c r="B1866" s="5" t="s">
        <v>4314</v>
      </c>
      <c r="D1866" s="5" t="s">
        <v>4529</v>
      </c>
      <c r="E1866" s="10" t="s">
        <v>345</v>
      </c>
      <c r="F1866" s="5" t="s">
        <v>4461</v>
      </c>
      <c r="I1866" s="11">
        <v>6</v>
      </c>
      <c r="K1866" s="10" t="s">
        <v>46</v>
      </c>
      <c r="L1866" s="5" t="s">
        <v>47</v>
      </c>
      <c r="M1866" s="5" t="s">
        <v>178</v>
      </c>
      <c r="O1866" s="12"/>
      <c r="S1866" s="13">
        <v>31090</v>
      </c>
      <c r="U1866" s="13">
        <v>31090</v>
      </c>
      <c r="AC1866" s="10" t="s">
        <v>4530</v>
      </c>
      <c r="AD1866" s="5" t="s">
        <v>1567</v>
      </c>
      <c r="AE1866" s="5" t="s">
        <v>4433</v>
      </c>
      <c r="AF1866" s="5" t="s">
        <v>4480</v>
      </c>
      <c r="AG1866" s="5" t="s">
        <v>4480</v>
      </c>
    </row>
    <row r="1867" spans="1:33" ht="10" customHeight="1" x14ac:dyDescent="0.2">
      <c r="A1867" s="5" t="s">
        <v>4313</v>
      </c>
      <c r="B1867" s="5" t="s">
        <v>4314</v>
      </c>
      <c r="D1867" s="5" t="s">
        <v>4531</v>
      </c>
      <c r="E1867" s="10" t="s">
        <v>345</v>
      </c>
      <c r="F1867" s="5" t="s">
        <v>4461</v>
      </c>
      <c r="I1867" s="11">
        <v>6</v>
      </c>
      <c r="K1867" s="12"/>
      <c r="O1867" s="12"/>
      <c r="S1867" s="13">
        <v>47680</v>
      </c>
      <c r="U1867" s="13">
        <v>47680</v>
      </c>
      <c r="AC1867" s="10" t="s">
        <v>4532</v>
      </c>
      <c r="AD1867" s="5" t="s">
        <v>1567</v>
      </c>
      <c r="AE1867" s="5" t="s">
        <v>4433</v>
      </c>
      <c r="AF1867" s="5" t="s">
        <v>4483</v>
      </c>
      <c r="AG1867" s="5" t="s">
        <v>4483</v>
      </c>
    </row>
    <row r="1868" spans="1:33" ht="10" customHeight="1" x14ac:dyDescent="0.2">
      <c r="A1868" s="5" t="s">
        <v>4313</v>
      </c>
      <c r="B1868" s="5" t="s">
        <v>4314</v>
      </c>
      <c r="D1868" s="5" t="s">
        <v>4533</v>
      </c>
      <c r="E1868" s="10" t="s">
        <v>345</v>
      </c>
      <c r="F1868" s="5" t="s">
        <v>4461</v>
      </c>
      <c r="I1868" s="11">
        <v>6</v>
      </c>
      <c r="K1868" s="10" t="s">
        <v>46</v>
      </c>
      <c r="L1868" s="5" t="s">
        <v>47</v>
      </c>
      <c r="M1868" s="5" t="s">
        <v>48</v>
      </c>
      <c r="O1868" s="12"/>
      <c r="S1868" s="13">
        <v>252210</v>
      </c>
      <c r="U1868" s="13">
        <v>252210</v>
      </c>
      <c r="AC1868" s="10" t="s">
        <v>4534</v>
      </c>
      <c r="AD1868" s="5" t="s">
        <v>1567</v>
      </c>
      <c r="AE1868" s="5" t="s">
        <v>4433</v>
      </c>
      <c r="AF1868" s="5" t="s">
        <v>4486</v>
      </c>
      <c r="AG1868" s="5" t="s">
        <v>4486</v>
      </c>
    </row>
    <row r="1869" spans="1:33" ht="10" customHeight="1" x14ac:dyDescent="0.2">
      <c r="A1869" s="5" t="s">
        <v>4313</v>
      </c>
      <c r="B1869" s="5" t="s">
        <v>4314</v>
      </c>
      <c r="D1869" s="5" t="s">
        <v>4535</v>
      </c>
      <c r="E1869" s="10" t="s">
        <v>345</v>
      </c>
      <c r="F1869" s="5" t="s">
        <v>4461</v>
      </c>
      <c r="I1869" s="11">
        <v>6</v>
      </c>
      <c r="K1869" s="10" t="s">
        <v>46</v>
      </c>
      <c r="L1869" s="5" t="s">
        <v>47</v>
      </c>
      <c r="M1869" s="5" t="s">
        <v>48</v>
      </c>
      <c r="O1869" s="12"/>
      <c r="S1869" s="13">
        <v>391730</v>
      </c>
      <c r="U1869" s="13">
        <v>391730</v>
      </c>
      <c r="AC1869" s="10" t="s">
        <v>4536</v>
      </c>
      <c r="AD1869" s="5" t="s">
        <v>1567</v>
      </c>
      <c r="AE1869" s="5" t="s">
        <v>4433</v>
      </c>
      <c r="AF1869" s="5" t="s">
        <v>4489</v>
      </c>
      <c r="AG1869" s="5" t="s">
        <v>4489</v>
      </c>
    </row>
    <row r="1870" spans="1:33" ht="10" customHeight="1" x14ac:dyDescent="0.2">
      <c r="A1870" s="5" t="s">
        <v>4313</v>
      </c>
      <c r="B1870" s="5" t="s">
        <v>4314</v>
      </c>
      <c r="D1870" s="5" t="s">
        <v>4537</v>
      </c>
      <c r="E1870" s="10" t="s">
        <v>345</v>
      </c>
      <c r="F1870" s="5" t="s">
        <v>4461</v>
      </c>
      <c r="I1870" s="11">
        <v>6</v>
      </c>
      <c r="K1870" s="12"/>
      <c r="O1870" s="12"/>
      <c r="S1870" s="13">
        <v>11000</v>
      </c>
      <c r="U1870" s="13">
        <v>11000</v>
      </c>
      <c r="AC1870" s="10" t="s">
        <v>4538</v>
      </c>
      <c r="AD1870" s="5" t="s">
        <v>1567</v>
      </c>
      <c r="AE1870" s="5" t="s">
        <v>4433</v>
      </c>
      <c r="AF1870" s="5" t="s">
        <v>4514</v>
      </c>
      <c r="AG1870" s="5" t="s">
        <v>4514</v>
      </c>
    </row>
    <row r="1871" spans="1:33" ht="10" customHeight="1" x14ac:dyDescent="0.2">
      <c r="A1871" s="5" t="s">
        <v>4313</v>
      </c>
      <c r="B1871" s="5" t="s">
        <v>4314</v>
      </c>
      <c r="D1871" s="5" t="s">
        <v>4539</v>
      </c>
      <c r="E1871" s="10" t="s">
        <v>44</v>
      </c>
      <c r="I1871" s="11">
        <v>6</v>
      </c>
      <c r="K1871" s="12"/>
      <c r="O1871" s="12"/>
      <c r="S1871" s="13">
        <v>2386350</v>
      </c>
      <c r="U1871" s="13">
        <v>2386350</v>
      </c>
      <c r="AC1871" s="10" t="s">
        <v>4540</v>
      </c>
      <c r="AD1871" s="5" t="s">
        <v>1567</v>
      </c>
      <c r="AE1871" s="5" t="s">
        <v>4433</v>
      </c>
    </row>
    <row r="1872" spans="1:33" ht="10" customHeight="1" x14ac:dyDescent="0.2">
      <c r="A1872" s="5" t="s">
        <v>4313</v>
      </c>
      <c r="B1872" s="5" t="s">
        <v>4314</v>
      </c>
      <c r="D1872" s="5" t="s">
        <v>4541</v>
      </c>
      <c r="E1872" s="10" t="s">
        <v>53</v>
      </c>
      <c r="F1872" s="5" t="s">
        <v>4542</v>
      </c>
      <c r="I1872" s="11">
        <v>6</v>
      </c>
      <c r="K1872" s="12"/>
      <c r="O1872" s="12"/>
      <c r="P1872" s="13">
        <v>7233240</v>
      </c>
      <c r="Q1872" s="13">
        <v>6796190</v>
      </c>
      <c r="S1872" s="13">
        <v>6697130</v>
      </c>
      <c r="U1872" s="13">
        <v>6697130</v>
      </c>
      <c r="AC1872" s="10" t="s">
        <v>4543</v>
      </c>
      <c r="AD1872" s="5" t="s">
        <v>1735</v>
      </c>
      <c r="AE1872" s="5" t="s">
        <v>4459</v>
      </c>
      <c r="AF1872" s="5" t="s">
        <v>4351</v>
      </c>
      <c r="AG1872" s="5" t="s">
        <v>4351</v>
      </c>
    </row>
    <row r="1873" spans="1:33" ht="10" customHeight="1" x14ac:dyDescent="0.2">
      <c r="A1873" s="5" t="s">
        <v>4313</v>
      </c>
      <c r="B1873" s="5" t="s">
        <v>4314</v>
      </c>
      <c r="D1873" s="5" t="s">
        <v>4544</v>
      </c>
      <c r="E1873" s="10" t="s">
        <v>53</v>
      </c>
      <c r="F1873" s="5" t="s">
        <v>4542</v>
      </c>
      <c r="I1873" s="11">
        <v>1</v>
      </c>
      <c r="J1873" s="5" t="s">
        <v>246</v>
      </c>
      <c r="K1873" s="12"/>
      <c r="O1873" s="12"/>
      <c r="P1873" s="13">
        <v>41340</v>
      </c>
      <c r="Q1873" s="13">
        <v>83030</v>
      </c>
      <c r="S1873" s="13">
        <v>108950</v>
      </c>
      <c r="U1873" s="13">
        <v>108950</v>
      </c>
      <c r="AC1873" s="10" t="s">
        <v>4545</v>
      </c>
      <c r="AD1873" s="5" t="s">
        <v>1735</v>
      </c>
      <c r="AE1873" s="5" t="s">
        <v>4459</v>
      </c>
      <c r="AF1873" s="5" t="s">
        <v>4357</v>
      </c>
      <c r="AG1873" s="5" t="s">
        <v>4357</v>
      </c>
    </row>
    <row r="1874" spans="1:33" ht="10" customHeight="1" x14ac:dyDescent="0.2">
      <c r="A1874" s="5" t="s">
        <v>4313</v>
      </c>
      <c r="B1874" s="5" t="s">
        <v>4314</v>
      </c>
      <c r="D1874" s="5" t="s">
        <v>4546</v>
      </c>
      <c r="E1874" s="10" t="s">
        <v>53</v>
      </c>
      <c r="F1874" s="5" t="s">
        <v>4542</v>
      </c>
      <c r="I1874" s="11">
        <v>6</v>
      </c>
      <c r="K1874" s="12"/>
      <c r="O1874" s="12"/>
      <c r="P1874" s="13">
        <v>1367760</v>
      </c>
      <c r="Q1874" s="13">
        <v>1061610</v>
      </c>
      <c r="S1874" s="13">
        <v>1332940</v>
      </c>
      <c r="U1874" s="13">
        <v>1332940</v>
      </c>
      <c r="AC1874" s="10" t="s">
        <v>4547</v>
      </c>
      <c r="AD1874" s="5" t="s">
        <v>1735</v>
      </c>
      <c r="AE1874" s="5" t="s">
        <v>4459</v>
      </c>
      <c r="AF1874" s="5" t="s">
        <v>4548</v>
      </c>
      <c r="AG1874" s="5" t="s">
        <v>4548</v>
      </c>
    </row>
    <row r="1875" spans="1:33" ht="10" customHeight="1" x14ac:dyDescent="0.2">
      <c r="A1875" s="5" t="s">
        <v>4313</v>
      </c>
      <c r="B1875" s="5" t="s">
        <v>4314</v>
      </c>
      <c r="D1875" s="5" t="s">
        <v>4549</v>
      </c>
      <c r="E1875" s="10" t="s">
        <v>53</v>
      </c>
      <c r="F1875" s="5" t="s">
        <v>4542</v>
      </c>
      <c r="I1875" s="11">
        <v>6</v>
      </c>
      <c r="K1875" s="12"/>
      <c r="O1875" s="12"/>
      <c r="P1875" s="13">
        <v>250860</v>
      </c>
      <c r="Q1875" s="13">
        <v>122200</v>
      </c>
      <c r="S1875" s="13">
        <v>140500</v>
      </c>
      <c r="U1875" s="13">
        <v>140500</v>
      </c>
      <c r="AC1875" s="10" t="s">
        <v>4550</v>
      </c>
      <c r="AD1875" s="5" t="s">
        <v>1735</v>
      </c>
      <c r="AE1875" s="5" t="s">
        <v>4459</v>
      </c>
      <c r="AF1875" s="5" t="s">
        <v>4360</v>
      </c>
      <c r="AG1875" s="5" t="s">
        <v>4360</v>
      </c>
    </row>
    <row r="1876" spans="1:33" ht="10" customHeight="1" x14ac:dyDescent="0.2">
      <c r="A1876" s="5" t="s">
        <v>4313</v>
      </c>
      <c r="B1876" s="5" t="s">
        <v>4314</v>
      </c>
      <c r="D1876" s="5" t="s">
        <v>4551</v>
      </c>
      <c r="E1876" s="10" t="s">
        <v>53</v>
      </c>
      <c r="F1876" s="5" t="s">
        <v>4542</v>
      </c>
      <c r="I1876" s="11">
        <v>6</v>
      </c>
      <c r="K1876" s="12"/>
      <c r="O1876" s="12"/>
      <c r="P1876" s="13">
        <v>186890</v>
      </c>
      <c r="Q1876" s="13">
        <v>154870</v>
      </c>
      <c r="S1876" s="13">
        <v>168170</v>
      </c>
      <c r="U1876" s="13">
        <v>168170</v>
      </c>
      <c r="AC1876" s="10" t="s">
        <v>4552</v>
      </c>
      <c r="AD1876" s="5" t="s">
        <v>1735</v>
      </c>
      <c r="AE1876" s="5" t="s">
        <v>4459</v>
      </c>
      <c r="AF1876" s="5" t="s">
        <v>4553</v>
      </c>
      <c r="AG1876" s="5" t="s">
        <v>4553</v>
      </c>
    </row>
    <row r="1877" spans="1:33" ht="10" customHeight="1" x14ac:dyDescent="0.2">
      <c r="A1877" s="5" t="s">
        <v>4313</v>
      </c>
      <c r="B1877" s="5" t="s">
        <v>4314</v>
      </c>
      <c r="D1877" s="5" t="s">
        <v>4554</v>
      </c>
      <c r="E1877" s="10" t="s">
        <v>53</v>
      </c>
      <c r="F1877" s="5" t="s">
        <v>4542</v>
      </c>
      <c r="I1877" s="11">
        <v>6</v>
      </c>
      <c r="K1877" s="12"/>
      <c r="O1877" s="12"/>
      <c r="P1877" s="13">
        <v>233340</v>
      </c>
      <c r="Q1877" s="13">
        <v>228270</v>
      </c>
      <c r="S1877" s="13">
        <v>184880</v>
      </c>
      <c r="U1877" s="13">
        <v>184880</v>
      </c>
      <c r="AC1877" s="10" t="s">
        <v>4555</v>
      </c>
      <c r="AD1877" s="5" t="s">
        <v>1735</v>
      </c>
      <c r="AE1877" s="5" t="s">
        <v>4459</v>
      </c>
      <c r="AF1877" s="5" t="s">
        <v>4556</v>
      </c>
      <c r="AG1877" s="5" t="s">
        <v>4556</v>
      </c>
    </row>
    <row r="1878" spans="1:33" ht="10" customHeight="1" x14ac:dyDescent="0.2">
      <c r="A1878" s="5" t="s">
        <v>4313</v>
      </c>
      <c r="B1878" s="5" t="s">
        <v>4314</v>
      </c>
      <c r="D1878" s="5" t="s">
        <v>4542</v>
      </c>
      <c r="E1878" s="10" t="s">
        <v>44</v>
      </c>
      <c r="I1878" s="11">
        <v>6</v>
      </c>
      <c r="K1878" s="12"/>
      <c r="O1878" s="12"/>
      <c r="P1878" s="13">
        <v>9747270</v>
      </c>
      <c r="Q1878" s="13">
        <v>8815570</v>
      </c>
      <c r="S1878" s="13">
        <v>8914710</v>
      </c>
      <c r="U1878" s="13">
        <v>8914710</v>
      </c>
      <c r="AC1878" s="10" t="s">
        <v>4557</v>
      </c>
      <c r="AD1878" s="5" t="s">
        <v>1735</v>
      </c>
      <c r="AE1878" s="5" t="s">
        <v>4459</v>
      </c>
    </row>
    <row r="1879" spans="1:33" ht="10" customHeight="1" x14ac:dyDescent="0.2">
      <c r="A1879" s="5" t="s">
        <v>4313</v>
      </c>
      <c r="B1879" s="5" t="s">
        <v>4314</v>
      </c>
      <c r="D1879" s="5" t="s">
        <v>4558</v>
      </c>
      <c r="E1879" s="10" t="s">
        <v>184</v>
      </c>
      <c r="I1879" s="11">
        <v>6</v>
      </c>
      <c r="K1879" s="12"/>
      <c r="O1879" s="12"/>
      <c r="P1879" s="13">
        <v>2529770</v>
      </c>
      <c r="Q1879" s="13">
        <v>3168410</v>
      </c>
      <c r="S1879" s="13">
        <v>3668370</v>
      </c>
      <c r="U1879" s="13">
        <v>3668370</v>
      </c>
      <c r="AC1879" s="10" t="s">
        <v>4559</v>
      </c>
      <c r="AD1879" s="5" t="s">
        <v>1735</v>
      </c>
      <c r="AE1879" s="5" t="s">
        <v>4459</v>
      </c>
    </row>
    <row r="1880" spans="1:33" ht="10" customHeight="1" x14ac:dyDescent="0.2">
      <c r="A1880" s="5" t="s">
        <v>4313</v>
      </c>
      <c r="B1880" s="5" t="s">
        <v>4314</v>
      </c>
      <c r="D1880" s="5" t="s">
        <v>4560</v>
      </c>
      <c r="E1880" s="10" t="s">
        <v>345</v>
      </c>
      <c r="F1880" s="5" t="s">
        <v>4542</v>
      </c>
      <c r="I1880" s="11">
        <v>6</v>
      </c>
      <c r="K1880" s="12"/>
      <c r="O1880" s="12"/>
      <c r="P1880" s="13">
        <v>9108220</v>
      </c>
      <c r="Q1880" s="13">
        <v>8121960</v>
      </c>
      <c r="S1880" s="13">
        <v>8998380</v>
      </c>
      <c r="U1880" s="13">
        <v>8998380</v>
      </c>
      <c r="AC1880" s="10" t="s">
        <v>4561</v>
      </c>
      <c r="AD1880" s="5" t="s">
        <v>1735</v>
      </c>
      <c r="AE1880" s="5" t="s">
        <v>4459</v>
      </c>
      <c r="AF1880" s="5" t="s">
        <v>4562</v>
      </c>
      <c r="AG1880" s="5" t="s">
        <v>4562</v>
      </c>
    </row>
    <row r="1881" spans="1:33" ht="10" customHeight="1" x14ac:dyDescent="0.2">
      <c r="A1881" s="5" t="s">
        <v>4313</v>
      </c>
      <c r="B1881" s="5" t="s">
        <v>4314</v>
      </c>
      <c r="D1881" s="5" t="s">
        <v>4563</v>
      </c>
      <c r="E1881" s="10" t="s">
        <v>44</v>
      </c>
      <c r="I1881" s="11">
        <v>6</v>
      </c>
      <c r="K1881" s="12"/>
      <c r="O1881" s="12"/>
      <c r="P1881" s="13">
        <v>9110000</v>
      </c>
      <c r="Q1881" s="13">
        <v>8122000</v>
      </c>
      <c r="S1881" s="13">
        <v>8998000</v>
      </c>
      <c r="U1881" s="13">
        <v>8998000</v>
      </c>
      <c r="AC1881" s="10" t="s">
        <v>4564</v>
      </c>
      <c r="AD1881" s="5" t="s">
        <v>1746</v>
      </c>
      <c r="AE1881" s="5" t="s">
        <v>4459</v>
      </c>
    </row>
    <row r="1882" spans="1:33" ht="10" customHeight="1" x14ac:dyDescent="0.2">
      <c r="A1882" s="5" t="s">
        <v>4313</v>
      </c>
      <c r="B1882" s="5" t="s">
        <v>4314</v>
      </c>
      <c r="D1882" s="5" t="s">
        <v>4565</v>
      </c>
      <c r="E1882" s="10" t="s">
        <v>53</v>
      </c>
      <c r="F1882" s="5" t="s">
        <v>4566</v>
      </c>
      <c r="I1882" s="11">
        <v>6</v>
      </c>
      <c r="K1882" s="12"/>
      <c r="O1882" s="12"/>
      <c r="P1882" s="13">
        <v>5337000</v>
      </c>
      <c r="Q1882" s="13">
        <v>5089000</v>
      </c>
      <c r="S1882" s="13">
        <v>8455000</v>
      </c>
      <c r="U1882" s="13">
        <v>8455000</v>
      </c>
      <c r="AC1882" s="10" t="s">
        <v>4567</v>
      </c>
      <c r="AD1882" s="5" t="s">
        <v>1746</v>
      </c>
      <c r="AE1882" s="5" t="s">
        <v>4459</v>
      </c>
      <c r="AF1882" s="5" t="s">
        <v>4568</v>
      </c>
      <c r="AG1882" s="5" t="s">
        <v>4568</v>
      </c>
    </row>
    <row r="1883" spans="1:33" ht="10" customHeight="1" x14ac:dyDescent="0.2">
      <c r="A1883" s="5" t="s">
        <v>4313</v>
      </c>
      <c r="B1883" s="5" t="s">
        <v>4314</v>
      </c>
      <c r="D1883" s="5" t="s">
        <v>4569</v>
      </c>
      <c r="E1883" s="10" t="s">
        <v>53</v>
      </c>
      <c r="F1883" s="5" t="s">
        <v>4566</v>
      </c>
      <c r="I1883" s="11">
        <v>6</v>
      </c>
      <c r="K1883" s="12"/>
      <c r="O1883" s="12"/>
      <c r="P1883" s="13">
        <v>970000</v>
      </c>
      <c r="Q1883" s="13">
        <v>1056000</v>
      </c>
      <c r="S1883" s="13">
        <v>1122000</v>
      </c>
      <c r="U1883" s="13">
        <v>1122000</v>
      </c>
      <c r="AC1883" s="10" t="s">
        <v>4570</v>
      </c>
      <c r="AD1883" s="5" t="s">
        <v>1746</v>
      </c>
      <c r="AE1883" s="5" t="s">
        <v>4459</v>
      </c>
      <c r="AF1883" s="5" t="s">
        <v>4571</v>
      </c>
      <c r="AG1883" s="5" t="s">
        <v>4571</v>
      </c>
    </row>
    <row r="1884" spans="1:33" ht="10" customHeight="1" x14ac:dyDescent="0.2">
      <c r="A1884" s="5" t="s">
        <v>4313</v>
      </c>
      <c r="B1884" s="5" t="s">
        <v>4314</v>
      </c>
      <c r="D1884" s="5" t="s">
        <v>4566</v>
      </c>
      <c r="E1884" s="10" t="s">
        <v>44</v>
      </c>
      <c r="I1884" s="11">
        <v>6</v>
      </c>
      <c r="K1884" s="12"/>
      <c r="O1884" s="12"/>
      <c r="P1884" s="13">
        <v>7732000</v>
      </c>
      <c r="Q1884" s="13">
        <v>7619000</v>
      </c>
      <c r="S1884" s="13">
        <v>10909000</v>
      </c>
      <c r="U1884" s="13">
        <v>10909000</v>
      </c>
      <c r="AC1884" s="10" t="s">
        <v>4572</v>
      </c>
      <c r="AD1884" s="5" t="s">
        <v>1746</v>
      </c>
      <c r="AE1884" s="5" t="s">
        <v>4459</v>
      </c>
    </row>
    <row r="1885" spans="1:33" ht="10" customHeight="1" x14ac:dyDescent="0.2">
      <c r="A1885" s="5" t="s">
        <v>4313</v>
      </c>
      <c r="B1885" s="5" t="s">
        <v>4314</v>
      </c>
      <c r="D1885" s="5" t="s">
        <v>4573</v>
      </c>
      <c r="E1885" s="10" t="s">
        <v>184</v>
      </c>
      <c r="I1885" s="11">
        <v>6</v>
      </c>
      <c r="K1885" s="12"/>
      <c r="O1885" s="12"/>
      <c r="P1885" s="13">
        <v>1378000</v>
      </c>
      <c r="Q1885" s="13">
        <v>503000</v>
      </c>
      <c r="S1885" s="13">
        <v>-1911000</v>
      </c>
      <c r="U1885" s="13">
        <v>-1911000</v>
      </c>
      <c r="AC1885" s="10" t="s">
        <v>4574</v>
      </c>
      <c r="AD1885" s="5" t="s">
        <v>1746</v>
      </c>
      <c r="AE1885" s="5" t="s">
        <v>4459</v>
      </c>
    </row>
    <row r="1886" spans="1:33" ht="10" customHeight="1" x14ac:dyDescent="0.2">
      <c r="A1886" s="5" t="s">
        <v>4313</v>
      </c>
      <c r="B1886" s="5" t="s">
        <v>4314</v>
      </c>
      <c r="D1886" s="5" t="s">
        <v>4575</v>
      </c>
      <c r="E1886" s="10" t="s">
        <v>184</v>
      </c>
      <c r="I1886" s="11">
        <v>6</v>
      </c>
      <c r="J1886" s="5" t="s">
        <v>4421</v>
      </c>
      <c r="K1886" s="10" t="s">
        <v>46</v>
      </c>
      <c r="L1886" s="5" t="s">
        <v>47</v>
      </c>
      <c r="M1886" s="5" t="s">
        <v>48</v>
      </c>
      <c r="N1886" s="5" t="s">
        <v>84</v>
      </c>
      <c r="O1886" s="12"/>
      <c r="S1886" s="13">
        <v>909000</v>
      </c>
      <c r="U1886" s="13">
        <v>909000</v>
      </c>
      <c r="AC1886" s="10" t="s">
        <v>4576</v>
      </c>
      <c r="AD1886" s="5" t="s">
        <v>1299</v>
      </c>
      <c r="AE1886" s="5" t="s">
        <v>4459</v>
      </c>
    </row>
    <row r="1887" spans="1:33" ht="10" customHeight="1" x14ac:dyDescent="0.2">
      <c r="A1887" s="5" t="s">
        <v>4313</v>
      </c>
      <c r="B1887" s="5" t="s">
        <v>4314</v>
      </c>
      <c r="D1887" s="5" t="s">
        <v>4577</v>
      </c>
      <c r="E1887" s="10" t="s">
        <v>184</v>
      </c>
      <c r="I1887" s="11">
        <v>6</v>
      </c>
      <c r="J1887" s="5" t="s">
        <v>4421</v>
      </c>
      <c r="K1887" s="10" t="s">
        <v>46</v>
      </c>
      <c r="L1887" s="5" t="s">
        <v>47</v>
      </c>
      <c r="M1887" s="5" t="s">
        <v>48</v>
      </c>
      <c r="N1887" s="5" t="s">
        <v>84</v>
      </c>
      <c r="O1887" s="12"/>
      <c r="S1887" s="13">
        <v>38000</v>
      </c>
      <c r="U1887" s="13">
        <v>38000</v>
      </c>
      <c r="AC1887" s="10" t="s">
        <v>4578</v>
      </c>
      <c r="AD1887" s="5" t="s">
        <v>1323</v>
      </c>
      <c r="AE1887" s="5" t="s">
        <v>4459</v>
      </c>
    </row>
    <row r="1888" spans="1:33" ht="10" customHeight="1" x14ac:dyDescent="0.2">
      <c r="A1888" s="5" t="s">
        <v>4313</v>
      </c>
      <c r="B1888" s="5" t="s">
        <v>4314</v>
      </c>
      <c r="D1888" s="5" t="s">
        <v>4579</v>
      </c>
      <c r="E1888" s="10" t="s">
        <v>184</v>
      </c>
      <c r="I1888" s="11">
        <v>6</v>
      </c>
      <c r="J1888" s="5" t="s">
        <v>4421</v>
      </c>
      <c r="K1888" s="10" t="s">
        <v>46</v>
      </c>
      <c r="L1888" s="5" t="s">
        <v>47</v>
      </c>
      <c r="M1888" s="5" t="s">
        <v>145</v>
      </c>
      <c r="O1888" s="12"/>
      <c r="AC1888" s="10" t="s">
        <v>4580</v>
      </c>
      <c r="AD1888" s="5" t="s">
        <v>1299</v>
      </c>
      <c r="AE1888" s="5" t="s">
        <v>4459</v>
      </c>
    </row>
    <row r="1889" spans="1:33" ht="10" customHeight="1" x14ac:dyDescent="0.2">
      <c r="A1889" s="5" t="s">
        <v>4313</v>
      </c>
      <c r="B1889" s="5" t="s">
        <v>4314</v>
      </c>
      <c r="D1889" s="5" t="s">
        <v>4581</v>
      </c>
      <c r="E1889" s="10" t="s">
        <v>184</v>
      </c>
      <c r="I1889" s="11">
        <v>6</v>
      </c>
      <c r="K1889" s="12"/>
      <c r="O1889" s="12"/>
      <c r="S1889" s="11" t="s">
        <v>4582</v>
      </c>
      <c r="U1889" s="11" t="s">
        <v>4582</v>
      </c>
      <c r="AC1889" s="10" t="s">
        <v>4583</v>
      </c>
      <c r="AD1889" s="5" t="s">
        <v>1383</v>
      </c>
      <c r="AE1889" s="5" t="s">
        <v>4459</v>
      </c>
    </row>
    <row r="1890" spans="1:33" ht="10" customHeight="1" x14ac:dyDescent="0.2">
      <c r="A1890" s="5" t="s">
        <v>4313</v>
      </c>
      <c r="B1890" s="5" t="s">
        <v>4314</v>
      </c>
      <c r="D1890" s="5" t="s">
        <v>4584</v>
      </c>
      <c r="E1890" s="10" t="s">
        <v>184</v>
      </c>
      <c r="I1890" s="11">
        <v>6</v>
      </c>
      <c r="K1890" s="12"/>
      <c r="O1890" s="12"/>
      <c r="S1890" s="11" t="s">
        <v>4582</v>
      </c>
      <c r="U1890" s="11" t="s">
        <v>4582</v>
      </c>
      <c r="AC1890" s="10" t="s">
        <v>4585</v>
      </c>
      <c r="AD1890" s="5" t="s">
        <v>1383</v>
      </c>
      <c r="AE1890" s="5" t="s">
        <v>4459</v>
      </c>
    </row>
    <row r="1891" spans="1:33" ht="10" customHeight="1" x14ac:dyDescent="0.2">
      <c r="A1891" s="5" t="s">
        <v>4313</v>
      </c>
      <c r="B1891" s="5" t="s">
        <v>4314</v>
      </c>
      <c r="D1891" s="5" t="s">
        <v>4586</v>
      </c>
      <c r="E1891" s="10" t="s">
        <v>184</v>
      </c>
      <c r="I1891" s="11">
        <v>6</v>
      </c>
      <c r="K1891" s="12"/>
      <c r="O1891" s="12"/>
      <c r="S1891" s="11" t="s">
        <v>4587</v>
      </c>
      <c r="U1891" s="11" t="s">
        <v>4587</v>
      </c>
      <c r="AC1891" s="10" t="s">
        <v>4588</v>
      </c>
      <c r="AD1891" s="5" t="s">
        <v>1383</v>
      </c>
      <c r="AE1891" s="5" t="s">
        <v>4459</v>
      </c>
    </row>
    <row r="1892" spans="1:33" ht="10" customHeight="1" x14ac:dyDescent="0.2">
      <c r="A1892" s="5" t="s">
        <v>4313</v>
      </c>
      <c r="B1892" s="5" t="s">
        <v>4314</v>
      </c>
      <c r="D1892" s="5" t="s">
        <v>4589</v>
      </c>
      <c r="E1892" s="12"/>
      <c r="I1892" s="11">
        <v>1</v>
      </c>
      <c r="J1892" s="5" t="s">
        <v>4590</v>
      </c>
      <c r="K1892" s="12"/>
      <c r="O1892" s="12"/>
      <c r="P1892" s="13">
        <v>10510</v>
      </c>
      <c r="Q1892" s="13">
        <v>14200</v>
      </c>
      <c r="S1892" s="13">
        <v>8930</v>
      </c>
      <c r="U1892" s="13">
        <v>8930</v>
      </c>
      <c r="AC1892" s="10" t="s">
        <v>4591</v>
      </c>
      <c r="AD1892" s="5" t="s">
        <v>4592</v>
      </c>
      <c r="AE1892" s="5" t="s">
        <v>4593</v>
      </c>
    </row>
    <row r="1893" spans="1:33" ht="10" customHeight="1" x14ac:dyDescent="0.2">
      <c r="A1893" s="5" t="s">
        <v>4313</v>
      </c>
      <c r="B1893" s="5" t="s">
        <v>4314</v>
      </c>
      <c r="D1893" s="5" t="s">
        <v>4594</v>
      </c>
      <c r="E1893" s="10" t="s">
        <v>44</v>
      </c>
      <c r="I1893" s="11">
        <v>6</v>
      </c>
      <c r="K1893" s="12"/>
      <c r="O1893" s="12"/>
      <c r="P1893" s="13">
        <v>2692380</v>
      </c>
      <c r="Q1893" s="13">
        <v>2703030</v>
      </c>
      <c r="S1893" s="13">
        <v>2881340</v>
      </c>
      <c r="U1893" s="13">
        <v>2881340</v>
      </c>
      <c r="AC1893" s="10" t="s">
        <v>4595</v>
      </c>
      <c r="AD1893" s="5" t="s">
        <v>4592</v>
      </c>
      <c r="AE1893" s="5" t="s">
        <v>4593</v>
      </c>
    </row>
    <row r="1894" spans="1:33" ht="10" customHeight="1" x14ac:dyDescent="0.2">
      <c r="A1894" s="5" t="s">
        <v>4313</v>
      </c>
      <c r="B1894" s="5" t="s">
        <v>4314</v>
      </c>
      <c r="D1894" s="5" t="s">
        <v>4596</v>
      </c>
      <c r="E1894" s="10" t="s">
        <v>345</v>
      </c>
      <c r="F1894" s="5" t="s">
        <v>4594</v>
      </c>
      <c r="I1894" s="11">
        <v>6</v>
      </c>
      <c r="K1894" s="12"/>
      <c r="O1894" s="12"/>
      <c r="P1894" s="13">
        <v>2847640</v>
      </c>
      <c r="Q1894" s="13">
        <v>2925450</v>
      </c>
      <c r="S1894" s="13">
        <v>2937090</v>
      </c>
      <c r="U1894" s="13">
        <v>2937090</v>
      </c>
      <c r="AC1894" s="10" t="s">
        <v>4597</v>
      </c>
      <c r="AD1894" s="5" t="s">
        <v>4598</v>
      </c>
      <c r="AE1894" s="5" t="s">
        <v>4593</v>
      </c>
    </row>
    <row r="1895" spans="1:33" ht="10" customHeight="1" x14ac:dyDescent="0.2">
      <c r="A1895" s="5" t="s">
        <v>4313</v>
      </c>
      <c r="B1895" s="5" t="s">
        <v>4314</v>
      </c>
      <c r="D1895" s="5" t="s">
        <v>4599</v>
      </c>
      <c r="E1895" s="10" t="s">
        <v>345</v>
      </c>
      <c r="F1895" s="5" t="s">
        <v>4594</v>
      </c>
      <c r="I1895" s="11">
        <v>6</v>
      </c>
      <c r="K1895" s="12"/>
      <c r="O1895" s="12"/>
      <c r="P1895" s="13">
        <v>2944000</v>
      </c>
      <c r="Q1895" s="13">
        <v>2955200</v>
      </c>
      <c r="S1895" s="13">
        <v>2900760</v>
      </c>
      <c r="U1895" s="13">
        <v>2900760</v>
      </c>
      <c r="AC1895" s="10" t="s">
        <v>4600</v>
      </c>
      <c r="AD1895" s="5" t="s">
        <v>4598</v>
      </c>
      <c r="AE1895" s="5" t="s">
        <v>4593</v>
      </c>
      <c r="AF1895" s="5" t="s">
        <v>4601</v>
      </c>
      <c r="AG1895" s="5" t="s">
        <v>4601</v>
      </c>
    </row>
    <row r="1896" spans="1:33" ht="10" customHeight="1" x14ac:dyDescent="0.2">
      <c r="A1896" s="5" t="s">
        <v>4313</v>
      </c>
      <c r="B1896" s="5" t="s">
        <v>4314</v>
      </c>
      <c r="D1896" s="5" t="s">
        <v>4602</v>
      </c>
      <c r="E1896" s="10" t="s">
        <v>53</v>
      </c>
      <c r="F1896" s="5" t="s">
        <v>4594</v>
      </c>
      <c r="I1896" s="11">
        <v>6</v>
      </c>
      <c r="K1896" s="12"/>
      <c r="O1896" s="12"/>
      <c r="P1896" s="13">
        <v>1494370</v>
      </c>
      <c r="Q1896" s="13">
        <v>1475320</v>
      </c>
      <c r="S1896" s="13">
        <v>1559550</v>
      </c>
      <c r="U1896" s="13">
        <v>1559550</v>
      </c>
      <c r="AC1896" s="10" t="s">
        <v>4603</v>
      </c>
      <c r="AD1896" s="5" t="s">
        <v>4592</v>
      </c>
      <c r="AE1896" s="5" t="s">
        <v>4593</v>
      </c>
      <c r="AF1896" s="5" t="s">
        <v>4351</v>
      </c>
      <c r="AG1896" s="5" t="s">
        <v>4351</v>
      </c>
    </row>
    <row r="1897" spans="1:33" ht="10" customHeight="1" x14ac:dyDescent="0.2">
      <c r="A1897" s="5" t="s">
        <v>4313</v>
      </c>
      <c r="B1897" s="5" t="s">
        <v>4314</v>
      </c>
      <c r="D1897" s="5" t="s">
        <v>4604</v>
      </c>
      <c r="E1897" s="10" t="s">
        <v>53</v>
      </c>
      <c r="F1897" s="5" t="s">
        <v>4594</v>
      </c>
      <c r="I1897" s="11">
        <v>6</v>
      </c>
      <c r="K1897" s="12"/>
      <c r="O1897" s="12"/>
      <c r="P1897" s="13">
        <v>298330</v>
      </c>
      <c r="Q1897" s="13">
        <v>283610</v>
      </c>
      <c r="S1897" s="13">
        <v>312980</v>
      </c>
      <c r="U1897" s="13">
        <v>312980</v>
      </c>
      <c r="AC1897" s="10" t="s">
        <v>4605</v>
      </c>
      <c r="AD1897" s="5" t="s">
        <v>4592</v>
      </c>
      <c r="AE1897" s="5" t="s">
        <v>4593</v>
      </c>
      <c r="AF1897" s="5" t="s">
        <v>4548</v>
      </c>
      <c r="AG1897" s="5" t="s">
        <v>4548</v>
      </c>
    </row>
    <row r="1898" spans="1:33" ht="10" customHeight="1" x14ac:dyDescent="0.2">
      <c r="A1898" s="5" t="s">
        <v>4313</v>
      </c>
      <c r="B1898" s="5" t="s">
        <v>4314</v>
      </c>
      <c r="D1898" s="5" t="s">
        <v>4606</v>
      </c>
      <c r="E1898" s="10" t="s">
        <v>53</v>
      </c>
      <c r="F1898" s="5" t="s">
        <v>4594</v>
      </c>
      <c r="I1898" s="11">
        <v>6</v>
      </c>
      <c r="K1898" s="12"/>
      <c r="O1898" s="12"/>
      <c r="P1898" s="13">
        <v>41540</v>
      </c>
      <c r="Q1898" s="13">
        <v>27260</v>
      </c>
      <c r="S1898" s="13">
        <v>33340</v>
      </c>
      <c r="U1898" s="13">
        <v>33340</v>
      </c>
      <c r="AC1898" s="10" t="s">
        <v>4607</v>
      </c>
      <c r="AD1898" s="5" t="s">
        <v>4592</v>
      </c>
      <c r="AE1898" s="5" t="s">
        <v>4593</v>
      </c>
      <c r="AF1898" s="5" t="s">
        <v>4363</v>
      </c>
      <c r="AG1898" s="5" t="s">
        <v>4363</v>
      </c>
    </row>
    <row r="1899" spans="1:33" ht="10" customHeight="1" x14ac:dyDescent="0.2">
      <c r="A1899" s="5" t="s">
        <v>4313</v>
      </c>
      <c r="B1899" s="5" t="s">
        <v>4314</v>
      </c>
      <c r="D1899" s="5" t="s">
        <v>4608</v>
      </c>
      <c r="E1899" s="10" t="s">
        <v>53</v>
      </c>
      <c r="F1899" s="5" t="s">
        <v>4594</v>
      </c>
      <c r="I1899" s="11">
        <v>6</v>
      </c>
      <c r="K1899" s="12"/>
      <c r="O1899" s="12"/>
      <c r="P1899" s="13">
        <v>61910</v>
      </c>
      <c r="Q1899" s="13">
        <v>46400</v>
      </c>
      <c r="S1899" s="13">
        <v>48200</v>
      </c>
      <c r="U1899" s="13">
        <v>48200</v>
      </c>
      <c r="AC1899" s="10" t="s">
        <v>4609</v>
      </c>
      <c r="AD1899" s="5" t="s">
        <v>4592</v>
      </c>
      <c r="AE1899" s="5" t="s">
        <v>4593</v>
      </c>
      <c r="AF1899" s="5" t="s">
        <v>4553</v>
      </c>
      <c r="AG1899" s="5" t="s">
        <v>4553</v>
      </c>
    </row>
    <row r="1900" spans="1:33" ht="10" customHeight="1" x14ac:dyDescent="0.2">
      <c r="A1900" s="5" t="s">
        <v>4313</v>
      </c>
      <c r="B1900" s="5" t="s">
        <v>4314</v>
      </c>
      <c r="D1900" s="5" t="s">
        <v>4610</v>
      </c>
      <c r="E1900" s="10" t="s">
        <v>53</v>
      </c>
      <c r="F1900" s="5" t="s">
        <v>4594</v>
      </c>
      <c r="I1900" s="11">
        <v>6</v>
      </c>
      <c r="K1900" s="12"/>
      <c r="O1900" s="12"/>
      <c r="P1900" s="13">
        <v>467740</v>
      </c>
      <c r="Q1900" s="13">
        <v>520710</v>
      </c>
      <c r="S1900" s="13">
        <v>535310</v>
      </c>
      <c r="U1900" s="13">
        <v>535310</v>
      </c>
      <c r="AC1900" s="10" t="s">
        <v>4611</v>
      </c>
      <c r="AD1900" s="5" t="s">
        <v>4592</v>
      </c>
      <c r="AE1900" s="5" t="s">
        <v>4593</v>
      </c>
      <c r="AF1900" s="5" t="s">
        <v>4612</v>
      </c>
      <c r="AG1900" s="5" t="s">
        <v>4612</v>
      </c>
    </row>
    <row r="1901" spans="1:33" ht="10" customHeight="1" x14ac:dyDescent="0.2">
      <c r="A1901" s="5" t="s">
        <v>4313</v>
      </c>
      <c r="B1901" s="5" t="s">
        <v>4314</v>
      </c>
      <c r="D1901" s="5" t="s">
        <v>4613</v>
      </c>
      <c r="E1901" s="12"/>
      <c r="I1901" s="11">
        <v>1</v>
      </c>
      <c r="J1901" s="5" t="s">
        <v>4590</v>
      </c>
      <c r="K1901" s="12"/>
      <c r="O1901" s="12"/>
      <c r="P1901" s="13">
        <v>934800</v>
      </c>
      <c r="Q1901" s="13">
        <v>663100</v>
      </c>
      <c r="S1901" s="13">
        <v>1007700</v>
      </c>
      <c r="U1901" s="13">
        <v>1007700</v>
      </c>
      <c r="AC1901" s="10" t="s">
        <v>4614</v>
      </c>
      <c r="AD1901" s="5" t="s">
        <v>2531</v>
      </c>
      <c r="AE1901" s="5" t="s">
        <v>4615</v>
      </c>
    </row>
    <row r="1902" spans="1:33" ht="10" customHeight="1" x14ac:dyDescent="0.2">
      <c r="A1902" s="5" t="s">
        <v>4313</v>
      </c>
      <c r="B1902" s="5" t="s">
        <v>4314</v>
      </c>
      <c r="D1902" s="5" t="s">
        <v>4616</v>
      </c>
      <c r="E1902" s="12"/>
      <c r="I1902" s="11">
        <v>1</v>
      </c>
      <c r="J1902" s="5" t="s">
        <v>4590</v>
      </c>
      <c r="K1902" s="10" t="s">
        <v>46</v>
      </c>
      <c r="L1902" s="5" t="s">
        <v>47</v>
      </c>
      <c r="M1902" s="5" t="s">
        <v>48</v>
      </c>
      <c r="N1902" s="5" t="s">
        <v>49</v>
      </c>
      <c r="O1902" s="12"/>
      <c r="P1902" s="13">
        <v>175900</v>
      </c>
      <c r="Q1902" s="13">
        <v>622200</v>
      </c>
      <c r="S1902" s="13">
        <v>193600</v>
      </c>
      <c r="U1902" s="13">
        <v>193600</v>
      </c>
      <c r="AC1902" s="10" t="s">
        <v>4617</v>
      </c>
      <c r="AD1902" s="5" t="s">
        <v>2531</v>
      </c>
      <c r="AE1902" s="5" t="s">
        <v>4615</v>
      </c>
    </row>
    <row r="1903" spans="1:33" ht="10" customHeight="1" x14ac:dyDescent="0.2">
      <c r="A1903" s="5" t="s">
        <v>4313</v>
      </c>
      <c r="B1903" s="5" t="s">
        <v>4314</v>
      </c>
      <c r="D1903" s="5" t="s">
        <v>4618</v>
      </c>
      <c r="E1903" s="10" t="s">
        <v>53</v>
      </c>
      <c r="F1903" s="5" t="s">
        <v>4619</v>
      </c>
      <c r="I1903" s="11">
        <v>6</v>
      </c>
      <c r="K1903" s="12"/>
      <c r="O1903" s="12"/>
      <c r="P1903" s="13">
        <v>4487900</v>
      </c>
      <c r="Q1903" s="13">
        <v>4567700</v>
      </c>
      <c r="S1903" s="13">
        <v>4313400</v>
      </c>
      <c r="U1903" s="13">
        <v>4313400</v>
      </c>
      <c r="AC1903" s="10" t="s">
        <v>4620</v>
      </c>
      <c r="AD1903" s="5" t="s">
        <v>2531</v>
      </c>
      <c r="AE1903" s="5" t="s">
        <v>4615</v>
      </c>
      <c r="AF1903" s="5" t="s">
        <v>4351</v>
      </c>
      <c r="AG1903" s="5" t="s">
        <v>4351</v>
      </c>
    </row>
    <row r="1904" spans="1:33" ht="10" customHeight="1" x14ac:dyDescent="0.2">
      <c r="A1904" s="5" t="s">
        <v>4313</v>
      </c>
      <c r="B1904" s="5" t="s">
        <v>4314</v>
      </c>
      <c r="D1904" s="5" t="s">
        <v>4621</v>
      </c>
      <c r="E1904" s="10" t="s">
        <v>53</v>
      </c>
      <c r="F1904" s="5" t="s">
        <v>4619</v>
      </c>
      <c r="I1904" s="11">
        <v>4</v>
      </c>
      <c r="K1904" s="12"/>
      <c r="O1904" s="12"/>
      <c r="P1904" s="13">
        <v>2183900</v>
      </c>
      <c r="Q1904" s="13">
        <v>1851900</v>
      </c>
      <c r="S1904" s="13">
        <v>2201300</v>
      </c>
      <c r="U1904" s="13">
        <v>2201300</v>
      </c>
      <c r="AC1904" s="10" t="s">
        <v>4622</v>
      </c>
      <c r="AD1904" s="5" t="s">
        <v>2531</v>
      </c>
      <c r="AE1904" s="5" t="s">
        <v>4615</v>
      </c>
      <c r="AF1904" s="5" t="s">
        <v>4360</v>
      </c>
      <c r="AG1904" s="5" t="s">
        <v>4360</v>
      </c>
    </row>
    <row r="1905" spans="1:33" ht="10" customHeight="1" x14ac:dyDescent="0.2">
      <c r="A1905" s="5" t="s">
        <v>4313</v>
      </c>
      <c r="B1905" s="5" t="s">
        <v>4314</v>
      </c>
      <c r="D1905" s="5" t="s">
        <v>4623</v>
      </c>
      <c r="E1905" s="10" t="s">
        <v>53</v>
      </c>
      <c r="F1905" s="5" t="s">
        <v>4619</v>
      </c>
      <c r="I1905" s="11">
        <v>4</v>
      </c>
      <c r="K1905" s="12"/>
      <c r="O1905" s="12"/>
      <c r="P1905" s="13">
        <v>452100</v>
      </c>
      <c r="Q1905" s="13">
        <v>426300</v>
      </c>
      <c r="S1905" s="13">
        <v>511100</v>
      </c>
      <c r="U1905" s="13">
        <v>511100</v>
      </c>
      <c r="AC1905" s="10" t="s">
        <v>4624</v>
      </c>
      <c r="AD1905" s="5" t="s">
        <v>2531</v>
      </c>
      <c r="AE1905" s="5" t="s">
        <v>4615</v>
      </c>
      <c r="AF1905" s="5" t="s">
        <v>4625</v>
      </c>
      <c r="AG1905" s="5" t="s">
        <v>4625</v>
      </c>
    </row>
    <row r="1906" spans="1:33" ht="10" customHeight="1" x14ac:dyDescent="0.2">
      <c r="A1906" s="5" t="s">
        <v>4313</v>
      </c>
      <c r="B1906" s="5" t="s">
        <v>4314</v>
      </c>
      <c r="D1906" s="5" t="s">
        <v>4626</v>
      </c>
      <c r="E1906" s="10" t="s">
        <v>53</v>
      </c>
      <c r="F1906" s="5" t="s">
        <v>4619</v>
      </c>
      <c r="I1906" s="11">
        <v>6</v>
      </c>
      <c r="K1906" s="12"/>
      <c r="O1906" s="12"/>
      <c r="P1906" s="13">
        <v>5315700</v>
      </c>
      <c r="Q1906" s="13">
        <v>4125700</v>
      </c>
      <c r="S1906" s="13">
        <v>5118700</v>
      </c>
      <c r="U1906" s="13">
        <v>5118700</v>
      </c>
      <c r="AC1906" s="10" t="s">
        <v>4627</v>
      </c>
      <c r="AD1906" s="5" t="s">
        <v>2531</v>
      </c>
      <c r="AE1906" s="5" t="s">
        <v>4615</v>
      </c>
      <c r="AF1906" s="5" t="s">
        <v>4363</v>
      </c>
      <c r="AG1906" s="5" t="s">
        <v>4363</v>
      </c>
    </row>
    <row r="1907" spans="1:33" ht="10" customHeight="1" x14ac:dyDescent="0.2">
      <c r="A1907" s="5" t="s">
        <v>4313</v>
      </c>
      <c r="B1907" s="5" t="s">
        <v>4314</v>
      </c>
      <c r="D1907" s="5" t="s">
        <v>4628</v>
      </c>
      <c r="E1907" s="10" t="s">
        <v>53</v>
      </c>
      <c r="F1907" s="5" t="s">
        <v>4619</v>
      </c>
      <c r="I1907" s="11">
        <v>1</v>
      </c>
      <c r="J1907" s="5" t="s">
        <v>4590</v>
      </c>
      <c r="K1907" s="12"/>
      <c r="O1907" s="12"/>
      <c r="P1907" s="13">
        <v>100</v>
      </c>
      <c r="Q1907" s="13">
        <v>2400</v>
      </c>
      <c r="S1907" s="13">
        <v>300</v>
      </c>
      <c r="U1907" s="13">
        <v>300</v>
      </c>
      <c r="AC1907" s="10" t="s">
        <v>4629</v>
      </c>
      <c r="AD1907" s="5" t="s">
        <v>2531</v>
      </c>
      <c r="AE1907" s="5" t="s">
        <v>4615</v>
      </c>
      <c r="AF1907" s="5" t="s">
        <v>4366</v>
      </c>
      <c r="AG1907" s="5" t="s">
        <v>4366</v>
      </c>
    </row>
    <row r="1908" spans="1:33" ht="10" customHeight="1" x14ac:dyDescent="0.2">
      <c r="A1908" s="5" t="s">
        <v>4313</v>
      </c>
      <c r="B1908" s="5" t="s">
        <v>4314</v>
      </c>
      <c r="D1908" s="5" t="s">
        <v>4630</v>
      </c>
      <c r="E1908" s="10" t="s">
        <v>53</v>
      </c>
      <c r="F1908" s="5" t="s">
        <v>4619</v>
      </c>
      <c r="I1908" s="11">
        <v>6</v>
      </c>
      <c r="K1908" s="12"/>
      <c r="O1908" s="12"/>
      <c r="P1908" s="13">
        <v>900000</v>
      </c>
      <c r="Q1908" s="13">
        <v>532200</v>
      </c>
      <c r="S1908" s="13">
        <v>736800</v>
      </c>
      <c r="U1908" s="13">
        <v>736800</v>
      </c>
      <c r="AC1908" s="10" t="s">
        <v>4631</v>
      </c>
      <c r="AD1908" s="5" t="s">
        <v>2531</v>
      </c>
      <c r="AE1908" s="5" t="s">
        <v>4615</v>
      </c>
      <c r="AF1908" s="5" t="s">
        <v>4553</v>
      </c>
      <c r="AG1908" s="5" t="s">
        <v>4553</v>
      </c>
    </row>
    <row r="1909" spans="1:33" ht="10" customHeight="1" x14ac:dyDescent="0.2">
      <c r="A1909" s="5" t="s">
        <v>4313</v>
      </c>
      <c r="B1909" s="5" t="s">
        <v>4314</v>
      </c>
      <c r="D1909" s="5" t="s">
        <v>4619</v>
      </c>
      <c r="E1909" s="10" t="s">
        <v>44</v>
      </c>
      <c r="I1909" s="11">
        <v>6</v>
      </c>
      <c r="K1909" s="12"/>
      <c r="O1909" s="12"/>
      <c r="P1909" s="13">
        <v>20433200</v>
      </c>
      <c r="Q1909" s="13">
        <v>21080500</v>
      </c>
      <c r="S1909" s="13">
        <v>20773300</v>
      </c>
      <c r="U1909" s="13">
        <v>20773300</v>
      </c>
      <c r="AC1909" s="10" t="s">
        <v>4632</v>
      </c>
      <c r="AD1909" s="5" t="s">
        <v>2531</v>
      </c>
      <c r="AE1909" s="5" t="s">
        <v>4615</v>
      </c>
    </row>
    <row r="1910" spans="1:33" ht="10" customHeight="1" x14ac:dyDescent="0.2">
      <c r="A1910" s="5" t="s">
        <v>4313</v>
      </c>
      <c r="B1910" s="5" t="s">
        <v>4314</v>
      </c>
      <c r="D1910" s="5" t="s">
        <v>4633</v>
      </c>
      <c r="E1910" s="10" t="s">
        <v>345</v>
      </c>
      <c r="F1910" s="5" t="s">
        <v>4619</v>
      </c>
      <c r="I1910" s="11">
        <v>6</v>
      </c>
      <c r="K1910" s="12"/>
      <c r="O1910" s="12"/>
      <c r="P1910" s="13">
        <v>20035000</v>
      </c>
      <c r="Q1910" s="13">
        <v>19972100</v>
      </c>
      <c r="S1910" s="13">
        <v>19792200</v>
      </c>
      <c r="U1910" s="13">
        <v>19792200</v>
      </c>
      <c r="AC1910" s="10" t="s">
        <v>4634</v>
      </c>
      <c r="AD1910" s="5" t="s">
        <v>2544</v>
      </c>
      <c r="AE1910" s="5" t="s">
        <v>4615</v>
      </c>
    </row>
    <row r="1911" spans="1:33" ht="10" customHeight="1" x14ac:dyDescent="0.2">
      <c r="A1911" s="5" t="s">
        <v>4313</v>
      </c>
      <c r="B1911" s="5" t="s">
        <v>4314</v>
      </c>
      <c r="D1911" s="5" t="s">
        <v>4635</v>
      </c>
      <c r="E1911" s="12"/>
      <c r="I1911" s="11">
        <v>6</v>
      </c>
      <c r="K1911" s="12"/>
      <c r="O1911" s="12"/>
      <c r="P1911" s="13">
        <v>34495</v>
      </c>
      <c r="Q1911" s="13">
        <v>30000</v>
      </c>
      <c r="S1911" s="13">
        <v>381600</v>
      </c>
      <c r="U1911" s="13">
        <v>381600</v>
      </c>
      <c r="AC1911" s="10" t="s">
        <v>4636</v>
      </c>
      <c r="AD1911" s="5" t="s">
        <v>4637</v>
      </c>
      <c r="AE1911" s="5" t="s">
        <v>4615</v>
      </c>
    </row>
    <row r="1912" spans="1:33" ht="10" customHeight="1" x14ac:dyDescent="0.2">
      <c r="A1912" s="5" t="s">
        <v>4313</v>
      </c>
      <c r="B1912" s="5" t="s">
        <v>4314</v>
      </c>
      <c r="D1912" s="5" t="s">
        <v>4638</v>
      </c>
      <c r="E1912" s="12"/>
      <c r="I1912" s="11">
        <v>1</v>
      </c>
      <c r="J1912" s="5" t="s">
        <v>45</v>
      </c>
      <c r="K1912" s="10" t="s">
        <v>46</v>
      </c>
      <c r="L1912" s="5" t="s">
        <v>228</v>
      </c>
      <c r="M1912" s="5" t="s">
        <v>4639</v>
      </c>
      <c r="N1912" s="5" t="s">
        <v>4640</v>
      </c>
      <c r="O1912" s="12"/>
      <c r="AC1912" s="10" t="s">
        <v>4641</v>
      </c>
      <c r="AD1912" s="5" t="s">
        <v>1938</v>
      </c>
      <c r="AE1912" s="5" t="s">
        <v>4615</v>
      </c>
    </row>
    <row r="1913" spans="1:33" ht="10" customHeight="1" x14ac:dyDescent="0.2">
      <c r="A1913" s="5" t="s">
        <v>4313</v>
      </c>
      <c r="B1913" s="5" t="s">
        <v>4314</v>
      </c>
      <c r="D1913" s="5" t="s">
        <v>4642</v>
      </c>
      <c r="E1913" s="10" t="s">
        <v>53</v>
      </c>
      <c r="F1913" s="5" t="s">
        <v>4643</v>
      </c>
      <c r="I1913" s="11">
        <v>6</v>
      </c>
      <c r="K1913" s="12"/>
      <c r="O1913" s="12"/>
      <c r="P1913" s="13">
        <v>2500</v>
      </c>
      <c r="AC1913" s="10" t="s">
        <v>4644</v>
      </c>
      <c r="AD1913" s="5" t="s">
        <v>4645</v>
      </c>
      <c r="AE1913" s="5" t="s">
        <v>4615</v>
      </c>
      <c r="AF1913" s="5" t="s">
        <v>4646</v>
      </c>
      <c r="AG1913" s="5" t="s">
        <v>4646</v>
      </c>
    </row>
    <row r="1914" spans="1:33" ht="10" customHeight="1" x14ac:dyDescent="0.2">
      <c r="A1914" s="5" t="s">
        <v>4313</v>
      </c>
      <c r="B1914" s="5" t="s">
        <v>4314</v>
      </c>
      <c r="D1914" s="5" t="s">
        <v>4647</v>
      </c>
      <c r="E1914" s="10" t="s">
        <v>53</v>
      </c>
      <c r="F1914" s="5" t="s">
        <v>4643</v>
      </c>
      <c r="I1914" s="11">
        <v>6</v>
      </c>
      <c r="K1914" s="12"/>
      <c r="O1914" s="12"/>
      <c r="Q1914" s="13">
        <v>1400</v>
      </c>
      <c r="AC1914" s="10" t="s">
        <v>4648</v>
      </c>
      <c r="AD1914" s="5" t="s">
        <v>1956</v>
      </c>
      <c r="AE1914" s="5" t="s">
        <v>4615</v>
      </c>
      <c r="AF1914" s="5" t="s">
        <v>4649</v>
      </c>
      <c r="AG1914" s="5" t="s">
        <v>4649</v>
      </c>
    </row>
    <row r="1915" spans="1:33" ht="10" customHeight="1" x14ac:dyDescent="0.2">
      <c r="A1915" s="5" t="s">
        <v>4313</v>
      </c>
      <c r="B1915" s="5" t="s">
        <v>4314</v>
      </c>
      <c r="D1915" s="5" t="s">
        <v>4650</v>
      </c>
      <c r="E1915" s="10" t="s">
        <v>53</v>
      </c>
      <c r="F1915" s="5" t="s">
        <v>4643</v>
      </c>
      <c r="I1915" s="11">
        <v>6</v>
      </c>
      <c r="K1915" s="12"/>
      <c r="O1915" s="12"/>
      <c r="Q1915" s="13">
        <v>2500</v>
      </c>
      <c r="AC1915" s="10" t="s">
        <v>4648</v>
      </c>
      <c r="AD1915" s="5" t="s">
        <v>4651</v>
      </c>
      <c r="AE1915" s="5" t="s">
        <v>4615</v>
      </c>
      <c r="AF1915" s="5" t="s">
        <v>4649</v>
      </c>
      <c r="AG1915" s="5" t="s">
        <v>4649</v>
      </c>
    </row>
    <row r="1916" spans="1:33" ht="10" customHeight="1" x14ac:dyDescent="0.2">
      <c r="A1916" s="5" t="s">
        <v>4313</v>
      </c>
      <c r="B1916" s="5" t="s">
        <v>4314</v>
      </c>
      <c r="D1916" s="5" t="s">
        <v>4652</v>
      </c>
      <c r="E1916" s="10" t="s">
        <v>53</v>
      </c>
      <c r="F1916" s="5" t="s">
        <v>4643</v>
      </c>
      <c r="I1916" s="11">
        <v>6</v>
      </c>
      <c r="K1916" s="12"/>
      <c r="O1916" s="12"/>
      <c r="S1916" s="13">
        <v>2500</v>
      </c>
      <c r="U1916" s="13">
        <v>2500</v>
      </c>
      <c r="AC1916" s="10" t="s">
        <v>4653</v>
      </c>
      <c r="AD1916" s="5" t="s">
        <v>2010</v>
      </c>
      <c r="AE1916" s="5" t="s">
        <v>4615</v>
      </c>
      <c r="AF1916" s="5" t="s">
        <v>4649</v>
      </c>
      <c r="AG1916" s="5" t="s">
        <v>4649</v>
      </c>
    </row>
    <row r="1917" spans="1:33" ht="10" customHeight="1" x14ac:dyDescent="0.2">
      <c r="A1917" s="5" t="s">
        <v>4313</v>
      </c>
      <c r="B1917" s="5" t="s">
        <v>4314</v>
      </c>
      <c r="D1917" s="5" t="s">
        <v>4654</v>
      </c>
      <c r="E1917" s="10" t="s">
        <v>53</v>
      </c>
      <c r="F1917" s="5" t="s">
        <v>4643</v>
      </c>
      <c r="I1917" s="11">
        <v>6</v>
      </c>
      <c r="K1917" s="12"/>
      <c r="O1917" s="12"/>
      <c r="P1917" s="13">
        <v>5100</v>
      </c>
      <c r="AC1917" s="10" t="s">
        <v>4655</v>
      </c>
      <c r="AD1917" s="5" t="s">
        <v>4656</v>
      </c>
      <c r="AE1917" s="5" t="s">
        <v>4615</v>
      </c>
      <c r="AF1917" s="5" t="s">
        <v>4657</v>
      </c>
      <c r="AG1917" s="5" t="s">
        <v>4657</v>
      </c>
    </row>
    <row r="1918" spans="1:33" ht="10" customHeight="1" x14ac:dyDescent="0.2">
      <c r="A1918" s="5" t="s">
        <v>4313</v>
      </c>
      <c r="B1918" s="5" t="s">
        <v>4314</v>
      </c>
      <c r="D1918" s="5" t="s">
        <v>4658</v>
      </c>
      <c r="E1918" s="10" t="s">
        <v>53</v>
      </c>
      <c r="F1918" s="5" t="s">
        <v>4643</v>
      </c>
      <c r="I1918" s="11">
        <v>6</v>
      </c>
      <c r="K1918" s="10" t="s">
        <v>46</v>
      </c>
      <c r="L1918" s="5" t="s">
        <v>47</v>
      </c>
      <c r="M1918" s="5" t="s">
        <v>48</v>
      </c>
      <c r="O1918" s="12"/>
      <c r="S1918" s="13">
        <v>3810</v>
      </c>
      <c r="U1918" s="13">
        <v>3810</v>
      </c>
      <c r="AC1918" s="10" t="s">
        <v>4659</v>
      </c>
      <c r="AD1918" s="5" t="s">
        <v>2045</v>
      </c>
      <c r="AE1918" s="5" t="s">
        <v>4615</v>
      </c>
      <c r="AF1918" s="5" t="s">
        <v>4657</v>
      </c>
      <c r="AG1918" s="5" t="s">
        <v>4657</v>
      </c>
    </row>
    <row r="1919" spans="1:33" ht="10" customHeight="1" x14ac:dyDescent="0.2">
      <c r="A1919" s="5" t="s">
        <v>4313</v>
      </c>
      <c r="B1919" s="5" t="s">
        <v>4314</v>
      </c>
      <c r="D1919" s="5" t="s">
        <v>4660</v>
      </c>
      <c r="E1919" s="10" t="s">
        <v>53</v>
      </c>
      <c r="F1919" s="5" t="s">
        <v>4643</v>
      </c>
      <c r="I1919" s="11">
        <v>6</v>
      </c>
      <c r="K1919" s="10" t="s">
        <v>46</v>
      </c>
      <c r="L1919" s="5" t="s">
        <v>47</v>
      </c>
      <c r="M1919" s="5" t="s">
        <v>48</v>
      </c>
      <c r="O1919" s="12"/>
      <c r="P1919" s="13">
        <v>1362</v>
      </c>
      <c r="AC1919" s="10" t="s">
        <v>4661</v>
      </c>
      <c r="AD1919" s="5" t="s">
        <v>2392</v>
      </c>
      <c r="AE1919" s="5" t="s">
        <v>4615</v>
      </c>
      <c r="AF1919" s="5" t="s">
        <v>4662</v>
      </c>
      <c r="AG1919" s="5" t="s">
        <v>4662</v>
      </c>
    </row>
    <row r="1920" spans="1:33" ht="10" customHeight="1" x14ac:dyDescent="0.2">
      <c r="A1920" s="5" t="s">
        <v>4313</v>
      </c>
      <c r="B1920" s="5" t="s">
        <v>4314</v>
      </c>
      <c r="D1920" s="5" t="s">
        <v>4663</v>
      </c>
      <c r="E1920" s="10" t="s">
        <v>53</v>
      </c>
      <c r="F1920" s="5" t="s">
        <v>4643</v>
      </c>
      <c r="I1920" s="11">
        <v>6</v>
      </c>
      <c r="K1920" s="10" t="s">
        <v>46</v>
      </c>
      <c r="L1920" s="5" t="s">
        <v>47</v>
      </c>
      <c r="M1920" s="5" t="s">
        <v>48</v>
      </c>
      <c r="O1920" s="12"/>
      <c r="Q1920" s="13">
        <v>4725</v>
      </c>
      <c r="AC1920" s="10" t="s">
        <v>4664</v>
      </c>
      <c r="AD1920" s="5" t="s">
        <v>2414</v>
      </c>
      <c r="AE1920" s="5" t="s">
        <v>4615</v>
      </c>
      <c r="AF1920" s="5" t="s">
        <v>4662</v>
      </c>
      <c r="AG1920" s="5" t="s">
        <v>4662</v>
      </c>
    </row>
    <row r="1921" spans="1:33" ht="10" customHeight="1" x14ac:dyDescent="0.2">
      <c r="A1921" s="5" t="s">
        <v>4313</v>
      </c>
      <c r="B1921" s="5" t="s">
        <v>4314</v>
      </c>
      <c r="D1921" s="5" t="s">
        <v>4665</v>
      </c>
      <c r="E1921" s="10" t="s">
        <v>53</v>
      </c>
      <c r="F1921" s="5" t="s">
        <v>4643</v>
      </c>
      <c r="I1921" s="11">
        <v>6</v>
      </c>
      <c r="K1921" s="10" t="s">
        <v>46</v>
      </c>
      <c r="L1921" s="5" t="s">
        <v>47</v>
      </c>
      <c r="M1921" s="5" t="s">
        <v>48</v>
      </c>
      <c r="O1921" s="12"/>
      <c r="S1921" s="13">
        <v>3600</v>
      </c>
      <c r="U1921" s="13">
        <v>3600</v>
      </c>
      <c r="AC1921" s="10" t="s">
        <v>4666</v>
      </c>
      <c r="AD1921" s="5" t="s">
        <v>2414</v>
      </c>
      <c r="AE1921" s="5" t="s">
        <v>4615</v>
      </c>
      <c r="AF1921" s="5" t="s">
        <v>4662</v>
      </c>
      <c r="AG1921" s="5" t="s">
        <v>4662</v>
      </c>
    </row>
    <row r="1922" spans="1:33" ht="10" customHeight="1" x14ac:dyDescent="0.2">
      <c r="A1922" s="5" t="s">
        <v>4313</v>
      </c>
      <c r="B1922" s="5" t="s">
        <v>4314</v>
      </c>
      <c r="D1922" s="5" t="s">
        <v>4667</v>
      </c>
      <c r="E1922" s="10" t="s">
        <v>53</v>
      </c>
      <c r="F1922" s="5" t="s">
        <v>4643</v>
      </c>
      <c r="I1922" s="11">
        <v>6</v>
      </c>
      <c r="K1922" s="10" t="s">
        <v>46</v>
      </c>
      <c r="L1922" s="5" t="s">
        <v>47</v>
      </c>
      <c r="M1922" s="5" t="s">
        <v>48</v>
      </c>
      <c r="O1922" s="12"/>
      <c r="S1922" s="13">
        <v>8500</v>
      </c>
      <c r="U1922" s="13">
        <v>8500</v>
      </c>
      <c r="AC1922" s="10" t="s">
        <v>4666</v>
      </c>
      <c r="AD1922" s="5" t="s">
        <v>2405</v>
      </c>
      <c r="AE1922" s="5" t="s">
        <v>4615</v>
      </c>
      <c r="AF1922" s="5" t="s">
        <v>4662</v>
      </c>
      <c r="AG1922" s="5" t="s">
        <v>4662</v>
      </c>
    </row>
    <row r="1923" spans="1:33" ht="10" customHeight="1" x14ac:dyDescent="0.2">
      <c r="A1923" s="5" t="s">
        <v>4313</v>
      </c>
      <c r="B1923" s="5" t="s">
        <v>4314</v>
      </c>
      <c r="D1923" s="5" t="s">
        <v>4668</v>
      </c>
      <c r="E1923" s="10" t="s">
        <v>53</v>
      </c>
      <c r="F1923" s="5" t="s">
        <v>4643</v>
      </c>
      <c r="I1923" s="11">
        <v>6</v>
      </c>
      <c r="K1923" s="10" t="s">
        <v>46</v>
      </c>
      <c r="L1923" s="5" t="s">
        <v>47</v>
      </c>
      <c r="M1923" s="5" t="s">
        <v>48</v>
      </c>
      <c r="O1923" s="12"/>
      <c r="Q1923" s="13">
        <v>2521</v>
      </c>
      <c r="AC1923" s="10" t="s">
        <v>4664</v>
      </c>
      <c r="AD1923" s="5" t="s">
        <v>2405</v>
      </c>
      <c r="AE1923" s="5" t="s">
        <v>4615</v>
      </c>
      <c r="AF1923" s="5" t="s">
        <v>4662</v>
      </c>
      <c r="AG1923" s="5" t="s">
        <v>4662</v>
      </c>
    </row>
    <row r="1924" spans="1:33" ht="10" customHeight="1" x14ac:dyDescent="0.2">
      <c r="A1924" s="5" t="s">
        <v>4313</v>
      </c>
      <c r="B1924" s="5" t="s">
        <v>4314</v>
      </c>
      <c r="D1924" s="5" t="s">
        <v>4669</v>
      </c>
      <c r="E1924" s="10" t="s">
        <v>53</v>
      </c>
      <c r="F1924" s="5" t="s">
        <v>4643</v>
      </c>
      <c r="I1924" s="11">
        <v>6</v>
      </c>
      <c r="K1924" s="12"/>
      <c r="O1924" s="12"/>
      <c r="Q1924" s="13">
        <v>5835</v>
      </c>
      <c r="AC1924" s="10" t="s">
        <v>4664</v>
      </c>
      <c r="AD1924" s="5" t="s">
        <v>2414</v>
      </c>
      <c r="AE1924" s="5" t="s">
        <v>4615</v>
      </c>
      <c r="AF1924" s="5" t="s">
        <v>4662</v>
      </c>
      <c r="AG1924" s="5" t="s">
        <v>4662</v>
      </c>
    </row>
    <row r="1925" spans="1:33" ht="10" customHeight="1" x14ac:dyDescent="0.2">
      <c r="A1925" s="5" t="s">
        <v>4313</v>
      </c>
      <c r="B1925" s="5" t="s">
        <v>4314</v>
      </c>
      <c r="D1925" s="5" t="s">
        <v>4670</v>
      </c>
      <c r="E1925" s="10" t="s">
        <v>53</v>
      </c>
      <c r="F1925" s="5" t="s">
        <v>4643</v>
      </c>
      <c r="I1925" s="11">
        <v>6</v>
      </c>
      <c r="K1925" s="10" t="s">
        <v>46</v>
      </c>
      <c r="L1925" s="5" t="s">
        <v>4671</v>
      </c>
      <c r="M1925" s="5" t="s">
        <v>4672</v>
      </c>
      <c r="O1925" s="12"/>
      <c r="Q1925" s="13">
        <v>2500</v>
      </c>
      <c r="AC1925" s="10" t="s">
        <v>4673</v>
      </c>
      <c r="AD1925" s="5" t="s">
        <v>4656</v>
      </c>
      <c r="AE1925" s="5" t="s">
        <v>4615</v>
      </c>
      <c r="AF1925" s="5" t="s">
        <v>4674</v>
      </c>
      <c r="AG1925" s="5" t="s">
        <v>4674</v>
      </c>
    </row>
    <row r="1926" spans="1:33" ht="10" customHeight="1" x14ac:dyDescent="0.2">
      <c r="A1926" s="5" t="s">
        <v>4313</v>
      </c>
      <c r="B1926" s="5" t="s">
        <v>4314</v>
      </c>
      <c r="D1926" s="5" t="s">
        <v>4675</v>
      </c>
      <c r="E1926" s="10" t="s">
        <v>53</v>
      </c>
      <c r="F1926" s="5" t="s">
        <v>4643</v>
      </c>
      <c r="I1926" s="11">
        <v>6</v>
      </c>
      <c r="K1926" s="10" t="s">
        <v>46</v>
      </c>
      <c r="L1926" s="5" t="s">
        <v>47</v>
      </c>
      <c r="M1926" s="5" t="s">
        <v>115</v>
      </c>
      <c r="O1926" s="12"/>
      <c r="S1926" s="13">
        <v>800</v>
      </c>
      <c r="U1926" s="13">
        <v>800</v>
      </c>
      <c r="AC1926" s="10" t="s">
        <v>4676</v>
      </c>
      <c r="AD1926" s="5" t="s">
        <v>2381</v>
      </c>
      <c r="AE1926" s="5" t="s">
        <v>4615</v>
      </c>
      <c r="AF1926" s="5" t="s">
        <v>4677</v>
      </c>
      <c r="AG1926" s="5" t="s">
        <v>4677</v>
      </c>
    </row>
    <row r="1927" spans="1:33" ht="10" customHeight="1" x14ac:dyDescent="0.2">
      <c r="A1927" s="5" t="s">
        <v>4313</v>
      </c>
      <c r="B1927" s="5" t="s">
        <v>4314</v>
      </c>
      <c r="D1927" s="5" t="s">
        <v>4678</v>
      </c>
      <c r="E1927" s="10" t="s">
        <v>53</v>
      </c>
      <c r="F1927" s="5" t="s">
        <v>4643</v>
      </c>
      <c r="I1927" s="11">
        <v>6</v>
      </c>
      <c r="K1927" s="10" t="s">
        <v>46</v>
      </c>
      <c r="L1927" s="5" t="s">
        <v>47</v>
      </c>
      <c r="M1927" s="5" t="s">
        <v>115</v>
      </c>
      <c r="O1927" s="12"/>
      <c r="S1927" s="13">
        <v>800</v>
      </c>
      <c r="U1927" s="13">
        <v>800</v>
      </c>
      <c r="AC1927" s="10" t="s">
        <v>4676</v>
      </c>
      <c r="AD1927" s="5" t="s">
        <v>2381</v>
      </c>
      <c r="AE1927" s="5" t="s">
        <v>4615</v>
      </c>
      <c r="AF1927" s="5" t="s">
        <v>4677</v>
      </c>
      <c r="AG1927" s="5" t="s">
        <v>4677</v>
      </c>
    </row>
    <row r="1928" spans="1:33" ht="10" customHeight="1" x14ac:dyDescent="0.2">
      <c r="A1928" s="5" t="s">
        <v>4313</v>
      </c>
      <c r="B1928" s="5" t="s">
        <v>4314</v>
      </c>
      <c r="D1928" s="5" t="s">
        <v>4679</v>
      </c>
      <c r="E1928" s="10" t="s">
        <v>53</v>
      </c>
      <c r="F1928" s="5" t="s">
        <v>4643</v>
      </c>
      <c r="I1928" s="11">
        <v>6</v>
      </c>
      <c r="K1928" s="10" t="s">
        <v>46</v>
      </c>
      <c r="L1928" s="5" t="s">
        <v>47</v>
      </c>
      <c r="M1928" s="5" t="s">
        <v>4680</v>
      </c>
      <c r="N1928" s="5" t="s">
        <v>4681</v>
      </c>
      <c r="O1928" s="12"/>
      <c r="S1928" s="13">
        <v>4000</v>
      </c>
      <c r="U1928" s="13">
        <v>4000</v>
      </c>
      <c r="AC1928" s="10" t="s">
        <v>4682</v>
      </c>
      <c r="AD1928" s="5" t="s">
        <v>2372</v>
      </c>
      <c r="AE1928" s="5" t="s">
        <v>4615</v>
      </c>
      <c r="AF1928" s="5" t="s">
        <v>4683</v>
      </c>
      <c r="AG1928" s="5" t="s">
        <v>4683</v>
      </c>
    </row>
    <row r="1929" spans="1:33" ht="10" customHeight="1" x14ac:dyDescent="0.2">
      <c r="A1929" s="5" t="s">
        <v>4313</v>
      </c>
      <c r="B1929" s="5" t="s">
        <v>4314</v>
      </c>
      <c r="D1929" s="5" t="s">
        <v>4684</v>
      </c>
      <c r="E1929" s="10" t="s">
        <v>53</v>
      </c>
      <c r="F1929" s="5" t="s">
        <v>4643</v>
      </c>
      <c r="I1929" s="11">
        <v>6</v>
      </c>
      <c r="K1929" s="10" t="s">
        <v>46</v>
      </c>
      <c r="L1929" s="5" t="s">
        <v>47</v>
      </c>
      <c r="M1929" s="5" t="s">
        <v>48</v>
      </c>
      <c r="O1929" s="12"/>
      <c r="S1929" s="13">
        <v>1800</v>
      </c>
      <c r="U1929" s="13">
        <v>1800</v>
      </c>
      <c r="AC1929" s="10" t="s">
        <v>4685</v>
      </c>
      <c r="AD1929" s="5" t="s">
        <v>2359</v>
      </c>
      <c r="AE1929" s="5" t="s">
        <v>4615</v>
      </c>
      <c r="AF1929" s="5" t="s">
        <v>4686</v>
      </c>
      <c r="AG1929" s="5" t="s">
        <v>4686</v>
      </c>
    </row>
    <row r="1930" spans="1:33" ht="10" customHeight="1" x14ac:dyDescent="0.2">
      <c r="A1930" s="5" t="s">
        <v>4313</v>
      </c>
      <c r="B1930" s="5" t="s">
        <v>4314</v>
      </c>
      <c r="D1930" s="5" t="s">
        <v>4687</v>
      </c>
      <c r="E1930" s="10" t="s">
        <v>53</v>
      </c>
      <c r="F1930" s="5" t="s">
        <v>4643</v>
      </c>
      <c r="I1930" s="11">
        <v>6</v>
      </c>
      <c r="K1930" s="12"/>
      <c r="O1930" s="12"/>
      <c r="S1930" s="13">
        <v>1500</v>
      </c>
      <c r="U1930" s="13">
        <v>1500</v>
      </c>
      <c r="AC1930" s="10" t="s">
        <v>4688</v>
      </c>
      <c r="AD1930" s="5" t="s">
        <v>2260</v>
      </c>
      <c r="AE1930" s="5" t="s">
        <v>4615</v>
      </c>
      <c r="AF1930" s="5" t="s">
        <v>4689</v>
      </c>
      <c r="AG1930" s="5" t="s">
        <v>4689</v>
      </c>
    </row>
    <row r="1931" spans="1:33" ht="10" customHeight="1" x14ac:dyDescent="0.2">
      <c r="A1931" s="5" t="s">
        <v>4313</v>
      </c>
      <c r="B1931" s="5" t="s">
        <v>4314</v>
      </c>
      <c r="D1931" s="5" t="s">
        <v>4690</v>
      </c>
      <c r="E1931" s="10" t="s">
        <v>53</v>
      </c>
      <c r="F1931" s="5" t="s">
        <v>4643</v>
      </c>
      <c r="I1931" s="11">
        <v>6</v>
      </c>
      <c r="K1931" s="12"/>
      <c r="O1931" s="12"/>
      <c r="S1931" s="13">
        <v>4690</v>
      </c>
      <c r="U1931" s="13">
        <v>4690</v>
      </c>
      <c r="AC1931" s="10" t="s">
        <v>4688</v>
      </c>
      <c r="AD1931" s="5" t="s">
        <v>2346</v>
      </c>
      <c r="AE1931" s="5" t="s">
        <v>4615</v>
      </c>
      <c r="AF1931" s="5" t="s">
        <v>4689</v>
      </c>
      <c r="AG1931" s="5" t="s">
        <v>4689</v>
      </c>
    </row>
    <row r="1932" spans="1:33" ht="10" customHeight="1" x14ac:dyDescent="0.2">
      <c r="A1932" s="5" t="s">
        <v>4313</v>
      </c>
      <c r="B1932" s="5" t="s">
        <v>4314</v>
      </c>
      <c r="D1932" s="5" t="s">
        <v>4691</v>
      </c>
      <c r="E1932" s="12"/>
      <c r="I1932" s="11">
        <v>1</v>
      </c>
      <c r="J1932" s="5" t="s">
        <v>45</v>
      </c>
      <c r="K1932" s="10" t="s">
        <v>186</v>
      </c>
      <c r="L1932" s="5" t="s">
        <v>228</v>
      </c>
      <c r="M1932" s="5" t="s">
        <v>241</v>
      </c>
      <c r="N1932" s="5" t="s">
        <v>4692</v>
      </c>
      <c r="O1932" s="12"/>
      <c r="P1932" s="13">
        <v>40</v>
      </c>
      <c r="AC1932" s="10" t="s">
        <v>4693</v>
      </c>
      <c r="AD1932" s="5" t="s">
        <v>4694</v>
      </c>
      <c r="AE1932" s="5" t="s">
        <v>4695</v>
      </c>
    </row>
    <row r="1933" spans="1:33" ht="10" customHeight="1" x14ac:dyDescent="0.2">
      <c r="A1933" s="5" t="s">
        <v>4313</v>
      </c>
      <c r="B1933" s="5" t="s">
        <v>4314</v>
      </c>
      <c r="D1933" s="5" t="s">
        <v>4696</v>
      </c>
      <c r="E1933" s="12"/>
      <c r="I1933" s="11">
        <v>1</v>
      </c>
      <c r="J1933" s="5" t="s">
        <v>45</v>
      </c>
      <c r="K1933" s="10" t="s">
        <v>186</v>
      </c>
      <c r="L1933" s="5" t="s">
        <v>47</v>
      </c>
      <c r="M1933" s="5" t="s">
        <v>178</v>
      </c>
      <c r="N1933" s="5" t="s">
        <v>4697</v>
      </c>
      <c r="O1933" s="12"/>
      <c r="P1933" s="13">
        <v>31</v>
      </c>
      <c r="AC1933" s="10" t="s">
        <v>4698</v>
      </c>
      <c r="AD1933" s="5" t="s">
        <v>4694</v>
      </c>
      <c r="AE1933" s="5" t="s">
        <v>4695</v>
      </c>
    </row>
    <row r="1934" spans="1:33" ht="10" customHeight="1" x14ac:dyDescent="0.2">
      <c r="A1934" s="5" t="s">
        <v>4313</v>
      </c>
      <c r="B1934" s="5" t="s">
        <v>4314</v>
      </c>
      <c r="D1934" s="5" t="s">
        <v>4699</v>
      </c>
      <c r="E1934" s="12"/>
      <c r="I1934" s="11">
        <v>2</v>
      </c>
      <c r="K1934" s="10" t="s">
        <v>186</v>
      </c>
      <c r="L1934" s="5" t="s">
        <v>228</v>
      </c>
      <c r="M1934" s="5" t="s">
        <v>241</v>
      </c>
      <c r="N1934" s="5" t="s">
        <v>4692</v>
      </c>
      <c r="O1934" s="12"/>
      <c r="P1934" s="13">
        <v>28264</v>
      </c>
      <c r="AC1934" s="10" t="s">
        <v>4700</v>
      </c>
      <c r="AD1934" s="5" t="s">
        <v>4694</v>
      </c>
      <c r="AE1934" s="5" t="s">
        <v>4695</v>
      </c>
    </row>
    <row r="1935" spans="1:33" ht="10" customHeight="1" x14ac:dyDescent="0.2">
      <c r="A1935" s="5" t="s">
        <v>4313</v>
      </c>
      <c r="B1935" s="5" t="s">
        <v>4314</v>
      </c>
      <c r="D1935" s="5" t="s">
        <v>4701</v>
      </c>
      <c r="E1935" s="12"/>
      <c r="I1935" s="11">
        <v>4</v>
      </c>
      <c r="K1935" s="12"/>
      <c r="O1935" s="12"/>
      <c r="P1935" s="13">
        <v>6939</v>
      </c>
      <c r="AC1935" s="10" t="s">
        <v>4702</v>
      </c>
      <c r="AD1935" s="5" t="s">
        <v>4694</v>
      </c>
      <c r="AE1935" s="5" t="s">
        <v>4695</v>
      </c>
    </row>
    <row r="1936" spans="1:33" ht="10" customHeight="1" x14ac:dyDescent="0.2">
      <c r="A1936" s="5" t="s">
        <v>4313</v>
      </c>
      <c r="B1936" s="5" t="s">
        <v>4314</v>
      </c>
      <c r="D1936" s="5" t="s">
        <v>4703</v>
      </c>
      <c r="E1936" s="12"/>
      <c r="I1936" s="11">
        <v>6</v>
      </c>
      <c r="K1936" s="12"/>
      <c r="O1936" s="12"/>
      <c r="P1936" s="13">
        <v>310</v>
      </c>
      <c r="AC1936" s="10" t="s">
        <v>4704</v>
      </c>
      <c r="AD1936" s="5" t="s">
        <v>4705</v>
      </c>
      <c r="AE1936" s="5" t="s">
        <v>4695</v>
      </c>
    </row>
    <row r="1937" spans="1:32" ht="10" customHeight="1" x14ac:dyDescent="0.2">
      <c r="A1937" s="5" t="s">
        <v>4313</v>
      </c>
      <c r="B1937" s="5" t="s">
        <v>4314</v>
      </c>
      <c r="D1937" s="5" t="s">
        <v>4706</v>
      </c>
      <c r="E1937" s="10" t="s">
        <v>44</v>
      </c>
      <c r="I1937" s="11">
        <v>1</v>
      </c>
      <c r="K1937" s="12"/>
      <c r="O1937" s="12"/>
      <c r="P1937" s="13">
        <v>35584</v>
      </c>
      <c r="AC1937" s="10" t="s">
        <v>4707</v>
      </c>
      <c r="AD1937" s="5" t="s">
        <v>4694</v>
      </c>
      <c r="AE1937" s="5" t="s">
        <v>4695</v>
      </c>
    </row>
    <row r="1938" spans="1:32" ht="10" customHeight="1" x14ac:dyDescent="0.2">
      <c r="A1938" s="5" t="s">
        <v>4708</v>
      </c>
      <c r="B1938" s="5" t="s">
        <v>4709</v>
      </c>
      <c r="D1938" s="5" t="s">
        <v>4710</v>
      </c>
      <c r="E1938" s="10" t="s">
        <v>44</v>
      </c>
      <c r="I1938" s="11" t="s">
        <v>4711</v>
      </c>
      <c r="K1938" s="12"/>
      <c r="O1938" s="12"/>
      <c r="P1938" s="13">
        <v>11502495</v>
      </c>
      <c r="Q1938" s="13">
        <v>11763594</v>
      </c>
      <c r="S1938" s="13">
        <v>13803188</v>
      </c>
      <c r="U1938" s="13">
        <v>13803188</v>
      </c>
      <c r="W1938" s="13">
        <v>61600</v>
      </c>
      <c r="X1938" s="13">
        <v>13813188</v>
      </c>
      <c r="Y1938" s="13">
        <v>13874788</v>
      </c>
      <c r="AC1938" s="10" t="s">
        <v>4712</v>
      </c>
      <c r="AD1938" s="5" t="s">
        <v>1956</v>
      </c>
      <c r="AE1938" s="5" t="s">
        <v>4713</v>
      </c>
    </row>
    <row r="1939" spans="1:32" ht="10" customHeight="1" x14ac:dyDescent="0.2">
      <c r="A1939" s="5" t="s">
        <v>4708</v>
      </c>
      <c r="B1939" s="5" t="s">
        <v>4709</v>
      </c>
      <c r="D1939" s="5" t="s">
        <v>4714</v>
      </c>
      <c r="E1939" s="10" t="s">
        <v>345</v>
      </c>
      <c r="F1939" s="5" t="s">
        <v>4710</v>
      </c>
      <c r="I1939" s="11">
        <v>2</v>
      </c>
      <c r="K1939" s="12"/>
      <c r="O1939" s="12"/>
      <c r="P1939" s="13">
        <v>329274</v>
      </c>
      <c r="Q1939" s="13">
        <v>250497</v>
      </c>
      <c r="S1939" s="13">
        <v>250312</v>
      </c>
      <c r="U1939" s="13">
        <v>250312</v>
      </c>
      <c r="AC1939" s="10" t="s">
        <v>4715</v>
      </c>
      <c r="AD1939" s="5" t="s">
        <v>4716</v>
      </c>
      <c r="AE1939" s="5" t="s">
        <v>4713</v>
      </c>
    </row>
    <row r="1940" spans="1:32" ht="10" customHeight="1" x14ac:dyDescent="0.2">
      <c r="A1940" s="5" t="s">
        <v>4708</v>
      </c>
      <c r="B1940" s="5" t="s">
        <v>4709</v>
      </c>
      <c r="D1940" s="5" t="s">
        <v>4717</v>
      </c>
      <c r="E1940" s="10" t="s">
        <v>345</v>
      </c>
      <c r="F1940" s="5" t="s">
        <v>4710</v>
      </c>
      <c r="I1940" s="11">
        <v>2</v>
      </c>
      <c r="K1940" s="12"/>
      <c r="O1940" s="12"/>
      <c r="P1940" s="13">
        <v>717140</v>
      </c>
      <c r="Q1940" s="13">
        <v>384455</v>
      </c>
      <c r="S1940" s="13">
        <v>305424</v>
      </c>
      <c r="U1940" s="13">
        <v>305424</v>
      </c>
      <c r="AC1940" s="10" t="s">
        <v>4715</v>
      </c>
      <c r="AD1940" s="5" t="s">
        <v>4716</v>
      </c>
      <c r="AE1940" s="5" t="s">
        <v>4713</v>
      </c>
    </row>
    <row r="1941" spans="1:32" ht="10" customHeight="1" x14ac:dyDescent="0.2">
      <c r="A1941" s="5" t="s">
        <v>4708</v>
      </c>
      <c r="B1941" s="5" t="s">
        <v>4709</v>
      </c>
      <c r="D1941" s="5" t="s">
        <v>4718</v>
      </c>
      <c r="E1941" s="10" t="s">
        <v>345</v>
      </c>
      <c r="F1941" s="5" t="s">
        <v>4710</v>
      </c>
      <c r="I1941" s="11">
        <v>2</v>
      </c>
      <c r="K1941" s="12"/>
      <c r="O1941" s="12"/>
      <c r="P1941" s="13">
        <v>95837</v>
      </c>
      <c r="Q1941" s="13">
        <v>63660</v>
      </c>
      <c r="S1941" s="13">
        <v>104367</v>
      </c>
      <c r="U1941" s="13">
        <v>104367</v>
      </c>
      <c r="AC1941" s="10" t="s">
        <v>4715</v>
      </c>
      <c r="AD1941" s="5" t="s">
        <v>4716</v>
      </c>
      <c r="AE1941" s="5" t="s">
        <v>4713</v>
      </c>
    </row>
    <row r="1942" spans="1:32" ht="10" customHeight="1" x14ac:dyDescent="0.2">
      <c r="A1942" s="5" t="s">
        <v>4708</v>
      </c>
      <c r="B1942" s="5" t="s">
        <v>4709</v>
      </c>
      <c r="D1942" s="5" t="s">
        <v>4719</v>
      </c>
      <c r="E1942" s="10" t="s">
        <v>345</v>
      </c>
      <c r="F1942" s="5" t="s">
        <v>4710</v>
      </c>
      <c r="I1942" s="11">
        <v>2</v>
      </c>
      <c r="K1942" s="10" t="s">
        <v>46</v>
      </c>
      <c r="L1942" s="5" t="s">
        <v>47</v>
      </c>
      <c r="M1942" s="5" t="s">
        <v>65</v>
      </c>
      <c r="N1942" s="5" t="s">
        <v>66</v>
      </c>
      <c r="O1942" s="12"/>
      <c r="P1942" s="13">
        <v>99893</v>
      </c>
      <c r="Q1942" s="13">
        <v>322052</v>
      </c>
      <c r="S1942" s="13">
        <v>349822</v>
      </c>
      <c r="U1942" s="13">
        <v>349822</v>
      </c>
      <c r="AC1942" s="10" t="s">
        <v>4715</v>
      </c>
      <c r="AD1942" s="5" t="s">
        <v>4716</v>
      </c>
      <c r="AE1942" s="5" t="s">
        <v>4713</v>
      </c>
    </row>
    <row r="1943" spans="1:32" ht="10" customHeight="1" x14ac:dyDescent="0.2">
      <c r="A1943" s="5" t="s">
        <v>4708</v>
      </c>
      <c r="B1943" s="5" t="s">
        <v>4709</v>
      </c>
      <c r="D1943" s="5" t="s">
        <v>4720</v>
      </c>
      <c r="E1943" s="10" t="s">
        <v>345</v>
      </c>
      <c r="F1943" s="5" t="s">
        <v>4710</v>
      </c>
      <c r="I1943" s="11">
        <v>2</v>
      </c>
      <c r="K1943" s="10" t="s">
        <v>46</v>
      </c>
      <c r="L1943" s="5" t="s">
        <v>47</v>
      </c>
      <c r="M1943" s="5" t="s">
        <v>65</v>
      </c>
      <c r="N1943" s="5" t="s">
        <v>66</v>
      </c>
      <c r="O1943" s="12"/>
      <c r="P1943" s="13">
        <v>28204</v>
      </c>
      <c r="Q1943" s="13">
        <v>16251</v>
      </c>
      <c r="S1943" s="13">
        <v>44947</v>
      </c>
      <c r="U1943" s="13">
        <v>44947</v>
      </c>
      <c r="AC1943" s="10" t="s">
        <v>4715</v>
      </c>
      <c r="AD1943" s="5" t="s">
        <v>4716</v>
      </c>
      <c r="AE1943" s="5" t="s">
        <v>4713</v>
      </c>
    </row>
    <row r="1944" spans="1:32" ht="10" customHeight="1" x14ac:dyDescent="0.2">
      <c r="A1944" s="5" t="s">
        <v>4708</v>
      </c>
      <c r="B1944" s="5" t="s">
        <v>4709</v>
      </c>
      <c r="D1944" s="5" t="s">
        <v>4721</v>
      </c>
      <c r="E1944" s="10" t="s">
        <v>345</v>
      </c>
      <c r="F1944" s="5" t="s">
        <v>4710</v>
      </c>
      <c r="I1944" s="11">
        <v>2</v>
      </c>
      <c r="K1944" s="12"/>
      <c r="O1944" s="12"/>
      <c r="P1944" s="13">
        <v>21554</v>
      </c>
      <c r="Q1944" s="13">
        <v>22924</v>
      </c>
      <c r="AC1944" s="10" t="s">
        <v>4715</v>
      </c>
      <c r="AD1944" s="5" t="s">
        <v>4716</v>
      </c>
      <c r="AE1944" s="5" t="s">
        <v>4713</v>
      </c>
    </row>
    <row r="1945" spans="1:32" ht="10" customHeight="1" x14ac:dyDescent="0.2">
      <c r="A1945" s="5" t="s">
        <v>4708</v>
      </c>
      <c r="B1945" s="5" t="s">
        <v>4709</v>
      </c>
      <c r="D1945" s="5" t="s">
        <v>4722</v>
      </c>
      <c r="E1945" s="10" t="s">
        <v>345</v>
      </c>
      <c r="F1945" s="5" t="s">
        <v>4710</v>
      </c>
      <c r="I1945" s="11">
        <v>3</v>
      </c>
      <c r="K1945" s="12"/>
      <c r="O1945" s="12"/>
      <c r="P1945" s="13">
        <v>118950</v>
      </c>
      <c r="Q1945" s="13">
        <v>136225</v>
      </c>
      <c r="S1945" s="13">
        <v>139467</v>
      </c>
      <c r="U1945" s="13">
        <v>139467</v>
      </c>
      <c r="AC1945" s="10" t="s">
        <v>4715</v>
      </c>
      <c r="AD1945" s="5" t="s">
        <v>4716</v>
      </c>
      <c r="AE1945" s="5" t="s">
        <v>4713</v>
      </c>
    </row>
    <row r="1946" spans="1:32" ht="10" customHeight="1" x14ac:dyDescent="0.2">
      <c r="A1946" s="5" t="s">
        <v>4708</v>
      </c>
      <c r="B1946" s="5" t="s">
        <v>4709</v>
      </c>
      <c r="D1946" s="5" t="s">
        <v>4723</v>
      </c>
      <c r="E1946" s="10" t="s">
        <v>345</v>
      </c>
      <c r="F1946" s="5" t="s">
        <v>4710</v>
      </c>
      <c r="I1946" s="11">
        <v>3</v>
      </c>
      <c r="K1946" s="12"/>
      <c r="O1946" s="12"/>
      <c r="P1946" s="13">
        <v>973522</v>
      </c>
      <c r="Q1946" s="13">
        <v>990461</v>
      </c>
      <c r="S1946" s="13">
        <v>1070896</v>
      </c>
      <c r="U1946" s="13">
        <v>1070896</v>
      </c>
      <c r="AC1946" s="10" t="s">
        <v>4715</v>
      </c>
      <c r="AD1946" s="5" t="s">
        <v>4716</v>
      </c>
      <c r="AE1946" s="5" t="s">
        <v>4713</v>
      </c>
    </row>
    <row r="1947" spans="1:32" ht="10" customHeight="1" x14ac:dyDescent="0.2">
      <c r="A1947" s="5" t="s">
        <v>4708</v>
      </c>
      <c r="B1947" s="5" t="s">
        <v>4709</v>
      </c>
      <c r="D1947" s="5" t="s">
        <v>4724</v>
      </c>
      <c r="E1947" s="10" t="s">
        <v>345</v>
      </c>
      <c r="F1947" s="5" t="s">
        <v>4710</v>
      </c>
      <c r="I1947" s="11">
        <v>3</v>
      </c>
      <c r="K1947" s="12"/>
      <c r="O1947" s="12"/>
      <c r="P1947" s="13">
        <v>696548</v>
      </c>
      <c r="Q1947" s="13">
        <v>662899</v>
      </c>
      <c r="S1947" s="13">
        <v>650869</v>
      </c>
      <c r="U1947" s="13">
        <v>650869</v>
      </c>
      <c r="AC1947" s="10" t="s">
        <v>4715</v>
      </c>
      <c r="AD1947" s="5" t="s">
        <v>4716</v>
      </c>
      <c r="AE1947" s="5" t="s">
        <v>4713</v>
      </c>
    </row>
    <row r="1948" spans="1:32" ht="10" customHeight="1" x14ac:dyDescent="0.2">
      <c r="A1948" s="5" t="s">
        <v>4708</v>
      </c>
      <c r="B1948" s="5" t="s">
        <v>4709</v>
      </c>
      <c r="D1948" s="5" t="s">
        <v>4725</v>
      </c>
      <c r="E1948" s="10" t="s">
        <v>345</v>
      </c>
      <c r="F1948" s="5" t="s">
        <v>4710</v>
      </c>
      <c r="I1948" s="11">
        <v>3</v>
      </c>
      <c r="K1948" s="12"/>
      <c r="O1948" s="12"/>
      <c r="P1948" s="13">
        <v>1497600</v>
      </c>
      <c r="Q1948" s="13">
        <v>1429333</v>
      </c>
      <c r="S1948" s="13">
        <v>1525270</v>
      </c>
      <c r="U1948" s="13">
        <v>1525270</v>
      </c>
      <c r="AC1948" s="10" t="s">
        <v>4715</v>
      </c>
      <c r="AD1948" s="5" t="s">
        <v>4716</v>
      </c>
      <c r="AE1948" s="5" t="s">
        <v>4713</v>
      </c>
    </row>
    <row r="1949" spans="1:32" ht="10" customHeight="1" x14ac:dyDescent="0.2">
      <c r="A1949" s="5" t="s">
        <v>4708</v>
      </c>
      <c r="B1949" s="5" t="s">
        <v>4709</v>
      </c>
      <c r="D1949" s="5" t="s">
        <v>4726</v>
      </c>
      <c r="E1949" s="10" t="s">
        <v>345</v>
      </c>
      <c r="F1949" s="5" t="s">
        <v>4710</v>
      </c>
      <c r="I1949" s="11">
        <v>2</v>
      </c>
      <c r="K1949" s="12"/>
      <c r="O1949" s="12"/>
      <c r="P1949" s="13">
        <v>1635116</v>
      </c>
      <c r="Q1949" s="13">
        <v>1789606</v>
      </c>
      <c r="S1949" s="13">
        <v>1775132</v>
      </c>
      <c r="U1949" s="13">
        <v>1775132</v>
      </c>
      <c r="AC1949" s="10" t="s">
        <v>4727</v>
      </c>
      <c r="AD1949" s="5" t="s">
        <v>4716</v>
      </c>
      <c r="AE1949" s="5" t="s">
        <v>4713</v>
      </c>
      <c r="AF1949" s="5" t="s">
        <v>4728</v>
      </c>
    </row>
    <row r="1950" spans="1:32" ht="10" customHeight="1" x14ac:dyDescent="0.2">
      <c r="A1950" s="5" t="s">
        <v>4708</v>
      </c>
      <c r="B1950" s="5" t="s">
        <v>4709</v>
      </c>
      <c r="D1950" s="5" t="s">
        <v>4729</v>
      </c>
      <c r="E1950" s="10" t="s">
        <v>345</v>
      </c>
      <c r="F1950" s="5" t="s">
        <v>4710</v>
      </c>
      <c r="I1950" s="11">
        <v>2</v>
      </c>
      <c r="K1950" s="12"/>
      <c r="O1950" s="12"/>
      <c r="P1950" s="13">
        <v>1191581</v>
      </c>
      <c r="Q1950" s="13">
        <v>1468055</v>
      </c>
      <c r="S1950" s="13">
        <v>1401503</v>
      </c>
      <c r="U1950" s="13">
        <v>1401503</v>
      </c>
      <c r="AC1950" s="10" t="s">
        <v>4727</v>
      </c>
      <c r="AD1950" s="5" t="s">
        <v>4716</v>
      </c>
      <c r="AE1950" s="5" t="s">
        <v>4713</v>
      </c>
      <c r="AF1950" s="5" t="s">
        <v>4728</v>
      </c>
    </row>
    <row r="1951" spans="1:32" ht="10" customHeight="1" x14ac:dyDescent="0.2">
      <c r="A1951" s="5" t="s">
        <v>4708</v>
      </c>
      <c r="B1951" s="5" t="s">
        <v>4709</v>
      </c>
      <c r="D1951" s="5" t="s">
        <v>4730</v>
      </c>
      <c r="E1951" s="10" t="s">
        <v>345</v>
      </c>
      <c r="F1951" s="5" t="s">
        <v>4710</v>
      </c>
      <c r="I1951" s="11">
        <v>2</v>
      </c>
      <c r="K1951" s="12"/>
      <c r="O1951" s="12"/>
      <c r="P1951" s="13">
        <v>2521756</v>
      </c>
      <c r="Q1951" s="13">
        <v>2741203</v>
      </c>
      <c r="S1951" s="13">
        <v>2944801</v>
      </c>
      <c r="U1951" s="13">
        <v>2944801</v>
      </c>
      <c r="AC1951" s="10" t="s">
        <v>4727</v>
      </c>
      <c r="AD1951" s="5" t="s">
        <v>4716</v>
      </c>
      <c r="AE1951" s="5" t="s">
        <v>4713</v>
      </c>
      <c r="AF1951" s="5" t="s">
        <v>4728</v>
      </c>
    </row>
    <row r="1952" spans="1:32" ht="10" customHeight="1" x14ac:dyDescent="0.2">
      <c r="A1952" s="5" t="s">
        <v>4708</v>
      </c>
      <c r="B1952" s="5" t="s">
        <v>4709</v>
      </c>
      <c r="D1952" s="5" t="s">
        <v>4731</v>
      </c>
      <c r="E1952" s="10" t="s">
        <v>345</v>
      </c>
      <c r="F1952" s="5" t="s">
        <v>4710</v>
      </c>
      <c r="I1952" s="11">
        <v>2</v>
      </c>
      <c r="K1952" s="12"/>
      <c r="O1952" s="12"/>
      <c r="P1952" s="13">
        <v>1237273</v>
      </c>
      <c r="Q1952" s="13">
        <v>1485973</v>
      </c>
      <c r="S1952" s="13">
        <v>1656378</v>
      </c>
      <c r="U1952" s="13">
        <v>1656378</v>
      </c>
      <c r="AC1952" s="10" t="s">
        <v>4727</v>
      </c>
      <c r="AD1952" s="5" t="s">
        <v>4716</v>
      </c>
      <c r="AE1952" s="5" t="s">
        <v>4713</v>
      </c>
      <c r="AF1952" s="5" t="s">
        <v>4728</v>
      </c>
    </row>
    <row r="1953" spans="1:33" ht="10" customHeight="1" x14ac:dyDescent="0.2">
      <c r="A1953" s="5" t="s">
        <v>4708</v>
      </c>
      <c r="B1953" s="5" t="s">
        <v>4709</v>
      </c>
      <c r="D1953" s="5" t="s">
        <v>4732</v>
      </c>
      <c r="E1953" s="10" t="s">
        <v>53</v>
      </c>
      <c r="F1953" s="5" t="s">
        <v>4725</v>
      </c>
      <c r="I1953" s="11">
        <v>3</v>
      </c>
      <c r="K1953" s="12"/>
      <c r="O1953" s="12"/>
      <c r="P1953" s="13">
        <v>849162</v>
      </c>
      <c r="Q1953" s="13">
        <v>913937</v>
      </c>
      <c r="S1953" s="13">
        <v>799626</v>
      </c>
      <c r="U1953" s="13">
        <v>799626</v>
      </c>
      <c r="AC1953" s="10" t="s">
        <v>4733</v>
      </c>
      <c r="AD1953" s="5" t="s">
        <v>1997</v>
      </c>
      <c r="AE1953" s="5" t="s">
        <v>4713</v>
      </c>
      <c r="AF1953" s="5" t="s">
        <v>4734</v>
      </c>
    </row>
    <row r="1954" spans="1:33" ht="10" customHeight="1" x14ac:dyDescent="0.2">
      <c r="A1954" s="5" t="s">
        <v>4708</v>
      </c>
      <c r="B1954" s="5" t="s">
        <v>4709</v>
      </c>
      <c r="D1954" s="5" t="s">
        <v>4735</v>
      </c>
      <c r="E1954" s="10" t="s">
        <v>53</v>
      </c>
      <c r="F1954" s="5" t="s">
        <v>4725</v>
      </c>
      <c r="I1954" s="11">
        <v>3</v>
      </c>
      <c r="K1954" s="12"/>
      <c r="O1954" s="12"/>
      <c r="P1954" s="13">
        <v>2368347</v>
      </c>
      <c r="Q1954" s="13">
        <v>2019921</v>
      </c>
      <c r="S1954" s="13">
        <v>3969612</v>
      </c>
      <c r="U1954" s="13">
        <v>3969612</v>
      </c>
      <c r="AC1954" s="10" t="s">
        <v>4733</v>
      </c>
      <c r="AD1954" s="5" t="s">
        <v>1997</v>
      </c>
      <c r="AE1954" s="5" t="s">
        <v>4713</v>
      </c>
      <c r="AF1954" s="5" t="s">
        <v>4734</v>
      </c>
    </row>
    <row r="1955" spans="1:33" ht="10" customHeight="1" x14ac:dyDescent="0.2">
      <c r="A1955" s="5" t="s">
        <v>4708</v>
      </c>
      <c r="B1955" s="5" t="s">
        <v>4709</v>
      </c>
      <c r="D1955" s="5" t="s">
        <v>4736</v>
      </c>
      <c r="E1955" s="10" t="s">
        <v>53</v>
      </c>
      <c r="F1955" s="5" t="s">
        <v>4710</v>
      </c>
      <c r="I1955" s="11">
        <v>2</v>
      </c>
      <c r="K1955" s="12"/>
      <c r="O1955" s="12"/>
      <c r="S1955" s="13">
        <v>341925</v>
      </c>
      <c r="U1955" s="13">
        <v>341925</v>
      </c>
      <c r="AC1955" s="10" t="s">
        <v>4737</v>
      </c>
      <c r="AD1955" s="5" t="s">
        <v>1961</v>
      </c>
      <c r="AE1955" s="5" t="s">
        <v>4713</v>
      </c>
    </row>
    <row r="1956" spans="1:33" ht="10" customHeight="1" x14ac:dyDescent="0.2">
      <c r="A1956" s="5" t="s">
        <v>4708</v>
      </c>
      <c r="B1956" s="5" t="s">
        <v>4709</v>
      </c>
      <c r="D1956" s="5" t="s">
        <v>4738</v>
      </c>
      <c r="E1956" s="10" t="s">
        <v>53</v>
      </c>
      <c r="F1956" s="5" t="s">
        <v>4710</v>
      </c>
      <c r="I1956" s="11">
        <v>2</v>
      </c>
      <c r="K1956" s="12"/>
      <c r="O1956" s="12"/>
      <c r="S1956" s="13">
        <v>666329</v>
      </c>
      <c r="U1956" s="13">
        <v>666329</v>
      </c>
      <c r="AC1956" s="10" t="s">
        <v>4737</v>
      </c>
      <c r="AD1956" s="5" t="s">
        <v>1961</v>
      </c>
      <c r="AE1956" s="5" t="s">
        <v>4713</v>
      </c>
    </row>
    <row r="1957" spans="1:33" ht="10" customHeight="1" x14ac:dyDescent="0.2">
      <c r="A1957" s="5" t="s">
        <v>4708</v>
      </c>
      <c r="B1957" s="5" t="s">
        <v>4709</v>
      </c>
      <c r="D1957" s="5" t="s">
        <v>4739</v>
      </c>
      <c r="E1957" s="10" t="s">
        <v>53</v>
      </c>
      <c r="F1957" s="5" t="s">
        <v>4710</v>
      </c>
      <c r="I1957" s="11" t="s">
        <v>4711</v>
      </c>
      <c r="K1957" s="12"/>
      <c r="O1957" s="12"/>
      <c r="S1957" s="13">
        <v>575746</v>
      </c>
      <c r="U1957" s="13">
        <v>575746</v>
      </c>
      <c r="AC1957" s="10" t="s">
        <v>4737</v>
      </c>
      <c r="AD1957" s="5" t="s">
        <v>1961</v>
      </c>
      <c r="AE1957" s="5" t="s">
        <v>4713</v>
      </c>
    </row>
    <row r="1958" spans="1:33" ht="10" customHeight="1" x14ac:dyDescent="0.2">
      <c r="A1958" s="5" t="s">
        <v>4708</v>
      </c>
      <c r="B1958" s="5" t="s">
        <v>4709</v>
      </c>
      <c r="D1958" s="5" t="s">
        <v>4740</v>
      </c>
      <c r="E1958" s="10" t="s">
        <v>53</v>
      </c>
      <c r="F1958" s="5" t="s">
        <v>4710</v>
      </c>
      <c r="I1958" s="11">
        <v>2</v>
      </c>
      <c r="K1958" s="10" t="s">
        <v>46</v>
      </c>
      <c r="L1958" s="5" t="s">
        <v>47</v>
      </c>
      <c r="M1958" s="5" t="s">
        <v>48</v>
      </c>
      <c r="N1958" s="5" t="s">
        <v>84</v>
      </c>
      <c r="O1958" s="12"/>
      <c r="S1958" s="13">
        <v>293392</v>
      </c>
      <c r="U1958" s="13">
        <v>293392</v>
      </c>
      <c r="AC1958" s="10" t="s">
        <v>4741</v>
      </c>
      <c r="AD1958" s="5" t="s">
        <v>4651</v>
      </c>
      <c r="AE1958" s="5" t="s">
        <v>4713</v>
      </c>
      <c r="AF1958" s="5" t="s">
        <v>4742</v>
      </c>
      <c r="AG1958" s="5" t="s">
        <v>4743</v>
      </c>
    </row>
    <row r="1959" spans="1:33" ht="10" customHeight="1" x14ac:dyDescent="0.2">
      <c r="A1959" s="5" t="s">
        <v>4708</v>
      </c>
      <c r="B1959" s="5" t="s">
        <v>4709</v>
      </c>
      <c r="D1959" s="5" t="s">
        <v>4744</v>
      </c>
      <c r="E1959" s="10" t="s">
        <v>53</v>
      </c>
      <c r="F1959" s="5" t="s">
        <v>4710</v>
      </c>
      <c r="I1959" s="11">
        <v>3</v>
      </c>
      <c r="K1959" s="12"/>
      <c r="O1959" s="12"/>
      <c r="S1959" s="13">
        <v>86752</v>
      </c>
      <c r="U1959" s="13">
        <v>86752</v>
      </c>
      <c r="AC1959" s="10" t="s">
        <v>4745</v>
      </c>
      <c r="AD1959" s="5" t="s">
        <v>86</v>
      </c>
      <c r="AE1959" s="5" t="s">
        <v>4713</v>
      </c>
      <c r="AF1959" s="5" t="s">
        <v>4742</v>
      </c>
      <c r="AG1959" s="5" t="s">
        <v>4746</v>
      </c>
    </row>
    <row r="1960" spans="1:33" ht="10" customHeight="1" x14ac:dyDescent="0.2">
      <c r="A1960" s="5" t="s">
        <v>4708</v>
      </c>
      <c r="B1960" s="5" t="s">
        <v>4709</v>
      </c>
      <c r="D1960" s="5" t="s">
        <v>4747</v>
      </c>
      <c r="E1960" s="10" t="s">
        <v>53</v>
      </c>
      <c r="F1960" s="5" t="s">
        <v>4710</v>
      </c>
      <c r="I1960" s="11">
        <v>2</v>
      </c>
      <c r="K1960" s="10" t="s">
        <v>46</v>
      </c>
      <c r="L1960" s="5" t="s">
        <v>47</v>
      </c>
      <c r="M1960" s="5" t="s">
        <v>48</v>
      </c>
      <c r="N1960" s="5" t="s">
        <v>4748</v>
      </c>
      <c r="O1960" s="12"/>
      <c r="S1960" s="13">
        <v>77927</v>
      </c>
      <c r="U1960" s="13">
        <v>77927</v>
      </c>
      <c r="AC1960" s="10" t="s">
        <v>4749</v>
      </c>
      <c r="AD1960" s="5" t="s">
        <v>86</v>
      </c>
      <c r="AE1960" s="5" t="s">
        <v>4713</v>
      </c>
      <c r="AF1960" s="5" t="s">
        <v>4742</v>
      </c>
      <c r="AG1960" s="5" t="s">
        <v>4750</v>
      </c>
    </row>
    <row r="1961" spans="1:33" ht="10" customHeight="1" x14ac:dyDescent="0.2">
      <c r="A1961" s="5" t="s">
        <v>4708</v>
      </c>
      <c r="B1961" s="5" t="s">
        <v>4709</v>
      </c>
      <c r="D1961" s="5" t="s">
        <v>4751</v>
      </c>
      <c r="E1961" s="10" t="s">
        <v>53</v>
      </c>
      <c r="F1961" s="5" t="s">
        <v>4710</v>
      </c>
      <c r="I1961" s="11">
        <v>3</v>
      </c>
      <c r="K1961" s="10" t="s">
        <v>46</v>
      </c>
      <c r="L1961" s="5" t="s">
        <v>47</v>
      </c>
      <c r="M1961" s="5" t="s">
        <v>48</v>
      </c>
      <c r="N1961" s="5" t="s">
        <v>84</v>
      </c>
      <c r="O1961" s="12"/>
      <c r="S1961" s="13">
        <v>65354</v>
      </c>
      <c r="U1961" s="13">
        <v>65354</v>
      </c>
      <c r="AC1961" s="10" t="s">
        <v>4752</v>
      </c>
      <c r="AD1961" s="5" t="s">
        <v>86</v>
      </c>
      <c r="AE1961" s="5" t="s">
        <v>4713</v>
      </c>
      <c r="AF1961" s="5" t="s">
        <v>4742</v>
      </c>
      <c r="AG1961" s="5" t="s">
        <v>4753</v>
      </c>
    </row>
    <row r="1962" spans="1:33" ht="10" customHeight="1" x14ac:dyDescent="0.2">
      <c r="A1962" s="5" t="s">
        <v>4708</v>
      </c>
      <c r="B1962" s="5" t="s">
        <v>4709</v>
      </c>
      <c r="D1962" s="5" t="s">
        <v>4754</v>
      </c>
      <c r="E1962" s="10" t="s">
        <v>53</v>
      </c>
      <c r="F1962" s="5" t="s">
        <v>4710</v>
      </c>
      <c r="I1962" s="11">
        <v>2</v>
      </c>
      <c r="K1962" s="10" t="s">
        <v>46</v>
      </c>
      <c r="L1962" s="5" t="s">
        <v>47</v>
      </c>
      <c r="M1962" s="5" t="s">
        <v>65</v>
      </c>
      <c r="N1962" s="5" t="s">
        <v>66</v>
      </c>
      <c r="O1962" s="12"/>
      <c r="S1962" s="13">
        <v>44006</v>
      </c>
      <c r="U1962" s="13">
        <v>44006</v>
      </c>
      <c r="AC1962" s="10" t="s">
        <v>4755</v>
      </c>
      <c r="AD1962" s="5" t="s">
        <v>86</v>
      </c>
      <c r="AE1962" s="5" t="s">
        <v>4713</v>
      </c>
      <c r="AF1962" s="5" t="s">
        <v>4742</v>
      </c>
      <c r="AG1962" s="5" t="s">
        <v>4756</v>
      </c>
    </row>
    <row r="1963" spans="1:33" ht="10" customHeight="1" x14ac:dyDescent="0.2">
      <c r="A1963" s="5" t="s">
        <v>4708</v>
      </c>
      <c r="B1963" s="5" t="s">
        <v>4709</v>
      </c>
      <c r="D1963" s="5" t="s">
        <v>4757</v>
      </c>
      <c r="E1963" s="10" t="s">
        <v>53</v>
      </c>
      <c r="F1963" s="5" t="s">
        <v>4710</v>
      </c>
      <c r="I1963" s="11">
        <v>2</v>
      </c>
      <c r="K1963" s="10" t="s">
        <v>46</v>
      </c>
      <c r="L1963" s="5" t="s">
        <v>47</v>
      </c>
      <c r="M1963" s="5" t="s">
        <v>48</v>
      </c>
      <c r="N1963" s="5" t="s">
        <v>84</v>
      </c>
      <c r="O1963" s="12"/>
      <c r="S1963" s="13">
        <v>42000</v>
      </c>
      <c r="U1963" s="13">
        <v>42000</v>
      </c>
      <c r="AC1963" s="10" t="s">
        <v>4758</v>
      </c>
      <c r="AD1963" s="5" t="s">
        <v>86</v>
      </c>
      <c r="AE1963" s="5" t="s">
        <v>4713</v>
      </c>
      <c r="AF1963" s="5" t="s">
        <v>4742</v>
      </c>
      <c r="AG1963" s="5" t="s">
        <v>4759</v>
      </c>
    </row>
    <row r="1964" spans="1:33" ht="10" customHeight="1" x14ac:dyDescent="0.2">
      <c r="A1964" s="5" t="s">
        <v>4708</v>
      </c>
      <c r="B1964" s="5" t="s">
        <v>4709</v>
      </c>
      <c r="D1964" s="5" t="s">
        <v>4760</v>
      </c>
      <c r="E1964" s="10" t="s">
        <v>53</v>
      </c>
      <c r="F1964" s="5" t="s">
        <v>4710</v>
      </c>
      <c r="I1964" s="11">
        <v>2</v>
      </c>
      <c r="K1964" s="12"/>
      <c r="O1964" s="12"/>
      <c r="S1964" s="13">
        <v>40142</v>
      </c>
      <c r="U1964" s="13">
        <v>40142</v>
      </c>
      <c r="AC1964" s="10" t="s">
        <v>4761</v>
      </c>
      <c r="AD1964" s="5" t="s">
        <v>86</v>
      </c>
      <c r="AE1964" s="5" t="s">
        <v>4713</v>
      </c>
      <c r="AF1964" s="5" t="s">
        <v>4742</v>
      </c>
      <c r="AG1964" s="5" t="s">
        <v>4762</v>
      </c>
    </row>
    <row r="1965" spans="1:33" ht="10" customHeight="1" x14ac:dyDescent="0.2">
      <c r="A1965" s="5" t="s">
        <v>4708</v>
      </c>
      <c r="B1965" s="5" t="s">
        <v>4709</v>
      </c>
      <c r="D1965" s="5" t="s">
        <v>4763</v>
      </c>
      <c r="E1965" s="10" t="s">
        <v>53</v>
      </c>
      <c r="F1965" s="5" t="s">
        <v>4710</v>
      </c>
      <c r="I1965" s="11">
        <v>2</v>
      </c>
      <c r="K1965" s="10" t="s">
        <v>46</v>
      </c>
      <c r="L1965" s="5" t="s">
        <v>47</v>
      </c>
      <c r="M1965" s="5" t="s">
        <v>65</v>
      </c>
      <c r="N1965" s="5" t="s">
        <v>66</v>
      </c>
      <c r="O1965" s="12"/>
      <c r="S1965" s="13">
        <v>40125</v>
      </c>
      <c r="U1965" s="13">
        <v>40125</v>
      </c>
      <c r="AC1965" s="10" t="s">
        <v>4764</v>
      </c>
      <c r="AD1965" s="5" t="s">
        <v>1903</v>
      </c>
      <c r="AE1965" s="5" t="s">
        <v>4713</v>
      </c>
      <c r="AF1965" s="5" t="s">
        <v>4742</v>
      </c>
      <c r="AG1965" s="5" t="s">
        <v>4765</v>
      </c>
    </row>
    <row r="1966" spans="1:33" ht="10" customHeight="1" x14ac:dyDescent="0.2">
      <c r="A1966" s="5" t="s">
        <v>4708</v>
      </c>
      <c r="B1966" s="5" t="s">
        <v>4709</v>
      </c>
      <c r="D1966" s="5" t="s">
        <v>4766</v>
      </c>
      <c r="E1966" s="10" t="s">
        <v>53</v>
      </c>
      <c r="F1966" s="5" t="s">
        <v>4710</v>
      </c>
      <c r="I1966" s="11">
        <v>2</v>
      </c>
      <c r="K1966" s="10" t="s">
        <v>46</v>
      </c>
      <c r="L1966" s="5" t="s">
        <v>47</v>
      </c>
      <c r="M1966" s="5" t="s">
        <v>48</v>
      </c>
      <c r="N1966" s="5" t="s">
        <v>4748</v>
      </c>
      <c r="O1966" s="12"/>
      <c r="S1966" s="13">
        <v>32154</v>
      </c>
      <c r="U1966" s="13">
        <v>32154</v>
      </c>
      <c r="AC1966" s="10" t="s">
        <v>4767</v>
      </c>
      <c r="AD1966" s="5" t="s">
        <v>86</v>
      </c>
      <c r="AE1966" s="5" t="s">
        <v>4713</v>
      </c>
      <c r="AF1966" s="5" t="s">
        <v>4742</v>
      </c>
      <c r="AG1966" s="5" t="s">
        <v>4768</v>
      </c>
    </row>
    <row r="1967" spans="1:33" ht="10" customHeight="1" x14ac:dyDescent="0.2">
      <c r="A1967" s="5" t="s">
        <v>4708</v>
      </c>
      <c r="B1967" s="5" t="s">
        <v>4709</v>
      </c>
      <c r="D1967" s="5" t="s">
        <v>4769</v>
      </c>
      <c r="E1967" s="10" t="s">
        <v>53</v>
      </c>
      <c r="F1967" s="5" t="s">
        <v>4710</v>
      </c>
      <c r="I1967" s="11">
        <v>2</v>
      </c>
      <c r="K1967" s="10" t="s">
        <v>46</v>
      </c>
      <c r="L1967" s="5" t="s">
        <v>47</v>
      </c>
      <c r="M1967" s="5" t="s">
        <v>65</v>
      </c>
      <c r="N1967" s="5" t="s">
        <v>66</v>
      </c>
      <c r="O1967" s="12"/>
      <c r="S1967" s="13">
        <v>24751</v>
      </c>
      <c r="U1967" s="13">
        <v>24751</v>
      </c>
      <c r="AC1967" s="10" t="s">
        <v>4770</v>
      </c>
      <c r="AD1967" s="5" t="s">
        <v>86</v>
      </c>
      <c r="AE1967" s="5" t="s">
        <v>4713</v>
      </c>
      <c r="AF1967" s="5" t="s">
        <v>4742</v>
      </c>
      <c r="AG1967" s="5" t="s">
        <v>4771</v>
      </c>
    </row>
    <row r="1968" spans="1:33" ht="10" customHeight="1" x14ac:dyDescent="0.2">
      <c r="A1968" s="5" t="s">
        <v>4708</v>
      </c>
      <c r="B1968" s="5" t="s">
        <v>4709</v>
      </c>
      <c r="D1968" s="5" t="s">
        <v>4772</v>
      </c>
      <c r="E1968" s="10" t="s">
        <v>53</v>
      </c>
      <c r="F1968" s="5" t="s">
        <v>4710</v>
      </c>
      <c r="I1968" s="11">
        <v>6</v>
      </c>
      <c r="K1968" s="10" t="s">
        <v>46</v>
      </c>
      <c r="L1968" s="5" t="s">
        <v>47</v>
      </c>
      <c r="M1968" s="5" t="s">
        <v>48</v>
      </c>
      <c r="N1968" s="5" t="s">
        <v>84</v>
      </c>
      <c r="O1968" s="12"/>
      <c r="S1968" s="13">
        <v>22754</v>
      </c>
      <c r="U1968" s="13">
        <v>22754</v>
      </c>
      <c r="AC1968" s="10" t="s">
        <v>4773</v>
      </c>
      <c r="AD1968" s="5" t="s">
        <v>86</v>
      </c>
      <c r="AE1968" s="5" t="s">
        <v>4713</v>
      </c>
      <c r="AF1968" s="5" t="s">
        <v>4742</v>
      </c>
      <c r="AG1968" s="5" t="s">
        <v>4774</v>
      </c>
    </row>
    <row r="1969" spans="1:33" ht="10" customHeight="1" x14ac:dyDescent="0.2">
      <c r="A1969" s="5" t="s">
        <v>4708</v>
      </c>
      <c r="B1969" s="5" t="s">
        <v>4709</v>
      </c>
      <c r="D1969" s="5" t="s">
        <v>4775</v>
      </c>
      <c r="E1969" s="10" t="s">
        <v>53</v>
      </c>
      <c r="F1969" s="5" t="s">
        <v>4710</v>
      </c>
      <c r="I1969" s="11">
        <v>2</v>
      </c>
      <c r="K1969" s="10" t="s">
        <v>46</v>
      </c>
      <c r="L1969" s="5" t="s">
        <v>47</v>
      </c>
      <c r="M1969" s="5" t="s">
        <v>48</v>
      </c>
      <c r="N1969" s="5" t="s">
        <v>84</v>
      </c>
      <c r="O1969" s="12"/>
      <c r="S1969" s="13">
        <v>20603</v>
      </c>
      <c r="U1969" s="13">
        <v>20603</v>
      </c>
      <c r="AC1969" s="10" t="s">
        <v>4776</v>
      </c>
      <c r="AD1969" s="5" t="s">
        <v>474</v>
      </c>
      <c r="AE1969" s="5" t="s">
        <v>4713</v>
      </c>
      <c r="AF1969" s="5" t="s">
        <v>4742</v>
      </c>
      <c r="AG1969" s="5" t="s">
        <v>4777</v>
      </c>
    </row>
    <row r="1970" spans="1:33" ht="10" customHeight="1" x14ac:dyDescent="0.2">
      <c r="A1970" s="5" t="s">
        <v>4708</v>
      </c>
      <c r="B1970" s="5" t="s">
        <v>4709</v>
      </c>
      <c r="D1970" s="5" t="s">
        <v>4778</v>
      </c>
      <c r="E1970" s="10" t="s">
        <v>53</v>
      </c>
      <c r="F1970" s="5" t="s">
        <v>4710</v>
      </c>
      <c r="I1970" s="11">
        <v>2</v>
      </c>
      <c r="K1970" s="10" t="s">
        <v>46</v>
      </c>
      <c r="L1970" s="5" t="s">
        <v>47</v>
      </c>
      <c r="M1970" s="5" t="s">
        <v>65</v>
      </c>
      <c r="N1970" s="5" t="s">
        <v>66</v>
      </c>
      <c r="O1970" s="12"/>
      <c r="S1970" s="13">
        <v>13788</v>
      </c>
      <c r="U1970" s="13">
        <v>13788</v>
      </c>
      <c r="AC1970" s="10" t="s">
        <v>4779</v>
      </c>
      <c r="AD1970" s="5" t="s">
        <v>4780</v>
      </c>
      <c r="AE1970" s="5" t="s">
        <v>4713</v>
      </c>
      <c r="AF1970" s="5" t="s">
        <v>4742</v>
      </c>
      <c r="AG1970" s="5" t="s">
        <v>4781</v>
      </c>
    </row>
    <row r="1971" spans="1:33" ht="10" customHeight="1" x14ac:dyDescent="0.2">
      <c r="A1971" s="5" t="s">
        <v>4708</v>
      </c>
      <c r="B1971" s="5" t="s">
        <v>4709</v>
      </c>
      <c r="D1971" s="5" t="s">
        <v>4782</v>
      </c>
      <c r="E1971" s="10" t="s">
        <v>53</v>
      </c>
      <c r="F1971" s="5" t="s">
        <v>4710</v>
      </c>
      <c r="I1971" s="11">
        <v>2</v>
      </c>
      <c r="K1971" s="10" t="s">
        <v>46</v>
      </c>
      <c r="L1971" s="5" t="s">
        <v>47</v>
      </c>
      <c r="M1971" s="5" t="s">
        <v>48</v>
      </c>
      <c r="N1971" s="5" t="s">
        <v>84</v>
      </c>
      <c r="O1971" s="12"/>
      <c r="S1971" s="13">
        <v>12972</v>
      </c>
      <c r="U1971" s="13">
        <v>12972</v>
      </c>
      <c r="AC1971" s="10" t="s">
        <v>4783</v>
      </c>
      <c r="AD1971" s="5" t="s">
        <v>4645</v>
      </c>
      <c r="AE1971" s="5" t="s">
        <v>4713</v>
      </c>
      <c r="AF1971" s="5" t="s">
        <v>4742</v>
      </c>
      <c r="AG1971" s="5" t="s">
        <v>4784</v>
      </c>
    </row>
    <row r="1972" spans="1:33" ht="10" customHeight="1" x14ac:dyDescent="0.2">
      <c r="A1972" s="5" t="s">
        <v>4708</v>
      </c>
      <c r="B1972" s="5" t="s">
        <v>4709</v>
      </c>
      <c r="D1972" s="5" t="s">
        <v>4785</v>
      </c>
      <c r="E1972" s="10" t="s">
        <v>53</v>
      </c>
      <c r="F1972" s="5" t="s">
        <v>4710</v>
      </c>
      <c r="I1972" s="11">
        <v>2</v>
      </c>
      <c r="K1972" s="10" t="s">
        <v>46</v>
      </c>
      <c r="L1972" s="5" t="s">
        <v>47</v>
      </c>
      <c r="M1972" s="5" t="s">
        <v>65</v>
      </c>
      <c r="N1972" s="5" t="s">
        <v>66</v>
      </c>
      <c r="O1972" s="12"/>
      <c r="S1972" s="13">
        <v>-42775</v>
      </c>
      <c r="U1972" s="13">
        <v>-42775</v>
      </c>
      <c r="AC1972" s="10" t="s">
        <v>4786</v>
      </c>
      <c r="AD1972" s="5" t="s">
        <v>4645</v>
      </c>
      <c r="AE1972" s="5" t="s">
        <v>4713</v>
      </c>
      <c r="AF1972" s="5" t="s">
        <v>4787</v>
      </c>
      <c r="AG1972" s="5" t="s">
        <v>4746</v>
      </c>
    </row>
    <row r="1973" spans="1:33" ht="10" customHeight="1" x14ac:dyDescent="0.2">
      <c r="A1973" s="5" t="s">
        <v>4708</v>
      </c>
      <c r="B1973" s="5" t="s">
        <v>4709</v>
      </c>
      <c r="D1973" s="5" t="s">
        <v>4788</v>
      </c>
      <c r="E1973" s="10" t="s">
        <v>53</v>
      </c>
      <c r="F1973" s="5" t="s">
        <v>4710</v>
      </c>
      <c r="I1973" s="11" t="s">
        <v>4711</v>
      </c>
      <c r="K1973" s="12"/>
      <c r="O1973" s="12"/>
      <c r="S1973" s="13">
        <v>-76395</v>
      </c>
      <c r="U1973" s="13">
        <v>-76395</v>
      </c>
      <c r="AC1973" s="10" t="s">
        <v>4789</v>
      </c>
      <c r="AD1973" s="5" t="s">
        <v>4645</v>
      </c>
      <c r="AE1973" s="5" t="s">
        <v>4713</v>
      </c>
      <c r="AF1973" s="5" t="s">
        <v>4787</v>
      </c>
      <c r="AG1973" s="5" t="s">
        <v>4753</v>
      </c>
    </row>
    <row r="1974" spans="1:33" ht="10" customHeight="1" x14ac:dyDescent="0.2">
      <c r="A1974" s="5" t="s">
        <v>4708</v>
      </c>
      <c r="B1974" s="5" t="s">
        <v>4709</v>
      </c>
      <c r="D1974" s="5" t="s">
        <v>4790</v>
      </c>
      <c r="E1974" s="10" t="s">
        <v>53</v>
      </c>
      <c r="F1974" s="5" t="s">
        <v>4710</v>
      </c>
      <c r="I1974" s="11" t="s">
        <v>4711</v>
      </c>
      <c r="K1974" s="12"/>
      <c r="O1974" s="12"/>
      <c r="S1974" s="13">
        <v>-207734</v>
      </c>
      <c r="U1974" s="13">
        <v>-207734</v>
      </c>
      <c r="AC1974" s="10" t="s">
        <v>4791</v>
      </c>
      <c r="AD1974" s="5" t="s">
        <v>4645</v>
      </c>
      <c r="AE1974" s="5" t="s">
        <v>4713</v>
      </c>
      <c r="AF1974" s="5" t="s">
        <v>4787</v>
      </c>
      <c r="AG1974" s="5" t="s">
        <v>4756</v>
      </c>
    </row>
    <row r="1975" spans="1:33" ht="10" customHeight="1" x14ac:dyDescent="0.2">
      <c r="A1975" s="5" t="s">
        <v>4708</v>
      </c>
      <c r="B1975" s="5" t="s">
        <v>4709</v>
      </c>
      <c r="C1975" s="5" t="s">
        <v>4792</v>
      </c>
      <c r="D1975" s="5" t="s">
        <v>4793</v>
      </c>
      <c r="E1975" s="10" t="s">
        <v>53</v>
      </c>
      <c r="F1975" s="5" t="s">
        <v>4710</v>
      </c>
      <c r="I1975" s="11">
        <v>2</v>
      </c>
      <c r="K1975" s="12"/>
      <c r="O1975" s="12"/>
      <c r="P1975" s="13">
        <v>1769659</v>
      </c>
      <c r="Q1975" s="13">
        <v>2228255</v>
      </c>
      <c r="S1975" s="13">
        <v>3971574</v>
      </c>
      <c r="U1975" s="13">
        <v>3971574</v>
      </c>
      <c r="AC1975" s="10" t="s">
        <v>4794</v>
      </c>
      <c r="AD1975" s="5" t="s">
        <v>2148</v>
      </c>
      <c r="AE1975" s="5" t="s">
        <v>4713</v>
      </c>
      <c r="AF1975" s="5" t="s">
        <v>4795</v>
      </c>
    </row>
    <row r="1976" spans="1:33" ht="10" customHeight="1" x14ac:dyDescent="0.2">
      <c r="A1976" s="5" t="s">
        <v>4708</v>
      </c>
      <c r="B1976" s="5" t="s">
        <v>4709</v>
      </c>
      <c r="C1976" s="5" t="s">
        <v>4796</v>
      </c>
      <c r="D1976" s="5" t="s">
        <v>4797</v>
      </c>
      <c r="E1976" s="10" t="s">
        <v>53</v>
      </c>
      <c r="F1976" s="5" t="s">
        <v>4710</v>
      </c>
      <c r="I1976" s="11" t="s">
        <v>4711</v>
      </c>
      <c r="K1976" s="12"/>
      <c r="O1976" s="12"/>
      <c r="P1976" s="13">
        <v>369293</v>
      </c>
      <c r="Q1976" s="13">
        <v>311029</v>
      </c>
      <c r="S1976" s="13">
        <v>502290</v>
      </c>
      <c r="U1976" s="13">
        <v>502290</v>
      </c>
      <c r="AC1976" s="10" t="s">
        <v>4798</v>
      </c>
      <c r="AD1976" s="5" t="s">
        <v>2148</v>
      </c>
      <c r="AE1976" s="5" t="s">
        <v>4713</v>
      </c>
      <c r="AF1976" s="5" t="s">
        <v>4799</v>
      </c>
    </row>
    <row r="1977" spans="1:33" ht="10" customHeight="1" x14ac:dyDescent="0.2">
      <c r="A1977" s="5" t="s">
        <v>4708</v>
      </c>
      <c r="B1977" s="5" t="s">
        <v>4709</v>
      </c>
      <c r="C1977" s="5" t="s">
        <v>1286</v>
      </c>
      <c r="D1977" s="5" t="s">
        <v>4800</v>
      </c>
      <c r="E1977" s="10" t="s">
        <v>53</v>
      </c>
      <c r="F1977" s="5" t="s">
        <v>4710</v>
      </c>
      <c r="I1977" s="11" t="s">
        <v>4711</v>
      </c>
      <c r="K1977" s="12"/>
      <c r="O1977" s="12"/>
      <c r="P1977" s="13">
        <v>2865677</v>
      </c>
      <c r="Q1977" s="13">
        <v>3255145</v>
      </c>
      <c r="S1977" s="13">
        <v>3057102</v>
      </c>
      <c r="U1977" s="13">
        <v>3057102</v>
      </c>
      <c r="AC1977" s="10" t="s">
        <v>4801</v>
      </c>
      <c r="AD1977" s="5" t="s">
        <v>4802</v>
      </c>
      <c r="AE1977" s="5" t="s">
        <v>4713</v>
      </c>
      <c r="AF1977" s="5" t="s">
        <v>4803</v>
      </c>
    </row>
    <row r="1978" spans="1:33" ht="10" customHeight="1" x14ac:dyDescent="0.2">
      <c r="A1978" s="5" t="s">
        <v>4708</v>
      </c>
      <c r="B1978" s="5" t="s">
        <v>4709</v>
      </c>
      <c r="C1978" s="5" t="s">
        <v>1310</v>
      </c>
      <c r="D1978" s="5" t="s">
        <v>4804</v>
      </c>
      <c r="E1978" s="10" t="s">
        <v>53</v>
      </c>
      <c r="F1978" s="5" t="s">
        <v>4710</v>
      </c>
      <c r="I1978" s="11" t="s">
        <v>4711</v>
      </c>
      <c r="K1978" s="12"/>
      <c r="O1978" s="12"/>
      <c r="P1978" s="13">
        <v>2686257</v>
      </c>
      <c r="Q1978" s="13">
        <v>2743576</v>
      </c>
      <c r="S1978" s="13">
        <v>2713903</v>
      </c>
      <c r="U1978" s="13">
        <v>2713903</v>
      </c>
      <c r="AC1978" s="10" t="s">
        <v>4805</v>
      </c>
      <c r="AD1978" s="5" t="s">
        <v>4802</v>
      </c>
      <c r="AE1978" s="5" t="s">
        <v>4713</v>
      </c>
      <c r="AF1978" s="5" t="s">
        <v>4806</v>
      </c>
    </row>
    <row r="1979" spans="1:33" ht="10" customHeight="1" x14ac:dyDescent="0.2">
      <c r="A1979" s="5" t="s">
        <v>4708</v>
      </c>
      <c r="B1979" s="5" t="s">
        <v>4709</v>
      </c>
      <c r="C1979" s="5" t="s">
        <v>4273</v>
      </c>
      <c r="D1979" s="5" t="s">
        <v>4807</v>
      </c>
      <c r="E1979" s="10" t="s">
        <v>53</v>
      </c>
      <c r="F1979" s="5" t="s">
        <v>4710</v>
      </c>
      <c r="I1979" s="11" t="s">
        <v>4711</v>
      </c>
      <c r="K1979" s="12"/>
      <c r="O1979" s="12"/>
      <c r="P1979" s="13">
        <v>90272</v>
      </c>
      <c r="Q1979" s="13">
        <v>307237</v>
      </c>
      <c r="S1979" s="13">
        <v>814422</v>
      </c>
      <c r="U1979" s="13">
        <v>814422</v>
      </c>
      <c r="AC1979" s="10" t="s">
        <v>4808</v>
      </c>
      <c r="AD1979" s="5" t="s">
        <v>4802</v>
      </c>
      <c r="AE1979" s="5" t="s">
        <v>4713</v>
      </c>
      <c r="AF1979" s="5" t="s">
        <v>4809</v>
      </c>
    </row>
    <row r="1980" spans="1:33" ht="10" customHeight="1" x14ac:dyDescent="0.2">
      <c r="A1980" s="5" t="s">
        <v>4708</v>
      </c>
      <c r="B1980" s="5" t="s">
        <v>4709</v>
      </c>
      <c r="C1980" s="5" t="s">
        <v>4810</v>
      </c>
      <c r="D1980" s="5" t="s">
        <v>4811</v>
      </c>
      <c r="E1980" s="10" t="s">
        <v>53</v>
      </c>
      <c r="F1980" s="5" t="s">
        <v>4710</v>
      </c>
      <c r="I1980" s="11" t="s">
        <v>4711</v>
      </c>
      <c r="K1980" s="12"/>
      <c r="O1980" s="12"/>
      <c r="P1980" s="13">
        <v>660585</v>
      </c>
      <c r="Q1980" s="13">
        <v>715100</v>
      </c>
      <c r="S1980" s="13">
        <v>696056</v>
      </c>
      <c r="U1980" s="13">
        <v>696056</v>
      </c>
      <c r="AC1980" s="10" t="s">
        <v>4812</v>
      </c>
      <c r="AD1980" s="5" t="s">
        <v>4802</v>
      </c>
      <c r="AE1980" s="5" t="s">
        <v>4713</v>
      </c>
      <c r="AF1980" s="5" t="s">
        <v>4813</v>
      </c>
    </row>
    <row r="1981" spans="1:33" ht="10" customHeight="1" x14ac:dyDescent="0.2">
      <c r="A1981" s="5" t="s">
        <v>4708</v>
      </c>
      <c r="B1981" s="5" t="s">
        <v>4709</v>
      </c>
      <c r="C1981" s="5" t="s">
        <v>4814</v>
      </c>
      <c r="D1981" s="5" t="s">
        <v>4815</v>
      </c>
      <c r="E1981" s="10" t="s">
        <v>53</v>
      </c>
      <c r="F1981" s="5" t="s">
        <v>4710</v>
      </c>
      <c r="I1981" s="11">
        <v>6</v>
      </c>
      <c r="K1981" s="12"/>
      <c r="O1981" s="12"/>
      <c r="P1981" s="13">
        <v>159840</v>
      </c>
      <c r="Q1981" s="13">
        <v>160689</v>
      </c>
      <c r="S1981" s="13">
        <v>170409</v>
      </c>
      <c r="U1981" s="13">
        <v>170409</v>
      </c>
      <c r="AC1981" s="10" t="s">
        <v>4816</v>
      </c>
      <c r="AD1981" s="5" t="s">
        <v>4802</v>
      </c>
      <c r="AE1981" s="5" t="s">
        <v>4713</v>
      </c>
      <c r="AF1981" s="5" t="s">
        <v>4817</v>
      </c>
    </row>
    <row r="1982" spans="1:33" ht="10" customHeight="1" x14ac:dyDescent="0.2">
      <c r="A1982" s="5" t="s">
        <v>4708</v>
      </c>
      <c r="B1982" s="5" t="s">
        <v>4709</v>
      </c>
      <c r="C1982" s="5" t="s">
        <v>4818</v>
      </c>
      <c r="D1982" s="5" t="s">
        <v>4819</v>
      </c>
      <c r="E1982" s="10" t="s">
        <v>53</v>
      </c>
      <c r="F1982" s="5" t="s">
        <v>4710</v>
      </c>
      <c r="I1982" s="11">
        <v>2</v>
      </c>
      <c r="K1982" s="12"/>
      <c r="O1982" s="12"/>
      <c r="P1982" s="13">
        <v>135824</v>
      </c>
      <c r="Q1982" s="13">
        <v>464072</v>
      </c>
      <c r="S1982" s="13">
        <v>447544</v>
      </c>
      <c r="U1982" s="13">
        <v>447544</v>
      </c>
      <c r="AC1982" s="10" t="s">
        <v>4820</v>
      </c>
      <c r="AD1982" s="5" t="s">
        <v>2148</v>
      </c>
      <c r="AE1982" s="5" t="s">
        <v>4713</v>
      </c>
      <c r="AF1982" s="5" t="s">
        <v>4821</v>
      </c>
    </row>
    <row r="1983" spans="1:33" ht="10" customHeight="1" x14ac:dyDescent="0.2">
      <c r="A1983" s="5" t="s">
        <v>4708</v>
      </c>
      <c r="B1983" s="5" t="s">
        <v>4709</v>
      </c>
      <c r="C1983" s="5" t="s">
        <v>4822</v>
      </c>
      <c r="D1983" s="5" t="s">
        <v>4823</v>
      </c>
      <c r="E1983" s="10" t="s">
        <v>53</v>
      </c>
      <c r="F1983" s="5" t="s">
        <v>4710</v>
      </c>
      <c r="I1983" s="11" t="s">
        <v>4711</v>
      </c>
      <c r="K1983" s="12"/>
      <c r="O1983" s="12"/>
      <c r="P1983" s="13">
        <v>322352</v>
      </c>
      <c r="Q1983" s="13">
        <v>227588</v>
      </c>
      <c r="S1983" s="13">
        <v>236115</v>
      </c>
      <c r="U1983" s="13">
        <v>236115</v>
      </c>
      <c r="AC1983" s="10" t="s">
        <v>4824</v>
      </c>
      <c r="AD1983" s="5" t="s">
        <v>2148</v>
      </c>
      <c r="AE1983" s="5" t="s">
        <v>4713</v>
      </c>
      <c r="AF1983" s="5" t="s">
        <v>4825</v>
      </c>
    </row>
    <row r="1984" spans="1:33" ht="10" customHeight="1" x14ac:dyDescent="0.2">
      <c r="A1984" s="5" t="s">
        <v>4708</v>
      </c>
      <c r="B1984" s="5" t="s">
        <v>4709</v>
      </c>
      <c r="C1984" s="5" t="s">
        <v>4826</v>
      </c>
      <c r="D1984" s="5" t="s">
        <v>4827</v>
      </c>
      <c r="E1984" s="10" t="s">
        <v>53</v>
      </c>
      <c r="F1984" s="5" t="s">
        <v>4710</v>
      </c>
      <c r="I1984" s="11">
        <v>2</v>
      </c>
      <c r="K1984" s="10" t="s">
        <v>46</v>
      </c>
      <c r="L1984" s="5" t="s">
        <v>47</v>
      </c>
      <c r="M1984" s="5" t="s">
        <v>48</v>
      </c>
      <c r="N1984" s="5" t="s">
        <v>84</v>
      </c>
      <c r="O1984" s="12"/>
      <c r="S1984" s="13">
        <v>142049</v>
      </c>
      <c r="U1984" s="13">
        <v>142049</v>
      </c>
      <c r="AC1984" s="10" t="s">
        <v>4828</v>
      </c>
      <c r="AD1984" s="5" t="s">
        <v>1997</v>
      </c>
      <c r="AE1984" s="5" t="s">
        <v>4713</v>
      </c>
    </row>
    <row r="1985" spans="1:31" ht="10" customHeight="1" x14ac:dyDescent="0.2">
      <c r="A1985" s="5" t="s">
        <v>4708</v>
      </c>
      <c r="B1985" s="5" t="s">
        <v>4709</v>
      </c>
      <c r="C1985" s="5" t="s">
        <v>4829</v>
      </c>
      <c r="D1985" s="5" t="s">
        <v>4830</v>
      </c>
      <c r="E1985" s="10" t="s">
        <v>53</v>
      </c>
      <c r="F1985" s="5" t="s">
        <v>4710</v>
      </c>
      <c r="I1985" s="11">
        <v>2</v>
      </c>
      <c r="K1985" s="10" t="s">
        <v>46</v>
      </c>
      <c r="L1985" s="5" t="s">
        <v>47</v>
      </c>
      <c r="M1985" s="5" t="s">
        <v>48</v>
      </c>
      <c r="N1985" s="5" t="s">
        <v>84</v>
      </c>
      <c r="O1985" s="12"/>
      <c r="S1985" s="13">
        <v>178950</v>
      </c>
      <c r="U1985" s="13">
        <v>178950</v>
      </c>
      <c r="AC1985" s="10" t="s">
        <v>4828</v>
      </c>
      <c r="AD1985" s="5" t="s">
        <v>1997</v>
      </c>
      <c r="AE1985" s="5" t="s">
        <v>4713</v>
      </c>
    </row>
    <row r="1986" spans="1:31" ht="10" customHeight="1" x14ac:dyDescent="0.2">
      <c r="A1986" s="5" t="s">
        <v>4708</v>
      </c>
      <c r="B1986" s="5" t="s">
        <v>4709</v>
      </c>
      <c r="C1986" s="5" t="s">
        <v>4831</v>
      </c>
      <c r="D1986" s="5" t="s">
        <v>4832</v>
      </c>
      <c r="E1986" s="10" t="s">
        <v>53</v>
      </c>
      <c r="F1986" s="5" t="s">
        <v>4710</v>
      </c>
      <c r="I1986" s="11">
        <v>2</v>
      </c>
      <c r="K1986" s="10" t="s">
        <v>46</v>
      </c>
      <c r="L1986" s="5" t="s">
        <v>47</v>
      </c>
      <c r="M1986" s="5" t="s">
        <v>48</v>
      </c>
      <c r="N1986" s="5" t="s">
        <v>84</v>
      </c>
      <c r="O1986" s="12"/>
      <c r="S1986" s="13">
        <v>162742</v>
      </c>
      <c r="U1986" s="13">
        <v>162742</v>
      </c>
      <c r="AC1986" s="10" t="s">
        <v>4828</v>
      </c>
      <c r="AD1986" s="5" t="s">
        <v>1997</v>
      </c>
      <c r="AE1986" s="5" t="s">
        <v>4713</v>
      </c>
    </row>
    <row r="1987" spans="1:31" ht="10" customHeight="1" x14ac:dyDescent="0.2">
      <c r="A1987" s="5" t="s">
        <v>4708</v>
      </c>
      <c r="B1987" s="5" t="s">
        <v>4709</v>
      </c>
      <c r="C1987" s="5" t="s">
        <v>4833</v>
      </c>
      <c r="D1987" s="5" t="s">
        <v>4834</v>
      </c>
      <c r="E1987" s="10" t="s">
        <v>53</v>
      </c>
      <c r="F1987" s="5" t="s">
        <v>4710</v>
      </c>
      <c r="I1987" s="11">
        <v>2</v>
      </c>
      <c r="K1987" s="10" t="s">
        <v>46</v>
      </c>
      <c r="L1987" s="5" t="s">
        <v>47</v>
      </c>
      <c r="M1987" s="5" t="s">
        <v>65</v>
      </c>
      <c r="N1987" s="5" t="s">
        <v>66</v>
      </c>
      <c r="O1987" s="12"/>
      <c r="S1987" s="13">
        <v>163559</v>
      </c>
      <c r="U1987" s="13">
        <v>163559</v>
      </c>
      <c r="AC1987" s="10" t="s">
        <v>4828</v>
      </c>
      <c r="AD1987" s="5" t="s">
        <v>1997</v>
      </c>
      <c r="AE1987" s="5" t="s">
        <v>4713</v>
      </c>
    </row>
    <row r="1988" spans="1:31" ht="10" customHeight="1" x14ac:dyDescent="0.2">
      <c r="A1988" s="5" t="s">
        <v>4708</v>
      </c>
      <c r="B1988" s="5" t="s">
        <v>4709</v>
      </c>
      <c r="C1988" s="5" t="s">
        <v>4835</v>
      </c>
      <c r="D1988" s="5" t="s">
        <v>4836</v>
      </c>
      <c r="E1988" s="10" t="s">
        <v>53</v>
      </c>
      <c r="F1988" s="5" t="s">
        <v>4710</v>
      </c>
      <c r="I1988" s="11">
        <v>2</v>
      </c>
      <c r="K1988" s="10" t="s">
        <v>46</v>
      </c>
      <c r="L1988" s="5" t="s">
        <v>47</v>
      </c>
      <c r="M1988" s="5" t="s">
        <v>65</v>
      </c>
      <c r="N1988" s="5" t="s">
        <v>66</v>
      </c>
      <c r="O1988" s="12"/>
      <c r="S1988" s="13">
        <v>12307</v>
      </c>
      <c r="U1988" s="13">
        <v>12307</v>
      </c>
      <c r="AC1988" s="10" t="s">
        <v>4828</v>
      </c>
      <c r="AD1988" s="5" t="s">
        <v>1997</v>
      </c>
      <c r="AE1988" s="5" t="s">
        <v>4713</v>
      </c>
    </row>
    <row r="1989" spans="1:31" ht="10" customHeight="1" x14ac:dyDescent="0.2">
      <c r="A1989" s="5" t="s">
        <v>4708</v>
      </c>
      <c r="B1989" s="5" t="s">
        <v>4709</v>
      </c>
      <c r="C1989" s="5" t="s">
        <v>4837</v>
      </c>
      <c r="D1989" s="5" t="s">
        <v>4838</v>
      </c>
      <c r="E1989" s="10" t="s">
        <v>53</v>
      </c>
      <c r="F1989" s="5" t="s">
        <v>4710</v>
      </c>
      <c r="I1989" s="11">
        <v>2</v>
      </c>
      <c r="K1989" s="10" t="s">
        <v>46</v>
      </c>
      <c r="L1989" s="5" t="s">
        <v>47</v>
      </c>
      <c r="M1989" s="5" t="s">
        <v>48</v>
      </c>
      <c r="N1989" s="5" t="s">
        <v>84</v>
      </c>
      <c r="O1989" s="12"/>
      <c r="S1989" s="13">
        <v>165354</v>
      </c>
      <c r="U1989" s="13">
        <v>165354</v>
      </c>
      <c r="AC1989" s="10" t="s">
        <v>4828</v>
      </c>
      <c r="AD1989" s="5" t="s">
        <v>1997</v>
      </c>
      <c r="AE1989" s="5" t="s">
        <v>4713</v>
      </c>
    </row>
    <row r="1990" spans="1:31" ht="10" customHeight="1" x14ac:dyDescent="0.2">
      <c r="A1990" s="5" t="s">
        <v>4708</v>
      </c>
      <c r="B1990" s="5" t="s">
        <v>4709</v>
      </c>
      <c r="C1990" s="5" t="s">
        <v>4839</v>
      </c>
      <c r="D1990" s="5" t="s">
        <v>4840</v>
      </c>
      <c r="E1990" s="10" t="s">
        <v>53</v>
      </c>
      <c r="F1990" s="5" t="s">
        <v>4710</v>
      </c>
      <c r="I1990" s="11">
        <v>2</v>
      </c>
      <c r="K1990" s="10" t="s">
        <v>46</v>
      </c>
      <c r="L1990" s="5" t="s">
        <v>47</v>
      </c>
      <c r="M1990" s="5" t="s">
        <v>48</v>
      </c>
      <c r="N1990" s="5" t="s">
        <v>84</v>
      </c>
      <c r="O1990" s="12"/>
      <c r="S1990" s="13">
        <v>50000</v>
      </c>
      <c r="U1990" s="13">
        <v>50000</v>
      </c>
      <c r="AC1990" s="10" t="s">
        <v>4828</v>
      </c>
      <c r="AD1990" s="5" t="s">
        <v>1997</v>
      </c>
      <c r="AE1990" s="5" t="s">
        <v>4713</v>
      </c>
    </row>
    <row r="1991" spans="1:31" ht="10" customHeight="1" x14ac:dyDescent="0.2">
      <c r="A1991" s="5" t="s">
        <v>4708</v>
      </c>
      <c r="B1991" s="5" t="s">
        <v>4709</v>
      </c>
      <c r="C1991" s="5" t="s">
        <v>4841</v>
      </c>
      <c r="D1991" s="5" t="s">
        <v>4842</v>
      </c>
      <c r="E1991" s="10" t="s">
        <v>53</v>
      </c>
      <c r="F1991" s="5" t="s">
        <v>4710</v>
      </c>
      <c r="I1991" s="11">
        <v>2</v>
      </c>
      <c r="K1991" s="10" t="s">
        <v>46</v>
      </c>
      <c r="L1991" s="5" t="s">
        <v>47</v>
      </c>
      <c r="M1991" s="5" t="s">
        <v>115</v>
      </c>
      <c r="N1991" s="5" t="s">
        <v>116</v>
      </c>
      <c r="O1991" s="12"/>
      <c r="S1991" s="13">
        <v>20881</v>
      </c>
      <c r="U1991" s="13">
        <v>20881</v>
      </c>
      <c r="AC1991" s="10" t="s">
        <v>4828</v>
      </c>
      <c r="AD1991" s="5" t="s">
        <v>2010</v>
      </c>
      <c r="AE1991" s="5" t="s">
        <v>4713</v>
      </c>
    </row>
    <row r="1992" spans="1:31" ht="10" customHeight="1" x14ac:dyDescent="0.2">
      <c r="A1992" s="5" t="s">
        <v>4708</v>
      </c>
      <c r="B1992" s="5" t="s">
        <v>4709</v>
      </c>
      <c r="C1992" s="5" t="s">
        <v>4843</v>
      </c>
      <c r="D1992" s="5" t="s">
        <v>4844</v>
      </c>
      <c r="E1992" s="10" t="s">
        <v>53</v>
      </c>
      <c r="F1992" s="5" t="s">
        <v>4710</v>
      </c>
      <c r="I1992" s="11">
        <v>2</v>
      </c>
      <c r="K1992" s="10" t="s">
        <v>46</v>
      </c>
      <c r="L1992" s="5" t="s">
        <v>47</v>
      </c>
      <c r="M1992" s="5" t="s">
        <v>115</v>
      </c>
      <c r="N1992" s="5" t="s">
        <v>116</v>
      </c>
      <c r="O1992" s="12"/>
      <c r="S1992" s="13">
        <v>3794</v>
      </c>
      <c r="U1992" s="13">
        <v>3794</v>
      </c>
      <c r="AC1992" s="10" t="s">
        <v>4828</v>
      </c>
      <c r="AD1992" s="5" t="s">
        <v>2010</v>
      </c>
      <c r="AE1992" s="5" t="s">
        <v>4713</v>
      </c>
    </row>
    <row r="1993" spans="1:31" ht="10" customHeight="1" x14ac:dyDescent="0.2">
      <c r="A1993" s="5" t="s">
        <v>4708</v>
      </c>
      <c r="B1993" s="5" t="s">
        <v>4709</v>
      </c>
      <c r="C1993" s="5" t="s">
        <v>4845</v>
      </c>
      <c r="D1993" s="5" t="s">
        <v>4846</v>
      </c>
      <c r="E1993" s="10" t="s">
        <v>53</v>
      </c>
      <c r="F1993" s="5" t="s">
        <v>4710</v>
      </c>
      <c r="I1993" s="11">
        <v>2</v>
      </c>
      <c r="K1993" s="10" t="s">
        <v>46</v>
      </c>
      <c r="L1993" s="5" t="s">
        <v>47</v>
      </c>
      <c r="M1993" s="5" t="s">
        <v>65</v>
      </c>
      <c r="N1993" s="5" t="s">
        <v>66</v>
      </c>
      <c r="O1993" s="12"/>
      <c r="S1993" s="13">
        <v>16772</v>
      </c>
      <c r="U1993" s="13">
        <v>16772</v>
      </c>
      <c r="AC1993" s="10" t="s">
        <v>4828</v>
      </c>
      <c r="AD1993" s="5" t="s">
        <v>2010</v>
      </c>
      <c r="AE1993" s="5" t="s">
        <v>4713</v>
      </c>
    </row>
    <row r="1994" spans="1:31" ht="10" customHeight="1" x14ac:dyDescent="0.2">
      <c r="A1994" s="5" t="s">
        <v>4708</v>
      </c>
      <c r="B1994" s="5" t="s">
        <v>4709</v>
      </c>
      <c r="C1994" s="5" t="s">
        <v>4847</v>
      </c>
      <c r="D1994" s="5" t="s">
        <v>4848</v>
      </c>
      <c r="E1994" s="10" t="s">
        <v>53</v>
      </c>
      <c r="F1994" s="5" t="s">
        <v>4710</v>
      </c>
      <c r="I1994" s="11">
        <v>2</v>
      </c>
      <c r="K1994" s="10" t="s">
        <v>46</v>
      </c>
      <c r="L1994" s="5" t="s">
        <v>47</v>
      </c>
      <c r="M1994" s="5" t="s">
        <v>145</v>
      </c>
      <c r="N1994" s="5" t="s">
        <v>146</v>
      </c>
      <c r="O1994" s="12"/>
      <c r="S1994" s="13">
        <v>10756</v>
      </c>
      <c r="U1994" s="13">
        <v>10756</v>
      </c>
      <c r="AC1994" s="10" t="s">
        <v>4828</v>
      </c>
      <c r="AD1994" s="5" t="s">
        <v>2010</v>
      </c>
      <c r="AE1994" s="5" t="s">
        <v>4713</v>
      </c>
    </row>
    <row r="1995" spans="1:31" ht="10" customHeight="1" x14ac:dyDescent="0.2">
      <c r="A1995" s="5" t="s">
        <v>4708</v>
      </c>
      <c r="B1995" s="5" t="s">
        <v>4709</v>
      </c>
      <c r="C1995" s="5" t="s">
        <v>4849</v>
      </c>
      <c r="D1995" s="5" t="s">
        <v>4850</v>
      </c>
      <c r="E1995" s="10" t="s">
        <v>53</v>
      </c>
      <c r="F1995" s="5" t="s">
        <v>4710</v>
      </c>
      <c r="I1995" s="11">
        <v>2</v>
      </c>
      <c r="K1995" s="10" t="s">
        <v>46</v>
      </c>
      <c r="L1995" s="5" t="s">
        <v>47</v>
      </c>
      <c r="M1995" s="5" t="s">
        <v>48</v>
      </c>
      <c r="N1995" s="5" t="s">
        <v>4748</v>
      </c>
      <c r="O1995" s="12"/>
      <c r="S1995" s="13">
        <v>91063</v>
      </c>
      <c r="U1995" s="13">
        <v>91063</v>
      </c>
      <c r="AC1995" s="10" t="s">
        <v>4828</v>
      </c>
      <c r="AD1995" s="5" t="s">
        <v>2010</v>
      </c>
      <c r="AE1995" s="5" t="s">
        <v>4713</v>
      </c>
    </row>
    <row r="1996" spans="1:31" ht="10" customHeight="1" x14ac:dyDescent="0.2">
      <c r="A1996" s="5" t="s">
        <v>4708</v>
      </c>
      <c r="B1996" s="5" t="s">
        <v>4709</v>
      </c>
      <c r="C1996" s="5" t="s">
        <v>4851</v>
      </c>
      <c r="D1996" s="5" t="s">
        <v>4852</v>
      </c>
      <c r="E1996" s="10" t="s">
        <v>53</v>
      </c>
      <c r="F1996" s="5" t="s">
        <v>4710</v>
      </c>
      <c r="I1996" s="11">
        <v>2</v>
      </c>
      <c r="K1996" s="10" t="s">
        <v>46</v>
      </c>
      <c r="L1996" s="5" t="s">
        <v>47</v>
      </c>
      <c r="M1996" s="5" t="s">
        <v>65</v>
      </c>
      <c r="N1996" s="5" t="s">
        <v>66</v>
      </c>
      <c r="O1996" s="12"/>
      <c r="S1996" s="13">
        <v>15868</v>
      </c>
      <c r="U1996" s="13">
        <v>15868</v>
      </c>
      <c r="AC1996" s="10" t="s">
        <v>4828</v>
      </c>
      <c r="AD1996" s="5" t="s">
        <v>2010</v>
      </c>
      <c r="AE1996" s="5" t="s">
        <v>4713</v>
      </c>
    </row>
    <row r="1997" spans="1:31" ht="10" customHeight="1" x14ac:dyDescent="0.2">
      <c r="A1997" s="5" t="s">
        <v>4708</v>
      </c>
      <c r="B1997" s="5" t="s">
        <v>4709</v>
      </c>
      <c r="C1997" s="5" t="s">
        <v>4853</v>
      </c>
      <c r="D1997" s="5" t="s">
        <v>4854</v>
      </c>
      <c r="E1997" s="10" t="s">
        <v>53</v>
      </c>
      <c r="F1997" s="5" t="s">
        <v>4710</v>
      </c>
      <c r="I1997" s="11">
        <v>2</v>
      </c>
      <c r="K1997" s="10" t="s">
        <v>46</v>
      </c>
      <c r="L1997" s="5" t="s">
        <v>47</v>
      </c>
      <c r="M1997" s="5" t="s">
        <v>4855</v>
      </c>
      <c r="N1997" s="5" t="s">
        <v>4856</v>
      </c>
      <c r="O1997" s="12"/>
      <c r="S1997" s="13">
        <v>3292</v>
      </c>
      <c r="U1997" s="13">
        <v>3292</v>
      </c>
      <c r="AC1997" s="10" t="s">
        <v>4828</v>
      </c>
      <c r="AD1997" s="5" t="s">
        <v>2010</v>
      </c>
      <c r="AE1997" s="5" t="s">
        <v>4713</v>
      </c>
    </row>
    <row r="1998" spans="1:31" ht="10" customHeight="1" x14ac:dyDescent="0.2">
      <c r="A1998" s="5" t="s">
        <v>4708</v>
      </c>
      <c r="B1998" s="5" t="s">
        <v>4709</v>
      </c>
      <c r="C1998" s="5" t="s">
        <v>4857</v>
      </c>
      <c r="D1998" s="5" t="s">
        <v>4858</v>
      </c>
      <c r="E1998" s="10" t="s">
        <v>53</v>
      </c>
      <c r="F1998" s="5" t="s">
        <v>4710</v>
      </c>
      <c r="I1998" s="11">
        <v>2</v>
      </c>
      <c r="K1998" s="10" t="s">
        <v>46</v>
      </c>
      <c r="L1998" s="5" t="s">
        <v>47</v>
      </c>
      <c r="M1998" s="5" t="s">
        <v>65</v>
      </c>
      <c r="N1998" s="5" t="s">
        <v>66</v>
      </c>
      <c r="O1998" s="12"/>
      <c r="S1998" s="13">
        <v>40103</v>
      </c>
      <c r="U1998" s="13">
        <v>40103</v>
      </c>
      <c r="AC1998" s="10" t="s">
        <v>4828</v>
      </c>
      <c r="AD1998" s="5" t="s">
        <v>2010</v>
      </c>
      <c r="AE1998" s="5" t="s">
        <v>4713</v>
      </c>
    </row>
    <row r="1999" spans="1:31" ht="10" customHeight="1" x14ac:dyDescent="0.2">
      <c r="A1999" s="5" t="s">
        <v>4708</v>
      </c>
      <c r="B1999" s="5" t="s">
        <v>4709</v>
      </c>
      <c r="C1999" s="5" t="s">
        <v>4859</v>
      </c>
      <c r="D1999" s="5" t="s">
        <v>4860</v>
      </c>
      <c r="E1999" s="10" t="s">
        <v>53</v>
      </c>
      <c r="F1999" s="5" t="s">
        <v>4710</v>
      </c>
      <c r="I1999" s="11">
        <v>2</v>
      </c>
      <c r="K1999" s="10" t="s">
        <v>46</v>
      </c>
      <c r="L1999" s="5" t="s">
        <v>47</v>
      </c>
      <c r="M1999" s="5" t="s">
        <v>115</v>
      </c>
      <c r="N1999" s="5" t="s">
        <v>116</v>
      </c>
      <c r="O1999" s="12"/>
      <c r="S1999" s="13">
        <v>24811</v>
      </c>
      <c r="U1999" s="13">
        <v>24811</v>
      </c>
      <c r="AC1999" s="10" t="s">
        <v>4828</v>
      </c>
      <c r="AD1999" s="5" t="s">
        <v>2010</v>
      </c>
      <c r="AE1999" s="5" t="s">
        <v>4713</v>
      </c>
    </row>
    <row r="2000" spans="1:31" ht="10" customHeight="1" x14ac:dyDescent="0.2">
      <c r="A2000" s="5" t="s">
        <v>4708</v>
      </c>
      <c r="B2000" s="5" t="s">
        <v>4709</v>
      </c>
      <c r="C2000" s="5" t="s">
        <v>4861</v>
      </c>
      <c r="D2000" s="5" t="s">
        <v>4862</v>
      </c>
      <c r="E2000" s="10" t="s">
        <v>53</v>
      </c>
      <c r="F2000" s="5" t="s">
        <v>4710</v>
      </c>
      <c r="I2000" s="11">
        <v>2</v>
      </c>
      <c r="K2000" s="10" t="s">
        <v>46</v>
      </c>
      <c r="L2000" s="5" t="s">
        <v>47</v>
      </c>
      <c r="M2000" s="5" t="s">
        <v>115</v>
      </c>
      <c r="N2000" s="5" t="s">
        <v>116</v>
      </c>
      <c r="O2000" s="12"/>
      <c r="S2000" s="13">
        <v>22440</v>
      </c>
      <c r="U2000" s="13">
        <v>22440</v>
      </c>
      <c r="AC2000" s="10" t="s">
        <v>4828</v>
      </c>
      <c r="AD2000" s="5" t="s">
        <v>2010</v>
      </c>
      <c r="AE2000" s="5" t="s">
        <v>4713</v>
      </c>
    </row>
    <row r="2001" spans="1:31" ht="10" customHeight="1" x14ac:dyDescent="0.2">
      <c r="A2001" s="5" t="s">
        <v>4708</v>
      </c>
      <c r="B2001" s="5" t="s">
        <v>4709</v>
      </c>
      <c r="C2001" s="5" t="s">
        <v>4863</v>
      </c>
      <c r="D2001" s="5" t="s">
        <v>4864</v>
      </c>
      <c r="E2001" s="10" t="s">
        <v>53</v>
      </c>
      <c r="F2001" s="5" t="s">
        <v>4710</v>
      </c>
      <c r="I2001" s="11">
        <v>2</v>
      </c>
      <c r="K2001" s="10" t="s">
        <v>46</v>
      </c>
      <c r="L2001" s="5" t="s">
        <v>47</v>
      </c>
      <c r="M2001" s="5" t="s">
        <v>48</v>
      </c>
      <c r="N2001" s="5" t="s">
        <v>84</v>
      </c>
      <c r="O2001" s="12"/>
      <c r="S2001" s="13">
        <v>168040</v>
      </c>
      <c r="U2001" s="13">
        <v>168040</v>
      </c>
      <c r="AC2001" s="10" t="s">
        <v>4828</v>
      </c>
      <c r="AD2001" s="5" t="s">
        <v>2010</v>
      </c>
      <c r="AE2001" s="5" t="s">
        <v>4713</v>
      </c>
    </row>
    <row r="2002" spans="1:31" ht="10" customHeight="1" x14ac:dyDescent="0.2">
      <c r="A2002" s="5" t="s">
        <v>4708</v>
      </c>
      <c r="B2002" s="5" t="s">
        <v>4709</v>
      </c>
      <c r="C2002" s="5" t="s">
        <v>4865</v>
      </c>
      <c r="D2002" s="5" t="s">
        <v>4866</v>
      </c>
      <c r="E2002" s="10" t="s">
        <v>53</v>
      </c>
      <c r="F2002" s="5" t="s">
        <v>4710</v>
      </c>
      <c r="I2002" s="11">
        <v>2</v>
      </c>
      <c r="K2002" s="10" t="s">
        <v>46</v>
      </c>
      <c r="L2002" s="5" t="s">
        <v>47</v>
      </c>
      <c r="M2002" s="5" t="s">
        <v>115</v>
      </c>
      <c r="N2002" s="5" t="s">
        <v>116</v>
      </c>
      <c r="O2002" s="12"/>
      <c r="S2002" s="13">
        <v>3699</v>
      </c>
      <c r="U2002" s="13">
        <v>3699</v>
      </c>
      <c r="AC2002" s="10" t="s">
        <v>4828</v>
      </c>
      <c r="AD2002" s="5" t="s">
        <v>2010</v>
      </c>
      <c r="AE2002" s="5" t="s">
        <v>4713</v>
      </c>
    </row>
    <row r="2003" spans="1:31" ht="10" customHeight="1" x14ac:dyDescent="0.2">
      <c r="A2003" s="5" t="s">
        <v>4708</v>
      </c>
      <c r="B2003" s="5" t="s">
        <v>4709</v>
      </c>
      <c r="C2003" s="5" t="s">
        <v>4867</v>
      </c>
      <c r="D2003" s="5" t="s">
        <v>4868</v>
      </c>
      <c r="E2003" s="10" t="s">
        <v>53</v>
      </c>
      <c r="F2003" s="5" t="s">
        <v>4710</v>
      </c>
      <c r="I2003" s="11">
        <v>2</v>
      </c>
      <c r="K2003" s="10" t="s">
        <v>46</v>
      </c>
      <c r="L2003" s="5" t="s">
        <v>47</v>
      </c>
      <c r="M2003" s="5" t="s">
        <v>65</v>
      </c>
      <c r="N2003" s="5" t="s">
        <v>66</v>
      </c>
      <c r="O2003" s="12"/>
      <c r="S2003" s="13">
        <v>18102</v>
      </c>
      <c r="U2003" s="13">
        <v>18102</v>
      </c>
      <c r="AC2003" s="10" t="s">
        <v>4828</v>
      </c>
      <c r="AD2003" s="5" t="s">
        <v>2010</v>
      </c>
      <c r="AE2003" s="5" t="s">
        <v>4713</v>
      </c>
    </row>
    <row r="2004" spans="1:31" ht="10" customHeight="1" x14ac:dyDescent="0.2">
      <c r="A2004" s="5" t="s">
        <v>4708</v>
      </c>
      <c r="B2004" s="5" t="s">
        <v>4709</v>
      </c>
      <c r="C2004" s="5" t="s">
        <v>4869</v>
      </c>
      <c r="D2004" s="5" t="s">
        <v>4870</v>
      </c>
      <c r="E2004" s="10" t="s">
        <v>53</v>
      </c>
      <c r="F2004" s="5" t="s">
        <v>4710</v>
      </c>
      <c r="I2004" s="11">
        <v>2</v>
      </c>
      <c r="K2004" s="10" t="s">
        <v>46</v>
      </c>
      <c r="L2004" s="5" t="s">
        <v>47</v>
      </c>
      <c r="M2004" s="5" t="s">
        <v>145</v>
      </c>
      <c r="N2004" s="5" t="s">
        <v>146</v>
      </c>
      <c r="O2004" s="12"/>
      <c r="S2004" s="13">
        <v>29116</v>
      </c>
      <c r="U2004" s="13">
        <v>29116</v>
      </c>
      <c r="AC2004" s="10" t="s">
        <v>4828</v>
      </c>
      <c r="AD2004" s="5" t="s">
        <v>2010</v>
      </c>
      <c r="AE2004" s="5" t="s">
        <v>4713</v>
      </c>
    </row>
    <row r="2005" spans="1:31" ht="10" customHeight="1" x14ac:dyDescent="0.2">
      <c r="A2005" s="5" t="s">
        <v>4708</v>
      </c>
      <c r="B2005" s="5" t="s">
        <v>4709</v>
      </c>
      <c r="C2005" s="5" t="s">
        <v>4871</v>
      </c>
      <c r="D2005" s="5" t="s">
        <v>4872</v>
      </c>
      <c r="E2005" s="10" t="s">
        <v>53</v>
      </c>
      <c r="F2005" s="5" t="s">
        <v>4710</v>
      </c>
      <c r="I2005" s="11">
        <v>2</v>
      </c>
      <c r="K2005" s="10" t="s">
        <v>46</v>
      </c>
      <c r="L2005" s="5" t="s">
        <v>47</v>
      </c>
      <c r="M2005" s="5" t="s">
        <v>48</v>
      </c>
      <c r="N2005" s="5" t="s">
        <v>84</v>
      </c>
      <c r="O2005" s="12"/>
      <c r="S2005" s="13">
        <v>133439</v>
      </c>
      <c r="U2005" s="13">
        <v>133439</v>
      </c>
      <c r="AC2005" s="10" t="s">
        <v>4828</v>
      </c>
      <c r="AD2005" s="5" t="s">
        <v>2010</v>
      </c>
      <c r="AE2005" s="5" t="s">
        <v>4713</v>
      </c>
    </row>
    <row r="2006" spans="1:31" ht="10" customHeight="1" x14ac:dyDescent="0.2">
      <c r="A2006" s="5" t="s">
        <v>4708</v>
      </c>
      <c r="B2006" s="5" t="s">
        <v>4709</v>
      </c>
      <c r="C2006" s="5" t="s">
        <v>4873</v>
      </c>
      <c r="D2006" s="5" t="s">
        <v>4874</v>
      </c>
      <c r="E2006" s="10" t="s">
        <v>53</v>
      </c>
      <c r="F2006" s="5" t="s">
        <v>4710</v>
      </c>
      <c r="I2006" s="11">
        <v>2</v>
      </c>
      <c r="K2006" s="10" t="s">
        <v>46</v>
      </c>
      <c r="L2006" s="5" t="s">
        <v>47</v>
      </c>
      <c r="M2006" s="5" t="s">
        <v>115</v>
      </c>
      <c r="N2006" s="5" t="s">
        <v>116</v>
      </c>
      <c r="O2006" s="12"/>
      <c r="S2006" s="13">
        <v>4494</v>
      </c>
      <c r="U2006" s="13">
        <v>4494</v>
      </c>
      <c r="AC2006" s="10" t="s">
        <v>4828</v>
      </c>
      <c r="AD2006" s="5" t="s">
        <v>2010</v>
      </c>
      <c r="AE2006" s="5" t="s">
        <v>4713</v>
      </c>
    </row>
    <row r="2007" spans="1:31" ht="10" customHeight="1" x14ac:dyDescent="0.2">
      <c r="A2007" s="5" t="s">
        <v>4708</v>
      </c>
      <c r="B2007" s="5" t="s">
        <v>4709</v>
      </c>
      <c r="C2007" s="5" t="s">
        <v>4875</v>
      </c>
      <c r="D2007" s="5" t="s">
        <v>4876</v>
      </c>
      <c r="E2007" s="10" t="s">
        <v>53</v>
      </c>
      <c r="F2007" s="5" t="s">
        <v>4710</v>
      </c>
      <c r="I2007" s="11">
        <v>2</v>
      </c>
      <c r="K2007" s="10" t="s">
        <v>46</v>
      </c>
      <c r="L2007" s="5" t="s">
        <v>47</v>
      </c>
      <c r="M2007" s="5" t="s">
        <v>115</v>
      </c>
      <c r="N2007" s="5" t="s">
        <v>116</v>
      </c>
      <c r="O2007" s="12"/>
      <c r="S2007" s="13">
        <v>24810</v>
      </c>
      <c r="U2007" s="13">
        <v>24810</v>
      </c>
      <c r="AC2007" s="10" t="s">
        <v>4828</v>
      </c>
      <c r="AD2007" s="5" t="s">
        <v>2010</v>
      </c>
      <c r="AE2007" s="5" t="s">
        <v>4713</v>
      </c>
    </row>
    <row r="2008" spans="1:31" ht="10" customHeight="1" x14ac:dyDescent="0.2">
      <c r="A2008" s="5" t="s">
        <v>4708</v>
      </c>
      <c r="B2008" s="5" t="s">
        <v>4709</v>
      </c>
      <c r="C2008" s="5" t="s">
        <v>4877</v>
      </c>
      <c r="D2008" s="5" t="s">
        <v>4878</v>
      </c>
      <c r="E2008" s="10" t="s">
        <v>53</v>
      </c>
      <c r="F2008" s="5" t="s">
        <v>4710</v>
      </c>
      <c r="I2008" s="11">
        <v>2</v>
      </c>
      <c r="K2008" s="10" t="s">
        <v>46</v>
      </c>
      <c r="L2008" s="5" t="s">
        <v>47</v>
      </c>
      <c r="M2008" s="5" t="s">
        <v>115</v>
      </c>
      <c r="N2008" s="5" t="s">
        <v>116</v>
      </c>
      <c r="O2008" s="12"/>
      <c r="S2008" s="13">
        <v>4491</v>
      </c>
      <c r="U2008" s="13">
        <v>4491</v>
      </c>
      <c r="AC2008" s="10" t="s">
        <v>4828</v>
      </c>
      <c r="AD2008" s="5" t="s">
        <v>2010</v>
      </c>
      <c r="AE2008" s="5" t="s">
        <v>4713</v>
      </c>
    </row>
    <row r="2009" spans="1:31" ht="10" customHeight="1" x14ac:dyDescent="0.2">
      <c r="A2009" s="5" t="s">
        <v>4708</v>
      </c>
      <c r="B2009" s="5" t="s">
        <v>4709</v>
      </c>
      <c r="C2009" s="5" t="s">
        <v>4833</v>
      </c>
      <c r="D2009" s="5" t="s">
        <v>4879</v>
      </c>
      <c r="E2009" s="10" t="s">
        <v>53</v>
      </c>
      <c r="F2009" s="5" t="s">
        <v>4710</v>
      </c>
      <c r="I2009" s="11">
        <v>2</v>
      </c>
      <c r="K2009" s="10" t="s">
        <v>46</v>
      </c>
      <c r="L2009" s="5" t="s">
        <v>47</v>
      </c>
      <c r="M2009" s="5" t="s">
        <v>65</v>
      </c>
      <c r="N2009" s="5" t="s">
        <v>66</v>
      </c>
      <c r="O2009" s="12"/>
      <c r="S2009" s="13">
        <v>141539</v>
      </c>
      <c r="U2009" s="13">
        <v>141539</v>
      </c>
      <c r="AC2009" s="10" t="s">
        <v>4828</v>
      </c>
      <c r="AD2009" s="5" t="s">
        <v>4880</v>
      </c>
      <c r="AE2009" s="5" t="s">
        <v>4713</v>
      </c>
    </row>
    <row r="2010" spans="1:31" ht="10" customHeight="1" x14ac:dyDescent="0.2">
      <c r="A2010" s="5" t="s">
        <v>4708</v>
      </c>
      <c r="B2010" s="5" t="s">
        <v>4709</v>
      </c>
      <c r="C2010" s="5" t="s">
        <v>4881</v>
      </c>
      <c r="D2010" s="5" t="s">
        <v>4882</v>
      </c>
      <c r="E2010" s="10" t="s">
        <v>53</v>
      </c>
      <c r="F2010" s="5" t="s">
        <v>4710</v>
      </c>
      <c r="I2010" s="11">
        <v>3</v>
      </c>
      <c r="K2010" s="10" t="s">
        <v>46</v>
      </c>
      <c r="L2010" s="5" t="s">
        <v>47</v>
      </c>
      <c r="M2010" s="5" t="s">
        <v>48</v>
      </c>
      <c r="N2010" s="5" t="s">
        <v>84</v>
      </c>
      <c r="O2010" s="12"/>
      <c r="S2010" s="13">
        <v>19975</v>
      </c>
      <c r="U2010" s="13">
        <v>19975</v>
      </c>
      <c r="AC2010" s="10" t="s">
        <v>4828</v>
      </c>
      <c r="AD2010" s="5" t="s">
        <v>4880</v>
      </c>
      <c r="AE2010" s="5" t="s">
        <v>4713</v>
      </c>
    </row>
    <row r="2011" spans="1:31" ht="10" customHeight="1" x14ac:dyDescent="0.2">
      <c r="A2011" s="5" t="s">
        <v>4708</v>
      </c>
      <c r="B2011" s="5" t="s">
        <v>4709</v>
      </c>
      <c r="C2011" s="5" t="s">
        <v>4883</v>
      </c>
      <c r="D2011" s="5" t="s">
        <v>4884</v>
      </c>
      <c r="E2011" s="10" t="s">
        <v>53</v>
      </c>
      <c r="F2011" s="5" t="s">
        <v>4710</v>
      </c>
      <c r="I2011" s="11">
        <v>2</v>
      </c>
      <c r="K2011" s="10" t="s">
        <v>46</v>
      </c>
      <c r="L2011" s="5" t="s">
        <v>47</v>
      </c>
      <c r="M2011" s="5" t="s">
        <v>115</v>
      </c>
      <c r="N2011" s="5" t="s">
        <v>116</v>
      </c>
      <c r="O2011" s="12"/>
      <c r="S2011" s="13">
        <v>22013</v>
      </c>
      <c r="U2011" s="13">
        <v>22013</v>
      </c>
      <c r="AC2011" s="10" t="s">
        <v>4828</v>
      </c>
      <c r="AD2011" s="5" t="s">
        <v>4880</v>
      </c>
      <c r="AE2011" s="5" t="s">
        <v>4713</v>
      </c>
    </row>
    <row r="2012" spans="1:31" ht="10" customHeight="1" x14ac:dyDescent="0.2">
      <c r="A2012" s="5" t="s">
        <v>4708</v>
      </c>
      <c r="B2012" s="5" t="s">
        <v>4709</v>
      </c>
      <c r="C2012" s="5" t="s">
        <v>4885</v>
      </c>
      <c r="D2012" s="5" t="s">
        <v>4886</v>
      </c>
      <c r="E2012" s="10" t="s">
        <v>53</v>
      </c>
      <c r="F2012" s="5" t="s">
        <v>4710</v>
      </c>
      <c r="I2012" s="11">
        <v>2</v>
      </c>
      <c r="K2012" s="10" t="s">
        <v>46</v>
      </c>
      <c r="L2012" s="5" t="s">
        <v>47</v>
      </c>
      <c r="M2012" s="5" t="s">
        <v>115</v>
      </c>
      <c r="N2012" s="5" t="s">
        <v>116</v>
      </c>
      <c r="O2012" s="12"/>
      <c r="S2012" s="13">
        <v>4494</v>
      </c>
      <c r="U2012" s="13">
        <v>4494</v>
      </c>
      <c r="AC2012" s="10" t="s">
        <v>4828</v>
      </c>
      <c r="AD2012" s="5" t="s">
        <v>2010</v>
      </c>
      <c r="AE2012" s="5" t="s">
        <v>4713</v>
      </c>
    </row>
    <row r="2013" spans="1:31" ht="10" customHeight="1" x14ac:dyDescent="0.2">
      <c r="A2013" s="5" t="s">
        <v>4708</v>
      </c>
      <c r="B2013" s="5" t="s">
        <v>4709</v>
      </c>
      <c r="C2013" s="5" t="s">
        <v>4887</v>
      </c>
      <c r="D2013" s="5" t="s">
        <v>4888</v>
      </c>
      <c r="E2013" s="10" t="s">
        <v>53</v>
      </c>
      <c r="F2013" s="5" t="s">
        <v>4710</v>
      </c>
      <c r="I2013" s="11">
        <v>2</v>
      </c>
      <c r="K2013" s="10" t="s">
        <v>46</v>
      </c>
      <c r="L2013" s="5" t="s">
        <v>47</v>
      </c>
      <c r="M2013" s="5" t="s">
        <v>65</v>
      </c>
      <c r="N2013" s="5" t="s">
        <v>66</v>
      </c>
      <c r="O2013" s="12"/>
      <c r="S2013" s="13">
        <v>192591</v>
      </c>
      <c r="U2013" s="13">
        <v>192591</v>
      </c>
      <c r="AC2013" s="10" t="s">
        <v>4828</v>
      </c>
      <c r="AD2013" s="5" t="s">
        <v>4880</v>
      </c>
      <c r="AE2013" s="5" t="s">
        <v>4713</v>
      </c>
    </row>
    <row r="2014" spans="1:31" ht="10" customHeight="1" x14ac:dyDescent="0.2">
      <c r="A2014" s="5" t="s">
        <v>4708</v>
      </c>
      <c r="B2014" s="5" t="s">
        <v>4709</v>
      </c>
      <c r="C2014" s="5" t="s">
        <v>4889</v>
      </c>
      <c r="D2014" s="5" t="s">
        <v>4890</v>
      </c>
      <c r="E2014" s="10" t="s">
        <v>53</v>
      </c>
      <c r="F2014" s="5" t="s">
        <v>4710</v>
      </c>
      <c r="I2014" s="11">
        <v>2</v>
      </c>
      <c r="K2014" s="10" t="s">
        <v>46</v>
      </c>
      <c r="L2014" s="5" t="s">
        <v>47</v>
      </c>
      <c r="M2014" s="5" t="s">
        <v>48</v>
      </c>
      <c r="N2014" s="5" t="s">
        <v>84</v>
      </c>
      <c r="O2014" s="12"/>
      <c r="S2014" s="13">
        <v>104357</v>
      </c>
      <c r="U2014" s="13">
        <v>104357</v>
      </c>
      <c r="AC2014" s="10" t="s">
        <v>4828</v>
      </c>
      <c r="AD2014" s="5" t="s">
        <v>4880</v>
      </c>
      <c r="AE2014" s="5" t="s">
        <v>4713</v>
      </c>
    </row>
    <row r="2015" spans="1:31" ht="10" customHeight="1" x14ac:dyDescent="0.2">
      <c r="A2015" s="5" t="s">
        <v>4708</v>
      </c>
      <c r="B2015" s="5" t="s">
        <v>4709</v>
      </c>
      <c r="C2015" s="5" t="s">
        <v>4891</v>
      </c>
      <c r="D2015" s="5" t="s">
        <v>4892</v>
      </c>
      <c r="E2015" s="10" t="s">
        <v>53</v>
      </c>
      <c r="F2015" s="5" t="s">
        <v>4710</v>
      </c>
      <c r="I2015" s="11">
        <v>2</v>
      </c>
      <c r="K2015" s="10" t="s">
        <v>46</v>
      </c>
      <c r="L2015" s="5" t="s">
        <v>47</v>
      </c>
      <c r="M2015" s="5" t="s">
        <v>115</v>
      </c>
      <c r="N2015" s="5" t="s">
        <v>116</v>
      </c>
      <c r="O2015" s="12"/>
      <c r="S2015" s="13">
        <v>24810</v>
      </c>
      <c r="U2015" s="13">
        <v>24810</v>
      </c>
      <c r="AC2015" s="10" t="s">
        <v>4828</v>
      </c>
      <c r="AD2015" s="5" t="s">
        <v>2010</v>
      </c>
      <c r="AE2015" s="5" t="s">
        <v>4713</v>
      </c>
    </row>
    <row r="2016" spans="1:31" ht="10" customHeight="1" x14ac:dyDescent="0.2">
      <c r="A2016" s="5" t="s">
        <v>4708</v>
      </c>
      <c r="B2016" s="5" t="s">
        <v>4709</v>
      </c>
      <c r="C2016" s="5" t="s">
        <v>4893</v>
      </c>
      <c r="D2016" s="5" t="s">
        <v>4894</v>
      </c>
      <c r="E2016" s="10" t="s">
        <v>53</v>
      </c>
      <c r="F2016" s="5" t="s">
        <v>4710</v>
      </c>
      <c r="I2016" s="11">
        <v>2</v>
      </c>
      <c r="K2016" s="10" t="s">
        <v>46</v>
      </c>
      <c r="L2016" s="5" t="s">
        <v>47</v>
      </c>
      <c r="M2016" s="5" t="s">
        <v>48</v>
      </c>
      <c r="N2016" s="5" t="s">
        <v>84</v>
      </c>
      <c r="O2016" s="12"/>
      <c r="S2016" s="13">
        <v>85595</v>
      </c>
      <c r="U2016" s="13">
        <v>85595</v>
      </c>
      <c r="AC2016" s="10" t="s">
        <v>4828</v>
      </c>
      <c r="AD2016" s="5" t="s">
        <v>4880</v>
      </c>
      <c r="AE2016" s="5" t="s">
        <v>4713</v>
      </c>
    </row>
    <row r="2017" spans="1:31" ht="10" customHeight="1" x14ac:dyDescent="0.2">
      <c r="A2017" s="5" t="s">
        <v>4708</v>
      </c>
      <c r="B2017" s="5" t="s">
        <v>4709</v>
      </c>
      <c r="C2017" s="5" t="s">
        <v>4895</v>
      </c>
      <c r="D2017" s="5" t="s">
        <v>4896</v>
      </c>
      <c r="E2017" s="10" t="s">
        <v>53</v>
      </c>
      <c r="F2017" s="5" t="s">
        <v>4710</v>
      </c>
      <c r="I2017" s="11">
        <v>2</v>
      </c>
      <c r="K2017" s="10" t="s">
        <v>46</v>
      </c>
      <c r="L2017" s="5" t="s">
        <v>47</v>
      </c>
      <c r="M2017" s="5" t="s">
        <v>115</v>
      </c>
      <c r="N2017" s="5" t="s">
        <v>116</v>
      </c>
      <c r="O2017" s="12"/>
      <c r="S2017" s="13">
        <v>4404</v>
      </c>
      <c r="U2017" s="13">
        <v>4404</v>
      </c>
      <c r="AC2017" s="10" t="s">
        <v>4828</v>
      </c>
      <c r="AD2017" s="5" t="s">
        <v>4880</v>
      </c>
      <c r="AE2017" s="5" t="s">
        <v>4713</v>
      </c>
    </row>
    <row r="2018" spans="1:31" ht="10" customHeight="1" x14ac:dyDescent="0.2">
      <c r="A2018" s="5" t="s">
        <v>4708</v>
      </c>
      <c r="B2018" s="5" t="s">
        <v>4709</v>
      </c>
      <c r="C2018" s="5" t="s">
        <v>4897</v>
      </c>
      <c r="D2018" s="5" t="s">
        <v>4898</v>
      </c>
      <c r="E2018" s="10" t="s">
        <v>53</v>
      </c>
      <c r="F2018" s="5" t="s">
        <v>4710</v>
      </c>
      <c r="I2018" s="11">
        <v>2</v>
      </c>
      <c r="K2018" s="10" t="s">
        <v>46</v>
      </c>
      <c r="L2018" s="5" t="s">
        <v>47</v>
      </c>
      <c r="M2018" s="5" t="s">
        <v>145</v>
      </c>
      <c r="N2018" s="5" t="s">
        <v>4899</v>
      </c>
      <c r="O2018" s="12"/>
      <c r="S2018" s="13">
        <v>12058</v>
      </c>
      <c r="U2018" s="13">
        <v>12058</v>
      </c>
      <c r="AC2018" s="10" t="s">
        <v>4828</v>
      </c>
      <c r="AD2018" s="5" t="s">
        <v>4880</v>
      </c>
      <c r="AE2018" s="5" t="s">
        <v>4713</v>
      </c>
    </row>
    <row r="2019" spans="1:31" ht="10" customHeight="1" x14ac:dyDescent="0.2">
      <c r="A2019" s="5" t="s">
        <v>4708</v>
      </c>
      <c r="B2019" s="5" t="s">
        <v>4709</v>
      </c>
      <c r="C2019" s="5" t="s">
        <v>4900</v>
      </c>
      <c r="D2019" s="5" t="s">
        <v>4901</v>
      </c>
      <c r="E2019" s="10" t="s">
        <v>53</v>
      </c>
      <c r="F2019" s="5" t="s">
        <v>4710</v>
      </c>
      <c r="I2019" s="11">
        <v>2</v>
      </c>
      <c r="K2019" s="10" t="s">
        <v>46</v>
      </c>
      <c r="L2019" s="5" t="s">
        <v>47</v>
      </c>
      <c r="M2019" s="5" t="s">
        <v>48</v>
      </c>
      <c r="N2019" s="5" t="s">
        <v>84</v>
      </c>
      <c r="O2019" s="12"/>
      <c r="S2019" s="13">
        <v>20995</v>
      </c>
      <c r="U2019" s="13">
        <v>20995</v>
      </c>
      <c r="AC2019" s="10" t="s">
        <v>4828</v>
      </c>
      <c r="AD2019" s="5" t="s">
        <v>4880</v>
      </c>
      <c r="AE2019" s="5" t="s">
        <v>4713</v>
      </c>
    </row>
    <row r="2020" spans="1:31" ht="10" customHeight="1" x14ac:dyDescent="0.2">
      <c r="A2020" s="5" t="s">
        <v>4708</v>
      </c>
      <c r="B2020" s="5" t="s">
        <v>4709</v>
      </c>
      <c r="C2020" s="5" t="s">
        <v>4902</v>
      </c>
      <c r="D2020" s="5" t="s">
        <v>4903</v>
      </c>
      <c r="E2020" s="10" t="s">
        <v>184</v>
      </c>
      <c r="F2020" s="5" t="s">
        <v>4904</v>
      </c>
      <c r="I2020" s="11">
        <v>2</v>
      </c>
      <c r="K2020" s="10" t="s">
        <v>46</v>
      </c>
      <c r="L2020" s="5" t="s">
        <v>47</v>
      </c>
      <c r="M2020" s="5" t="s">
        <v>145</v>
      </c>
      <c r="N2020" s="5" t="s">
        <v>4905</v>
      </c>
      <c r="O2020" s="12"/>
      <c r="S2020" s="13">
        <v>8898</v>
      </c>
      <c r="U2020" s="13">
        <v>8898</v>
      </c>
      <c r="AC2020" s="10" t="s">
        <v>4906</v>
      </c>
      <c r="AD2020" s="5" t="s">
        <v>4880</v>
      </c>
      <c r="AE2020" s="5" t="s">
        <v>4713</v>
      </c>
    </row>
    <row r="2021" spans="1:31" ht="10" customHeight="1" x14ac:dyDescent="0.2">
      <c r="A2021" s="5" t="s">
        <v>4708</v>
      </c>
      <c r="B2021" s="5" t="s">
        <v>4709</v>
      </c>
      <c r="C2021" s="5" t="s">
        <v>4907</v>
      </c>
      <c r="D2021" s="5" t="s">
        <v>4908</v>
      </c>
      <c r="E2021" s="10" t="s">
        <v>184</v>
      </c>
      <c r="F2021" s="5" t="s">
        <v>4904</v>
      </c>
      <c r="I2021" s="11">
        <v>2</v>
      </c>
      <c r="K2021" s="10" t="s">
        <v>46</v>
      </c>
      <c r="L2021" s="5" t="s">
        <v>47</v>
      </c>
      <c r="M2021" s="5" t="s">
        <v>115</v>
      </c>
      <c r="N2021" s="5" t="s">
        <v>116</v>
      </c>
      <c r="O2021" s="12"/>
      <c r="S2021" s="13">
        <v>15000</v>
      </c>
      <c r="U2021" s="13">
        <v>15000</v>
      </c>
      <c r="AC2021" s="10" t="s">
        <v>4906</v>
      </c>
      <c r="AD2021" s="5" t="s">
        <v>4656</v>
      </c>
      <c r="AE2021" s="5" t="s">
        <v>4713</v>
      </c>
    </row>
    <row r="2022" spans="1:31" ht="10" customHeight="1" x14ac:dyDescent="0.2">
      <c r="A2022" s="5" t="s">
        <v>4708</v>
      </c>
      <c r="B2022" s="5" t="s">
        <v>4709</v>
      </c>
      <c r="C2022" s="5" t="s">
        <v>4909</v>
      </c>
      <c r="D2022" s="5" t="s">
        <v>4910</v>
      </c>
      <c r="E2022" s="10" t="s">
        <v>184</v>
      </c>
      <c r="F2022" s="5" t="s">
        <v>4904</v>
      </c>
      <c r="I2022" s="11">
        <v>2</v>
      </c>
      <c r="K2022" s="10" t="s">
        <v>46</v>
      </c>
      <c r="L2022" s="5" t="s">
        <v>47</v>
      </c>
      <c r="M2022" s="5" t="s">
        <v>145</v>
      </c>
      <c r="N2022" s="5" t="s">
        <v>146</v>
      </c>
      <c r="O2022" s="12"/>
      <c r="S2022" s="13">
        <v>9325</v>
      </c>
      <c r="U2022" s="13">
        <v>9325</v>
      </c>
      <c r="AC2022" s="10" t="s">
        <v>4906</v>
      </c>
      <c r="AD2022" s="5" t="s">
        <v>4656</v>
      </c>
      <c r="AE2022" s="5" t="s">
        <v>4713</v>
      </c>
    </row>
    <row r="2023" spans="1:31" ht="10" customHeight="1" x14ac:dyDescent="0.2">
      <c r="A2023" s="5" t="s">
        <v>4708</v>
      </c>
      <c r="B2023" s="5" t="s">
        <v>4709</v>
      </c>
      <c r="C2023" s="5" t="s">
        <v>4911</v>
      </c>
      <c r="D2023" s="5" t="s">
        <v>4912</v>
      </c>
      <c r="E2023" s="10" t="s">
        <v>184</v>
      </c>
      <c r="F2023" s="5" t="s">
        <v>4904</v>
      </c>
      <c r="I2023" s="11">
        <v>2</v>
      </c>
      <c r="K2023" s="10" t="s">
        <v>46</v>
      </c>
      <c r="L2023" s="5" t="s">
        <v>47</v>
      </c>
      <c r="M2023" s="5" t="s">
        <v>145</v>
      </c>
      <c r="N2023" s="5" t="s">
        <v>4899</v>
      </c>
      <c r="O2023" s="12"/>
      <c r="S2023" s="13">
        <v>14036</v>
      </c>
      <c r="U2023" s="13">
        <v>14036</v>
      </c>
      <c r="AC2023" s="10" t="s">
        <v>4906</v>
      </c>
      <c r="AD2023" s="5" t="s">
        <v>4656</v>
      </c>
      <c r="AE2023" s="5" t="s">
        <v>4713</v>
      </c>
    </row>
    <row r="2024" spans="1:31" ht="10" customHeight="1" x14ac:dyDescent="0.2">
      <c r="A2024" s="5" t="s">
        <v>4708</v>
      </c>
      <c r="B2024" s="5" t="s">
        <v>4709</v>
      </c>
      <c r="C2024" s="5" t="s">
        <v>4913</v>
      </c>
      <c r="D2024" s="5" t="s">
        <v>4914</v>
      </c>
      <c r="E2024" s="10" t="s">
        <v>184</v>
      </c>
      <c r="F2024" s="5" t="s">
        <v>4904</v>
      </c>
      <c r="I2024" s="11">
        <v>2</v>
      </c>
      <c r="K2024" s="10" t="s">
        <v>46</v>
      </c>
      <c r="L2024" s="5" t="s">
        <v>47</v>
      </c>
      <c r="M2024" s="5" t="s">
        <v>115</v>
      </c>
      <c r="N2024" s="5" t="s">
        <v>116</v>
      </c>
      <c r="O2024" s="12"/>
      <c r="S2024" s="13">
        <v>12087</v>
      </c>
      <c r="U2024" s="13">
        <v>12087</v>
      </c>
      <c r="AC2024" s="10" t="s">
        <v>4906</v>
      </c>
      <c r="AD2024" s="5" t="s">
        <v>4656</v>
      </c>
      <c r="AE2024" s="5" t="s">
        <v>4713</v>
      </c>
    </row>
    <row r="2025" spans="1:31" ht="10" customHeight="1" x14ac:dyDescent="0.2">
      <c r="A2025" s="5" t="s">
        <v>4708</v>
      </c>
      <c r="B2025" s="5" t="s">
        <v>4709</v>
      </c>
      <c r="C2025" s="5" t="s">
        <v>4915</v>
      </c>
      <c r="D2025" s="5" t="s">
        <v>4916</v>
      </c>
      <c r="E2025" s="10" t="s">
        <v>184</v>
      </c>
      <c r="F2025" s="5" t="s">
        <v>4904</v>
      </c>
      <c r="I2025" s="11">
        <v>2</v>
      </c>
      <c r="K2025" s="10" t="s">
        <v>46</v>
      </c>
      <c r="L2025" s="5" t="s">
        <v>47</v>
      </c>
      <c r="M2025" s="5" t="s">
        <v>145</v>
      </c>
      <c r="N2025" s="5" t="s">
        <v>164</v>
      </c>
      <c r="O2025" s="12"/>
      <c r="S2025" s="13">
        <v>12065</v>
      </c>
      <c r="U2025" s="13">
        <v>12065</v>
      </c>
      <c r="AC2025" s="10" t="s">
        <v>4906</v>
      </c>
      <c r="AD2025" s="5" t="s">
        <v>4656</v>
      </c>
      <c r="AE2025" s="5" t="s">
        <v>4713</v>
      </c>
    </row>
    <row r="2026" spans="1:31" ht="10" customHeight="1" x14ac:dyDescent="0.2">
      <c r="A2026" s="5" t="s">
        <v>4708</v>
      </c>
      <c r="B2026" s="5" t="s">
        <v>4709</v>
      </c>
      <c r="C2026" s="5" t="s">
        <v>4917</v>
      </c>
      <c r="D2026" s="5" t="s">
        <v>4918</v>
      </c>
      <c r="E2026" s="10" t="s">
        <v>184</v>
      </c>
      <c r="F2026" s="5" t="s">
        <v>4904</v>
      </c>
      <c r="I2026" s="11">
        <v>2</v>
      </c>
      <c r="K2026" s="10" t="s">
        <v>46</v>
      </c>
      <c r="L2026" s="5" t="s">
        <v>47</v>
      </c>
      <c r="M2026" s="5" t="s">
        <v>145</v>
      </c>
      <c r="N2026" s="5" t="s">
        <v>4899</v>
      </c>
      <c r="O2026" s="12"/>
      <c r="S2026" s="13">
        <v>18380</v>
      </c>
      <c r="U2026" s="13">
        <v>18380</v>
      </c>
      <c r="AC2026" s="10" t="s">
        <v>4906</v>
      </c>
      <c r="AD2026" s="5" t="s">
        <v>4656</v>
      </c>
      <c r="AE2026" s="5" t="s">
        <v>4713</v>
      </c>
    </row>
    <row r="2027" spans="1:31" ht="10" customHeight="1" x14ac:dyDescent="0.2">
      <c r="A2027" s="5" t="s">
        <v>4708</v>
      </c>
      <c r="B2027" s="5" t="s">
        <v>4709</v>
      </c>
      <c r="C2027" s="5" t="s">
        <v>4919</v>
      </c>
      <c r="D2027" s="5" t="s">
        <v>4920</v>
      </c>
      <c r="E2027" s="10" t="s">
        <v>184</v>
      </c>
      <c r="F2027" s="5" t="s">
        <v>4904</v>
      </c>
      <c r="I2027" s="11">
        <v>2</v>
      </c>
      <c r="K2027" s="10" t="s">
        <v>46</v>
      </c>
      <c r="L2027" s="5" t="s">
        <v>47</v>
      </c>
      <c r="M2027" s="5" t="s">
        <v>115</v>
      </c>
      <c r="N2027" s="5" t="s">
        <v>116</v>
      </c>
      <c r="O2027" s="12"/>
      <c r="S2027" s="13">
        <v>112127</v>
      </c>
      <c r="U2027" s="13">
        <v>112127</v>
      </c>
      <c r="AC2027" s="10" t="s">
        <v>4906</v>
      </c>
      <c r="AD2027" s="5" t="s">
        <v>4656</v>
      </c>
      <c r="AE2027" s="5" t="s">
        <v>4713</v>
      </c>
    </row>
    <row r="2028" spans="1:31" ht="10" customHeight="1" x14ac:dyDescent="0.2">
      <c r="A2028" s="5" t="s">
        <v>4708</v>
      </c>
      <c r="B2028" s="5" t="s">
        <v>4709</v>
      </c>
      <c r="C2028" s="5" t="s">
        <v>4921</v>
      </c>
      <c r="D2028" s="5" t="s">
        <v>4922</v>
      </c>
      <c r="E2028" s="10" t="s">
        <v>184</v>
      </c>
      <c r="F2028" s="5" t="s">
        <v>4904</v>
      </c>
      <c r="I2028" s="11">
        <v>2</v>
      </c>
      <c r="K2028" s="10" t="s">
        <v>46</v>
      </c>
      <c r="L2028" s="5" t="s">
        <v>47</v>
      </c>
      <c r="M2028" s="5" t="s">
        <v>115</v>
      </c>
      <c r="N2028" s="5" t="s">
        <v>116</v>
      </c>
      <c r="O2028" s="12"/>
      <c r="S2028" s="13">
        <v>42281</v>
      </c>
      <c r="U2028" s="13">
        <v>42281</v>
      </c>
      <c r="AC2028" s="10" t="s">
        <v>4906</v>
      </c>
      <c r="AD2028" s="5" t="s">
        <v>4656</v>
      </c>
      <c r="AE2028" s="5" t="s">
        <v>4713</v>
      </c>
    </row>
    <row r="2029" spans="1:31" ht="10" customHeight="1" x14ac:dyDescent="0.2">
      <c r="A2029" s="5" t="s">
        <v>4708</v>
      </c>
      <c r="B2029" s="5" t="s">
        <v>4709</v>
      </c>
      <c r="C2029" s="5" t="s">
        <v>4923</v>
      </c>
      <c r="D2029" s="5" t="s">
        <v>4924</v>
      </c>
      <c r="E2029" s="10" t="s">
        <v>184</v>
      </c>
      <c r="F2029" s="5" t="s">
        <v>4904</v>
      </c>
      <c r="I2029" s="11">
        <v>2</v>
      </c>
      <c r="K2029" s="10" t="s">
        <v>46</v>
      </c>
      <c r="L2029" s="5" t="s">
        <v>47</v>
      </c>
      <c r="M2029" s="5" t="s">
        <v>115</v>
      </c>
      <c r="N2029" s="5" t="s">
        <v>116</v>
      </c>
      <c r="O2029" s="12"/>
      <c r="S2029" s="13">
        <v>121048</v>
      </c>
      <c r="U2029" s="13">
        <v>121048</v>
      </c>
      <c r="AC2029" s="10" t="s">
        <v>4906</v>
      </c>
      <c r="AD2029" s="5" t="s">
        <v>4656</v>
      </c>
      <c r="AE2029" s="5" t="s">
        <v>4713</v>
      </c>
    </row>
    <row r="2030" spans="1:31" ht="10" customHeight="1" x14ac:dyDescent="0.2">
      <c r="A2030" s="5" t="s">
        <v>4708</v>
      </c>
      <c r="B2030" s="5" t="s">
        <v>4709</v>
      </c>
      <c r="C2030" s="5" t="s">
        <v>4925</v>
      </c>
      <c r="D2030" s="5" t="s">
        <v>4926</v>
      </c>
      <c r="E2030" s="10" t="s">
        <v>184</v>
      </c>
      <c r="F2030" s="5" t="s">
        <v>4904</v>
      </c>
      <c r="I2030" s="11">
        <v>2</v>
      </c>
      <c r="K2030" s="10" t="s">
        <v>46</v>
      </c>
      <c r="L2030" s="5" t="s">
        <v>47</v>
      </c>
      <c r="M2030" s="5" t="s">
        <v>115</v>
      </c>
      <c r="N2030" s="5" t="s">
        <v>116</v>
      </c>
      <c r="O2030" s="12"/>
      <c r="S2030" s="13">
        <v>91072</v>
      </c>
      <c r="U2030" s="13">
        <v>91072</v>
      </c>
      <c r="AC2030" s="10" t="s">
        <v>4906</v>
      </c>
      <c r="AD2030" s="5" t="s">
        <v>4656</v>
      </c>
      <c r="AE2030" s="5" t="s">
        <v>4713</v>
      </c>
    </row>
    <row r="2031" spans="1:31" ht="10" customHeight="1" x14ac:dyDescent="0.2">
      <c r="A2031" s="5" t="s">
        <v>4708</v>
      </c>
      <c r="B2031" s="5" t="s">
        <v>4709</v>
      </c>
      <c r="C2031" s="5" t="s">
        <v>4927</v>
      </c>
      <c r="D2031" s="5" t="s">
        <v>4928</v>
      </c>
      <c r="E2031" s="10" t="s">
        <v>184</v>
      </c>
      <c r="F2031" s="5" t="s">
        <v>4904</v>
      </c>
      <c r="I2031" s="11">
        <v>2</v>
      </c>
      <c r="K2031" s="10" t="s">
        <v>46</v>
      </c>
      <c r="L2031" s="5" t="s">
        <v>47</v>
      </c>
      <c r="M2031" s="5" t="s">
        <v>115</v>
      </c>
      <c r="N2031" s="5" t="s">
        <v>135</v>
      </c>
      <c r="O2031" s="12"/>
      <c r="S2031" s="13">
        <v>74329</v>
      </c>
      <c r="U2031" s="13">
        <v>74329</v>
      </c>
      <c r="AC2031" s="10" t="s">
        <v>4906</v>
      </c>
      <c r="AD2031" s="5" t="s">
        <v>2015</v>
      </c>
      <c r="AE2031" s="5" t="s">
        <v>4713</v>
      </c>
    </row>
    <row r="2032" spans="1:31" ht="10" customHeight="1" x14ac:dyDescent="0.2">
      <c r="A2032" s="5" t="s">
        <v>4708</v>
      </c>
      <c r="B2032" s="5" t="s">
        <v>4709</v>
      </c>
      <c r="C2032" s="5" t="s">
        <v>4929</v>
      </c>
      <c r="D2032" s="5" t="s">
        <v>4930</v>
      </c>
      <c r="E2032" s="10" t="s">
        <v>184</v>
      </c>
      <c r="F2032" s="5" t="s">
        <v>4904</v>
      </c>
      <c r="I2032" s="11">
        <v>2</v>
      </c>
      <c r="K2032" s="10" t="s">
        <v>46</v>
      </c>
      <c r="L2032" s="5" t="s">
        <v>47</v>
      </c>
      <c r="M2032" s="5" t="s">
        <v>115</v>
      </c>
      <c r="N2032" s="5" t="s">
        <v>135</v>
      </c>
      <c r="O2032" s="12"/>
      <c r="S2032" s="13">
        <v>60305</v>
      </c>
      <c r="U2032" s="13">
        <v>60305</v>
      </c>
      <c r="AC2032" s="10" t="s">
        <v>4906</v>
      </c>
      <c r="AD2032" s="5" t="s">
        <v>2015</v>
      </c>
      <c r="AE2032" s="5" t="s">
        <v>4713</v>
      </c>
    </row>
    <row r="2033" spans="1:31" ht="10" customHeight="1" x14ac:dyDescent="0.2">
      <c r="A2033" s="5" t="s">
        <v>4708</v>
      </c>
      <c r="B2033" s="5" t="s">
        <v>4709</v>
      </c>
      <c r="C2033" s="5" t="s">
        <v>4931</v>
      </c>
      <c r="D2033" s="5" t="s">
        <v>4932</v>
      </c>
      <c r="E2033" s="10" t="s">
        <v>184</v>
      </c>
      <c r="F2033" s="5" t="s">
        <v>4904</v>
      </c>
      <c r="I2033" s="11">
        <v>2</v>
      </c>
      <c r="K2033" s="10" t="s">
        <v>46</v>
      </c>
      <c r="L2033" s="5" t="s">
        <v>47</v>
      </c>
      <c r="M2033" s="5" t="s">
        <v>145</v>
      </c>
      <c r="N2033" s="5" t="s">
        <v>4905</v>
      </c>
      <c r="O2033" s="12"/>
      <c r="S2033" s="13">
        <v>57113</v>
      </c>
      <c r="U2033" s="13">
        <v>57113</v>
      </c>
      <c r="AC2033" s="10" t="s">
        <v>4906</v>
      </c>
      <c r="AD2033" s="5" t="s">
        <v>2015</v>
      </c>
      <c r="AE2033" s="5" t="s">
        <v>4713</v>
      </c>
    </row>
    <row r="2034" spans="1:31" ht="10" customHeight="1" x14ac:dyDescent="0.2">
      <c r="A2034" s="5" t="s">
        <v>4708</v>
      </c>
      <c r="B2034" s="5" t="s">
        <v>4709</v>
      </c>
      <c r="C2034" s="5" t="s">
        <v>4933</v>
      </c>
      <c r="D2034" s="5" t="s">
        <v>4934</v>
      </c>
      <c r="E2034" s="10" t="s">
        <v>184</v>
      </c>
      <c r="F2034" s="5" t="s">
        <v>4904</v>
      </c>
      <c r="I2034" s="11">
        <v>2</v>
      </c>
      <c r="K2034" s="10" t="s">
        <v>46</v>
      </c>
      <c r="L2034" s="5" t="s">
        <v>47</v>
      </c>
      <c r="M2034" s="5" t="s">
        <v>145</v>
      </c>
      <c r="N2034" s="5" t="s">
        <v>146</v>
      </c>
      <c r="O2034" s="12"/>
      <c r="S2034" s="13">
        <v>25577</v>
      </c>
      <c r="U2034" s="13">
        <v>25577</v>
      </c>
      <c r="AC2034" s="10" t="s">
        <v>4906</v>
      </c>
      <c r="AD2034" s="5" t="s">
        <v>2015</v>
      </c>
      <c r="AE2034" s="5" t="s">
        <v>4713</v>
      </c>
    </row>
    <row r="2035" spans="1:31" ht="10" customHeight="1" x14ac:dyDescent="0.2">
      <c r="A2035" s="5" t="s">
        <v>4708</v>
      </c>
      <c r="B2035" s="5" t="s">
        <v>4709</v>
      </c>
      <c r="C2035" s="5" t="s">
        <v>4935</v>
      </c>
      <c r="D2035" s="5" t="s">
        <v>4936</v>
      </c>
      <c r="E2035" s="10" t="s">
        <v>184</v>
      </c>
      <c r="F2035" s="5" t="s">
        <v>4904</v>
      </c>
      <c r="I2035" s="11">
        <v>2</v>
      </c>
      <c r="K2035" s="10" t="s">
        <v>46</v>
      </c>
      <c r="L2035" s="5" t="s">
        <v>47</v>
      </c>
      <c r="M2035" s="5" t="s">
        <v>115</v>
      </c>
      <c r="N2035" s="5" t="s">
        <v>116</v>
      </c>
      <c r="O2035" s="12"/>
      <c r="S2035" s="13">
        <v>96808</v>
      </c>
      <c r="U2035" s="13">
        <v>96808</v>
      </c>
      <c r="AC2035" s="10" t="s">
        <v>4906</v>
      </c>
      <c r="AD2035" s="5" t="s">
        <v>2015</v>
      </c>
      <c r="AE2035" s="5" t="s">
        <v>4713</v>
      </c>
    </row>
    <row r="2036" spans="1:31" ht="10" customHeight="1" x14ac:dyDescent="0.2">
      <c r="A2036" s="5" t="s">
        <v>4708</v>
      </c>
      <c r="B2036" s="5" t="s">
        <v>4709</v>
      </c>
      <c r="C2036" s="5" t="s">
        <v>4937</v>
      </c>
      <c r="D2036" s="5" t="s">
        <v>4938</v>
      </c>
      <c r="E2036" s="10" t="s">
        <v>184</v>
      </c>
      <c r="F2036" s="5" t="s">
        <v>4904</v>
      </c>
      <c r="I2036" s="11">
        <v>2</v>
      </c>
      <c r="K2036" s="10" t="s">
        <v>46</v>
      </c>
      <c r="L2036" s="5" t="s">
        <v>47</v>
      </c>
      <c r="M2036" s="5" t="s">
        <v>115</v>
      </c>
      <c r="N2036" s="5" t="s">
        <v>116</v>
      </c>
      <c r="O2036" s="12"/>
      <c r="S2036" s="13">
        <v>139296</v>
      </c>
      <c r="U2036" s="13">
        <v>139296</v>
      </c>
      <c r="AC2036" s="10" t="s">
        <v>4906</v>
      </c>
      <c r="AD2036" s="5" t="s">
        <v>2015</v>
      </c>
      <c r="AE2036" s="5" t="s">
        <v>4713</v>
      </c>
    </row>
    <row r="2037" spans="1:31" ht="10" customHeight="1" x14ac:dyDescent="0.2">
      <c r="A2037" s="5" t="s">
        <v>4708</v>
      </c>
      <c r="B2037" s="5" t="s">
        <v>4709</v>
      </c>
      <c r="C2037" s="5" t="s">
        <v>4939</v>
      </c>
      <c r="D2037" s="5" t="s">
        <v>4940</v>
      </c>
      <c r="E2037" s="10" t="s">
        <v>184</v>
      </c>
      <c r="F2037" s="5" t="s">
        <v>4904</v>
      </c>
      <c r="I2037" s="11">
        <v>2</v>
      </c>
      <c r="K2037" s="10" t="s">
        <v>46</v>
      </c>
      <c r="L2037" s="5" t="s">
        <v>47</v>
      </c>
      <c r="M2037" s="5" t="s">
        <v>145</v>
      </c>
      <c r="N2037" s="5" t="s">
        <v>146</v>
      </c>
      <c r="O2037" s="12"/>
      <c r="S2037" s="13">
        <v>106345</v>
      </c>
      <c r="U2037" s="13">
        <v>106345</v>
      </c>
      <c r="AC2037" s="10" t="s">
        <v>4906</v>
      </c>
      <c r="AD2037" s="5" t="s">
        <v>2015</v>
      </c>
      <c r="AE2037" s="5" t="s">
        <v>4713</v>
      </c>
    </row>
    <row r="2038" spans="1:31" ht="10" customHeight="1" x14ac:dyDescent="0.2">
      <c r="A2038" s="5" t="s">
        <v>4708</v>
      </c>
      <c r="B2038" s="5" t="s">
        <v>4709</v>
      </c>
      <c r="C2038" s="5" t="s">
        <v>4941</v>
      </c>
      <c r="D2038" s="5" t="s">
        <v>4942</v>
      </c>
      <c r="E2038" s="10" t="s">
        <v>184</v>
      </c>
      <c r="F2038" s="5" t="s">
        <v>4904</v>
      </c>
      <c r="I2038" s="11">
        <v>2</v>
      </c>
      <c r="K2038" s="10" t="s">
        <v>46</v>
      </c>
      <c r="L2038" s="5" t="s">
        <v>47</v>
      </c>
      <c r="M2038" s="5" t="s">
        <v>115</v>
      </c>
      <c r="N2038" s="5" t="s">
        <v>116</v>
      </c>
      <c r="O2038" s="12"/>
      <c r="S2038" s="13">
        <v>55319</v>
      </c>
      <c r="U2038" s="13">
        <v>55319</v>
      </c>
      <c r="AC2038" s="10" t="s">
        <v>4906</v>
      </c>
      <c r="AD2038" s="5" t="s">
        <v>2015</v>
      </c>
      <c r="AE2038" s="5" t="s">
        <v>4713</v>
      </c>
    </row>
    <row r="2039" spans="1:31" ht="10" customHeight="1" x14ac:dyDescent="0.2">
      <c r="A2039" s="5" t="s">
        <v>4708</v>
      </c>
      <c r="B2039" s="5" t="s">
        <v>4709</v>
      </c>
      <c r="C2039" s="5" t="s">
        <v>4943</v>
      </c>
      <c r="D2039" s="5" t="s">
        <v>4944</v>
      </c>
      <c r="E2039" s="10" t="s">
        <v>184</v>
      </c>
      <c r="F2039" s="5" t="s">
        <v>4904</v>
      </c>
      <c r="I2039" s="11">
        <v>2</v>
      </c>
      <c r="K2039" s="10" t="s">
        <v>46</v>
      </c>
      <c r="L2039" s="5" t="s">
        <v>47</v>
      </c>
      <c r="M2039" s="5" t="s">
        <v>115</v>
      </c>
      <c r="N2039" s="5" t="s">
        <v>116</v>
      </c>
      <c r="O2039" s="12"/>
      <c r="S2039" s="13">
        <v>107108</v>
      </c>
      <c r="U2039" s="13">
        <v>107108</v>
      </c>
      <c r="AC2039" s="10" t="s">
        <v>4906</v>
      </c>
      <c r="AD2039" s="5" t="s">
        <v>2015</v>
      </c>
      <c r="AE2039" s="5" t="s">
        <v>4713</v>
      </c>
    </row>
    <row r="2040" spans="1:31" ht="10" customHeight="1" x14ac:dyDescent="0.2">
      <c r="A2040" s="5" t="s">
        <v>4708</v>
      </c>
      <c r="B2040" s="5" t="s">
        <v>4709</v>
      </c>
      <c r="C2040" s="5" t="s">
        <v>4945</v>
      </c>
      <c r="D2040" s="5" t="s">
        <v>4946</v>
      </c>
      <c r="E2040" s="10" t="s">
        <v>184</v>
      </c>
      <c r="F2040" s="5" t="s">
        <v>4904</v>
      </c>
      <c r="I2040" s="11">
        <v>2</v>
      </c>
      <c r="K2040" s="10" t="s">
        <v>46</v>
      </c>
      <c r="L2040" s="5" t="s">
        <v>47</v>
      </c>
      <c r="M2040" s="5" t="s">
        <v>115</v>
      </c>
      <c r="N2040" s="5" t="s">
        <v>116</v>
      </c>
      <c r="O2040" s="12"/>
      <c r="S2040" s="13">
        <v>25083</v>
      </c>
      <c r="U2040" s="13">
        <v>25083</v>
      </c>
      <c r="AC2040" s="10" t="s">
        <v>4906</v>
      </c>
      <c r="AD2040" s="5" t="s">
        <v>2015</v>
      </c>
      <c r="AE2040" s="5" t="s">
        <v>4713</v>
      </c>
    </row>
    <row r="2041" spans="1:31" ht="10" customHeight="1" x14ac:dyDescent="0.2">
      <c r="A2041" s="5" t="s">
        <v>4708</v>
      </c>
      <c r="B2041" s="5" t="s">
        <v>4709</v>
      </c>
      <c r="C2041" s="5" t="s">
        <v>4947</v>
      </c>
      <c r="D2041" s="5" t="s">
        <v>4948</v>
      </c>
      <c r="E2041" s="10" t="s">
        <v>184</v>
      </c>
      <c r="F2041" s="5" t="s">
        <v>4904</v>
      </c>
      <c r="I2041" s="11">
        <v>2</v>
      </c>
      <c r="K2041" s="10" t="s">
        <v>46</v>
      </c>
      <c r="L2041" s="5" t="s">
        <v>47</v>
      </c>
      <c r="M2041" s="5" t="s">
        <v>115</v>
      </c>
      <c r="N2041" s="5" t="s">
        <v>135</v>
      </c>
      <c r="O2041" s="12"/>
      <c r="S2041" s="13">
        <v>73360</v>
      </c>
      <c r="U2041" s="13">
        <v>73360</v>
      </c>
      <c r="AC2041" s="10" t="s">
        <v>4906</v>
      </c>
      <c r="AD2041" s="5" t="s">
        <v>2015</v>
      </c>
      <c r="AE2041" s="5" t="s">
        <v>4713</v>
      </c>
    </row>
    <row r="2042" spans="1:31" ht="10" customHeight="1" x14ac:dyDescent="0.2">
      <c r="A2042" s="5" t="s">
        <v>4708</v>
      </c>
      <c r="B2042" s="5" t="s">
        <v>4709</v>
      </c>
      <c r="C2042" s="5" t="s">
        <v>4949</v>
      </c>
      <c r="D2042" s="5" t="s">
        <v>4950</v>
      </c>
      <c r="E2042" s="10" t="s">
        <v>184</v>
      </c>
      <c r="F2042" s="5" t="s">
        <v>4904</v>
      </c>
      <c r="I2042" s="11">
        <v>2</v>
      </c>
      <c r="K2042" s="10" t="s">
        <v>46</v>
      </c>
      <c r="L2042" s="5" t="s">
        <v>47</v>
      </c>
      <c r="M2042" s="5" t="s">
        <v>115</v>
      </c>
      <c r="N2042" s="5" t="s">
        <v>135</v>
      </c>
      <c r="O2042" s="12"/>
      <c r="S2042" s="13">
        <v>74891</v>
      </c>
      <c r="U2042" s="13">
        <v>74891</v>
      </c>
      <c r="AC2042" s="10" t="s">
        <v>4906</v>
      </c>
      <c r="AD2042" s="5" t="s">
        <v>2015</v>
      </c>
      <c r="AE2042" s="5" t="s">
        <v>4713</v>
      </c>
    </row>
    <row r="2043" spans="1:31" ht="10" customHeight="1" x14ac:dyDescent="0.2">
      <c r="A2043" s="5" t="s">
        <v>4708</v>
      </c>
      <c r="B2043" s="5" t="s">
        <v>4709</v>
      </c>
      <c r="C2043" s="5" t="s">
        <v>4951</v>
      </c>
      <c r="D2043" s="5" t="s">
        <v>4952</v>
      </c>
      <c r="E2043" s="10" t="s">
        <v>184</v>
      </c>
      <c r="F2043" s="5" t="s">
        <v>4904</v>
      </c>
      <c r="I2043" s="11">
        <v>2</v>
      </c>
      <c r="K2043" s="10" t="s">
        <v>46</v>
      </c>
      <c r="L2043" s="5" t="s">
        <v>47</v>
      </c>
      <c r="M2043" s="5" t="s">
        <v>115</v>
      </c>
      <c r="N2043" s="5" t="s">
        <v>116</v>
      </c>
      <c r="O2043" s="12"/>
      <c r="S2043" s="13">
        <v>56967</v>
      </c>
      <c r="U2043" s="13">
        <v>56967</v>
      </c>
      <c r="AC2043" s="10" t="s">
        <v>4906</v>
      </c>
      <c r="AD2043" s="5" t="s">
        <v>2015</v>
      </c>
      <c r="AE2043" s="5" t="s">
        <v>4713</v>
      </c>
    </row>
    <row r="2044" spans="1:31" ht="10" customHeight="1" x14ac:dyDescent="0.2">
      <c r="A2044" s="5" t="s">
        <v>4708</v>
      </c>
      <c r="B2044" s="5" t="s">
        <v>4709</v>
      </c>
      <c r="C2044" s="5" t="s">
        <v>4953</v>
      </c>
      <c r="D2044" s="5" t="s">
        <v>4954</v>
      </c>
      <c r="E2044" s="10" t="s">
        <v>184</v>
      </c>
      <c r="F2044" s="5" t="s">
        <v>4904</v>
      </c>
      <c r="I2044" s="11">
        <v>2</v>
      </c>
      <c r="K2044" s="10" t="s">
        <v>46</v>
      </c>
      <c r="L2044" s="5" t="s">
        <v>47</v>
      </c>
      <c r="M2044" s="5" t="s">
        <v>115</v>
      </c>
      <c r="N2044" s="5" t="s">
        <v>4955</v>
      </c>
      <c r="O2044" s="12"/>
      <c r="S2044" s="13">
        <v>42351</v>
      </c>
      <c r="U2044" s="13">
        <v>42351</v>
      </c>
      <c r="AC2044" s="10" t="s">
        <v>4906</v>
      </c>
      <c r="AD2044" s="5" t="s">
        <v>2045</v>
      </c>
      <c r="AE2044" s="5" t="s">
        <v>4713</v>
      </c>
    </row>
    <row r="2045" spans="1:31" ht="10" customHeight="1" x14ac:dyDescent="0.2">
      <c r="A2045" s="5" t="s">
        <v>4708</v>
      </c>
      <c r="B2045" s="5" t="s">
        <v>4709</v>
      </c>
      <c r="C2045" s="5" t="s">
        <v>4956</v>
      </c>
      <c r="D2045" s="5" t="s">
        <v>4957</v>
      </c>
      <c r="E2045" s="10" t="s">
        <v>184</v>
      </c>
      <c r="F2045" s="5" t="s">
        <v>4904</v>
      </c>
      <c r="I2045" s="11">
        <v>2</v>
      </c>
      <c r="K2045" s="10" t="s">
        <v>46</v>
      </c>
      <c r="L2045" s="5" t="s">
        <v>47</v>
      </c>
      <c r="M2045" s="5" t="s">
        <v>145</v>
      </c>
      <c r="N2045" s="5" t="s">
        <v>4905</v>
      </c>
      <c r="O2045" s="12"/>
      <c r="S2045" s="13">
        <v>179791</v>
      </c>
      <c r="U2045" s="13">
        <v>179791</v>
      </c>
      <c r="AC2045" s="10" t="s">
        <v>4906</v>
      </c>
      <c r="AD2045" s="5" t="s">
        <v>2045</v>
      </c>
      <c r="AE2045" s="5" t="s">
        <v>4713</v>
      </c>
    </row>
    <row r="2046" spans="1:31" ht="10" customHeight="1" x14ac:dyDescent="0.2">
      <c r="A2046" s="5" t="s">
        <v>4708</v>
      </c>
      <c r="B2046" s="5" t="s">
        <v>4709</v>
      </c>
      <c r="C2046" s="5" t="s">
        <v>4958</v>
      </c>
      <c r="D2046" s="5" t="s">
        <v>4959</v>
      </c>
      <c r="E2046" s="10" t="s">
        <v>184</v>
      </c>
      <c r="F2046" s="5" t="s">
        <v>4904</v>
      </c>
      <c r="I2046" s="11">
        <v>2</v>
      </c>
      <c r="K2046" s="10" t="s">
        <v>46</v>
      </c>
      <c r="L2046" s="5" t="s">
        <v>47</v>
      </c>
      <c r="M2046" s="5" t="s">
        <v>115</v>
      </c>
      <c r="N2046" s="5" t="s">
        <v>116</v>
      </c>
      <c r="O2046" s="12"/>
      <c r="S2046" s="13">
        <v>103218</v>
      </c>
      <c r="U2046" s="13">
        <v>103218</v>
      </c>
      <c r="AC2046" s="10" t="s">
        <v>4906</v>
      </c>
      <c r="AD2046" s="5" t="s">
        <v>2045</v>
      </c>
      <c r="AE2046" s="5" t="s">
        <v>4713</v>
      </c>
    </row>
    <row r="2047" spans="1:31" ht="10" customHeight="1" x14ac:dyDescent="0.2">
      <c r="A2047" s="5" t="s">
        <v>4708</v>
      </c>
      <c r="B2047" s="5" t="s">
        <v>4709</v>
      </c>
      <c r="C2047" s="5" t="s">
        <v>4960</v>
      </c>
      <c r="D2047" s="5" t="s">
        <v>4961</v>
      </c>
      <c r="E2047" s="10" t="s">
        <v>53</v>
      </c>
      <c r="F2047" s="5" t="s">
        <v>4738</v>
      </c>
      <c r="I2047" s="11">
        <v>2</v>
      </c>
      <c r="K2047" s="10" t="s">
        <v>46</v>
      </c>
      <c r="L2047" s="5" t="s">
        <v>47</v>
      </c>
      <c r="M2047" s="5" t="s">
        <v>4962</v>
      </c>
      <c r="N2047" s="5" t="s">
        <v>4963</v>
      </c>
      <c r="O2047" s="12"/>
      <c r="S2047" s="13">
        <v>60807</v>
      </c>
      <c r="U2047" s="13">
        <v>60807</v>
      </c>
      <c r="AC2047" s="10" t="s">
        <v>4964</v>
      </c>
      <c r="AD2047" s="5" t="s">
        <v>2065</v>
      </c>
      <c r="AE2047" s="5" t="s">
        <v>4713</v>
      </c>
    </row>
    <row r="2048" spans="1:31" ht="10" customHeight="1" x14ac:dyDescent="0.2">
      <c r="A2048" s="5" t="s">
        <v>4708</v>
      </c>
      <c r="B2048" s="5" t="s">
        <v>4709</v>
      </c>
      <c r="C2048" s="5" t="s">
        <v>4965</v>
      </c>
      <c r="D2048" s="5" t="s">
        <v>4966</v>
      </c>
      <c r="E2048" s="10" t="s">
        <v>53</v>
      </c>
      <c r="F2048" s="5" t="s">
        <v>4736</v>
      </c>
      <c r="I2048" s="11">
        <v>2</v>
      </c>
      <c r="K2048" s="10" t="s">
        <v>46</v>
      </c>
      <c r="L2048" s="5" t="s">
        <v>47</v>
      </c>
      <c r="M2048" s="5" t="s">
        <v>4962</v>
      </c>
      <c r="N2048" s="5" t="s">
        <v>4963</v>
      </c>
      <c r="O2048" s="12"/>
      <c r="S2048" s="13">
        <v>15165</v>
      </c>
      <c r="U2048" s="13">
        <v>15165</v>
      </c>
      <c r="AC2048" s="10" t="s">
        <v>4964</v>
      </c>
      <c r="AD2048" s="5" t="s">
        <v>2065</v>
      </c>
      <c r="AE2048" s="5" t="s">
        <v>4713</v>
      </c>
    </row>
    <row r="2049" spans="1:31" ht="10" customHeight="1" x14ac:dyDescent="0.2">
      <c r="A2049" s="5" t="s">
        <v>4708</v>
      </c>
      <c r="B2049" s="5" t="s">
        <v>4709</v>
      </c>
      <c r="C2049" s="5" t="s">
        <v>4967</v>
      </c>
      <c r="D2049" s="5" t="s">
        <v>4968</v>
      </c>
      <c r="E2049" s="10" t="s">
        <v>53</v>
      </c>
      <c r="F2049" s="5" t="s">
        <v>4736</v>
      </c>
      <c r="I2049" s="11">
        <v>2</v>
      </c>
      <c r="K2049" s="10" t="s">
        <v>186</v>
      </c>
      <c r="L2049" s="5" t="s">
        <v>47</v>
      </c>
      <c r="M2049" s="5" t="s">
        <v>178</v>
      </c>
      <c r="N2049" s="5" t="s">
        <v>187</v>
      </c>
      <c r="O2049" s="12"/>
      <c r="S2049" s="13">
        <v>7051</v>
      </c>
      <c r="U2049" s="13">
        <v>7051</v>
      </c>
      <c r="AC2049" s="10" t="s">
        <v>4964</v>
      </c>
      <c r="AD2049" s="5" t="s">
        <v>2065</v>
      </c>
      <c r="AE2049" s="5" t="s">
        <v>4713</v>
      </c>
    </row>
    <row r="2050" spans="1:31" ht="10" customHeight="1" x14ac:dyDescent="0.2">
      <c r="A2050" s="5" t="s">
        <v>4708</v>
      </c>
      <c r="B2050" s="5" t="s">
        <v>4709</v>
      </c>
      <c r="C2050" s="5" t="s">
        <v>4969</v>
      </c>
      <c r="D2050" s="5" t="s">
        <v>4970</v>
      </c>
      <c r="E2050" s="10" t="s">
        <v>53</v>
      </c>
      <c r="F2050" s="5" t="s">
        <v>4738</v>
      </c>
      <c r="I2050" s="11">
        <v>2</v>
      </c>
      <c r="K2050" s="10" t="s">
        <v>186</v>
      </c>
      <c r="L2050" s="5" t="s">
        <v>47</v>
      </c>
      <c r="M2050" s="5" t="s">
        <v>178</v>
      </c>
      <c r="N2050" s="5" t="s">
        <v>187</v>
      </c>
      <c r="O2050" s="12"/>
      <c r="S2050" s="13">
        <v>8087</v>
      </c>
      <c r="U2050" s="13">
        <v>8087</v>
      </c>
      <c r="AC2050" s="10" t="s">
        <v>4964</v>
      </c>
      <c r="AD2050" s="5" t="s">
        <v>2065</v>
      </c>
      <c r="AE2050" s="5" t="s">
        <v>4713</v>
      </c>
    </row>
    <row r="2051" spans="1:31" ht="10" customHeight="1" x14ac:dyDescent="0.2">
      <c r="A2051" s="5" t="s">
        <v>4708</v>
      </c>
      <c r="B2051" s="5" t="s">
        <v>4709</v>
      </c>
      <c r="C2051" s="5" t="s">
        <v>4971</v>
      </c>
      <c r="D2051" s="5" t="s">
        <v>4972</v>
      </c>
      <c r="E2051" s="10" t="s">
        <v>53</v>
      </c>
      <c r="F2051" s="5" t="s">
        <v>4736</v>
      </c>
      <c r="I2051" s="11">
        <v>2</v>
      </c>
      <c r="K2051" s="10" t="s">
        <v>186</v>
      </c>
      <c r="L2051" s="5" t="s">
        <v>47</v>
      </c>
      <c r="M2051" s="5" t="s">
        <v>178</v>
      </c>
      <c r="N2051" s="5" t="s">
        <v>187</v>
      </c>
      <c r="O2051" s="12"/>
      <c r="S2051" s="13">
        <v>18342</v>
      </c>
      <c r="U2051" s="13">
        <v>18342</v>
      </c>
      <c r="AC2051" s="10" t="s">
        <v>4964</v>
      </c>
      <c r="AD2051" s="5" t="s">
        <v>2073</v>
      </c>
      <c r="AE2051" s="5" t="s">
        <v>4713</v>
      </c>
    </row>
    <row r="2052" spans="1:31" ht="10" customHeight="1" x14ac:dyDescent="0.2">
      <c r="A2052" s="5" t="s">
        <v>4708</v>
      </c>
      <c r="B2052" s="5" t="s">
        <v>4709</v>
      </c>
      <c r="C2052" s="5" t="s">
        <v>4973</v>
      </c>
      <c r="D2052" s="5" t="s">
        <v>4974</v>
      </c>
      <c r="E2052" s="10" t="s">
        <v>53</v>
      </c>
      <c r="F2052" s="5" t="s">
        <v>4738</v>
      </c>
      <c r="I2052" s="11">
        <v>2</v>
      </c>
      <c r="K2052" s="10" t="s">
        <v>186</v>
      </c>
      <c r="L2052" s="5" t="s">
        <v>47</v>
      </c>
      <c r="M2052" s="5" t="s">
        <v>178</v>
      </c>
      <c r="N2052" s="5" t="s">
        <v>187</v>
      </c>
      <c r="O2052" s="12"/>
      <c r="S2052" s="13">
        <v>9683</v>
      </c>
      <c r="U2052" s="13">
        <v>9683</v>
      </c>
      <c r="AC2052" s="10" t="s">
        <v>4964</v>
      </c>
      <c r="AD2052" s="5" t="s">
        <v>2073</v>
      </c>
      <c r="AE2052" s="5" t="s">
        <v>4713</v>
      </c>
    </row>
    <row r="2053" spans="1:31" ht="10" customHeight="1" x14ac:dyDescent="0.2">
      <c r="A2053" s="5" t="s">
        <v>4708</v>
      </c>
      <c r="B2053" s="5" t="s">
        <v>4709</v>
      </c>
      <c r="C2053" s="5" t="s">
        <v>4975</v>
      </c>
      <c r="D2053" s="5" t="s">
        <v>4976</v>
      </c>
      <c r="E2053" s="10" t="s">
        <v>53</v>
      </c>
      <c r="F2053" s="5" t="s">
        <v>4710</v>
      </c>
      <c r="I2053" s="11">
        <v>2</v>
      </c>
      <c r="K2053" s="10" t="s">
        <v>186</v>
      </c>
      <c r="L2053" s="5" t="s">
        <v>47</v>
      </c>
      <c r="M2053" s="5" t="s">
        <v>178</v>
      </c>
      <c r="N2053" s="5" t="s">
        <v>187</v>
      </c>
      <c r="O2053" s="12"/>
      <c r="S2053" s="13">
        <v>21018</v>
      </c>
      <c r="U2053" s="13">
        <v>21018</v>
      </c>
      <c r="AC2053" s="10" t="s">
        <v>4964</v>
      </c>
      <c r="AD2053" s="5" t="s">
        <v>2073</v>
      </c>
      <c r="AE2053" s="5" t="s">
        <v>4713</v>
      </c>
    </row>
    <row r="2054" spans="1:31" ht="10" customHeight="1" x14ac:dyDescent="0.2">
      <c r="A2054" s="5" t="s">
        <v>4708</v>
      </c>
      <c r="B2054" s="5" t="s">
        <v>4709</v>
      </c>
      <c r="C2054" s="5" t="s">
        <v>4977</v>
      </c>
      <c r="D2054" s="5" t="s">
        <v>4978</v>
      </c>
      <c r="E2054" s="10" t="s">
        <v>53</v>
      </c>
      <c r="F2054" s="5" t="s">
        <v>4739</v>
      </c>
      <c r="I2054" s="11">
        <v>2</v>
      </c>
      <c r="K2054" s="10" t="s">
        <v>186</v>
      </c>
      <c r="L2054" s="5" t="s">
        <v>47</v>
      </c>
      <c r="M2054" s="5" t="s">
        <v>178</v>
      </c>
      <c r="N2054" s="5" t="s">
        <v>187</v>
      </c>
      <c r="O2054" s="12"/>
      <c r="S2054" s="13">
        <v>630</v>
      </c>
      <c r="U2054" s="13">
        <v>630</v>
      </c>
      <c r="AC2054" s="10" t="s">
        <v>4964</v>
      </c>
      <c r="AD2054" s="5" t="s">
        <v>2073</v>
      </c>
      <c r="AE2054" s="5" t="s">
        <v>4713</v>
      </c>
    </row>
    <row r="2055" spans="1:31" ht="10" customHeight="1" x14ac:dyDescent="0.2">
      <c r="A2055" s="5" t="s">
        <v>4708</v>
      </c>
      <c r="B2055" s="5" t="s">
        <v>4709</v>
      </c>
      <c r="C2055" s="5" t="s">
        <v>4979</v>
      </c>
      <c r="D2055" s="5" t="s">
        <v>4980</v>
      </c>
      <c r="E2055" s="10" t="s">
        <v>53</v>
      </c>
      <c r="F2055" s="5" t="s">
        <v>4738</v>
      </c>
      <c r="I2055" s="11">
        <v>2</v>
      </c>
      <c r="K2055" s="10" t="s">
        <v>46</v>
      </c>
      <c r="L2055" s="5" t="s">
        <v>228</v>
      </c>
      <c r="M2055" s="5" t="s">
        <v>4981</v>
      </c>
      <c r="N2055" s="5" t="s">
        <v>4982</v>
      </c>
      <c r="O2055" s="12"/>
      <c r="S2055" s="13">
        <v>7528</v>
      </c>
      <c r="U2055" s="13">
        <v>7528</v>
      </c>
      <c r="AC2055" s="10" t="s">
        <v>4964</v>
      </c>
      <c r="AD2055" s="5" t="s">
        <v>2073</v>
      </c>
      <c r="AE2055" s="5" t="s">
        <v>4713</v>
      </c>
    </row>
    <row r="2056" spans="1:31" ht="10" customHeight="1" x14ac:dyDescent="0.2">
      <c r="A2056" s="5" t="s">
        <v>4708</v>
      </c>
      <c r="B2056" s="5" t="s">
        <v>4709</v>
      </c>
      <c r="C2056" s="5" t="s">
        <v>4983</v>
      </c>
      <c r="D2056" s="5" t="s">
        <v>4984</v>
      </c>
      <c r="E2056" s="10" t="s">
        <v>53</v>
      </c>
      <c r="F2056" s="5" t="s">
        <v>4738</v>
      </c>
      <c r="I2056" s="11">
        <v>2</v>
      </c>
      <c r="K2056" s="10" t="s">
        <v>46</v>
      </c>
      <c r="L2056" s="5" t="s">
        <v>47</v>
      </c>
      <c r="M2056" s="5" t="s">
        <v>4855</v>
      </c>
      <c r="N2056" s="5" t="s">
        <v>4856</v>
      </c>
      <c r="O2056" s="12"/>
      <c r="S2056" s="13">
        <v>32346</v>
      </c>
      <c r="U2056" s="13">
        <v>32346</v>
      </c>
      <c r="AC2056" s="10" t="s">
        <v>4964</v>
      </c>
      <c r="AD2056" s="5" t="s">
        <v>2073</v>
      </c>
      <c r="AE2056" s="5" t="s">
        <v>4713</v>
      </c>
    </row>
    <row r="2057" spans="1:31" ht="10" customHeight="1" x14ac:dyDescent="0.2">
      <c r="A2057" s="5" t="s">
        <v>4708</v>
      </c>
      <c r="B2057" s="5" t="s">
        <v>4709</v>
      </c>
      <c r="C2057" s="5" t="s">
        <v>4985</v>
      </c>
      <c r="D2057" s="5" t="s">
        <v>4986</v>
      </c>
      <c r="E2057" s="10" t="s">
        <v>53</v>
      </c>
      <c r="F2057" s="5" t="s">
        <v>4739</v>
      </c>
      <c r="I2057" s="11">
        <v>2</v>
      </c>
      <c r="K2057" s="10" t="s">
        <v>46</v>
      </c>
      <c r="L2057" s="5" t="s">
        <v>228</v>
      </c>
      <c r="M2057" s="5" t="s">
        <v>4639</v>
      </c>
      <c r="N2057" s="5" t="s">
        <v>4640</v>
      </c>
      <c r="O2057" s="12"/>
      <c r="S2057" s="13">
        <v>18892</v>
      </c>
      <c r="U2057" s="13">
        <v>18892</v>
      </c>
      <c r="AC2057" s="10" t="s">
        <v>4964</v>
      </c>
      <c r="AD2057" s="5" t="s">
        <v>2073</v>
      </c>
      <c r="AE2057" s="5" t="s">
        <v>4713</v>
      </c>
    </row>
    <row r="2058" spans="1:31" ht="10" customHeight="1" x14ac:dyDescent="0.2">
      <c r="A2058" s="5" t="s">
        <v>4708</v>
      </c>
      <c r="B2058" s="5" t="s">
        <v>4709</v>
      </c>
      <c r="C2058" s="5" t="s">
        <v>4987</v>
      </c>
      <c r="D2058" s="5" t="s">
        <v>4988</v>
      </c>
      <c r="E2058" s="10" t="s">
        <v>53</v>
      </c>
      <c r="F2058" s="5" t="s">
        <v>4739</v>
      </c>
      <c r="I2058" s="11">
        <v>2</v>
      </c>
      <c r="K2058" s="10" t="s">
        <v>186</v>
      </c>
      <c r="L2058" s="5" t="s">
        <v>47</v>
      </c>
      <c r="M2058" s="5" t="s">
        <v>210</v>
      </c>
      <c r="N2058" s="5" t="s">
        <v>211</v>
      </c>
      <c r="O2058" s="12"/>
      <c r="S2058" s="13">
        <v>5757</v>
      </c>
      <c r="U2058" s="13">
        <v>5757</v>
      </c>
      <c r="AC2058" s="10" t="s">
        <v>4964</v>
      </c>
      <c r="AD2058" s="5" t="s">
        <v>2073</v>
      </c>
      <c r="AE2058" s="5" t="s">
        <v>4713</v>
      </c>
    </row>
    <row r="2059" spans="1:31" ht="10" customHeight="1" x14ac:dyDescent="0.2">
      <c r="A2059" s="5" t="s">
        <v>4708</v>
      </c>
      <c r="B2059" s="5" t="s">
        <v>4709</v>
      </c>
      <c r="C2059" s="5" t="s">
        <v>4989</v>
      </c>
      <c r="D2059" s="5" t="s">
        <v>4990</v>
      </c>
      <c r="E2059" s="10" t="s">
        <v>53</v>
      </c>
      <c r="F2059" s="5" t="s">
        <v>4738</v>
      </c>
      <c r="I2059" s="11">
        <v>2</v>
      </c>
      <c r="K2059" s="10" t="s">
        <v>186</v>
      </c>
      <c r="L2059" s="5" t="s">
        <v>47</v>
      </c>
      <c r="M2059" s="5" t="s">
        <v>210</v>
      </c>
      <c r="N2059" s="5" t="s">
        <v>211</v>
      </c>
      <c r="O2059" s="12"/>
      <c r="S2059" s="13">
        <v>5763</v>
      </c>
      <c r="U2059" s="13">
        <v>5763</v>
      </c>
      <c r="AC2059" s="10" t="s">
        <v>4964</v>
      </c>
      <c r="AD2059" s="5" t="s">
        <v>2073</v>
      </c>
      <c r="AE2059" s="5" t="s">
        <v>4713</v>
      </c>
    </row>
    <row r="2060" spans="1:31" ht="10" customHeight="1" x14ac:dyDescent="0.2">
      <c r="A2060" s="5" t="s">
        <v>4708</v>
      </c>
      <c r="B2060" s="5" t="s">
        <v>4709</v>
      </c>
      <c r="C2060" s="5" t="s">
        <v>4991</v>
      </c>
      <c r="D2060" s="5" t="s">
        <v>4992</v>
      </c>
      <c r="E2060" s="10" t="s">
        <v>53</v>
      </c>
      <c r="F2060" s="5" t="s">
        <v>4738</v>
      </c>
      <c r="I2060" s="11">
        <v>2</v>
      </c>
      <c r="K2060" s="10" t="s">
        <v>186</v>
      </c>
      <c r="L2060" s="5" t="s">
        <v>47</v>
      </c>
      <c r="M2060" s="5" t="s">
        <v>210</v>
      </c>
      <c r="N2060" s="5" t="s">
        <v>211</v>
      </c>
      <c r="O2060" s="12"/>
      <c r="S2060" s="13">
        <v>6131</v>
      </c>
      <c r="U2060" s="13">
        <v>6131</v>
      </c>
      <c r="AC2060" s="10" t="s">
        <v>4964</v>
      </c>
      <c r="AD2060" s="5" t="s">
        <v>2073</v>
      </c>
      <c r="AE2060" s="5" t="s">
        <v>4713</v>
      </c>
    </row>
    <row r="2061" spans="1:31" ht="10" customHeight="1" x14ac:dyDescent="0.2">
      <c r="A2061" s="5" t="s">
        <v>4708</v>
      </c>
      <c r="B2061" s="5" t="s">
        <v>4709</v>
      </c>
      <c r="C2061" s="5" t="s">
        <v>4993</v>
      </c>
      <c r="D2061" s="5" t="s">
        <v>4994</v>
      </c>
      <c r="E2061" s="10" t="s">
        <v>53</v>
      </c>
      <c r="F2061" s="5" t="s">
        <v>4738</v>
      </c>
      <c r="I2061" s="11">
        <v>2</v>
      </c>
      <c r="K2061" s="10" t="s">
        <v>186</v>
      </c>
      <c r="L2061" s="5" t="s">
        <v>47</v>
      </c>
      <c r="M2061" s="5" t="s">
        <v>210</v>
      </c>
      <c r="N2061" s="5" t="s">
        <v>211</v>
      </c>
      <c r="O2061" s="12"/>
      <c r="S2061" s="13">
        <v>9880</v>
      </c>
      <c r="U2061" s="13">
        <v>9880</v>
      </c>
      <c r="AC2061" s="10" t="s">
        <v>4964</v>
      </c>
      <c r="AD2061" s="5" t="s">
        <v>2073</v>
      </c>
      <c r="AE2061" s="5" t="s">
        <v>4713</v>
      </c>
    </row>
    <row r="2062" spans="1:31" ht="10" customHeight="1" x14ac:dyDescent="0.2">
      <c r="A2062" s="5" t="s">
        <v>4708</v>
      </c>
      <c r="B2062" s="5" t="s">
        <v>4709</v>
      </c>
      <c r="C2062" s="5" t="s">
        <v>4995</v>
      </c>
      <c r="D2062" s="5" t="s">
        <v>4996</v>
      </c>
      <c r="E2062" s="10" t="s">
        <v>53</v>
      </c>
      <c r="F2062" s="5" t="s">
        <v>4738</v>
      </c>
      <c r="I2062" s="11">
        <v>2</v>
      </c>
      <c r="K2062" s="10" t="s">
        <v>186</v>
      </c>
      <c r="L2062" s="5" t="s">
        <v>47</v>
      </c>
      <c r="M2062" s="5" t="s">
        <v>210</v>
      </c>
      <c r="N2062" s="5" t="s">
        <v>211</v>
      </c>
      <c r="O2062" s="12"/>
      <c r="S2062" s="13">
        <v>643</v>
      </c>
      <c r="U2062" s="13">
        <v>643</v>
      </c>
      <c r="AC2062" s="10" t="s">
        <v>4964</v>
      </c>
      <c r="AD2062" s="5" t="s">
        <v>2073</v>
      </c>
      <c r="AE2062" s="5" t="s">
        <v>4713</v>
      </c>
    </row>
    <row r="2063" spans="1:31" ht="10" customHeight="1" x14ac:dyDescent="0.2">
      <c r="A2063" s="5" t="s">
        <v>4708</v>
      </c>
      <c r="B2063" s="5" t="s">
        <v>4709</v>
      </c>
      <c r="C2063" s="5" t="s">
        <v>4997</v>
      </c>
      <c r="D2063" s="5" t="s">
        <v>4998</v>
      </c>
      <c r="E2063" s="10" t="s">
        <v>53</v>
      </c>
      <c r="F2063" s="5" t="s">
        <v>4739</v>
      </c>
      <c r="I2063" s="11">
        <v>2</v>
      </c>
      <c r="K2063" s="10" t="s">
        <v>186</v>
      </c>
      <c r="L2063" s="5" t="s">
        <v>228</v>
      </c>
      <c r="M2063" s="5" t="s">
        <v>229</v>
      </c>
      <c r="N2063" s="5" t="s">
        <v>230</v>
      </c>
      <c r="O2063" s="12"/>
      <c r="S2063" s="13">
        <v>19856</v>
      </c>
      <c r="U2063" s="13">
        <v>19856</v>
      </c>
      <c r="AC2063" s="10" t="s">
        <v>4964</v>
      </c>
      <c r="AD2063" s="5" t="s">
        <v>2073</v>
      </c>
      <c r="AE2063" s="5" t="s">
        <v>4713</v>
      </c>
    </row>
    <row r="2064" spans="1:31" ht="10" customHeight="1" x14ac:dyDescent="0.2">
      <c r="A2064" s="5" t="s">
        <v>4708</v>
      </c>
      <c r="B2064" s="5" t="s">
        <v>4709</v>
      </c>
      <c r="C2064" s="5" t="s">
        <v>4999</v>
      </c>
      <c r="D2064" s="5" t="s">
        <v>5000</v>
      </c>
      <c r="E2064" s="10" t="s">
        <v>53</v>
      </c>
      <c r="F2064" s="5" t="s">
        <v>4739</v>
      </c>
      <c r="I2064" s="11">
        <v>2</v>
      </c>
      <c r="K2064" s="10" t="s">
        <v>186</v>
      </c>
      <c r="L2064" s="5" t="s">
        <v>228</v>
      </c>
      <c r="M2064" s="5" t="s">
        <v>229</v>
      </c>
      <c r="N2064" s="5" t="s">
        <v>230</v>
      </c>
      <c r="O2064" s="12"/>
      <c r="S2064" s="13">
        <v>1779</v>
      </c>
      <c r="U2064" s="13">
        <v>1779</v>
      </c>
      <c r="AC2064" s="10" t="s">
        <v>4964</v>
      </c>
      <c r="AD2064" s="5" t="s">
        <v>2073</v>
      </c>
      <c r="AE2064" s="5" t="s">
        <v>4713</v>
      </c>
    </row>
    <row r="2065" spans="1:31" ht="10" customHeight="1" x14ac:dyDescent="0.2">
      <c r="A2065" s="5" t="s">
        <v>4708</v>
      </c>
      <c r="B2065" s="5" t="s">
        <v>4709</v>
      </c>
      <c r="C2065" s="5" t="s">
        <v>5001</v>
      </c>
      <c r="D2065" s="5" t="s">
        <v>5002</v>
      </c>
      <c r="E2065" s="10" t="s">
        <v>53</v>
      </c>
      <c r="F2065" s="5" t="s">
        <v>4738</v>
      </c>
      <c r="I2065" s="11">
        <v>2</v>
      </c>
      <c r="K2065" s="10" t="s">
        <v>186</v>
      </c>
      <c r="L2065" s="5" t="s">
        <v>228</v>
      </c>
      <c r="M2065" s="5" t="s">
        <v>229</v>
      </c>
      <c r="N2065" s="5" t="s">
        <v>230</v>
      </c>
      <c r="O2065" s="12"/>
      <c r="S2065" s="13">
        <v>5063</v>
      </c>
      <c r="U2065" s="13">
        <v>5063</v>
      </c>
      <c r="AC2065" s="10" t="s">
        <v>4964</v>
      </c>
      <c r="AD2065" s="5" t="s">
        <v>2073</v>
      </c>
      <c r="AE2065" s="5" t="s">
        <v>4713</v>
      </c>
    </row>
    <row r="2066" spans="1:31" ht="10" customHeight="1" x14ac:dyDescent="0.2">
      <c r="A2066" s="5" t="s">
        <v>4708</v>
      </c>
      <c r="B2066" s="5" t="s">
        <v>4709</v>
      </c>
      <c r="C2066" s="5" t="s">
        <v>5003</v>
      </c>
      <c r="D2066" s="5" t="s">
        <v>5004</v>
      </c>
      <c r="E2066" s="10" t="s">
        <v>53</v>
      </c>
      <c r="F2066" s="5" t="s">
        <v>4738</v>
      </c>
      <c r="I2066" s="11">
        <v>2</v>
      </c>
      <c r="K2066" s="10" t="s">
        <v>186</v>
      </c>
      <c r="L2066" s="5" t="s">
        <v>228</v>
      </c>
      <c r="M2066" s="5" t="s">
        <v>229</v>
      </c>
      <c r="N2066" s="5" t="s">
        <v>230</v>
      </c>
      <c r="O2066" s="12"/>
      <c r="S2066" s="13">
        <v>1038</v>
      </c>
      <c r="U2066" s="13">
        <v>1038</v>
      </c>
      <c r="AC2066" s="10" t="s">
        <v>4964</v>
      </c>
      <c r="AD2066" s="5" t="s">
        <v>2073</v>
      </c>
      <c r="AE2066" s="5" t="s">
        <v>4713</v>
      </c>
    </row>
    <row r="2067" spans="1:31" ht="10" customHeight="1" x14ac:dyDescent="0.2">
      <c r="A2067" s="5" t="s">
        <v>4708</v>
      </c>
      <c r="B2067" s="5" t="s">
        <v>4709</v>
      </c>
      <c r="C2067" s="5" t="s">
        <v>5005</v>
      </c>
      <c r="D2067" s="5" t="s">
        <v>5006</v>
      </c>
      <c r="E2067" s="10" t="s">
        <v>53</v>
      </c>
      <c r="F2067" s="5" t="s">
        <v>4739</v>
      </c>
      <c r="I2067" s="11">
        <v>2</v>
      </c>
      <c r="K2067" s="10" t="s">
        <v>186</v>
      </c>
      <c r="L2067" s="5" t="s">
        <v>228</v>
      </c>
      <c r="M2067" s="5" t="s">
        <v>229</v>
      </c>
      <c r="N2067" s="5" t="s">
        <v>230</v>
      </c>
      <c r="O2067" s="12"/>
      <c r="S2067" s="13">
        <v>955</v>
      </c>
      <c r="U2067" s="13">
        <v>955</v>
      </c>
      <c r="AC2067" s="10" t="s">
        <v>4964</v>
      </c>
      <c r="AD2067" s="5" t="s">
        <v>2073</v>
      </c>
      <c r="AE2067" s="5" t="s">
        <v>4713</v>
      </c>
    </row>
    <row r="2068" spans="1:31" ht="10" customHeight="1" x14ac:dyDescent="0.2">
      <c r="A2068" s="5" t="s">
        <v>4708</v>
      </c>
      <c r="B2068" s="5" t="s">
        <v>4709</v>
      </c>
      <c r="C2068" s="5" t="s">
        <v>5007</v>
      </c>
      <c r="D2068" s="5" t="s">
        <v>5008</v>
      </c>
      <c r="E2068" s="10" t="s">
        <v>53</v>
      </c>
      <c r="F2068" s="5" t="s">
        <v>4738</v>
      </c>
      <c r="I2068" s="11">
        <v>2</v>
      </c>
      <c r="K2068" s="10" t="s">
        <v>186</v>
      </c>
      <c r="L2068" s="5" t="s">
        <v>228</v>
      </c>
      <c r="M2068" s="5" t="s">
        <v>229</v>
      </c>
      <c r="N2068" s="5" t="s">
        <v>230</v>
      </c>
      <c r="O2068" s="12"/>
      <c r="S2068" s="13">
        <v>3464</v>
      </c>
      <c r="U2068" s="13">
        <v>3464</v>
      </c>
      <c r="AC2068" s="10" t="s">
        <v>4964</v>
      </c>
      <c r="AD2068" s="5" t="s">
        <v>2073</v>
      </c>
      <c r="AE2068" s="5" t="s">
        <v>4713</v>
      </c>
    </row>
    <row r="2069" spans="1:31" ht="10" customHeight="1" x14ac:dyDescent="0.2">
      <c r="A2069" s="5" t="s">
        <v>4708</v>
      </c>
      <c r="B2069" s="5" t="s">
        <v>4709</v>
      </c>
      <c r="C2069" s="5" t="s">
        <v>5009</v>
      </c>
      <c r="D2069" s="5" t="s">
        <v>5010</v>
      </c>
      <c r="E2069" s="10" t="s">
        <v>53</v>
      </c>
      <c r="F2069" s="5" t="s">
        <v>4738</v>
      </c>
      <c r="I2069" s="11">
        <v>2</v>
      </c>
      <c r="K2069" s="10" t="s">
        <v>186</v>
      </c>
      <c r="L2069" s="5" t="s">
        <v>228</v>
      </c>
      <c r="M2069" s="5" t="s">
        <v>229</v>
      </c>
      <c r="N2069" s="5" t="s">
        <v>230</v>
      </c>
      <c r="O2069" s="12"/>
      <c r="S2069" s="13">
        <v>1617</v>
      </c>
      <c r="U2069" s="13">
        <v>1617</v>
      </c>
      <c r="AC2069" s="10" t="s">
        <v>4964</v>
      </c>
      <c r="AD2069" s="5" t="s">
        <v>2073</v>
      </c>
      <c r="AE2069" s="5" t="s">
        <v>4713</v>
      </c>
    </row>
    <row r="2070" spans="1:31" ht="10" customHeight="1" x14ac:dyDescent="0.2">
      <c r="A2070" s="5" t="s">
        <v>4708</v>
      </c>
      <c r="B2070" s="5" t="s">
        <v>4709</v>
      </c>
      <c r="C2070" s="5" t="s">
        <v>5011</v>
      </c>
      <c r="D2070" s="5" t="s">
        <v>5012</v>
      </c>
      <c r="E2070" s="10" t="s">
        <v>53</v>
      </c>
      <c r="F2070" s="5" t="s">
        <v>4739</v>
      </c>
      <c r="I2070" s="11">
        <v>2</v>
      </c>
      <c r="K2070" s="10" t="s">
        <v>186</v>
      </c>
      <c r="L2070" s="5" t="s">
        <v>228</v>
      </c>
      <c r="M2070" s="5" t="s">
        <v>229</v>
      </c>
      <c r="N2070" s="5" t="s">
        <v>230</v>
      </c>
      <c r="O2070" s="12"/>
      <c r="S2070" s="13">
        <v>808</v>
      </c>
      <c r="U2070" s="13">
        <v>808</v>
      </c>
      <c r="AC2070" s="10" t="s">
        <v>4964</v>
      </c>
      <c r="AD2070" s="5" t="s">
        <v>2081</v>
      </c>
      <c r="AE2070" s="5" t="s">
        <v>4713</v>
      </c>
    </row>
    <row r="2071" spans="1:31" ht="10" customHeight="1" x14ac:dyDescent="0.2">
      <c r="A2071" s="5" t="s">
        <v>4708</v>
      </c>
      <c r="B2071" s="5" t="s">
        <v>4709</v>
      </c>
      <c r="C2071" s="5" t="s">
        <v>5013</v>
      </c>
      <c r="D2071" s="5" t="s">
        <v>5014</v>
      </c>
      <c r="E2071" s="10" t="s">
        <v>53</v>
      </c>
      <c r="F2071" s="5" t="s">
        <v>4738</v>
      </c>
      <c r="I2071" s="11">
        <v>2</v>
      </c>
      <c r="K2071" s="10" t="s">
        <v>46</v>
      </c>
      <c r="L2071" s="5" t="s">
        <v>228</v>
      </c>
      <c r="M2071" s="5" t="s">
        <v>5015</v>
      </c>
      <c r="N2071" s="5" t="s">
        <v>5016</v>
      </c>
      <c r="O2071" s="12"/>
      <c r="S2071" s="13">
        <v>7358</v>
      </c>
      <c r="U2071" s="13">
        <v>7358</v>
      </c>
      <c r="AC2071" s="10" t="s">
        <v>4964</v>
      </c>
      <c r="AD2071" s="5" t="s">
        <v>2081</v>
      </c>
      <c r="AE2071" s="5" t="s">
        <v>4713</v>
      </c>
    </row>
    <row r="2072" spans="1:31" ht="10" customHeight="1" x14ac:dyDescent="0.2">
      <c r="A2072" s="5" t="s">
        <v>4708</v>
      </c>
      <c r="B2072" s="5" t="s">
        <v>4709</v>
      </c>
      <c r="C2072" s="5" t="s">
        <v>5017</v>
      </c>
      <c r="D2072" s="5" t="s">
        <v>5018</v>
      </c>
      <c r="E2072" s="10" t="s">
        <v>53</v>
      </c>
      <c r="F2072" s="5" t="s">
        <v>4739</v>
      </c>
      <c r="I2072" s="11">
        <v>2</v>
      </c>
      <c r="K2072" s="10" t="s">
        <v>46</v>
      </c>
      <c r="L2072" s="5" t="s">
        <v>228</v>
      </c>
      <c r="M2072" s="5" t="s">
        <v>5015</v>
      </c>
      <c r="N2072" s="5" t="s">
        <v>5016</v>
      </c>
      <c r="O2072" s="12"/>
      <c r="S2072" s="13">
        <v>7358</v>
      </c>
      <c r="U2072" s="13">
        <v>7358</v>
      </c>
      <c r="AC2072" s="10" t="s">
        <v>4964</v>
      </c>
      <c r="AD2072" s="5" t="s">
        <v>2081</v>
      </c>
      <c r="AE2072" s="5" t="s">
        <v>4713</v>
      </c>
    </row>
    <row r="2073" spans="1:31" ht="10" customHeight="1" x14ac:dyDescent="0.2">
      <c r="A2073" s="5" t="s">
        <v>4708</v>
      </c>
      <c r="B2073" s="5" t="s">
        <v>4709</v>
      </c>
      <c r="C2073" s="5" t="s">
        <v>5019</v>
      </c>
      <c r="D2073" s="5" t="s">
        <v>5020</v>
      </c>
      <c r="E2073" s="10" t="s">
        <v>53</v>
      </c>
      <c r="F2073" s="5" t="s">
        <v>4739</v>
      </c>
      <c r="I2073" s="11">
        <v>2</v>
      </c>
      <c r="K2073" s="10" t="s">
        <v>46</v>
      </c>
      <c r="L2073" s="5" t="s">
        <v>228</v>
      </c>
      <c r="M2073" s="5" t="s">
        <v>5015</v>
      </c>
      <c r="N2073" s="5" t="s">
        <v>5016</v>
      </c>
      <c r="O2073" s="12"/>
      <c r="S2073" s="13">
        <v>9175</v>
      </c>
      <c r="U2073" s="13">
        <v>9175</v>
      </c>
      <c r="AC2073" s="10" t="s">
        <v>4964</v>
      </c>
      <c r="AD2073" s="5" t="s">
        <v>2081</v>
      </c>
      <c r="AE2073" s="5" t="s">
        <v>4713</v>
      </c>
    </row>
    <row r="2074" spans="1:31" ht="10" customHeight="1" x14ac:dyDescent="0.2">
      <c r="A2074" s="5" t="s">
        <v>4708</v>
      </c>
      <c r="B2074" s="5" t="s">
        <v>4709</v>
      </c>
      <c r="C2074" s="5" t="s">
        <v>5021</v>
      </c>
      <c r="D2074" s="5" t="s">
        <v>5022</v>
      </c>
      <c r="E2074" s="10" t="s">
        <v>53</v>
      </c>
      <c r="F2074" s="5" t="s">
        <v>4736</v>
      </c>
      <c r="I2074" s="11">
        <v>2</v>
      </c>
      <c r="K2074" s="10" t="s">
        <v>46</v>
      </c>
      <c r="L2074" s="5" t="s">
        <v>228</v>
      </c>
      <c r="M2074" s="5" t="s">
        <v>5015</v>
      </c>
      <c r="N2074" s="5" t="s">
        <v>5016</v>
      </c>
      <c r="O2074" s="12"/>
      <c r="S2074" s="13">
        <v>9175</v>
      </c>
      <c r="U2074" s="13">
        <v>9175</v>
      </c>
      <c r="AC2074" s="10" t="s">
        <v>4964</v>
      </c>
      <c r="AD2074" s="5" t="s">
        <v>2081</v>
      </c>
      <c r="AE2074" s="5" t="s">
        <v>4713</v>
      </c>
    </row>
    <row r="2075" spans="1:31" ht="10" customHeight="1" x14ac:dyDescent="0.2">
      <c r="A2075" s="5" t="s">
        <v>4708</v>
      </c>
      <c r="B2075" s="5" t="s">
        <v>4709</v>
      </c>
      <c r="C2075" s="5" t="s">
        <v>5023</v>
      </c>
      <c r="D2075" s="5" t="s">
        <v>5024</v>
      </c>
      <c r="E2075" s="10" t="s">
        <v>53</v>
      </c>
      <c r="F2075" s="5" t="s">
        <v>4738</v>
      </c>
      <c r="I2075" s="11">
        <v>2</v>
      </c>
      <c r="K2075" s="10" t="s">
        <v>186</v>
      </c>
      <c r="L2075" s="5" t="s">
        <v>228</v>
      </c>
      <c r="M2075" s="5" t="s">
        <v>5025</v>
      </c>
      <c r="N2075" s="5" t="s">
        <v>5026</v>
      </c>
      <c r="O2075" s="12"/>
      <c r="S2075" s="13">
        <v>49265</v>
      </c>
      <c r="U2075" s="13">
        <v>49265</v>
      </c>
      <c r="AC2075" s="10" t="s">
        <v>4964</v>
      </c>
      <c r="AD2075" s="5" t="s">
        <v>2081</v>
      </c>
      <c r="AE2075" s="5" t="s">
        <v>4713</v>
      </c>
    </row>
    <row r="2076" spans="1:31" ht="10" customHeight="1" x14ac:dyDescent="0.2">
      <c r="A2076" s="5" t="s">
        <v>4708</v>
      </c>
      <c r="B2076" s="5" t="s">
        <v>4709</v>
      </c>
      <c r="C2076" s="5" t="s">
        <v>5027</v>
      </c>
      <c r="D2076" s="5" t="s">
        <v>5028</v>
      </c>
      <c r="E2076" s="10" t="s">
        <v>53</v>
      </c>
      <c r="F2076" s="5" t="s">
        <v>4736</v>
      </c>
      <c r="I2076" s="11">
        <v>2</v>
      </c>
      <c r="K2076" s="10" t="s">
        <v>186</v>
      </c>
      <c r="L2076" s="5" t="s">
        <v>228</v>
      </c>
      <c r="M2076" s="5" t="s">
        <v>5025</v>
      </c>
      <c r="N2076" s="5" t="s">
        <v>5026</v>
      </c>
      <c r="O2076" s="12"/>
      <c r="S2076" s="13">
        <v>17141</v>
      </c>
      <c r="U2076" s="13">
        <v>17141</v>
      </c>
      <c r="AC2076" s="10" t="s">
        <v>4964</v>
      </c>
      <c r="AD2076" s="5" t="s">
        <v>2081</v>
      </c>
      <c r="AE2076" s="5" t="s">
        <v>4713</v>
      </c>
    </row>
    <row r="2077" spans="1:31" ht="10" customHeight="1" x14ac:dyDescent="0.2">
      <c r="A2077" s="5" t="s">
        <v>4708</v>
      </c>
      <c r="B2077" s="5" t="s">
        <v>4709</v>
      </c>
      <c r="C2077" s="5" t="s">
        <v>5029</v>
      </c>
      <c r="D2077" s="5" t="s">
        <v>5030</v>
      </c>
      <c r="E2077" s="10" t="s">
        <v>53</v>
      </c>
      <c r="F2077" s="5" t="s">
        <v>4738</v>
      </c>
      <c r="I2077" s="11">
        <v>2</v>
      </c>
      <c r="K2077" s="10" t="s">
        <v>186</v>
      </c>
      <c r="L2077" s="5" t="s">
        <v>47</v>
      </c>
      <c r="M2077" s="5" t="s">
        <v>198</v>
      </c>
      <c r="N2077" s="5" t="s">
        <v>5031</v>
      </c>
      <c r="O2077" s="12"/>
      <c r="S2077" s="13">
        <v>27595</v>
      </c>
      <c r="U2077" s="13">
        <v>27595</v>
      </c>
      <c r="AC2077" s="10" t="s">
        <v>4964</v>
      </c>
      <c r="AD2077" s="5" t="s">
        <v>2081</v>
      </c>
      <c r="AE2077" s="5" t="s">
        <v>4713</v>
      </c>
    </row>
    <row r="2078" spans="1:31" ht="10" customHeight="1" x14ac:dyDescent="0.2">
      <c r="A2078" s="5" t="s">
        <v>4708</v>
      </c>
      <c r="B2078" s="5" t="s">
        <v>4709</v>
      </c>
      <c r="C2078" s="5" t="s">
        <v>5032</v>
      </c>
      <c r="D2078" s="5" t="s">
        <v>5033</v>
      </c>
      <c r="E2078" s="10" t="s">
        <v>53</v>
      </c>
      <c r="F2078" s="5" t="s">
        <v>4738</v>
      </c>
      <c r="I2078" s="11">
        <v>2</v>
      </c>
      <c r="K2078" s="10" t="s">
        <v>186</v>
      </c>
      <c r="L2078" s="5" t="s">
        <v>47</v>
      </c>
      <c r="M2078" s="5" t="s">
        <v>198</v>
      </c>
      <c r="N2078" s="5" t="s">
        <v>5031</v>
      </c>
      <c r="O2078" s="12"/>
      <c r="S2078" s="13">
        <v>17622</v>
      </c>
      <c r="U2078" s="13">
        <v>17622</v>
      </c>
      <c r="AC2078" s="10" t="s">
        <v>4964</v>
      </c>
      <c r="AD2078" s="5" t="s">
        <v>2081</v>
      </c>
      <c r="AE2078" s="5" t="s">
        <v>4713</v>
      </c>
    </row>
    <row r="2079" spans="1:31" ht="10" customHeight="1" x14ac:dyDescent="0.2">
      <c r="A2079" s="5" t="s">
        <v>4708</v>
      </c>
      <c r="B2079" s="5" t="s">
        <v>4709</v>
      </c>
      <c r="C2079" s="5" t="s">
        <v>5034</v>
      </c>
      <c r="D2079" s="5" t="s">
        <v>5035</v>
      </c>
      <c r="E2079" s="10" t="s">
        <v>53</v>
      </c>
      <c r="F2079" s="5" t="s">
        <v>4738</v>
      </c>
      <c r="I2079" s="11">
        <v>2</v>
      </c>
      <c r="K2079" s="10" t="s">
        <v>186</v>
      </c>
      <c r="L2079" s="5" t="s">
        <v>47</v>
      </c>
      <c r="M2079" s="5" t="s">
        <v>198</v>
      </c>
      <c r="N2079" s="5" t="s">
        <v>5031</v>
      </c>
      <c r="O2079" s="12"/>
      <c r="S2079" s="13">
        <v>34203</v>
      </c>
      <c r="U2079" s="13">
        <v>34203</v>
      </c>
      <c r="AC2079" s="10" t="s">
        <v>4964</v>
      </c>
      <c r="AD2079" s="5" t="s">
        <v>2081</v>
      </c>
      <c r="AE2079" s="5" t="s">
        <v>4713</v>
      </c>
    </row>
    <row r="2080" spans="1:31" ht="10" customHeight="1" x14ac:dyDescent="0.2">
      <c r="A2080" s="5" t="s">
        <v>4708</v>
      </c>
      <c r="B2080" s="5" t="s">
        <v>4709</v>
      </c>
      <c r="C2080" s="5" t="s">
        <v>5036</v>
      </c>
      <c r="D2080" s="5" t="s">
        <v>5037</v>
      </c>
      <c r="E2080" s="10" t="s">
        <v>53</v>
      </c>
      <c r="F2080" s="5" t="s">
        <v>4738</v>
      </c>
      <c r="I2080" s="11">
        <v>2</v>
      </c>
      <c r="K2080" s="10" t="s">
        <v>186</v>
      </c>
      <c r="L2080" s="5" t="s">
        <v>47</v>
      </c>
      <c r="M2080" s="5" t="s">
        <v>198</v>
      </c>
      <c r="N2080" s="5" t="s">
        <v>5031</v>
      </c>
      <c r="O2080" s="12"/>
      <c r="S2080" s="13">
        <v>30203</v>
      </c>
      <c r="U2080" s="13">
        <v>30203</v>
      </c>
      <c r="AC2080" s="10" t="s">
        <v>4964</v>
      </c>
      <c r="AD2080" s="5" t="s">
        <v>2081</v>
      </c>
      <c r="AE2080" s="5" t="s">
        <v>4713</v>
      </c>
    </row>
    <row r="2081" spans="1:31" ht="10" customHeight="1" x14ac:dyDescent="0.2">
      <c r="A2081" s="5" t="s">
        <v>4708</v>
      </c>
      <c r="B2081" s="5" t="s">
        <v>4709</v>
      </c>
      <c r="C2081" s="5" t="s">
        <v>5038</v>
      </c>
      <c r="D2081" s="5" t="s">
        <v>5039</v>
      </c>
      <c r="E2081" s="10" t="s">
        <v>53</v>
      </c>
      <c r="F2081" s="5" t="s">
        <v>4738</v>
      </c>
      <c r="I2081" s="11">
        <v>2</v>
      </c>
      <c r="K2081" s="10" t="s">
        <v>186</v>
      </c>
      <c r="L2081" s="5" t="s">
        <v>47</v>
      </c>
      <c r="M2081" s="5" t="s">
        <v>198</v>
      </c>
      <c r="N2081" s="5" t="s">
        <v>5031</v>
      </c>
      <c r="O2081" s="12"/>
      <c r="S2081" s="13">
        <v>40255</v>
      </c>
      <c r="U2081" s="13">
        <v>40255</v>
      </c>
      <c r="AC2081" s="10" t="s">
        <v>4964</v>
      </c>
      <c r="AD2081" s="5" t="s">
        <v>2081</v>
      </c>
      <c r="AE2081" s="5" t="s">
        <v>4713</v>
      </c>
    </row>
    <row r="2082" spans="1:31" ht="10" customHeight="1" x14ac:dyDescent="0.2">
      <c r="A2082" s="5" t="s">
        <v>4708</v>
      </c>
      <c r="B2082" s="5" t="s">
        <v>4709</v>
      </c>
      <c r="C2082" s="5" t="s">
        <v>5040</v>
      </c>
      <c r="D2082" s="5" t="s">
        <v>5041</v>
      </c>
      <c r="E2082" s="10" t="s">
        <v>53</v>
      </c>
      <c r="F2082" s="5" t="s">
        <v>4738</v>
      </c>
      <c r="I2082" s="11">
        <v>2</v>
      </c>
      <c r="K2082" s="10" t="s">
        <v>186</v>
      </c>
      <c r="L2082" s="5" t="s">
        <v>47</v>
      </c>
      <c r="M2082" s="5" t="s">
        <v>198</v>
      </c>
      <c r="N2082" s="5" t="s">
        <v>5031</v>
      </c>
      <c r="O2082" s="12"/>
      <c r="S2082" s="13">
        <v>20787</v>
      </c>
      <c r="U2082" s="13">
        <v>20787</v>
      </c>
      <c r="AC2082" s="10" t="s">
        <v>4964</v>
      </c>
      <c r="AD2082" s="5" t="s">
        <v>2081</v>
      </c>
      <c r="AE2082" s="5" t="s">
        <v>4713</v>
      </c>
    </row>
    <row r="2083" spans="1:31" ht="10" customHeight="1" x14ac:dyDescent="0.2">
      <c r="A2083" s="5" t="s">
        <v>4708</v>
      </c>
      <c r="B2083" s="5" t="s">
        <v>4709</v>
      </c>
      <c r="C2083" s="5" t="s">
        <v>5042</v>
      </c>
      <c r="D2083" s="5" t="s">
        <v>5043</v>
      </c>
      <c r="E2083" s="10" t="s">
        <v>53</v>
      </c>
      <c r="F2083" s="5" t="s">
        <v>4739</v>
      </c>
      <c r="I2083" s="11">
        <v>2</v>
      </c>
      <c r="K2083" s="10" t="s">
        <v>186</v>
      </c>
      <c r="L2083" s="5" t="s">
        <v>47</v>
      </c>
      <c r="M2083" s="5" t="s">
        <v>198</v>
      </c>
      <c r="N2083" s="5" t="s">
        <v>5031</v>
      </c>
      <c r="O2083" s="12"/>
      <c r="S2083" s="13">
        <v>13288</v>
      </c>
      <c r="U2083" s="13">
        <v>13288</v>
      </c>
      <c r="AC2083" s="10" t="s">
        <v>4964</v>
      </c>
      <c r="AD2083" s="5" t="s">
        <v>2089</v>
      </c>
      <c r="AE2083" s="5" t="s">
        <v>4713</v>
      </c>
    </row>
    <row r="2084" spans="1:31" ht="10" customHeight="1" x14ac:dyDescent="0.2">
      <c r="A2084" s="5" t="s">
        <v>4708</v>
      </c>
      <c r="B2084" s="5" t="s">
        <v>4709</v>
      </c>
      <c r="C2084" s="5" t="s">
        <v>5044</v>
      </c>
      <c r="D2084" s="5" t="s">
        <v>5045</v>
      </c>
      <c r="E2084" s="10" t="s">
        <v>53</v>
      </c>
      <c r="F2084" s="5" t="s">
        <v>4738</v>
      </c>
      <c r="I2084" s="11">
        <v>2</v>
      </c>
      <c r="K2084" s="10" t="s">
        <v>186</v>
      </c>
      <c r="L2084" s="5" t="s">
        <v>47</v>
      </c>
      <c r="M2084" s="5" t="s">
        <v>198</v>
      </c>
      <c r="N2084" s="5" t="s">
        <v>5031</v>
      </c>
      <c r="O2084" s="12"/>
      <c r="S2084" s="13">
        <v>17623</v>
      </c>
      <c r="U2084" s="13">
        <v>17623</v>
      </c>
      <c r="AC2084" s="10" t="s">
        <v>4964</v>
      </c>
      <c r="AD2084" s="5" t="s">
        <v>2089</v>
      </c>
      <c r="AE2084" s="5" t="s">
        <v>4713</v>
      </c>
    </row>
    <row r="2085" spans="1:31" ht="10" customHeight="1" x14ac:dyDescent="0.2">
      <c r="A2085" s="5" t="s">
        <v>4708</v>
      </c>
      <c r="B2085" s="5" t="s">
        <v>4709</v>
      </c>
      <c r="C2085" s="5" t="s">
        <v>5046</v>
      </c>
      <c r="D2085" s="5" t="s">
        <v>5047</v>
      </c>
      <c r="E2085" s="10" t="s">
        <v>53</v>
      </c>
      <c r="F2085" s="5" t="s">
        <v>4738</v>
      </c>
      <c r="I2085" s="11">
        <v>2</v>
      </c>
      <c r="K2085" s="10" t="s">
        <v>186</v>
      </c>
      <c r="L2085" s="5" t="s">
        <v>47</v>
      </c>
      <c r="M2085" s="5" t="s">
        <v>198</v>
      </c>
      <c r="N2085" s="5" t="s">
        <v>5031</v>
      </c>
      <c r="O2085" s="12"/>
      <c r="S2085" s="13">
        <v>23768</v>
      </c>
      <c r="U2085" s="13">
        <v>23768</v>
      </c>
      <c r="AC2085" s="10" t="s">
        <v>4964</v>
      </c>
      <c r="AD2085" s="5" t="s">
        <v>2089</v>
      </c>
      <c r="AE2085" s="5" t="s">
        <v>4713</v>
      </c>
    </row>
    <row r="2086" spans="1:31" ht="10" customHeight="1" x14ac:dyDescent="0.2">
      <c r="A2086" s="5" t="s">
        <v>4708</v>
      </c>
      <c r="B2086" s="5" t="s">
        <v>4709</v>
      </c>
      <c r="C2086" s="5" t="s">
        <v>5048</v>
      </c>
      <c r="D2086" s="5" t="s">
        <v>5049</v>
      </c>
      <c r="E2086" s="10" t="s">
        <v>53</v>
      </c>
      <c r="F2086" s="5" t="s">
        <v>4738</v>
      </c>
      <c r="I2086" s="11">
        <v>2</v>
      </c>
      <c r="K2086" s="10" t="s">
        <v>186</v>
      </c>
      <c r="L2086" s="5" t="s">
        <v>47</v>
      </c>
      <c r="M2086" s="5" t="s">
        <v>198</v>
      </c>
      <c r="N2086" s="5" t="s">
        <v>5031</v>
      </c>
      <c r="O2086" s="12"/>
      <c r="S2086" s="13">
        <v>23768</v>
      </c>
      <c r="U2086" s="13">
        <v>23768</v>
      </c>
      <c r="AC2086" s="10" t="s">
        <v>4964</v>
      </c>
      <c r="AD2086" s="5" t="s">
        <v>2089</v>
      </c>
      <c r="AE2086" s="5" t="s">
        <v>4713</v>
      </c>
    </row>
    <row r="2087" spans="1:31" ht="10" customHeight="1" x14ac:dyDescent="0.2">
      <c r="A2087" s="5" t="s">
        <v>4708</v>
      </c>
      <c r="B2087" s="5" t="s">
        <v>4709</v>
      </c>
      <c r="C2087" s="5" t="s">
        <v>5050</v>
      </c>
      <c r="D2087" s="5" t="s">
        <v>5051</v>
      </c>
      <c r="E2087" s="10" t="s">
        <v>53</v>
      </c>
      <c r="F2087" s="5" t="s">
        <v>4736</v>
      </c>
      <c r="I2087" s="11">
        <v>2</v>
      </c>
      <c r="K2087" s="10" t="s">
        <v>186</v>
      </c>
      <c r="L2087" s="5" t="s">
        <v>47</v>
      </c>
      <c r="M2087" s="5" t="s">
        <v>198</v>
      </c>
      <c r="N2087" s="5" t="s">
        <v>5031</v>
      </c>
      <c r="O2087" s="12"/>
      <c r="S2087" s="13">
        <v>16965</v>
      </c>
      <c r="U2087" s="13">
        <v>16965</v>
      </c>
      <c r="AC2087" s="10" t="s">
        <v>4964</v>
      </c>
      <c r="AD2087" s="5" t="s">
        <v>2089</v>
      </c>
      <c r="AE2087" s="5" t="s">
        <v>4713</v>
      </c>
    </row>
    <row r="2088" spans="1:31" ht="10" customHeight="1" x14ac:dyDescent="0.2">
      <c r="A2088" s="5" t="s">
        <v>4708</v>
      </c>
      <c r="B2088" s="5" t="s">
        <v>4709</v>
      </c>
      <c r="C2088" s="5" t="s">
        <v>5052</v>
      </c>
      <c r="D2088" s="5" t="s">
        <v>5053</v>
      </c>
      <c r="E2088" s="10" t="s">
        <v>53</v>
      </c>
      <c r="F2088" s="5" t="s">
        <v>4736</v>
      </c>
      <c r="I2088" s="11">
        <v>2</v>
      </c>
      <c r="K2088" s="10" t="s">
        <v>186</v>
      </c>
      <c r="L2088" s="5" t="s">
        <v>47</v>
      </c>
      <c r="M2088" s="5" t="s">
        <v>198</v>
      </c>
      <c r="N2088" s="5" t="s">
        <v>5031</v>
      </c>
      <c r="O2088" s="12"/>
      <c r="S2088" s="13">
        <v>18523</v>
      </c>
      <c r="U2088" s="13">
        <v>18523</v>
      </c>
      <c r="AC2088" s="10" t="s">
        <v>4964</v>
      </c>
      <c r="AD2088" s="5" t="s">
        <v>2089</v>
      </c>
      <c r="AE2088" s="5" t="s">
        <v>4713</v>
      </c>
    </row>
    <row r="2089" spans="1:31" ht="10" customHeight="1" x14ac:dyDescent="0.2">
      <c r="A2089" s="5" t="s">
        <v>4708</v>
      </c>
      <c r="B2089" s="5" t="s">
        <v>4709</v>
      </c>
      <c r="C2089" s="5" t="s">
        <v>5054</v>
      </c>
      <c r="D2089" s="5" t="s">
        <v>5055</v>
      </c>
      <c r="E2089" s="10" t="s">
        <v>53</v>
      </c>
      <c r="F2089" s="5" t="s">
        <v>4736</v>
      </c>
      <c r="I2089" s="11">
        <v>2</v>
      </c>
      <c r="K2089" s="10" t="s">
        <v>186</v>
      </c>
      <c r="L2089" s="5" t="s">
        <v>47</v>
      </c>
      <c r="M2089" s="5" t="s">
        <v>198</v>
      </c>
      <c r="N2089" s="5" t="s">
        <v>5031</v>
      </c>
      <c r="O2089" s="12"/>
      <c r="S2089" s="13">
        <v>16965</v>
      </c>
      <c r="U2089" s="13">
        <v>16965</v>
      </c>
      <c r="AC2089" s="10" t="s">
        <v>4964</v>
      </c>
      <c r="AD2089" s="5" t="s">
        <v>2089</v>
      </c>
      <c r="AE2089" s="5" t="s">
        <v>4713</v>
      </c>
    </row>
    <row r="2090" spans="1:31" ht="10" customHeight="1" x14ac:dyDescent="0.2">
      <c r="A2090" s="5" t="s">
        <v>4708</v>
      </c>
      <c r="B2090" s="5" t="s">
        <v>4709</v>
      </c>
      <c r="C2090" s="5" t="s">
        <v>5056</v>
      </c>
      <c r="D2090" s="5" t="s">
        <v>5057</v>
      </c>
      <c r="E2090" s="10" t="s">
        <v>53</v>
      </c>
      <c r="F2090" s="5" t="s">
        <v>4736</v>
      </c>
      <c r="I2090" s="11">
        <v>2</v>
      </c>
      <c r="K2090" s="10" t="s">
        <v>186</v>
      </c>
      <c r="L2090" s="5" t="s">
        <v>47</v>
      </c>
      <c r="M2090" s="5" t="s">
        <v>198</v>
      </c>
      <c r="N2090" s="5" t="s">
        <v>5031</v>
      </c>
      <c r="O2090" s="12"/>
      <c r="S2090" s="13">
        <v>17623</v>
      </c>
      <c r="U2090" s="13">
        <v>17623</v>
      </c>
      <c r="AC2090" s="10" t="s">
        <v>4964</v>
      </c>
      <c r="AD2090" s="5" t="s">
        <v>2089</v>
      </c>
      <c r="AE2090" s="5" t="s">
        <v>4713</v>
      </c>
    </row>
    <row r="2091" spans="1:31" ht="10" customHeight="1" x14ac:dyDescent="0.2">
      <c r="A2091" s="5" t="s">
        <v>4708</v>
      </c>
      <c r="B2091" s="5" t="s">
        <v>4709</v>
      </c>
      <c r="C2091" s="5" t="s">
        <v>5058</v>
      </c>
      <c r="D2091" s="5" t="s">
        <v>5059</v>
      </c>
      <c r="E2091" s="10" t="s">
        <v>53</v>
      </c>
      <c r="F2091" s="5" t="s">
        <v>4739</v>
      </c>
      <c r="I2091" s="11">
        <v>2</v>
      </c>
      <c r="K2091" s="10" t="s">
        <v>186</v>
      </c>
      <c r="L2091" s="5" t="s">
        <v>47</v>
      </c>
      <c r="M2091" s="5" t="s">
        <v>198</v>
      </c>
      <c r="N2091" s="5" t="s">
        <v>199</v>
      </c>
      <c r="O2091" s="12"/>
      <c r="S2091" s="13">
        <v>56514</v>
      </c>
      <c r="U2091" s="13">
        <v>56514</v>
      </c>
      <c r="AC2091" s="10" t="s">
        <v>4964</v>
      </c>
      <c r="AD2091" s="5" t="s">
        <v>2089</v>
      </c>
      <c r="AE2091" s="5" t="s">
        <v>4713</v>
      </c>
    </row>
    <row r="2092" spans="1:31" ht="10" customHeight="1" x14ac:dyDescent="0.2">
      <c r="A2092" s="5" t="s">
        <v>4708</v>
      </c>
      <c r="B2092" s="5" t="s">
        <v>4709</v>
      </c>
      <c r="C2092" s="5" t="s">
        <v>5060</v>
      </c>
      <c r="D2092" s="5" t="s">
        <v>5061</v>
      </c>
      <c r="E2092" s="10" t="s">
        <v>53</v>
      </c>
      <c r="F2092" s="5" t="s">
        <v>4736</v>
      </c>
      <c r="I2092" s="11">
        <v>2</v>
      </c>
      <c r="K2092" s="10" t="s">
        <v>186</v>
      </c>
      <c r="L2092" s="5" t="s">
        <v>47</v>
      </c>
      <c r="M2092" s="5" t="s">
        <v>198</v>
      </c>
      <c r="N2092" s="5" t="s">
        <v>199</v>
      </c>
      <c r="O2092" s="12"/>
      <c r="S2092" s="13">
        <v>32237</v>
      </c>
      <c r="U2092" s="13">
        <v>32237</v>
      </c>
      <c r="AC2092" s="10" t="s">
        <v>4964</v>
      </c>
      <c r="AD2092" s="5" t="s">
        <v>2089</v>
      </c>
      <c r="AE2092" s="5" t="s">
        <v>4713</v>
      </c>
    </row>
    <row r="2093" spans="1:31" ht="10" customHeight="1" x14ac:dyDescent="0.2">
      <c r="A2093" s="5" t="s">
        <v>4708</v>
      </c>
      <c r="B2093" s="5" t="s">
        <v>4709</v>
      </c>
      <c r="C2093" s="5" t="s">
        <v>5062</v>
      </c>
      <c r="D2093" s="5" t="s">
        <v>5063</v>
      </c>
      <c r="E2093" s="10" t="s">
        <v>53</v>
      </c>
      <c r="F2093" s="5" t="s">
        <v>4736</v>
      </c>
      <c r="I2093" s="11">
        <v>2</v>
      </c>
      <c r="K2093" s="10" t="s">
        <v>186</v>
      </c>
      <c r="L2093" s="5" t="s">
        <v>47</v>
      </c>
      <c r="M2093" s="5" t="s">
        <v>198</v>
      </c>
      <c r="N2093" s="5" t="s">
        <v>199</v>
      </c>
      <c r="O2093" s="12"/>
      <c r="S2093" s="13">
        <v>32237</v>
      </c>
      <c r="U2093" s="13">
        <v>32237</v>
      </c>
      <c r="AC2093" s="10" t="s">
        <v>4964</v>
      </c>
      <c r="AD2093" s="5" t="s">
        <v>2089</v>
      </c>
      <c r="AE2093" s="5" t="s">
        <v>4713</v>
      </c>
    </row>
    <row r="2094" spans="1:31" ht="10" customHeight="1" x14ac:dyDescent="0.2">
      <c r="A2094" s="5" t="s">
        <v>4708</v>
      </c>
      <c r="B2094" s="5" t="s">
        <v>4709</v>
      </c>
      <c r="C2094" s="5" t="s">
        <v>5064</v>
      </c>
      <c r="D2094" s="5" t="s">
        <v>5065</v>
      </c>
      <c r="E2094" s="10" t="s">
        <v>53</v>
      </c>
      <c r="F2094" s="5" t="s">
        <v>4710</v>
      </c>
      <c r="I2094" s="11">
        <v>2</v>
      </c>
      <c r="K2094" s="10" t="s">
        <v>186</v>
      </c>
      <c r="L2094" s="5" t="s">
        <v>47</v>
      </c>
      <c r="M2094" s="5" t="s">
        <v>198</v>
      </c>
      <c r="N2094" s="5" t="s">
        <v>199</v>
      </c>
      <c r="O2094" s="12"/>
      <c r="S2094" s="13">
        <v>11755</v>
      </c>
      <c r="U2094" s="13">
        <v>11755</v>
      </c>
      <c r="AC2094" s="10" t="s">
        <v>4964</v>
      </c>
      <c r="AD2094" s="5" t="s">
        <v>2089</v>
      </c>
      <c r="AE2094" s="5" t="s">
        <v>4713</v>
      </c>
    </row>
    <row r="2095" spans="1:31" ht="10" customHeight="1" x14ac:dyDescent="0.2">
      <c r="A2095" s="5" t="s">
        <v>4708</v>
      </c>
      <c r="B2095" s="5" t="s">
        <v>4709</v>
      </c>
      <c r="C2095" s="5" t="s">
        <v>5066</v>
      </c>
      <c r="D2095" s="5" t="s">
        <v>5067</v>
      </c>
      <c r="E2095" s="10" t="s">
        <v>53</v>
      </c>
      <c r="F2095" s="5" t="s">
        <v>4736</v>
      </c>
      <c r="I2095" s="11">
        <v>2</v>
      </c>
      <c r="K2095" s="10" t="s">
        <v>186</v>
      </c>
      <c r="L2095" s="5" t="s">
        <v>47</v>
      </c>
      <c r="M2095" s="5" t="s">
        <v>198</v>
      </c>
      <c r="N2095" s="5" t="s">
        <v>199</v>
      </c>
      <c r="O2095" s="12"/>
      <c r="S2095" s="13">
        <v>44148</v>
      </c>
      <c r="U2095" s="13">
        <v>44148</v>
      </c>
      <c r="AC2095" s="10" t="s">
        <v>4964</v>
      </c>
      <c r="AD2095" s="5" t="s">
        <v>2089</v>
      </c>
      <c r="AE2095" s="5" t="s">
        <v>4713</v>
      </c>
    </row>
    <row r="2096" spans="1:31" ht="10" customHeight="1" x14ac:dyDescent="0.2">
      <c r="A2096" s="5" t="s">
        <v>4708</v>
      </c>
      <c r="B2096" s="5" t="s">
        <v>4709</v>
      </c>
      <c r="C2096" s="5" t="s">
        <v>5068</v>
      </c>
      <c r="D2096" s="5" t="s">
        <v>5069</v>
      </c>
      <c r="E2096" s="10" t="s">
        <v>53</v>
      </c>
      <c r="F2096" s="5" t="s">
        <v>4736</v>
      </c>
      <c r="I2096" s="11">
        <v>2</v>
      </c>
      <c r="K2096" s="10" t="s">
        <v>186</v>
      </c>
      <c r="L2096" s="5" t="s">
        <v>47</v>
      </c>
      <c r="M2096" s="5" t="s">
        <v>198</v>
      </c>
      <c r="N2096" s="5" t="s">
        <v>199</v>
      </c>
      <c r="O2096" s="12"/>
      <c r="S2096" s="13">
        <v>32237</v>
      </c>
      <c r="U2096" s="13">
        <v>32237</v>
      </c>
      <c r="AC2096" s="10" t="s">
        <v>4964</v>
      </c>
      <c r="AD2096" s="5" t="s">
        <v>2097</v>
      </c>
      <c r="AE2096" s="5" t="s">
        <v>4713</v>
      </c>
    </row>
    <row r="2097" spans="1:31" ht="10" customHeight="1" x14ac:dyDescent="0.2">
      <c r="A2097" s="5" t="s">
        <v>4708</v>
      </c>
      <c r="B2097" s="5" t="s">
        <v>4709</v>
      </c>
      <c r="C2097" s="5" t="s">
        <v>5070</v>
      </c>
      <c r="D2097" s="5" t="s">
        <v>5071</v>
      </c>
      <c r="E2097" s="10" t="s">
        <v>53</v>
      </c>
      <c r="F2097" s="5" t="s">
        <v>4710</v>
      </c>
      <c r="I2097" s="11">
        <v>2</v>
      </c>
      <c r="K2097" s="10" t="s">
        <v>186</v>
      </c>
      <c r="L2097" s="5" t="s">
        <v>47</v>
      </c>
      <c r="M2097" s="5" t="s">
        <v>198</v>
      </c>
      <c r="N2097" s="5" t="s">
        <v>199</v>
      </c>
      <c r="O2097" s="12"/>
      <c r="S2097" s="13">
        <v>15946</v>
      </c>
      <c r="U2097" s="13">
        <v>15946</v>
      </c>
      <c r="AC2097" s="10" t="s">
        <v>4964</v>
      </c>
      <c r="AD2097" s="5" t="s">
        <v>2097</v>
      </c>
      <c r="AE2097" s="5" t="s">
        <v>4713</v>
      </c>
    </row>
    <row r="2098" spans="1:31" ht="10" customHeight="1" x14ac:dyDescent="0.2">
      <c r="A2098" s="5" t="s">
        <v>4708</v>
      </c>
      <c r="B2098" s="5" t="s">
        <v>4709</v>
      </c>
      <c r="C2098" s="5" t="s">
        <v>5072</v>
      </c>
      <c r="D2098" s="5" t="s">
        <v>5073</v>
      </c>
      <c r="E2098" s="10" t="s">
        <v>53</v>
      </c>
      <c r="F2098" s="5" t="s">
        <v>4710</v>
      </c>
      <c r="I2098" s="11">
        <v>2</v>
      </c>
      <c r="K2098" s="10" t="s">
        <v>186</v>
      </c>
      <c r="L2098" s="5" t="s">
        <v>47</v>
      </c>
      <c r="M2098" s="5" t="s">
        <v>198</v>
      </c>
      <c r="N2098" s="5" t="s">
        <v>199</v>
      </c>
      <c r="O2098" s="12"/>
      <c r="S2098" s="13">
        <v>11755</v>
      </c>
      <c r="U2098" s="13">
        <v>11755</v>
      </c>
      <c r="AC2098" s="10" t="s">
        <v>4964</v>
      </c>
      <c r="AD2098" s="5" t="s">
        <v>2097</v>
      </c>
      <c r="AE2098" s="5" t="s">
        <v>4713</v>
      </c>
    </row>
    <row r="2099" spans="1:31" ht="10" customHeight="1" x14ac:dyDescent="0.2">
      <c r="A2099" s="5" t="s">
        <v>4708</v>
      </c>
      <c r="B2099" s="5" t="s">
        <v>4709</v>
      </c>
      <c r="C2099" s="5" t="s">
        <v>5074</v>
      </c>
      <c r="D2099" s="5" t="s">
        <v>5075</v>
      </c>
      <c r="E2099" s="10" t="s">
        <v>53</v>
      </c>
      <c r="F2099" s="5" t="s">
        <v>4738</v>
      </c>
      <c r="I2099" s="11">
        <v>2</v>
      </c>
      <c r="K2099" s="10" t="s">
        <v>186</v>
      </c>
      <c r="L2099" s="5" t="s">
        <v>47</v>
      </c>
      <c r="M2099" s="5" t="s">
        <v>198</v>
      </c>
      <c r="N2099" s="5" t="s">
        <v>199</v>
      </c>
      <c r="O2099" s="12"/>
      <c r="S2099" s="13">
        <v>28069</v>
      </c>
      <c r="U2099" s="13">
        <v>28069</v>
      </c>
      <c r="AC2099" s="10" t="s">
        <v>4964</v>
      </c>
      <c r="AD2099" s="5" t="s">
        <v>2097</v>
      </c>
      <c r="AE2099" s="5" t="s">
        <v>4713</v>
      </c>
    </row>
    <row r="2100" spans="1:31" ht="10" customHeight="1" x14ac:dyDescent="0.2">
      <c r="A2100" s="5" t="s">
        <v>4708</v>
      </c>
      <c r="B2100" s="5" t="s">
        <v>4709</v>
      </c>
      <c r="C2100" s="5" t="s">
        <v>5076</v>
      </c>
      <c r="D2100" s="5" t="s">
        <v>5077</v>
      </c>
      <c r="E2100" s="10" t="s">
        <v>53</v>
      </c>
      <c r="F2100" s="5" t="s">
        <v>4738</v>
      </c>
      <c r="I2100" s="11">
        <v>2</v>
      </c>
      <c r="K2100" s="10" t="s">
        <v>186</v>
      </c>
      <c r="L2100" s="5" t="s">
        <v>47</v>
      </c>
      <c r="M2100" s="5" t="s">
        <v>198</v>
      </c>
      <c r="N2100" s="5" t="s">
        <v>199</v>
      </c>
      <c r="O2100" s="12"/>
      <c r="S2100" s="13">
        <v>32237</v>
      </c>
      <c r="U2100" s="13">
        <v>32237</v>
      </c>
      <c r="AC2100" s="10" t="s">
        <v>4964</v>
      </c>
      <c r="AD2100" s="5" t="s">
        <v>2097</v>
      </c>
      <c r="AE2100" s="5" t="s">
        <v>4713</v>
      </c>
    </row>
    <row r="2101" spans="1:31" ht="10" customHeight="1" x14ac:dyDescent="0.2">
      <c r="A2101" s="5" t="s">
        <v>4708</v>
      </c>
      <c r="B2101" s="5" t="s">
        <v>4709</v>
      </c>
      <c r="C2101" s="5" t="s">
        <v>5078</v>
      </c>
      <c r="D2101" s="5" t="s">
        <v>5079</v>
      </c>
      <c r="E2101" s="10" t="s">
        <v>53</v>
      </c>
      <c r="F2101" s="5" t="s">
        <v>4736</v>
      </c>
      <c r="I2101" s="11">
        <v>2</v>
      </c>
      <c r="K2101" s="10" t="s">
        <v>186</v>
      </c>
      <c r="L2101" s="5" t="s">
        <v>47</v>
      </c>
      <c r="M2101" s="5" t="s">
        <v>198</v>
      </c>
      <c r="N2101" s="5" t="s">
        <v>199</v>
      </c>
      <c r="O2101" s="12"/>
      <c r="S2101" s="13">
        <v>27033</v>
      </c>
      <c r="U2101" s="13">
        <v>27033</v>
      </c>
      <c r="AC2101" s="10" t="s">
        <v>4964</v>
      </c>
      <c r="AD2101" s="5" t="s">
        <v>2097</v>
      </c>
      <c r="AE2101" s="5" t="s">
        <v>4713</v>
      </c>
    </row>
    <row r="2102" spans="1:31" ht="10" customHeight="1" x14ac:dyDescent="0.2">
      <c r="A2102" s="5" t="s">
        <v>4708</v>
      </c>
      <c r="B2102" s="5" t="s">
        <v>4709</v>
      </c>
      <c r="C2102" s="5" t="s">
        <v>5080</v>
      </c>
      <c r="D2102" s="5" t="s">
        <v>5081</v>
      </c>
      <c r="E2102" s="10" t="s">
        <v>53</v>
      </c>
      <c r="F2102" s="5" t="s">
        <v>4738</v>
      </c>
      <c r="I2102" s="11">
        <v>2</v>
      </c>
      <c r="K2102" s="10" t="s">
        <v>186</v>
      </c>
      <c r="L2102" s="5" t="s">
        <v>47</v>
      </c>
      <c r="M2102" s="5" t="s">
        <v>198</v>
      </c>
      <c r="N2102" s="5" t="s">
        <v>199</v>
      </c>
      <c r="O2102" s="12"/>
      <c r="S2102" s="13">
        <v>27479</v>
      </c>
      <c r="U2102" s="13">
        <v>27479</v>
      </c>
      <c r="AC2102" s="10" t="s">
        <v>4964</v>
      </c>
      <c r="AD2102" s="5" t="s">
        <v>2097</v>
      </c>
      <c r="AE2102" s="5" t="s">
        <v>4713</v>
      </c>
    </row>
    <row r="2103" spans="1:31" ht="10" customHeight="1" x14ac:dyDescent="0.2">
      <c r="A2103" s="5" t="s">
        <v>4708</v>
      </c>
      <c r="B2103" s="5" t="s">
        <v>4709</v>
      </c>
      <c r="C2103" s="5" t="s">
        <v>5082</v>
      </c>
      <c r="D2103" s="5" t="s">
        <v>5083</v>
      </c>
      <c r="E2103" s="10" t="s">
        <v>53</v>
      </c>
      <c r="F2103" s="5" t="s">
        <v>4738</v>
      </c>
      <c r="I2103" s="11">
        <v>2</v>
      </c>
      <c r="K2103" s="10" t="s">
        <v>186</v>
      </c>
      <c r="L2103" s="5" t="s">
        <v>47</v>
      </c>
      <c r="M2103" s="5" t="s">
        <v>198</v>
      </c>
      <c r="N2103" s="5" t="s">
        <v>199</v>
      </c>
      <c r="O2103" s="12"/>
      <c r="S2103" s="13">
        <v>26128</v>
      </c>
      <c r="U2103" s="13">
        <v>26128</v>
      </c>
      <c r="AC2103" s="10" t="s">
        <v>4964</v>
      </c>
      <c r="AD2103" s="5" t="s">
        <v>2097</v>
      </c>
      <c r="AE2103" s="5" t="s">
        <v>4713</v>
      </c>
    </row>
    <row r="2104" spans="1:31" ht="10" customHeight="1" x14ac:dyDescent="0.2">
      <c r="A2104" s="5" t="s">
        <v>4708</v>
      </c>
      <c r="B2104" s="5" t="s">
        <v>4709</v>
      </c>
      <c r="C2104" s="5" t="s">
        <v>5084</v>
      </c>
      <c r="D2104" s="5" t="s">
        <v>5085</v>
      </c>
      <c r="E2104" s="10" t="s">
        <v>53</v>
      </c>
      <c r="F2104" s="5" t="s">
        <v>4738</v>
      </c>
      <c r="I2104" s="11">
        <v>2</v>
      </c>
      <c r="K2104" s="10" t="s">
        <v>186</v>
      </c>
      <c r="L2104" s="5" t="s">
        <v>47</v>
      </c>
      <c r="M2104" s="5" t="s">
        <v>198</v>
      </c>
      <c r="N2104" s="5" t="s">
        <v>199</v>
      </c>
      <c r="O2104" s="12"/>
      <c r="S2104" s="13">
        <v>25953</v>
      </c>
      <c r="U2104" s="13">
        <v>25953</v>
      </c>
      <c r="AC2104" s="10" t="s">
        <v>4964</v>
      </c>
      <c r="AD2104" s="5" t="s">
        <v>2097</v>
      </c>
      <c r="AE2104" s="5" t="s">
        <v>4713</v>
      </c>
    </row>
    <row r="2105" spans="1:31" ht="10" customHeight="1" x14ac:dyDescent="0.2">
      <c r="A2105" s="5" t="s">
        <v>4708</v>
      </c>
      <c r="B2105" s="5" t="s">
        <v>4709</v>
      </c>
      <c r="C2105" s="5" t="s">
        <v>5086</v>
      </c>
      <c r="D2105" s="5" t="s">
        <v>5087</v>
      </c>
      <c r="E2105" s="10" t="s">
        <v>53</v>
      </c>
      <c r="F2105" s="5" t="s">
        <v>4738</v>
      </c>
      <c r="I2105" s="11">
        <v>2</v>
      </c>
      <c r="K2105" s="10" t="s">
        <v>186</v>
      </c>
      <c r="L2105" s="5" t="s">
        <v>47</v>
      </c>
      <c r="M2105" s="5" t="s">
        <v>198</v>
      </c>
      <c r="N2105" s="5" t="s">
        <v>199</v>
      </c>
      <c r="O2105" s="12"/>
      <c r="S2105" s="13">
        <v>21623</v>
      </c>
      <c r="U2105" s="13">
        <v>21623</v>
      </c>
      <c r="AC2105" s="10" t="s">
        <v>4964</v>
      </c>
      <c r="AD2105" s="5" t="s">
        <v>2097</v>
      </c>
      <c r="AE2105" s="5" t="s">
        <v>4713</v>
      </c>
    </row>
    <row r="2106" spans="1:31" ht="10" customHeight="1" x14ac:dyDescent="0.2">
      <c r="A2106" s="5" t="s">
        <v>4708</v>
      </c>
      <c r="B2106" s="5" t="s">
        <v>4709</v>
      </c>
      <c r="C2106" s="5" t="s">
        <v>5088</v>
      </c>
      <c r="D2106" s="5" t="s">
        <v>5089</v>
      </c>
      <c r="E2106" s="10" t="s">
        <v>53</v>
      </c>
      <c r="F2106" s="5" t="s">
        <v>4736</v>
      </c>
      <c r="I2106" s="11">
        <v>2</v>
      </c>
      <c r="K2106" s="10" t="s">
        <v>186</v>
      </c>
      <c r="L2106" s="5" t="s">
        <v>47</v>
      </c>
      <c r="M2106" s="5" t="s">
        <v>198</v>
      </c>
      <c r="N2106" s="5" t="s">
        <v>199</v>
      </c>
      <c r="O2106" s="12"/>
      <c r="S2106" s="13">
        <v>20259</v>
      </c>
      <c r="U2106" s="13">
        <v>20259</v>
      </c>
      <c r="AC2106" s="10" t="s">
        <v>4964</v>
      </c>
      <c r="AD2106" s="5" t="s">
        <v>2097</v>
      </c>
      <c r="AE2106" s="5" t="s">
        <v>4713</v>
      </c>
    </row>
    <row r="2107" spans="1:31" ht="10" customHeight="1" x14ac:dyDescent="0.2">
      <c r="A2107" s="5" t="s">
        <v>4708</v>
      </c>
      <c r="B2107" s="5" t="s">
        <v>4709</v>
      </c>
      <c r="C2107" s="5" t="s">
        <v>5090</v>
      </c>
      <c r="D2107" s="5" t="s">
        <v>5091</v>
      </c>
      <c r="E2107" s="10" t="s">
        <v>53</v>
      </c>
      <c r="F2107" s="5" t="s">
        <v>4739</v>
      </c>
      <c r="I2107" s="11">
        <v>2</v>
      </c>
      <c r="K2107" s="10" t="s">
        <v>186</v>
      </c>
      <c r="L2107" s="5" t="s">
        <v>47</v>
      </c>
      <c r="M2107" s="5" t="s">
        <v>198</v>
      </c>
      <c r="N2107" s="5" t="s">
        <v>199</v>
      </c>
      <c r="O2107" s="12"/>
      <c r="S2107" s="13">
        <v>55297</v>
      </c>
      <c r="U2107" s="13">
        <v>55297</v>
      </c>
      <c r="AC2107" s="10" t="s">
        <v>4964</v>
      </c>
      <c r="AD2107" s="5" t="s">
        <v>2097</v>
      </c>
      <c r="AE2107" s="5" t="s">
        <v>4713</v>
      </c>
    </row>
    <row r="2108" spans="1:31" ht="10" customHeight="1" x14ac:dyDescent="0.2">
      <c r="A2108" s="5" t="s">
        <v>4708</v>
      </c>
      <c r="B2108" s="5" t="s">
        <v>4709</v>
      </c>
      <c r="C2108" s="5" t="s">
        <v>5092</v>
      </c>
      <c r="D2108" s="5" t="s">
        <v>5093</v>
      </c>
      <c r="E2108" s="10" t="s">
        <v>53</v>
      </c>
      <c r="F2108" s="5" t="s">
        <v>4739</v>
      </c>
      <c r="I2108" s="11">
        <v>2</v>
      </c>
      <c r="K2108" s="10" t="s">
        <v>186</v>
      </c>
      <c r="L2108" s="5" t="s">
        <v>47</v>
      </c>
      <c r="M2108" s="5" t="s">
        <v>198</v>
      </c>
      <c r="N2108" s="5" t="s">
        <v>199</v>
      </c>
      <c r="O2108" s="12"/>
      <c r="S2108" s="13">
        <v>55297</v>
      </c>
      <c r="U2108" s="13">
        <v>55297</v>
      </c>
      <c r="AC2108" s="10" t="s">
        <v>4964</v>
      </c>
      <c r="AD2108" s="5" t="s">
        <v>2097</v>
      </c>
      <c r="AE2108" s="5" t="s">
        <v>4713</v>
      </c>
    </row>
    <row r="2109" spans="1:31" ht="10" customHeight="1" x14ac:dyDescent="0.2">
      <c r="A2109" s="5" t="s">
        <v>4708</v>
      </c>
      <c r="B2109" s="5" t="s">
        <v>4709</v>
      </c>
      <c r="C2109" s="5" t="s">
        <v>5094</v>
      </c>
      <c r="D2109" s="5" t="s">
        <v>5095</v>
      </c>
      <c r="E2109" s="10" t="s">
        <v>53</v>
      </c>
      <c r="F2109" s="5" t="s">
        <v>4739</v>
      </c>
      <c r="I2109" s="11">
        <v>2</v>
      </c>
      <c r="K2109" s="10" t="s">
        <v>186</v>
      </c>
      <c r="L2109" s="5" t="s">
        <v>47</v>
      </c>
      <c r="M2109" s="5" t="s">
        <v>198</v>
      </c>
      <c r="N2109" s="5" t="s">
        <v>199</v>
      </c>
      <c r="O2109" s="12"/>
      <c r="S2109" s="13">
        <v>55297</v>
      </c>
      <c r="U2109" s="13">
        <v>55297</v>
      </c>
      <c r="AC2109" s="10" t="s">
        <v>4964</v>
      </c>
      <c r="AD2109" s="5" t="s">
        <v>2097</v>
      </c>
      <c r="AE2109" s="5" t="s">
        <v>4713</v>
      </c>
    </row>
    <row r="2110" spans="1:31" ht="10" customHeight="1" x14ac:dyDescent="0.2">
      <c r="A2110" s="5" t="s">
        <v>4708</v>
      </c>
      <c r="B2110" s="5" t="s">
        <v>4709</v>
      </c>
      <c r="C2110" s="5" t="s">
        <v>5096</v>
      </c>
      <c r="D2110" s="5" t="s">
        <v>5097</v>
      </c>
      <c r="E2110" s="10" t="s">
        <v>53</v>
      </c>
      <c r="F2110" s="5" t="s">
        <v>4738</v>
      </c>
      <c r="I2110" s="11">
        <v>2</v>
      </c>
      <c r="K2110" s="10" t="s">
        <v>186</v>
      </c>
      <c r="L2110" s="5" t="s">
        <v>47</v>
      </c>
      <c r="M2110" s="5" t="s">
        <v>198</v>
      </c>
      <c r="N2110" s="5" t="s">
        <v>5098</v>
      </c>
      <c r="O2110" s="12"/>
      <c r="S2110" s="13">
        <v>16524</v>
      </c>
      <c r="U2110" s="13">
        <v>16524</v>
      </c>
      <c r="AC2110" s="10" t="s">
        <v>4964</v>
      </c>
      <c r="AD2110" s="5" t="s">
        <v>2097</v>
      </c>
      <c r="AE2110" s="5" t="s">
        <v>4713</v>
      </c>
    </row>
    <row r="2111" spans="1:31" ht="10" customHeight="1" x14ac:dyDescent="0.2">
      <c r="A2111" s="5" t="s">
        <v>4708</v>
      </c>
      <c r="B2111" s="5" t="s">
        <v>4709</v>
      </c>
      <c r="C2111" s="5" t="s">
        <v>5096</v>
      </c>
      <c r="D2111" s="5" t="s">
        <v>5099</v>
      </c>
      <c r="E2111" s="10" t="s">
        <v>53</v>
      </c>
      <c r="F2111" s="5" t="s">
        <v>4739</v>
      </c>
      <c r="I2111" s="11">
        <v>2</v>
      </c>
      <c r="K2111" s="10" t="s">
        <v>186</v>
      </c>
      <c r="L2111" s="5" t="s">
        <v>47</v>
      </c>
      <c r="M2111" s="5" t="s">
        <v>198</v>
      </c>
      <c r="N2111" s="5" t="s">
        <v>5098</v>
      </c>
      <c r="O2111" s="12"/>
      <c r="S2111" s="13">
        <v>10976</v>
      </c>
      <c r="U2111" s="13">
        <v>10976</v>
      </c>
      <c r="AC2111" s="10" t="s">
        <v>4964</v>
      </c>
      <c r="AD2111" s="5" t="s">
        <v>2097</v>
      </c>
      <c r="AE2111" s="5" t="s">
        <v>4713</v>
      </c>
    </row>
    <row r="2112" spans="1:31" ht="10" customHeight="1" x14ac:dyDescent="0.2">
      <c r="A2112" s="5" t="s">
        <v>4708</v>
      </c>
      <c r="B2112" s="5" t="s">
        <v>4709</v>
      </c>
      <c r="C2112" s="5" t="s">
        <v>5100</v>
      </c>
      <c r="D2112" s="5" t="s">
        <v>5101</v>
      </c>
      <c r="E2112" s="10" t="s">
        <v>53</v>
      </c>
      <c r="F2112" s="5" t="s">
        <v>4739</v>
      </c>
      <c r="I2112" s="11">
        <v>2</v>
      </c>
      <c r="K2112" s="10" t="s">
        <v>186</v>
      </c>
      <c r="L2112" s="5" t="s">
        <v>47</v>
      </c>
      <c r="M2112" s="5" t="s">
        <v>198</v>
      </c>
      <c r="N2112" s="5" t="s">
        <v>5098</v>
      </c>
      <c r="O2112" s="12"/>
      <c r="S2112" s="13">
        <v>19282</v>
      </c>
      <c r="U2112" s="13">
        <v>19282</v>
      </c>
      <c r="AC2112" s="10" t="s">
        <v>4964</v>
      </c>
      <c r="AD2112" s="5" t="s">
        <v>2097</v>
      </c>
      <c r="AE2112" s="5" t="s">
        <v>4713</v>
      </c>
    </row>
    <row r="2113" spans="1:31" ht="10" customHeight="1" x14ac:dyDescent="0.2">
      <c r="A2113" s="5" t="s">
        <v>4708</v>
      </c>
      <c r="B2113" s="5" t="s">
        <v>4709</v>
      </c>
      <c r="C2113" s="5" t="s">
        <v>5102</v>
      </c>
      <c r="D2113" s="5" t="s">
        <v>5103</v>
      </c>
      <c r="E2113" s="10" t="s">
        <v>53</v>
      </c>
      <c r="F2113" s="5" t="s">
        <v>4736</v>
      </c>
      <c r="I2113" s="11">
        <v>2</v>
      </c>
      <c r="K2113" s="10" t="s">
        <v>46</v>
      </c>
      <c r="L2113" s="5" t="s">
        <v>47</v>
      </c>
      <c r="M2113" s="5" t="s">
        <v>222</v>
      </c>
      <c r="N2113" s="5" t="s">
        <v>5104</v>
      </c>
      <c r="O2113" s="12"/>
      <c r="S2113" s="13">
        <v>13939</v>
      </c>
      <c r="U2113" s="13">
        <v>13939</v>
      </c>
      <c r="AC2113" s="10" t="s">
        <v>4964</v>
      </c>
      <c r="AD2113" s="5" t="s">
        <v>2097</v>
      </c>
      <c r="AE2113" s="5" t="s">
        <v>4713</v>
      </c>
    </row>
    <row r="2114" spans="1:31" ht="10" customHeight="1" x14ac:dyDescent="0.2">
      <c r="A2114" s="5" t="s">
        <v>4708</v>
      </c>
      <c r="B2114" s="5" t="s">
        <v>4709</v>
      </c>
      <c r="C2114" s="5" t="s">
        <v>5105</v>
      </c>
      <c r="D2114" s="5" t="s">
        <v>5106</v>
      </c>
      <c r="E2114" s="10" t="s">
        <v>53</v>
      </c>
      <c r="F2114" s="5" t="s">
        <v>4738</v>
      </c>
      <c r="I2114" s="11">
        <v>2</v>
      </c>
      <c r="K2114" s="10" t="s">
        <v>46</v>
      </c>
      <c r="L2114" s="5" t="s">
        <v>47</v>
      </c>
      <c r="M2114" s="5" t="s">
        <v>222</v>
      </c>
      <c r="N2114" s="5" t="s">
        <v>5104</v>
      </c>
      <c r="O2114" s="12"/>
      <c r="S2114" s="13">
        <v>6690</v>
      </c>
      <c r="U2114" s="13">
        <v>6690</v>
      </c>
      <c r="AC2114" s="10" t="s">
        <v>4964</v>
      </c>
      <c r="AD2114" s="5" t="s">
        <v>2097</v>
      </c>
      <c r="AE2114" s="5" t="s">
        <v>4713</v>
      </c>
    </row>
    <row r="2115" spans="1:31" ht="10" customHeight="1" x14ac:dyDescent="0.2">
      <c r="A2115" s="5" t="s">
        <v>4708</v>
      </c>
      <c r="B2115" s="5" t="s">
        <v>4709</v>
      </c>
      <c r="C2115" s="5" t="s">
        <v>5107</v>
      </c>
      <c r="D2115" s="5" t="s">
        <v>5108</v>
      </c>
      <c r="E2115" s="10" t="s">
        <v>53</v>
      </c>
      <c r="F2115" s="5" t="s">
        <v>4736</v>
      </c>
      <c r="I2115" s="11">
        <v>2</v>
      </c>
      <c r="K2115" s="10" t="s">
        <v>46</v>
      </c>
      <c r="L2115" s="5" t="s">
        <v>47</v>
      </c>
      <c r="M2115" s="5" t="s">
        <v>222</v>
      </c>
      <c r="N2115" s="5" t="s">
        <v>5109</v>
      </c>
      <c r="O2115" s="12"/>
      <c r="S2115" s="13">
        <v>2883</v>
      </c>
      <c r="U2115" s="13">
        <v>2883</v>
      </c>
      <c r="AC2115" s="10" t="s">
        <v>4964</v>
      </c>
      <c r="AD2115" s="5" t="s">
        <v>2097</v>
      </c>
      <c r="AE2115" s="5" t="s">
        <v>4713</v>
      </c>
    </row>
    <row r="2116" spans="1:31" ht="10" customHeight="1" x14ac:dyDescent="0.2">
      <c r="A2116" s="5" t="s">
        <v>4708</v>
      </c>
      <c r="B2116" s="5" t="s">
        <v>4709</v>
      </c>
      <c r="C2116" s="5" t="s">
        <v>5110</v>
      </c>
      <c r="D2116" s="5" t="s">
        <v>5111</v>
      </c>
      <c r="E2116" s="10" t="s">
        <v>53</v>
      </c>
      <c r="F2116" s="5" t="s">
        <v>4739</v>
      </c>
      <c r="I2116" s="11">
        <v>2</v>
      </c>
      <c r="K2116" s="10" t="s">
        <v>186</v>
      </c>
      <c r="L2116" s="5" t="s">
        <v>47</v>
      </c>
      <c r="M2116" s="5" t="s">
        <v>222</v>
      </c>
      <c r="N2116" s="5" t="s">
        <v>223</v>
      </c>
      <c r="O2116" s="12"/>
      <c r="S2116" s="13">
        <v>4536</v>
      </c>
      <c r="U2116" s="13">
        <v>4536</v>
      </c>
      <c r="AC2116" s="10" t="s">
        <v>4964</v>
      </c>
      <c r="AD2116" s="5" t="s">
        <v>2097</v>
      </c>
      <c r="AE2116" s="5" t="s">
        <v>4713</v>
      </c>
    </row>
    <row r="2117" spans="1:31" ht="10" customHeight="1" x14ac:dyDescent="0.2">
      <c r="A2117" s="5" t="s">
        <v>4708</v>
      </c>
      <c r="B2117" s="5" t="s">
        <v>4709</v>
      </c>
      <c r="C2117" s="5" t="s">
        <v>5112</v>
      </c>
      <c r="D2117" s="5" t="s">
        <v>5113</v>
      </c>
      <c r="E2117" s="10" t="s">
        <v>53</v>
      </c>
      <c r="F2117" s="5" t="s">
        <v>4739</v>
      </c>
      <c r="I2117" s="11">
        <v>2</v>
      </c>
      <c r="K2117" s="10" t="s">
        <v>186</v>
      </c>
      <c r="L2117" s="5" t="s">
        <v>47</v>
      </c>
      <c r="M2117" s="5" t="s">
        <v>222</v>
      </c>
      <c r="N2117" s="5" t="s">
        <v>223</v>
      </c>
      <c r="O2117" s="12"/>
      <c r="S2117" s="13">
        <v>182</v>
      </c>
      <c r="U2117" s="13">
        <v>182</v>
      </c>
      <c r="AC2117" s="10" t="s">
        <v>4964</v>
      </c>
      <c r="AD2117" s="5" t="s">
        <v>2097</v>
      </c>
      <c r="AE2117" s="5" t="s">
        <v>4713</v>
      </c>
    </row>
    <row r="2118" spans="1:31" ht="10" customHeight="1" x14ac:dyDescent="0.2">
      <c r="A2118" s="5" t="s">
        <v>4708</v>
      </c>
      <c r="B2118" s="5" t="s">
        <v>4709</v>
      </c>
      <c r="C2118" s="5" t="s">
        <v>5114</v>
      </c>
      <c r="D2118" s="5" t="s">
        <v>5115</v>
      </c>
      <c r="E2118" s="10" t="s">
        <v>53</v>
      </c>
      <c r="F2118" s="5" t="s">
        <v>4739</v>
      </c>
      <c r="I2118" s="11">
        <v>2</v>
      </c>
      <c r="K2118" s="10" t="s">
        <v>186</v>
      </c>
      <c r="L2118" s="5" t="s">
        <v>47</v>
      </c>
      <c r="M2118" s="5" t="s">
        <v>222</v>
      </c>
      <c r="N2118" s="5" t="s">
        <v>223</v>
      </c>
      <c r="O2118" s="12"/>
      <c r="S2118" s="13">
        <v>2855</v>
      </c>
      <c r="U2118" s="13">
        <v>2855</v>
      </c>
      <c r="AC2118" s="10" t="s">
        <v>4964</v>
      </c>
      <c r="AD2118" s="5" t="s">
        <v>2097</v>
      </c>
      <c r="AE2118" s="5" t="s">
        <v>4713</v>
      </c>
    </row>
    <row r="2119" spans="1:31" ht="10" customHeight="1" x14ac:dyDescent="0.2">
      <c r="A2119" s="5" t="s">
        <v>4708</v>
      </c>
      <c r="B2119" s="5" t="s">
        <v>4709</v>
      </c>
      <c r="C2119" s="5" t="s">
        <v>5116</v>
      </c>
      <c r="D2119" s="5" t="s">
        <v>5117</v>
      </c>
      <c r="E2119" s="10" t="s">
        <v>53</v>
      </c>
      <c r="F2119" s="5" t="s">
        <v>4739</v>
      </c>
      <c r="I2119" s="11">
        <v>2</v>
      </c>
      <c r="K2119" s="10" t="s">
        <v>186</v>
      </c>
      <c r="L2119" s="5" t="s">
        <v>47</v>
      </c>
      <c r="M2119" s="5" t="s">
        <v>222</v>
      </c>
      <c r="N2119" s="5" t="s">
        <v>223</v>
      </c>
      <c r="O2119" s="12"/>
      <c r="S2119" s="13">
        <v>2389</v>
      </c>
      <c r="U2119" s="13">
        <v>2389</v>
      </c>
      <c r="AC2119" s="10" t="s">
        <v>4964</v>
      </c>
      <c r="AD2119" s="5" t="s">
        <v>97</v>
      </c>
      <c r="AE2119" s="5" t="s">
        <v>4713</v>
      </c>
    </row>
    <row r="2120" spans="1:31" ht="10" customHeight="1" x14ac:dyDescent="0.2">
      <c r="A2120" s="5" t="s">
        <v>4708</v>
      </c>
      <c r="B2120" s="5" t="s">
        <v>4709</v>
      </c>
      <c r="C2120" s="5" t="s">
        <v>5118</v>
      </c>
      <c r="D2120" s="5" t="s">
        <v>5119</v>
      </c>
      <c r="E2120" s="10" t="s">
        <v>53</v>
      </c>
      <c r="F2120" s="5" t="s">
        <v>4738</v>
      </c>
      <c r="I2120" s="11">
        <v>2</v>
      </c>
      <c r="K2120" s="10" t="s">
        <v>186</v>
      </c>
      <c r="L2120" s="5" t="s">
        <v>47</v>
      </c>
      <c r="M2120" s="5" t="s">
        <v>178</v>
      </c>
      <c r="N2120" s="5" t="s">
        <v>193</v>
      </c>
      <c r="O2120" s="12"/>
      <c r="S2120" s="13">
        <v>5537</v>
      </c>
      <c r="U2120" s="13">
        <v>5537</v>
      </c>
      <c r="AC2120" s="10" t="s">
        <v>4964</v>
      </c>
      <c r="AD2120" s="5" t="s">
        <v>97</v>
      </c>
      <c r="AE2120" s="5" t="s">
        <v>4713</v>
      </c>
    </row>
    <row r="2121" spans="1:31" ht="10" customHeight="1" x14ac:dyDescent="0.2">
      <c r="A2121" s="5" t="s">
        <v>4708</v>
      </c>
      <c r="B2121" s="5" t="s">
        <v>4709</v>
      </c>
      <c r="C2121" s="5" t="s">
        <v>5120</v>
      </c>
      <c r="D2121" s="5" t="s">
        <v>5121</v>
      </c>
      <c r="E2121" s="10" t="s">
        <v>53</v>
      </c>
      <c r="F2121" s="5" t="s">
        <v>4739</v>
      </c>
      <c r="I2121" s="11">
        <v>2</v>
      </c>
      <c r="K2121" s="10" t="s">
        <v>186</v>
      </c>
      <c r="L2121" s="5" t="s">
        <v>47</v>
      </c>
      <c r="M2121" s="5" t="s">
        <v>178</v>
      </c>
      <c r="N2121" s="5" t="s">
        <v>193</v>
      </c>
      <c r="O2121" s="12"/>
      <c r="S2121" s="13">
        <v>35848</v>
      </c>
      <c r="U2121" s="13">
        <v>35848</v>
      </c>
      <c r="AC2121" s="10" t="s">
        <v>4964</v>
      </c>
      <c r="AD2121" s="5" t="s">
        <v>97</v>
      </c>
      <c r="AE2121" s="5" t="s">
        <v>4713</v>
      </c>
    </row>
    <row r="2122" spans="1:31" ht="10" customHeight="1" x14ac:dyDescent="0.2">
      <c r="A2122" s="5" t="s">
        <v>4708</v>
      </c>
      <c r="B2122" s="5" t="s">
        <v>4709</v>
      </c>
      <c r="C2122" s="5" t="s">
        <v>5122</v>
      </c>
      <c r="D2122" s="5" t="s">
        <v>5123</v>
      </c>
      <c r="E2122" s="10" t="s">
        <v>53</v>
      </c>
      <c r="F2122" s="5" t="s">
        <v>4739</v>
      </c>
      <c r="I2122" s="11">
        <v>2</v>
      </c>
      <c r="K2122" s="10" t="s">
        <v>186</v>
      </c>
      <c r="L2122" s="5" t="s">
        <v>47</v>
      </c>
      <c r="M2122" s="5" t="s">
        <v>178</v>
      </c>
      <c r="N2122" s="5" t="s">
        <v>193</v>
      </c>
      <c r="O2122" s="12"/>
      <c r="S2122" s="13">
        <v>24297</v>
      </c>
      <c r="U2122" s="13">
        <v>24297</v>
      </c>
      <c r="AC2122" s="10" t="s">
        <v>4964</v>
      </c>
      <c r="AD2122" s="5" t="s">
        <v>97</v>
      </c>
      <c r="AE2122" s="5" t="s">
        <v>4713</v>
      </c>
    </row>
    <row r="2123" spans="1:31" ht="10" customHeight="1" x14ac:dyDescent="0.2">
      <c r="A2123" s="5" t="s">
        <v>4708</v>
      </c>
      <c r="B2123" s="5" t="s">
        <v>4709</v>
      </c>
      <c r="C2123" s="5" t="s">
        <v>5124</v>
      </c>
      <c r="D2123" s="5" t="s">
        <v>5125</v>
      </c>
      <c r="E2123" s="10" t="s">
        <v>53</v>
      </c>
      <c r="F2123" s="5" t="s">
        <v>4739</v>
      </c>
      <c r="I2123" s="11">
        <v>2</v>
      </c>
      <c r="K2123" s="10" t="s">
        <v>186</v>
      </c>
      <c r="L2123" s="5" t="s">
        <v>47</v>
      </c>
      <c r="M2123" s="5" t="s">
        <v>178</v>
      </c>
      <c r="N2123" s="5" t="s">
        <v>193</v>
      </c>
      <c r="O2123" s="12"/>
      <c r="S2123" s="13">
        <v>14949</v>
      </c>
      <c r="U2123" s="13">
        <v>14949</v>
      </c>
      <c r="AC2123" s="10" t="s">
        <v>4964</v>
      </c>
      <c r="AD2123" s="5" t="s">
        <v>97</v>
      </c>
      <c r="AE2123" s="5" t="s">
        <v>4713</v>
      </c>
    </row>
    <row r="2124" spans="1:31" ht="10" customHeight="1" x14ac:dyDescent="0.2">
      <c r="A2124" s="5" t="s">
        <v>4708</v>
      </c>
      <c r="B2124" s="5" t="s">
        <v>4709</v>
      </c>
      <c r="C2124" s="5" t="s">
        <v>5126</v>
      </c>
      <c r="D2124" s="5" t="s">
        <v>5127</v>
      </c>
      <c r="E2124" s="10" t="s">
        <v>53</v>
      </c>
      <c r="F2124" s="5" t="s">
        <v>4739</v>
      </c>
      <c r="I2124" s="11">
        <v>2</v>
      </c>
      <c r="K2124" s="10" t="s">
        <v>186</v>
      </c>
      <c r="L2124" s="5" t="s">
        <v>47</v>
      </c>
      <c r="M2124" s="5" t="s">
        <v>178</v>
      </c>
      <c r="N2124" s="5" t="s">
        <v>187</v>
      </c>
      <c r="O2124" s="12"/>
      <c r="S2124" s="13">
        <v>13875</v>
      </c>
      <c r="U2124" s="13">
        <v>13875</v>
      </c>
      <c r="AC2124" s="10" t="s">
        <v>4964</v>
      </c>
      <c r="AD2124" s="5" t="s">
        <v>97</v>
      </c>
      <c r="AE2124" s="5" t="s">
        <v>4713</v>
      </c>
    </row>
    <row r="2125" spans="1:31" ht="10" customHeight="1" x14ac:dyDescent="0.2">
      <c r="A2125" s="5" t="s">
        <v>4708</v>
      </c>
      <c r="B2125" s="5" t="s">
        <v>4709</v>
      </c>
      <c r="C2125" s="5" t="s">
        <v>5128</v>
      </c>
      <c r="D2125" s="5" t="s">
        <v>5129</v>
      </c>
      <c r="E2125" s="10" t="s">
        <v>53</v>
      </c>
      <c r="F2125" s="5" t="s">
        <v>4710</v>
      </c>
      <c r="I2125" s="11">
        <v>2</v>
      </c>
      <c r="K2125" s="10" t="s">
        <v>186</v>
      </c>
      <c r="L2125" s="5" t="s">
        <v>47</v>
      </c>
      <c r="M2125" s="5" t="s">
        <v>178</v>
      </c>
      <c r="N2125" s="5" t="s">
        <v>187</v>
      </c>
      <c r="O2125" s="12"/>
      <c r="S2125" s="13">
        <v>10075</v>
      </c>
      <c r="U2125" s="13">
        <v>10075</v>
      </c>
      <c r="AC2125" s="10" t="s">
        <v>4964</v>
      </c>
      <c r="AD2125" s="5" t="s">
        <v>97</v>
      </c>
      <c r="AE2125" s="5" t="s">
        <v>4713</v>
      </c>
    </row>
    <row r="2126" spans="1:31" ht="10" customHeight="1" x14ac:dyDescent="0.2">
      <c r="A2126" s="5" t="s">
        <v>4708</v>
      </c>
      <c r="B2126" s="5" t="s">
        <v>4709</v>
      </c>
      <c r="C2126" s="5" t="s">
        <v>4917</v>
      </c>
      <c r="D2126" s="5" t="s">
        <v>5130</v>
      </c>
      <c r="E2126" s="10" t="s">
        <v>5131</v>
      </c>
      <c r="I2126" s="11">
        <v>2</v>
      </c>
      <c r="K2126" s="10" t="s">
        <v>46</v>
      </c>
      <c r="L2126" s="5" t="s">
        <v>47</v>
      </c>
      <c r="M2126" s="5" t="s">
        <v>145</v>
      </c>
      <c r="N2126" s="5" t="s">
        <v>4899</v>
      </c>
      <c r="O2126" s="12"/>
      <c r="S2126" s="13">
        <v>48643</v>
      </c>
      <c r="U2126" s="13">
        <v>48643</v>
      </c>
      <c r="AC2126" s="10" t="s">
        <v>5132</v>
      </c>
      <c r="AD2126" s="5" t="s">
        <v>5133</v>
      </c>
      <c r="AE2126" s="5" t="s">
        <v>4713</v>
      </c>
    </row>
    <row r="2127" spans="1:31" ht="10" customHeight="1" x14ac:dyDescent="0.2">
      <c r="A2127" s="5" t="s">
        <v>4708</v>
      </c>
      <c r="B2127" s="5" t="s">
        <v>4709</v>
      </c>
      <c r="C2127" s="5" t="s">
        <v>4931</v>
      </c>
      <c r="D2127" s="5" t="s">
        <v>5134</v>
      </c>
      <c r="E2127" s="10" t="s">
        <v>5131</v>
      </c>
      <c r="I2127" s="11">
        <v>2</v>
      </c>
      <c r="K2127" s="10" t="s">
        <v>46</v>
      </c>
      <c r="L2127" s="5" t="s">
        <v>47</v>
      </c>
      <c r="M2127" s="5" t="s">
        <v>145</v>
      </c>
      <c r="N2127" s="5" t="s">
        <v>4905</v>
      </c>
      <c r="O2127" s="12"/>
      <c r="S2127" s="13">
        <v>17130</v>
      </c>
      <c r="U2127" s="13">
        <v>17130</v>
      </c>
      <c r="AC2127" s="10" t="s">
        <v>5132</v>
      </c>
      <c r="AD2127" s="5" t="s">
        <v>5133</v>
      </c>
      <c r="AE2127" s="5" t="s">
        <v>4713</v>
      </c>
    </row>
    <row r="2128" spans="1:31" ht="10" customHeight="1" x14ac:dyDescent="0.2">
      <c r="A2128" s="5" t="s">
        <v>4708</v>
      </c>
      <c r="B2128" s="5" t="s">
        <v>4709</v>
      </c>
      <c r="C2128" s="5" t="s">
        <v>4915</v>
      </c>
      <c r="D2128" s="5" t="s">
        <v>5135</v>
      </c>
      <c r="E2128" s="10" t="s">
        <v>5131</v>
      </c>
      <c r="I2128" s="11">
        <v>2</v>
      </c>
      <c r="K2128" s="10" t="s">
        <v>46</v>
      </c>
      <c r="L2128" s="5" t="s">
        <v>47</v>
      </c>
      <c r="M2128" s="5" t="s">
        <v>145</v>
      </c>
      <c r="N2128" s="5" t="s">
        <v>164</v>
      </c>
      <c r="O2128" s="12"/>
      <c r="S2128" s="13">
        <v>12514</v>
      </c>
      <c r="U2128" s="13">
        <v>12514</v>
      </c>
      <c r="AC2128" s="10" t="s">
        <v>5132</v>
      </c>
      <c r="AD2128" s="5" t="s">
        <v>5133</v>
      </c>
      <c r="AE2128" s="5" t="s">
        <v>4713</v>
      </c>
    </row>
    <row r="2129" spans="1:31" ht="10" customHeight="1" x14ac:dyDescent="0.2">
      <c r="A2129" s="5" t="s">
        <v>4708</v>
      </c>
      <c r="B2129" s="5" t="s">
        <v>4709</v>
      </c>
      <c r="C2129" s="5" t="s">
        <v>5136</v>
      </c>
      <c r="D2129" s="5" t="s">
        <v>5137</v>
      </c>
      <c r="E2129" s="10" t="s">
        <v>5131</v>
      </c>
      <c r="I2129" s="11">
        <v>2</v>
      </c>
      <c r="K2129" s="10" t="s">
        <v>46</v>
      </c>
      <c r="L2129" s="5" t="s">
        <v>47</v>
      </c>
      <c r="M2129" s="5" t="s">
        <v>145</v>
      </c>
      <c r="N2129" s="5" t="s">
        <v>4899</v>
      </c>
      <c r="O2129" s="12"/>
      <c r="S2129" s="13">
        <v>9374</v>
      </c>
      <c r="U2129" s="13">
        <v>9374</v>
      </c>
      <c r="AC2129" s="10" t="s">
        <v>5132</v>
      </c>
      <c r="AD2129" s="5" t="s">
        <v>5133</v>
      </c>
      <c r="AE2129" s="5" t="s">
        <v>4713</v>
      </c>
    </row>
    <row r="2130" spans="1:31" ht="10" customHeight="1" x14ac:dyDescent="0.2">
      <c r="A2130" s="5" t="s">
        <v>4708</v>
      </c>
      <c r="B2130" s="5" t="s">
        <v>4709</v>
      </c>
      <c r="C2130" s="5" t="s">
        <v>5138</v>
      </c>
      <c r="D2130" s="5" t="s">
        <v>5139</v>
      </c>
      <c r="E2130" s="10" t="s">
        <v>5131</v>
      </c>
      <c r="I2130" s="11">
        <v>2</v>
      </c>
      <c r="K2130" s="10" t="s">
        <v>46</v>
      </c>
      <c r="L2130" s="5" t="s">
        <v>47</v>
      </c>
      <c r="M2130" s="5" t="s">
        <v>115</v>
      </c>
      <c r="N2130" s="5" t="s">
        <v>116</v>
      </c>
      <c r="O2130" s="12"/>
      <c r="S2130" s="13">
        <v>8279</v>
      </c>
      <c r="U2130" s="13">
        <v>8279</v>
      </c>
      <c r="AC2130" s="10" t="s">
        <v>5132</v>
      </c>
      <c r="AD2130" s="5" t="s">
        <v>5133</v>
      </c>
      <c r="AE2130" s="5" t="s">
        <v>4713</v>
      </c>
    </row>
    <row r="2131" spans="1:31" ht="10" customHeight="1" x14ac:dyDescent="0.2">
      <c r="A2131" s="5" t="s">
        <v>4708</v>
      </c>
      <c r="B2131" s="5" t="s">
        <v>4709</v>
      </c>
      <c r="C2131" s="5" t="s">
        <v>5140</v>
      </c>
      <c r="D2131" s="5" t="s">
        <v>5141</v>
      </c>
      <c r="E2131" s="10" t="s">
        <v>5131</v>
      </c>
      <c r="I2131" s="11">
        <v>2</v>
      </c>
      <c r="K2131" s="10" t="s">
        <v>46</v>
      </c>
      <c r="L2131" s="5" t="s">
        <v>47</v>
      </c>
      <c r="M2131" s="5" t="s">
        <v>115</v>
      </c>
      <c r="N2131" s="5" t="s">
        <v>116</v>
      </c>
      <c r="O2131" s="12"/>
      <c r="S2131" s="13">
        <v>8474</v>
      </c>
      <c r="U2131" s="13">
        <v>8474</v>
      </c>
      <c r="AC2131" s="10" t="s">
        <v>5132</v>
      </c>
      <c r="AD2131" s="5" t="s">
        <v>5133</v>
      </c>
      <c r="AE2131" s="5" t="s">
        <v>4713</v>
      </c>
    </row>
    <row r="2132" spans="1:31" ht="10" customHeight="1" x14ac:dyDescent="0.2">
      <c r="A2132" s="5" t="s">
        <v>4708</v>
      </c>
      <c r="B2132" s="5" t="s">
        <v>4709</v>
      </c>
      <c r="C2132" s="5" t="s">
        <v>4939</v>
      </c>
      <c r="D2132" s="5" t="s">
        <v>5142</v>
      </c>
      <c r="E2132" s="10" t="s">
        <v>5131</v>
      </c>
      <c r="I2132" s="11">
        <v>2</v>
      </c>
      <c r="K2132" s="10" t="s">
        <v>46</v>
      </c>
      <c r="L2132" s="5" t="s">
        <v>47</v>
      </c>
      <c r="M2132" s="5" t="s">
        <v>145</v>
      </c>
      <c r="N2132" s="5" t="s">
        <v>146</v>
      </c>
      <c r="O2132" s="12"/>
      <c r="S2132" s="13">
        <v>3965</v>
      </c>
      <c r="U2132" s="13">
        <v>3965</v>
      </c>
      <c r="AC2132" s="10" t="s">
        <v>5132</v>
      </c>
      <c r="AD2132" s="5" t="s">
        <v>5133</v>
      </c>
      <c r="AE2132" s="5" t="s">
        <v>4713</v>
      </c>
    </row>
    <row r="2133" spans="1:31" ht="10" customHeight="1" x14ac:dyDescent="0.2">
      <c r="A2133" s="5" t="s">
        <v>4708</v>
      </c>
      <c r="B2133" s="5" t="s">
        <v>4709</v>
      </c>
      <c r="C2133" s="5" t="s">
        <v>4945</v>
      </c>
      <c r="D2133" s="5" t="s">
        <v>5143</v>
      </c>
      <c r="E2133" s="10" t="s">
        <v>5131</v>
      </c>
      <c r="I2133" s="11">
        <v>2</v>
      </c>
      <c r="K2133" s="10" t="s">
        <v>46</v>
      </c>
      <c r="L2133" s="5" t="s">
        <v>47</v>
      </c>
      <c r="M2133" s="5" t="s">
        <v>115</v>
      </c>
      <c r="N2133" s="5" t="s">
        <v>116</v>
      </c>
      <c r="O2133" s="12"/>
      <c r="S2133" s="13">
        <v>3254</v>
      </c>
      <c r="U2133" s="13">
        <v>3254</v>
      </c>
      <c r="AC2133" s="10" t="s">
        <v>5132</v>
      </c>
      <c r="AD2133" s="5" t="s">
        <v>5133</v>
      </c>
      <c r="AE2133" s="5" t="s">
        <v>4713</v>
      </c>
    </row>
    <row r="2134" spans="1:31" ht="10" customHeight="1" x14ac:dyDescent="0.2">
      <c r="A2134" s="5" t="s">
        <v>4708</v>
      </c>
      <c r="B2134" s="5" t="s">
        <v>4709</v>
      </c>
      <c r="C2134" s="5" t="s">
        <v>4883</v>
      </c>
      <c r="D2134" s="5" t="s">
        <v>5144</v>
      </c>
      <c r="E2134" s="10" t="s">
        <v>5131</v>
      </c>
      <c r="I2134" s="11">
        <v>2</v>
      </c>
      <c r="K2134" s="10" t="s">
        <v>46</v>
      </c>
      <c r="L2134" s="5" t="s">
        <v>47</v>
      </c>
      <c r="M2134" s="5" t="s">
        <v>115</v>
      </c>
      <c r="N2134" s="5" t="s">
        <v>116</v>
      </c>
      <c r="O2134" s="12"/>
      <c r="S2134" s="13">
        <v>2022</v>
      </c>
      <c r="U2134" s="13">
        <v>2022</v>
      </c>
      <c r="AC2134" s="10" t="s">
        <v>5132</v>
      </c>
      <c r="AD2134" s="5" t="s">
        <v>5133</v>
      </c>
      <c r="AE2134" s="5" t="s">
        <v>4713</v>
      </c>
    </row>
    <row r="2135" spans="1:31" ht="10" customHeight="1" x14ac:dyDescent="0.2">
      <c r="A2135" s="5" t="s">
        <v>4708</v>
      </c>
      <c r="B2135" s="5" t="s">
        <v>4709</v>
      </c>
      <c r="C2135" s="5" t="s">
        <v>5145</v>
      </c>
      <c r="D2135" s="5" t="s">
        <v>5146</v>
      </c>
      <c r="E2135" s="10" t="s">
        <v>5131</v>
      </c>
      <c r="I2135" s="11">
        <v>2</v>
      </c>
      <c r="K2135" s="10" t="s">
        <v>46</v>
      </c>
      <c r="L2135" s="5" t="s">
        <v>47</v>
      </c>
      <c r="M2135" s="5" t="s">
        <v>115</v>
      </c>
      <c r="N2135" s="5" t="s">
        <v>116</v>
      </c>
      <c r="O2135" s="12"/>
      <c r="S2135" s="13">
        <v>2873</v>
      </c>
      <c r="U2135" s="13">
        <v>2873</v>
      </c>
      <c r="AC2135" s="10" t="s">
        <v>5132</v>
      </c>
      <c r="AD2135" s="5" t="s">
        <v>5133</v>
      </c>
      <c r="AE2135" s="5" t="s">
        <v>4713</v>
      </c>
    </row>
    <row r="2136" spans="1:31" ht="10" customHeight="1" x14ac:dyDescent="0.2">
      <c r="A2136" s="5" t="s">
        <v>4708</v>
      </c>
      <c r="B2136" s="5" t="s">
        <v>4709</v>
      </c>
      <c r="C2136" s="5" t="s">
        <v>4919</v>
      </c>
      <c r="D2136" s="5" t="s">
        <v>5147</v>
      </c>
      <c r="E2136" s="10" t="s">
        <v>5131</v>
      </c>
      <c r="I2136" s="11">
        <v>2</v>
      </c>
      <c r="K2136" s="10" t="s">
        <v>46</v>
      </c>
      <c r="L2136" s="5" t="s">
        <v>47</v>
      </c>
      <c r="M2136" s="5" t="s">
        <v>115</v>
      </c>
      <c r="N2136" s="5" t="s">
        <v>116</v>
      </c>
      <c r="O2136" s="12"/>
      <c r="S2136" s="13">
        <v>2707</v>
      </c>
      <c r="U2136" s="13">
        <v>2707</v>
      </c>
      <c r="AC2136" s="10" t="s">
        <v>5132</v>
      </c>
      <c r="AD2136" s="5" t="s">
        <v>5133</v>
      </c>
      <c r="AE2136" s="5" t="s">
        <v>4713</v>
      </c>
    </row>
    <row r="2137" spans="1:31" ht="10" customHeight="1" x14ac:dyDescent="0.2">
      <c r="A2137" s="5" t="s">
        <v>4708</v>
      </c>
      <c r="B2137" s="5" t="s">
        <v>4709</v>
      </c>
      <c r="C2137" s="5" t="s">
        <v>4943</v>
      </c>
      <c r="D2137" s="5" t="s">
        <v>5148</v>
      </c>
      <c r="E2137" s="10" t="s">
        <v>5131</v>
      </c>
      <c r="I2137" s="11">
        <v>2</v>
      </c>
      <c r="K2137" s="10" t="s">
        <v>46</v>
      </c>
      <c r="L2137" s="5" t="s">
        <v>47</v>
      </c>
      <c r="M2137" s="5" t="s">
        <v>115</v>
      </c>
      <c r="N2137" s="5" t="s">
        <v>116</v>
      </c>
      <c r="O2137" s="12"/>
      <c r="S2137" s="13">
        <v>2226</v>
      </c>
      <c r="U2137" s="13">
        <v>2226</v>
      </c>
      <c r="AC2137" s="10" t="s">
        <v>5132</v>
      </c>
      <c r="AD2137" s="5" t="s">
        <v>5133</v>
      </c>
      <c r="AE2137" s="5" t="s">
        <v>4713</v>
      </c>
    </row>
    <row r="2138" spans="1:31" ht="10" customHeight="1" x14ac:dyDescent="0.2">
      <c r="A2138" s="5" t="s">
        <v>4708</v>
      </c>
      <c r="B2138" s="5" t="s">
        <v>4709</v>
      </c>
      <c r="C2138" s="5" t="s">
        <v>5149</v>
      </c>
      <c r="D2138" s="5" t="s">
        <v>5150</v>
      </c>
      <c r="E2138" s="10" t="s">
        <v>5131</v>
      </c>
      <c r="I2138" s="11">
        <v>2</v>
      </c>
      <c r="K2138" s="10" t="s">
        <v>46</v>
      </c>
      <c r="L2138" s="5" t="s">
        <v>47</v>
      </c>
      <c r="M2138" s="5" t="s">
        <v>115</v>
      </c>
      <c r="N2138" s="5" t="s">
        <v>135</v>
      </c>
      <c r="O2138" s="12"/>
      <c r="S2138" s="13">
        <v>1674</v>
      </c>
      <c r="U2138" s="13">
        <v>1674</v>
      </c>
      <c r="AC2138" s="10" t="s">
        <v>5132</v>
      </c>
      <c r="AD2138" s="5" t="s">
        <v>5133</v>
      </c>
      <c r="AE2138" s="5" t="s">
        <v>4713</v>
      </c>
    </row>
    <row r="2139" spans="1:31" ht="10" customHeight="1" x14ac:dyDescent="0.2">
      <c r="A2139" s="5" t="s">
        <v>4708</v>
      </c>
      <c r="B2139" s="5" t="s">
        <v>4709</v>
      </c>
      <c r="C2139" s="5" t="s">
        <v>4927</v>
      </c>
      <c r="D2139" s="5" t="s">
        <v>5151</v>
      </c>
      <c r="E2139" s="10" t="s">
        <v>5131</v>
      </c>
      <c r="I2139" s="11">
        <v>2</v>
      </c>
      <c r="K2139" s="10" t="s">
        <v>46</v>
      </c>
      <c r="L2139" s="5" t="s">
        <v>47</v>
      </c>
      <c r="M2139" s="5" t="s">
        <v>115</v>
      </c>
      <c r="N2139" s="5" t="s">
        <v>135</v>
      </c>
      <c r="O2139" s="12"/>
      <c r="S2139" s="13">
        <v>1431</v>
      </c>
      <c r="U2139" s="13">
        <v>1431</v>
      </c>
      <c r="AC2139" s="10" t="s">
        <v>5132</v>
      </c>
      <c r="AD2139" s="5" t="s">
        <v>5133</v>
      </c>
      <c r="AE2139" s="5" t="s">
        <v>4713</v>
      </c>
    </row>
    <row r="2140" spans="1:31" ht="10" customHeight="1" x14ac:dyDescent="0.2">
      <c r="A2140" s="5" t="s">
        <v>4708</v>
      </c>
      <c r="B2140" s="5" t="s">
        <v>4709</v>
      </c>
      <c r="C2140" s="5" t="s">
        <v>4947</v>
      </c>
      <c r="D2140" s="5" t="s">
        <v>5152</v>
      </c>
      <c r="E2140" s="10" t="s">
        <v>5131</v>
      </c>
      <c r="I2140" s="11">
        <v>2</v>
      </c>
      <c r="K2140" s="10" t="s">
        <v>46</v>
      </c>
      <c r="L2140" s="5" t="s">
        <v>47</v>
      </c>
      <c r="M2140" s="5" t="s">
        <v>115</v>
      </c>
      <c r="N2140" s="5" t="s">
        <v>135</v>
      </c>
      <c r="O2140" s="12"/>
      <c r="S2140" s="13">
        <v>926</v>
      </c>
      <c r="U2140" s="13">
        <v>926</v>
      </c>
      <c r="AC2140" s="10" t="s">
        <v>5132</v>
      </c>
      <c r="AD2140" s="5" t="s">
        <v>5133</v>
      </c>
      <c r="AE2140" s="5" t="s">
        <v>4713</v>
      </c>
    </row>
    <row r="2141" spans="1:31" ht="10" customHeight="1" x14ac:dyDescent="0.2">
      <c r="A2141" s="5" t="s">
        <v>4708</v>
      </c>
      <c r="B2141" s="5" t="s">
        <v>4709</v>
      </c>
      <c r="C2141" s="5" t="s">
        <v>4949</v>
      </c>
      <c r="D2141" s="5" t="s">
        <v>5153</v>
      </c>
      <c r="E2141" s="10" t="s">
        <v>5131</v>
      </c>
      <c r="I2141" s="11">
        <v>2</v>
      </c>
      <c r="K2141" s="10" t="s">
        <v>46</v>
      </c>
      <c r="L2141" s="5" t="s">
        <v>47</v>
      </c>
      <c r="M2141" s="5" t="s">
        <v>115</v>
      </c>
      <c r="N2141" s="5" t="s">
        <v>135</v>
      </c>
      <c r="O2141" s="12"/>
      <c r="S2141" s="13">
        <v>926</v>
      </c>
      <c r="U2141" s="13">
        <v>926</v>
      </c>
      <c r="AC2141" s="10" t="s">
        <v>5132</v>
      </c>
      <c r="AD2141" s="5" t="s">
        <v>5154</v>
      </c>
      <c r="AE2141" s="5" t="s">
        <v>4713</v>
      </c>
    </row>
    <row r="2142" spans="1:31" ht="10" customHeight="1" x14ac:dyDescent="0.2">
      <c r="A2142" s="5" t="s">
        <v>4708</v>
      </c>
      <c r="B2142" s="5" t="s">
        <v>4709</v>
      </c>
      <c r="C2142" s="5" t="s">
        <v>4859</v>
      </c>
      <c r="D2142" s="5" t="s">
        <v>5155</v>
      </c>
      <c r="E2142" s="10" t="s">
        <v>5131</v>
      </c>
      <c r="I2142" s="11">
        <v>2</v>
      </c>
      <c r="K2142" s="10" t="s">
        <v>46</v>
      </c>
      <c r="L2142" s="5" t="s">
        <v>47</v>
      </c>
      <c r="M2142" s="5" t="s">
        <v>115</v>
      </c>
      <c r="N2142" s="5" t="s">
        <v>116</v>
      </c>
      <c r="O2142" s="12"/>
      <c r="S2142" s="13">
        <v>367</v>
      </c>
      <c r="U2142" s="13">
        <v>367</v>
      </c>
      <c r="AC2142" s="10" t="s">
        <v>5132</v>
      </c>
      <c r="AD2142" s="5" t="s">
        <v>5154</v>
      </c>
      <c r="AE2142" s="5" t="s">
        <v>4713</v>
      </c>
    </row>
    <row r="2143" spans="1:31" ht="10" customHeight="1" x14ac:dyDescent="0.2">
      <c r="A2143" s="5" t="s">
        <v>4708</v>
      </c>
      <c r="B2143" s="5" t="s">
        <v>4709</v>
      </c>
      <c r="C2143" s="5" t="s">
        <v>4869</v>
      </c>
      <c r="D2143" s="5" t="s">
        <v>5156</v>
      </c>
      <c r="E2143" s="10" t="s">
        <v>5131</v>
      </c>
      <c r="I2143" s="11">
        <v>2</v>
      </c>
      <c r="K2143" s="10" t="s">
        <v>46</v>
      </c>
      <c r="L2143" s="5" t="s">
        <v>47</v>
      </c>
      <c r="M2143" s="5" t="s">
        <v>145</v>
      </c>
      <c r="N2143" s="5" t="s">
        <v>146</v>
      </c>
      <c r="O2143" s="12"/>
      <c r="S2143" s="13">
        <v>217</v>
      </c>
      <c r="U2143" s="13">
        <v>217</v>
      </c>
      <c r="AC2143" s="10" t="s">
        <v>5132</v>
      </c>
      <c r="AD2143" s="5" t="s">
        <v>5154</v>
      </c>
      <c r="AE2143" s="5" t="s">
        <v>4713</v>
      </c>
    </row>
    <row r="2144" spans="1:31" ht="10" customHeight="1" x14ac:dyDescent="0.2">
      <c r="A2144" s="5" t="s">
        <v>4708</v>
      </c>
      <c r="B2144" s="5" t="s">
        <v>4709</v>
      </c>
      <c r="C2144" s="5" t="s">
        <v>5157</v>
      </c>
      <c r="D2144" s="5" t="s">
        <v>5158</v>
      </c>
      <c r="E2144" s="10" t="s">
        <v>5131</v>
      </c>
      <c r="I2144" s="11">
        <v>2</v>
      </c>
      <c r="K2144" s="10" t="s">
        <v>46</v>
      </c>
      <c r="L2144" s="5" t="s">
        <v>47</v>
      </c>
      <c r="M2144" s="5" t="s">
        <v>115</v>
      </c>
      <c r="N2144" s="5" t="s">
        <v>116</v>
      </c>
      <c r="O2144" s="12"/>
      <c r="S2144" s="13">
        <v>189</v>
      </c>
      <c r="U2144" s="13">
        <v>189</v>
      </c>
      <c r="AC2144" s="10" t="s">
        <v>5132</v>
      </c>
      <c r="AD2144" s="5" t="s">
        <v>5154</v>
      </c>
      <c r="AE2144" s="5" t="s">
        <v>4713</v>
      </c>
    </row>
    <row r="2145" spans="1:31" ht="10" customHeight="1" x14ac:dyDescent="0.2">
      <c r="A2145" s="5" t="s">
        <v>4708</v>
      </c>
      <c r="B2145" s="5" t="s">
        <v>4709</v>
      </c>
      <c r="C2145" s="5" t="s">
        <v>4861</v>
      </c>
      <c r="D2145" s="5" t="s">
        <v>5159</v>
      </c>
      <c r="E2145" s="10" t="s">
        <v>5131</v>
      </c>
      <c r="I2145" s="11">
        <v>2</v>
      </c>
      <c r="K2145" s="10" t="s">
        <v>46</v>
      </c>
      <c r="L2145" s="5" t="s">
        <v>47</v>
      </c>
      <c r="M2145" s="5" t="s">
        <v>115</v>
      </c>
      <c r="N2145" s="5" t="s">
        <v>116</v>
      </c>
      <c r="O2145" s="12"/>
      <c r="S2145" s="13">
        <v>96</v>
      </c>
      <c r="U2145" s="13">
        <v>96</v>
      </c>
      <c r="AC2145" s="10" t="s">
        <v>5132</v>
      </c>
      <c r="AD2145" s="5" t="s">
        <v>4656</v>
      </c>
      <c r="AE2145" s="5" t="s">
        <v>4713</v>
      </c>
    </row>
    <row r="2146" spans="1:31" ht="10" customHeight="1" x14ac:dyDescent="0.2">
      <c r="A2146" s="5" t="s">
        <v>4708</v>
      </c>
      <c r="B2146" s="5" t="s">
        <v>4709</v>
      </c>
      <c r="C2146" s="5" t="s">
        <v>5160</v>
      </c>
      <c r="D2146" s="5" t="s">
        <v>5161</v>
      </c>
      <c r="E2146" s="10" t="s">
        <v>5131</v>
      </c>
      <c r="I2146" s="11">
        <v>2</v>
      </c>
      <c r="K2146" s="10" t="s">
        <v>46</v>
      </c>
      <c r="L2146" s="5" t="s">
        <v>47</v>
      </c>
      <c r="M2146" s="5" t="s">
        <v>115</v>
      </c>
      <c r="N2146" s="5" t="s">
        <v>116</v>
      </c>
      <c r="O2146" s="12"/>
      <c r="S2146" s="13">
        <v>84</v>
      </c>
      <c r="U2146" s="13">
        <v>84</v>
      </c>
      <c r="AC2146" s="10" t="s">
        <v>5132</v>
      </c>
      <c r="AD2146" s="5" t="s">
        <v>2045</v>
      </c>
      <c r="AE2146" s="5" t="s">
        <v>4713</v>
      </c>
    </row>
    <row r="2147" spans="1:31" ht="10" customHeight="1" x14ac:dyDescent="0.2">
      <c r="A2147" s="5" t="s">
        <v>4708</v>
      </c>
      <c r="B2147" s="5" t="s">
        <v>4709</v>
      </c>
      <c r="C2147" s="5" t="s">
        <v>5162</v>
      </c>
      <c r="D2147" s="5" t="s">
        <v>5163</v>
      </c>
      <c r="E2147" s="10" t="s">
        <v>5131</v>
      </c>
      <c r="I2147" s="11">
        <v>2</v>
      </c>
      <c r="K2147" s="10" t="s">
        <v>46</v>
      </c>
      <c r="L2147" s="5" t="s">
        <v>47</v>
      </c>
      <c r="M2147" s="5" t="s">
        <v>115</v>
      </c>
      <c r="N2147" s="5" t="s">
        <v>116</v>
      </c>
      <c r="O2147" s="12"/>
      <c r="S2147" s="13">
        <v>65</v>
      </c>
      <c r="U2147" s="13">
        <v>65</v>
      </c>
      <c r="AC2147" s="10" t="s">
        <v>5132</v>
      </c>
      <c r="AD2147" s="5" t="s">
        <v>4656</v>
      </c>
      <c r="AE2147" s="5" t="s">
        <v>4713</v>
      </c>
    </row>
    <row r="2148" spans="1:31" ht="10" customHeight="1" x14ac:dyDescent="0.2">
      <c r="A2148" s="5" t="s">
        <v>4708</v>
      </c>
      <c r="B2148" s="5" t="s">
        <v>4709</v>
      </c>
      <c r="C2148" s="5" t="s">
        <v>5164</v>
      </c>
      <c r="D2148" s="5" t="s">
        <v>5165</v>
      </c>
      <c r="E2148" s="10" t="s">
        <v>5131</v>
      </c>
      <c r="I2148" s="11">
        <v>2</v>
      </c>
      <c r="K2148" s="10" t="s">
        <v>46</v>
      </c>
      <c r="L2148" s="5" t="s">
        <v>47</v>
      </c>
      <c r="M2148" s="5" t="s">
        <v>115</v>
      </c>
      <c r="N2148" s="5" t="s">
        <v>116</v>
      </c>
      <c r="O2148" s="12"/>
      <c r="S2148" s="13">
        <v>65</v>
      </c>
      <c r="U2148" s="13">
        <v>65</v>
      </c>
      <c r="AC2148" s="10" t="s">
        <v>5132</v>
      </c>
      <c r="AD2148" s="5" t="s">
        <v>5166</v>
      </c>
      <c r="AE2148" s="5" t="s">
        <v>4713</v>
      </c>
    </row>
    <row r="2149" spans="1:31" ht="10" customHeight="1" x14ac:dyDescent="0.2">
      <c r="A2149" s="5" t="s">
        <v>4708</v>
      </c>
      <c r="B2149" s="5" t="s">
        <v>4709</v>
      </c>
      <c r="C2149" s="5" t="s">
        <v>4951</v>
      </c>
      <c r="D2149" s="5" t="s">
        <v>5167</v>
      </c>
      <c r="E2149" s="10" t="s">
        <v>5131</v>
      </c>
      <c r="I2149" s="11">
        <v>2</v>
      </c>
      <c r="K2149" s="10" t="s">
        <v>46</v>
      </c>
      <c r="L2149" s="5" t="s">
        <v>47</v>
      </c>
      <c r="M2149" s="5" t="s">
        <v>115</v>
      </c>
      <c r="N2149" s="5" t="s">
        <v>116</v>
      </c>
      <c r="O2149" s="12"/>
      <c r="S2149" s="13">
        <v>61</v>
      </c>
      <c r="U2149" s="13">
        <v>61</v>
      </c>
      <c r="AC2149" s="10" t="s">
        <v>5132</v>
      </c>
      <c r="AD2149" s="5" t="s">
        <v>86</v>
      </c>
      <c r="AE2149" s="5" t="s">
        <v>4713</v>
      </c>
    </row>
    <row r="2150" spans="1:31" ht="10" customHeight="1" x14ac:dyDescent="0.2">
      <c r="A2150" s="5" t="s">
        <v>4708</v>
      </c>
      <c r="B2150" s="5" t="s">
        <v>4709</v>
      </c>
      <c r="C2150" s="5" t="s">
        <v>5168</v>
      </c>
      <c r="D2150" s="5" t="s">
        <v>5169</v>
      </c>
      <c r="E2150" s="10" t="s">
        <v>5131</v>
      </c>
      <c r="I2150" s="11">
        <v>2</v>
      </c>
      <c r="K2150" s="10" t="s">
        <v>46</v>
      </c>
      <c r="L2150" s="5" t="s">
        <v>47</v>
      </c>
      <c r="M2150" s="5" t="s">
        <v>115</v>
      </c>
      <c r="N2150" s="5" t="s">
        <v>116</v>
      </c>
      <c r="O2150" s="12"/>
      <c r="S2150" s="13">
        <v>34</v>
      </c>
      <c r="U2150" s="13">
        <v>34</v>
      </c>
      <c r="AC2150" s="10" t="s">
        <v>5132</v>
      </c>
      <c r="AD2150" s="5" t="s">
        <v>5166</v>
      </c>
      <c r="AE2150" s="5" t="s">
        <v>4713</v>
      </c>
    </row>
    <row r="2151" spans="1:31" ht="10" customHeight="1" x14ac:dyDescent="0.2">
      <c r="A2151" s="5" t="s">
        <v>4708</v>
      </c>
      <c r="B2151" s="5" t="s">
        <v>4709</v>
      </c>
      <c r="D2151" s="5" t="s">
        <v>5170</v>
      </c>
      <c r="E2151" s="10" t="s">
        <v>5131</v>
      </c>
      <c r="I2151" s="11">
        <v>2</v>
      </c>
      <c r="K2151" s="12"/>
      <c r="O2151" s="12"/>
      <c r="S2151" s="13">
        <v>127596</v>
      </c>
      <c r="U2151" s="13">
        <v>127596</v>
      </c>
      <c r="AC2151" s="10" t="s">
        <v>5132</v>
      </c>
      <c r="AD2151" s="5" t="s">
        <v>5154</v>
      </c>
      <c r="AE2151" s="5" t="s">
        <v>4713</v>
      </c>
    </row>
    <row r="2152" spans="1:31" ht="10" customHeight="1" x14ac:dyDescent="0.2">
      <c r="A2152" s="5" t="s">
        <v>4708</v>
      </c>
      <c r="B2152" s="5" t="s">
        <v>4709</v>
      </c>
      <c r="C2152" s="5" t="s">
        <v>4845</v>
      </c>
      <c r="D2152" s="5" t="s">
        <v>5171</v>
      </c>
      <c r="E2152" s="10" t="s">
        <v>5131</v>
      </c>
      <c r="I2152" s="11">
        <v>2</v>
      </c>
      <c r="K2152" s="10" t="s">
        <v>46</v>
      </c>
      <c r="L2152" s="5" t="s">
        <v>47</v>
      </c>
      <c r="M2152" s="5" t="s">
        <v>65</v>
      </c>
      <c r="N2152" s="5" t="s">
        <v>66</v>
      </c>
      <c r="O2152" s="12"/>
      <c r="S2152" s="13">
        <v>1746</v>
      </c>
      <c r="U2152" s="13">
        <v>1746</v>
      </c>
      <c r="AC2152" s="10" t="s">
        <v>5172</v>
      </c>
      <c r="AD2152" s="5" t="s">
        <v>5154</v>
      </c>
      <c r="AE2152" s="5" t="s">
        <v>4713</v>
      </c>
    </row>
    <row r="2153" spans="1:31" ht="10" customHeight="1" x14ac:dyDescent="0.2">
      <c r="A2153" s="5" t="s">
        <v>4708</v>
      </c>
      <c r="B2153" s="5" t="s">
        <v>4709</v>
      </c>
      <c r="C2153" s="5" t="s">
        <v>5173</v>
      </c>
      <c r="D2153" s="5" t="s">
        <v>5174</v>
      </c>
      <c r="E2153" s="10" t="s">
        <v>5131</v>
      </c>
      <c r="I2153" s="11">
        <v>2</v>
      </c>
      <c r="K2153" s="10" t="s">
        <v>46</v>
      </c>
      <c r="L2153" s="5" t="s">
        <v>47</v>
      </c>
      <c r="M2153" s="5" t="s">
        <v>65</v>
      </c>
      <c r="N2153" s="5" t="s">
        <v>66</v>
      </c>
      <c r="O2153" s="12"/>
      <c r="S2153" s="13">
        <v>1956</v>
      </c>
      <c r="U2153" s="13">
        <v>1956</v>
      </c>
      <c r="AC2153" s="10" t="s">
        <v>5172</v>
      </c>
      <c r="AD2153" s="5" t="s">
        <v>5154</v>
      </c>
      <c r="AE2153" s="5" t="s">
        <v>4713</v>
      </c>
    </row>
    <row r="2154" spans="1:31" ht="10" customHeight="1" x14ac:dyDescent="0.2">
      <c r="A2154" s="5" t="s">
        <v>4708</v>
      </c>
      <c r="B2154" s="5" t="s">
        <v>4709</v>
      </c>
      <c r="C2154" s="5" t="s">
        <v>5175</v>
      </c>
      <c r="D2154" s="5" t="s">
        <v>5176</v>
      </c>
      <c r="E2154" s="10" t="s">
        <v>5131</v>
      </c>
      <c r="I2154" s="11">
        <v>2</v>
      </c>
      <c r="K2154" s="10" t="s">
        <v>46</v>
      </c>
      <c r="L2154" s="5" t="s">
        <v>47</v>
      </c>
      <c r="M2154" s="5" t="s">
        <v>65</v>
      </c>
      <c r="N2154" s="5" t="s">
        <v>66</v>
      </c>
      <c r="O2154" s="12"/>
      <c r="S2154" s="13">
        <v>2252</v>
      </c>
      <c r="U2154" s="13">
        <v>2252</v>
      </c>
      <c r="AC2154" s="10" t="s">
        <v>5172</v>
      </c>
      <c r="AD2154" s="5" t="s">
        <v>5154</v>
      </c>
      <c r="AE2154" s="5" t="s">
        <v>4713</v>
      </c>
    </row>
    <row r="2155" spans="1:31" ht="10" customHeight="1" x14ac:dyDescent="0.2">
      <c r="A2155" s="5" t="s">
        <v>4708</v>
      </c>
      <c r="B2155" s="5" t="s">
        <v>4709</v>
      </c>
      <c r="C2155" s="5" t="s">
        <v>4887</v>
      </c>
      <c r="D2155" s="5" t="s">
        <v>5177</v>
      </c>
      <c r="E2155" s="10" t="s">
        <v>5131</v>
      </c>
      <c r="I2155" s="11">
        <v>2</v>
      </c>
      <c r="K2155" s="10" t="s">
        <v>46</v>
      </c>
      <c r="L2155" s="5" t="s">
        <v>47</v>
      </c>
      <c r="M2155" s="5" t="s">
        <v>65</v>
      </c>
      <c r="N2155" s="5" t="s">
        <v>66</v>
      </c>
      <c r="O2155" s="12"/>
      <c r="S2155" s="13">
        <v>2414</v>
      </c>
      <c r="U2155" s="13">
        <v>2414</v>
      </c>
      <c r="AC2155" s="10" t="s">
        <v>5172</v>
      </c>
      <c r="AD2155" s="5" t="s">
        <v>5154</v>
      </c>
      <c r="AE2155" s="5" t="s">
        <v>4713</v>
      </c>
    </row>
    <row r="2156" spans="1:31" ht="10" customHeight="1" x14ac:dyDescent="0.2">
      <c r="A2156" s="5" t="s">
        <v>4708</v>
      </c>
      <c r="B2156" s="5" t="s">
        <v>4709</v>
      </c>
      <c r="C2156" s="5" t="s">
        <v>4833</v>
      </c>
      <c r="D2156" s="5" t="s">
        <v>5178</v>
      </c>
      <c r="E2156" s="10" t="s">
        <v>5131</v>
      </c>
      <c r="I2156" s="11">
        <v>2</v>
      </c>
      <c r="K2156" s="10" t="s">
        <v>46</v>
      </c>
      <c r="L2156" s="5" t="s">
        <v>47</v>
      </c>
      <c r="M2156" s="5" t="s">
        <v>65</v>
      </c>
      <c r="N2156" s="5" t="s">
        <v>66</v>
      </c>
      <c r="O2156" s="12"/>
      <c r="S2156" s="13">
        <v>6810</v>
      </c>
      <c r="U2156" s="13">
        <v>6810</v>
      </c>
      <c r="AC2156" s="10" t="s">
        <v>5172</v>
      </c>
      <c r="AD2156" s="5" t="s">
        <v>5154</v>
      </c>
      <c r="AE2156" s="5" t="s">
        <v>4713</v>
      </c>
    </row>
    <row r="2157" spans="1:31" ht="10" customHeight="1" x14ac:dyDescent="0.2">
      <c r="A2157" s="5" t="s">
        <v>4708</v>
      </c>
      <c r="B2157" s="5" t="s">
        <v>4709</v>
      </c>
      <c r="D2157" s="5" t="s">
        <v>5179</v>
      </c>
      <c r="E2157" s="10" t="s">
        <v>5131</v>
      </c>
      <c r="I2157" s="11">
        <v>2</v>
      </c>
      <c r="K2157" s="12"/>
      <c r="O2157" s="12"/>
      <c r="S2157" s="13">
        <v>15178</v>
      </c>
      <c r="U2157" s="13">
        <v>15178</v>
      </c>
      <c r="AC2157" s="10" t="s">
        <v>5172</v>
      </c>
      <c r="AD2157" s="5" t="s">
        <v>5154</v>
      </c>
      <c r="AE2157" s="5" t="s">
        <v>4713</v>
      </c>
    </row>
    <row r="2158" spans="1:31" ht="10" customHeight="1" x14ac:dyDescent="0.2">
      <c r="A2158" s="5" t="s">
        <v>4708</v>
      </c>
      <c r="B2158" s="5" t="s">
        <v>4709</v>
      </c>
      <c r="D2158" s="5" t="s">
        <v>5180</v>
      </c>
      <c r="E2158" s="10" t="s">
        <v>44</v>
      </c>
      <c r="I2158" s="11">
        <v>6</v>
      </c>
      <c r="K2158" s="12"/>
      <c r="O2158" s="12"/>
      <c r="P2158" s="13">
        <v>2714238</v>
      </c>
      <c r="Q2158" s="13">
        <v>2671812</v>
      </c>
      <c r="S2158" s="13">
        <v>2760878</v>
      </c>
      <c r="U2158" s="13">
        <v>2760878</v>
      </c>
      <c r="AC2158" s="10" t="s">
        <v>5181</v>
      </c>
      <c r="AD2158" s="5" t="s">
        <v>5182</v>
      </c>
      <c r="AE2158" s="5" t="s">
        <v>5183</v>
      </c>
    </row>
    <row r="2159" spans="1:31" ht="10" customHeight="1" x14ac:dyDescent="0.2">
      <c r="A2159" s="5" t="s">
        <v>4708</v>
      </c>
      <c r="B2159" s="5" t="s">
        <v>4709</v>
      </c>
      <c r="D2159" s="5" t="s">
        <v>5184</v>
      </c>
      <c r="E2159" s="10" t="s">
        <v>53</v>
      </c>
      <c r="F2159" s="5" t="s">
        <v>5180</v>
      </c>
      <c r="I2159" s="11">
        <v>6</v>
      </c>
      <c r="K2159" s="10" t="s">
        <v>46</v>
      </c>
      <c r="L2159" s="5" t="s">
        <v>47</v>
      </c>
      <c r="M2159" s="5" t="s">
        <v>115</v>
      </c>
      <c r="N2159" s="5" t="s">
        <v>116</v>
      </c>
      <c r="O2159" s="12"/>
      <c r="P2159" s="13">
        <v>183642</v>
      </c>
      <c r="Q2159" s="13">
        <v>197600</v>
      </c>
      <c r="S2159" s="13">
        <v>209225</v>
      </c>
      <c r="U2159" s="13">
        <v>209225</v>
      </c>
      <c r="AC2159" s="10" t="s">
        <v>5185</v>
      </c>
      <c r="AD2159" s="5" t="s">
        <v>5186</v>
      </c>
      <c r="AE2159" s="5" t="s">
        <v>5183</v>
      </c>
    </row>
    <row r="2160" spans="1:31" ht="10" customHeight="1" x14ac:dyDescent="0.2">
      <c r="A2160" s="5" t="s">
        <v>4708</v>
      </c>
      <c r="B2160" s="5" t="s">
        <v>4709</v>
      </c>
      <c r="D2160" s="5" t="s">
        <v>5187</v>
      </c>
      <c r="E2160" s="10" t="s">
        <v>53</v>
      </c>
      <c r="F2160" s="5" t="s">
        <v>5180</v>
      </c>
      <c r="I2160" s="11">
        <v>6</v>
      </c>
      <c r="K2160" s="10" t="s">
        <v>46</v>
      </c>
      <c r="L2160" s="5" t="s">
        <v>47</v>
      </c>
      <c r="M2160" s="5" t="s">
        <v>4680</v>
      </c>
      <c r="N2160" s="5" t="s">
        <v>4681</v>
      </c>
      <c r="O2160" s="12"/>
      <c r="P2160" s="13">
        <v>14157</v>
      </c>
      <c r="Q2160" s="13">
        <v>7186</v>
      </c>
      <c r="S2160" s="13">
        <v>5573</v>
      </c>
      <c r="U2160" s="13">
        <v>5573</v>
      </c>
      <c r="AC2160" s="10" t="s">
        <v>5185</v>
      </c>
      <c r="AD2160" s="5" t="s">
        <v>5186</v>
      </c>
      <c r="AE2160" s="5" t="s">
        <v>5183</v>
      </c>
    </row>
    <row r="2161" spans="1:32" ht="10" customHeight="1" x14ac:dyDescent="0.2">
      <c r="A2161" s="5" t="s">
        <v>4708</v>
      </c>
      <c r="B2161" s="5" t="s">
        <v>4709</v>
      </c>
      <c r="D2161" s="5" t="s">
        <v>5188</v>
      </c>
      <c r="E2161" s="10" t="s">
        <v>53</v>
      </c>
      <c r="F2161" s="5" t="s">
        <v>5180</v>
      </c>
      <c r="I2161" s="11">
        <v>6</v>
      </c>
      <c r="K2161" s="10" t="s">
        <v>46</v>
      </c>
      <c r="L2161" s="5" t="s">
        <v>47</v>
      </c>
      <c r="M2161" s="5" t="s">
        <v>65</v>
      </c>
      <c r="N2161" s="5" t="s">
        <v>66</v>
      </c>
      <c r="O2161" s="12"/>
      <c r="P2161" s="13">
        <v>81444</v>
      </c>
      <c r="Q2161" s="13">
        <v>81505</v>
      </c>
      <c r="S2161" s="13">
        <v>86561</v>
      </c>
      <c r="U2161" s="13">
        <v>86561</v>
      </c>
      <c r="AC2161" s="10" t="s">
        <v>5185</v>
      </c>
      <c r="AD2161" s="5" t="s">
        <v>5186</v>
      </c>
      <c r="AE2161" s="5" t="s">
        <v>5183</v>
      </c>
    </row>
    <row r="2162" spans="1:32" ht="10" customHeight="1" x14ac:dyDescent="0.2">
      <c r="A2162" s="5" t="s">
        <v>4708</v>
      </c>
      <c r="B2162" s="5" t="s">
        <v>4709</v>
      </c>
      <c r="D2162" s="5" t="s">
        <v>5189</v>
      </c>
      <c r="E2162" s="10" t="s">
        <v>53</v>
      </c>
      <c r="F2162" s="5" t="s">
        <v>5180</v>
      </c>
      <c r="I2162" s="11">
        <v>6</v>
      </c>
      <c r="K2162" s="12"/>
      <c r="O2162" s="12"/>
      <c r="P2162" s="13">
        <v>7548</v>
      </c>
      <c r="Q2162" s="13">
        <v>8364</v>
      </c>
      <c r="S2162" s="13">
        <v>6842</v>
      </c>
      <c r="U2162" s="13">
        <v>6842</v>
      </c>
      <c r="AC2162" s="10" t="s">
        <v>5185</v>
      </c>
      <c r="AD2162" s="5" t="s">
        <v>5186</v>
      </c>
      <c r="AE2162" s="5" t="s">
        <v>5183</v>
      </c>
    </row>
    <row r="2163" spans="1:32" ht="10" customHeight="1" x14ac:dyDescent="0.2">
      <c r="A2163" s="5" t="s">
        <v>4708</v>
      </c>
      <c r="B2163" s="5" t="s">
        <v>4709</v>
      </c>
      <c r="D2163" s="5" t="s">
        <v>5190</v>
      </c>
      <c r="E2163" s="10" t="s">
        <v>53</v>
      </c>
      <c r="F2163" s="5" t="s">
        <v>5180</v>
      </c>
      <c r="I2163" s="11">
        <v>6</v>
      </c>
      <c r="K2163" s="12"/>
      <c r="O2163" s="12"/>
      <c r="P2163" s="13">
        <v>446317</v>
      </c>
      <c r="Q2163" s="13">
        <v>463167</v>
      </c>
      <c r="S2163" s="13">
        <v>451307</v>
      </c>
      <c r="U2163" s="13">
        <v>451307</v>
      </c>
      <c r="AC2163" s="10" t="s">
        <v>5185</v>
      </c>
      <c r="AD2163" s="5" t="s">
        <v>5186</v>
      </c>
      <c r="AE2163" s="5" t="s">
        <v>5183</v>
      </c>
    </row>
    <row r="2164" spans="1:32" ht="10" customHeight="1" x14ac:dyDescent="0.2">
      <c r="A2164" s="5" t="s">
        <v>4708</v>
      </c>
      <c r="B2164" s="5" t="s">
        <v>4709</v>
      </c>
      <c r="D2164" s="5" t="s">
        <v>5191</v>
      </c>
      <c r="E2164" s="10" t="s">
        <v>53</v>
      </c>
      <c r="F2164" s="5" t="s">
        <v>5180</v>
      </c>
      <c r="I2164" s="11">
        <v>6</v>
      </c>
      <c r="K2164" s="12"/>
      <c r="O2164" s="12"/>
      <c r="P2164" s="13">
        <v>120535</v>
      </c>
      <c r="Q2164" s="13">
        <v>87573</v>
      </c>
      <c r="S2164" s="13">
        <v>81780</v>
      </c>
      <c r="U2164" s="13">
        <v>81780</v>
      </c>
      <c r="AC2164" s="10" t="s">
        <v>5185</v>
      </c>
      <c r="AD2164" s="5" t="s">
        <v>5186</v>
      </c>
      <c r="AE2164" s="5" t="s">
        <v>5183</v>
      </c>
    </row>
    <row r="2165" spans="1:32" ht="10" customHeight="1" x14ac:dyDescent="0.2">
      <c r="A2165" s="5" t="s">
        <v>4708</v>
      </c>
      <c r="B2165" s="5" t="s">
        <v>4709</v>
      </c>
      <c r="D2165" s="5" t="s">
        <v>5192</v>
      </c>
      <c r="E2165" s="10" t="s">
        <v>53</v>
      </c>
      <c r="F2165" s="5" t="s">
        <v>5180</v>
      </c>
      <c r="I2165" s="11">
        <v>6</v>
      </c>
      <c r="K2165" s="12"/>
      <c r="O2165" s="12"/>
      <c r="P2165" s="13">
        <v>327227</v>
      </c>
      <c r="Q2165" s="13">
        <v>340900</v>
      </c>
      <c r="S2165" s="13">
        <v>355445</v>
      </c>
      <c r="U2165" s="13">
        <v>355445</v>
      </c>
      <c r="AC2165" s="10" t="s">
        <v>5185</v>
      </c>
      <c r="AD2165" s="5" t="s">
        <v>5186</v>
      </c>
      <c r="AE2165" s="5" t="s">
        <v>5183</v>
      </c>
    </row>
    <row r="2166" spans="1:32" ht="10" customHeight="1" x14ac:dyDescent="0.2">
      <c r="A2166" s="5" t="s">
        <v>4708</v>
      </c>
      <c r="B2166" s="5" t="s">
        <v>4709</v>
      </c>
      <c r="D2166" s="5" t="s">
        <v>5193</v>
      </c>
      <c r="E2166" s="10" t="s">
        <v>53</v>
      </c>
      <c r="F2166" s="5" t="s">
        <v>5180</v>
      </c>
      <c r="I2166" s="11">
        <v>6</v>
      </c>
      <c r="K2166" s="12"/>
      <c r="O2166" s="12"/>
      <c r="P2166" s="13">
        <v>255302</v>
      </c>
      <c r="Q2166" s="13">
        <v>269204</v>
      </c>
      <c r="S2166" s="13">
        <v>251345</v>
      </c>
      <c r="U2166" s="13">
        <v>251345</v>
      </c>
      <c r="AC2166" s="10" t="s">
        <v>5185</v>
      </c>
      <c r="AD2166" s="5" t="s">
        <v>5186</v>
      </c>
      <c r="AE2166" s="5" t="s">
        <v>5183</v>
      </c>
    </row>
    <row r="2167" spans="1:32" ht="10" customHeight="1" x14ac:dyDescent="0.2">
      <c r="A2167" s="5" t="s">
        <v>4708</v>
      </c>
      <c r="B2167" s="5" t="s">
        <v>4709</v>
      </c>
      <c r="D2167" s="5" t="s">
        <v>5194</v>
      </c>
      <c r="E2167" s="10" t="s">
        <v>44</v>
      </c>
      <c r="I2167" s="11">
        <v>4</v>
      </c>
      <c r="K2167" s="12"/>
      <c r="O2167" s="12"/>
      <c r="P2167" s="13">
        <v>415261</v>
      </c>
      <c r="Q2167" s="13">
        <v>277773</v>
      </c>
      <c r="S2167" s="13">
        <v>410893</v>
      </c>
      <c r="U2167" s="13">
        <v>410893</v>
      </c>
      <c r="AC2167" s="10" t="s">
        <v>5195</v>
      </c>
      <c r="AD2167" s="5" t="s">
        <v>5186</v>
      </c>
      <c r="AE2167" s="5" t="s">
        <v>5183</v>
      </c>
    </row>
    <row r="2168" spans="1:32" ht="10" customHeight="1" x14ac:dyDescent="0.2">
      <c r="A2168" s="5" t="s">
        <v>4708</v>
      </c>
      <c r="B2168" s="5" t="s">
        <v>4709</v>
      </c>
      <c r="D2168" s="5" t="s">
        <v>5196</v>
      </c>
      <c r="E2168" s="10" t="s">
        <v>53</v>
      </c>
      <c r="F2168" s="5" t="s">
        <v>5194</v>
      </c>
      <c r="I2168" s="11">
        <v>4</v>
      </c>
      <c r="K2168" s="12"/>
      <c r="O2168" s="12"/>
      <c r="P2168" s="13">
        <v>7958</v>
      </c>
      <c r="Q2168" s="13">
        <v>8083</v>
      </c>
      <c r="S2168" s="13">
        <v>6821</v>
      </c>
      <c r="U2168" s="13">
        <v>6821</v>
      </c>
      <c r="AC2168" s="10" t="s">
        <v>5197</v>
      </c>
      <c r="AD2168" s="5" t="s">
        <v>5186</v>
      </c>
      <c r="AE2168" s="5" t="s">
        <v>5183</v>
      </c>
      <c r="AF2168" s="5" t="s">
        <v>5198</v>
      </c>
    </row>
    <row r="2169" spans="1:32" ht="10" customHeight="1" x14ac:dyDescent="0.2">
      <c r="A2169" s="5" t="s">
        <v>4708</v>
      </c>
      <c r="B2169" s="5" t="s">
        <v>4709</v>
      </c>
      <c r="D2169" s="5" t="s">
        <v>5199</v>
      </c>
      <c r="E2169" s="10" t="s">
        <v>53</v>
      </c>
      <c r="F2169" s="5" t="s">
        <v>5194</v>
      </c>
      <c r="I2169" s="11">
        <v>4</v>
      </c>
      <c r="K2169" s="10" t="s">
        <v>46</v>
      </c>
      <c r="L2169" s="5" t="s">
        <v>47</v>
      </c>
      <c r="M2169" s="5" t="s">
        <v>48</v>
      </c>
      <c r="N2169" s="5" t="s">
        <v>84</v>
      </c>
      <c r="O2169" s="12"/>
      <c r="P2169" s="13">
        <v>49174</v>
      </c>
      <c r="Q2169" s="13">
        <v>52893</v>
      </c>
      <c r="S2169" s="13">
        <v>58269</v>
      </c>
      <c r="U2169" s="13">
        <v>58269</v>
      </c>
      <c r="AC2169" s="10" t="s">
        <v>5200</v>
      </c>
      <c r="AD2169" s="5" t="s">
        <v>5186</v>
      </c>
      <c r="AE2169" s="5" t="s">
        <v>5183</v>
      </c>
      <c r="AF2169" s="5" t="s">
        <v>48</v>
      </c>
    </row>
    <row r="2170" spans="1:32" ht="10" customHeight="1" x14ac:dyDescent="0.2">
      <c r="A2170" s="5" t="s">
        <v>4708</v>
      </c>
      <c r="B2170" s="5" t="s">
        <v>4709</v>
      </c>
      <c r="D2170" s="5" t="s">
        <v>5201</v>
      </c>
      <c r="E2170" s="10" t="s">
        <v>53</v>
      </c>
      <c r="F2170" s="5" t="s">
        <v>5194</v>
      </c>
      <c r="I2170" s="11">
        <v>4</v>
      </c>
      <c r="K2170" s="10" t="s">
        <v>46</v>
      </c>
      <c r="L2170" s="5" t="s">
        <v>47</v>
      </c>
      <c r="M2170" s="5" t="s">
        <v>115</v>
      </c>
      <c r="N2170" s="5" t="s">
        <v>116</v>
      </c>
      <c r="O2170" s="12"/>
      <c r="P2170" s="13">
        <v>127935</v>
      </c>
      <c r="Q2170" s="13">
        <v>75364</v>
      </c>
      <c r="S2170" s="13">
        <v>95494</v>
      </c>
      <c r="U2170" s="13">
        <v>95494</v>
      </c>
      <c r="AC2170" s="10" t="s">
        <v>5202</v>
      </c>
      <c r="AD2170" s="5" t="s">
        <v>5186</v>
      </c>
      <c r="AE2170" s="5" t="s">
        <v>5183</v>
      </c>
      <c r="AF2170" s="5" t="s">
        <v>116</v>
      </c>
    </row>
    <row r="2171" spans="1:32" ht="10" customHeight="1" x14ac:dyDescent="0.2">
      <c r="A2171" s="5" t="s">
        <v>4708</v>
      </c>
      <c r="B2171" s="5" t="s">
        <v>4709</v>
      </c>
      <c r="D2171" s="5" t="s">
        <v>5203</v>
      </c>
      <c r="E2171" s="10" t="s">
        <v>53</v>
      </c>
      <c r="F2171" s="5" t="s">
        <v>5194</v>
      </c>
      <c r="I2171" s="11">
        <v>4</v>
      </c>
      <c r="K2171" s="10" t="s">
        <v>46</v>
      </c>
      <c r="L2171" s="5" t="s">
        <v>47</v>
      </c>
      <c r="M2171" s="5" t="s">
        <v>145</v>
      </c>
      <c r="N2171" s="5" t="s">
        <v>4905</v>
      </c>
      <c r="O2171" s="12"/>
      <c r="P2171" s="13">
        <v>140115</v>
      </c>
      <c r="Q2171" s="13">
        <v>47075</v>
      </c>
      <c r="S2171" s="13">
        <v>178395</v>
      </c>
      <c r="U2171" s="13">
        <v>178395</v>
      </c>
      <c r="AC2171" s="10" t="s">
        <v>5204</v>
      </c>
      <c r="AD2171" s="5" t="s">
        <v>5186</v>
      </c>
      <c r="AE2171" s="5" t="s">
        <v>5183</v>
      </c>
      <c r="AF2171" s="5" t="s">
        <v>5205</v>
      </c>
    </row>
    <row r="2172" spans="1:32" ht="10" customHeight="1" x14ac:dyDescent="0.2">
      <c r="A2172" s="5" t="s">
        <v>4708</v>
      </c>
      <c r="B2172" s="5" t="s">
        <v>4709</v>
      </c>
      <c r="D2172" s="5" t="s">
        <v>5206</v>
      </c>
      <c r="E2172" s="10" t="s">
        <v>53</v>
      </c>
      <c r="F2172" s="5" t="s">
        <v>5194</v>
      </c>
      <c r="I2172" s="11">
        <v>4</v>
      </c>
      <c r="K2172" s="10" t="s">
        <v>46</v>
      </c>
      <c r="L2172" s="5" t="s">
        <v>47</v>
      </c>
      <c r="M2172" s="5" t="s">
        <v>115</v>
      </c>
      <c r="O2172" s="12"/>
      <c r="P2172" s="13">
        <v>11708</v>
      </c>
      <c r="Q2172" s="13">
        <v>15000</v>
      </c>
      <c r="S2172" s="13">
        <v>14512</v>
      </c>
      <c r="U2172" s="13">
        <v>14512</v>
      </c>
      <c r="AC2172" s="10" t="s">
        <v>5207</v>
      </c>
      <c r="AD2172" s="5" t="s">
        <v>5186</v>
      </c>
      <c r="AE2172" s="5" t="s">
        <v>5183</v>
      </c>
      <c r="AF2172" s="5" t="s">
        <v>115</v>
      </c>
    </row>
    <row r="2173" spans="1:32" ht="10" customHeight="1" x14ac:dyDescent="0.2">
      <c r="A2173" s="5" t="s">
        <v>4708</v>
      </c>
      <c r="B2173" s="5" t="s">
        <v>4709</v>
      </c>
      <c r="D2173" s="5" t="s">
        <v>5208</v>
      </c>
      <c r="E2173" s="10" t="s">
        <v>53</v>
      </c>
      <c r="F2173" s="5" t="s">
        <v>5194</v>
      </c>
      <c r="I2173" s="11">
        <v>4</v>
      </c>
      <c r="K2173" s="10" t="s">
        <v>46</v>
      </c>
      <c r="L2173" s="5" t="s">
        <v>47</v>
      </c>
      <c r="M2173" s="5" t="s">
        <v>65</v>
      </c>
      <c r="N2173" s="5" t="s">
        <v>66</v>
      </c>
      <c r="O2173" s="12"/>
      <c r="P2173" s="13">
        <v>53695</v>
      </c>
      <c r="Q2173" s="13">
        <v>69476</v>
      </c>
      <c r="S2173" s="13">
        <v>51173</v>
      </c>
      <c r="U2173" s="13">
        <v>51173</v>
      </c>
      <c r="AC2173" s="10" t="s">
        <v>5209</v>
      </c>
      <c r="AD2173" s="5" t="s">
        <v>5186</v>
      </c>
      <c r="AE2173" s="5" t="s">
        <v>5183</v>
      </c>
      <c r="AF2173" s="5" t="s">
        <v>5210</v>
      </c>
    </row>
    <row r="2174" spans="1:32" ht="10" customHeight="1" x14ac:dyDescent="0.2">
      <c r="A2174" s="5" t="s">
        <v>4708</v>
      </c>
      <c r="B2174" s="5" t="s">
        <v>4709</v>
      </c>
      <c r="D2174" s="5" t="s">
        <v>5211</v>
      </c>
      <c r="E2174" s="10" t="s">
        <v>53</v>
      </c>
      <c r="F2174" s="5" t="s">
        <v>5194</v>
      </c>
      <c r="I2174" s="11">
        <v>4</v>
      </c>
      <c r="K2174" s="10" t="s">
        <v>46</v>
      </c>
      <c r="L2174" s="5" t="s">
        <v>47</v>
      </c>
      <c r="M2174" s="5" t="s">
        <v>115</v>
      </c>
      <c r="N2174" s="5" t="s">
        <v>4955</v>
      </c>
      <c r="O2174" s="12"/>
      <c r="P2174" s="13">
        <v>12087</v>
      </c>
      <c r="Q2174" s="13">
        <v>8</v>
      </c>
      <c r="S2174" s="13">
        <v>5</v>
      </c>
      <c r="U2174" s="13">
        <v>5</v>
      </c>
      <c r="AC2174" s="10" t="s">
        <v>5212</v>
      </c>
      <c r="AD2174" s="5" t="s">
        <v>2163</v>
      </c>
      <c r="AE2174" s="5" t="s">
        <v>5183</v>
      </c>
      <c r="AF2174" s="5" t="s">
        <v>5213</v>
      </c>
    </row>
    <row r="2175" spans="1:32" ht="10" customHeight="1" x14ac:dyDescent="0.2">
      <c r="A2175" s="5" t="s">
        <v>4708</v>
      </c>
      <c r="B2175" s="5" t="s">
        <v>4709</v>
      </c>
      <c r="D2175" s="5" t="s">
        <v>5214</v>
      </c>
      <c r="E2175" s="10" t="s">
        <v>53</v>
      </c>
      <c r="F2175" s="5" t="s">
        <v>5194</v>
      </c>
      <c r="I2175" s="11">
        <v>4</v>
      </c>
      <c r="K2175" s="10" t="s">
        <v>46</v>
      </c>
      <c r="L2175" s="5" t="s">
        <v>47</v>
      </c>
      <c r="M2175" s="5" t="s">
        <v>115</v>
      </c>
      <c r="N2175" s="5" t="s">
        <v>135</v>
      </c>
      <c r="O2175" s="12"/>
      <c r="P2175" s="13">
        <v>8247</v>
      </c>
      <c r="Q2175" s="13">
        <v>5631</v>
      </c>
      <c r="S2175" s="13">
        <v>2051</v>
      </c>
      <c r="U2175" s="13">
        <v>2051</v>
      </c>
      <c r="AC2175" s="10" t="s">
        <v>5215</v>
      </c>
      <c r="AD2175" s="5" t="s">
        <v>5186</v>
      </c>
      <c r="AE2175" s="5" t="s">
        <v>5183</v>
      </c>
      <c r="AF2175" s="5" t="s">
        <v>135</v>
      </c>
    </row>
    <row r="2176" spans="1:32" ht="10" customHeight="1" x14ac:dyDescent="0.2">
      <c r="A2176" s="5" t="s">
        <v>4708</v>
      </c>
      <c r="B2176" s="5" t="s">
        <v>4709</v>
      </c>
      <c r="D2176" s="5" t="s">
        <v>5216</v>
      </c>
      <c r="E2176" s="10" t="s">
        <v>53</v>
      </c>
      <c r="F2176" s="5" t="s">
        <v>5194</v>
      </c>
      <c r="I2176" s="11">
        <v>4</v>
      </c>
      <c r="K2176" s="12"/>
      <c r="O2176" s="12"/>
      <c r="P2176" s="13">
        <v>922</v>
      </c>
      <c r="Q2176" s="13">
        <v>894</v>
      </c>
      <c r="S2176" s="13">
        <v>709</v>
      </c>
      <c r="U2176" s="13">
        <v>709</v>
      </c>
      <c r="AC2176" s="10" t="s">
        <v>5217</v>
      </c>
      <c r="AD2176" s="5" t="s">
        <v>5186</v>
      </c>
      <c r="AE2176" s="5" t="s">
        <v>5183</v>
      </c>
      <c r="AF2176" s="5" t="s">
        <v>295</v>
      </c>
    </row>
    <row r="2177" spans="1:32" ht="10" customHeight="1" x14ac:dyDescent="0.2">
      <c r="A2177" s="5" t="s">
        <v>4708</v>
      </c>
      <c r="B2177" s="5" t="s">
        <v>4709</v>
      </c>
      <c r="D2177" s="5" t="s">
        <v>5218</v>
      </c>
      <c r="E2177" s="10" t="s">
        <v>53</v>
      </c>
      <c r="F2177" s="5" t="s">
        <v>5194</v>
      </c>
      <c r="I2177" s="11">
        <v>4</v>
      </c>
      <c r="K2177" s="12"/>
      <c r="O2177" s="12"/>
      <c r="P2177" s="13">
        <v>3420</v>
      </c>
      <c r="Q2177" s="13">
        <v>3349</v>
      </c>
      <c r="S2177" s="13">
        <v>3464</v>
      </c>
      <c r="U2177" s="13">
        <v>3464</v>
      </c>
      <c r="AC2177" s="10" t="s">
        <v>5219</v>
      </c>
      <c r="AD2177" s="5" t="s">
        <v>5186</v>
      </c>
      <c r="AE2177" s="5" t="s">
        <v>5183</v>
      </c>
      <c r="AF2177" s="5" t="s">
        <v>5220</v>
      </c>
    </row>
    <row r="2178" spans="1:32" ht="10" customHeight="1" x14ac:dyDescent="0.2">
      <c r="A2178" s="5" t="s">
        <v>4708</v>
      </c>
      <c r="B2178" s="5" t="s">
        <v>4709</v>
      </c>
      <c r="D2178" s="5" t="s">
        <v>5221</v>
      </c>
      <c r="E2178" s="10" t="s">
        <v>53</v>
      </c>
      <c r="F2178" s="5" t="s">
        <v>5180</v>
      </c>
      <c r="I2178" s="11">
        <v>6</v>
      </c>
      <c r="K2178" s="12"/>
      <c r="O2178" s="12"/>
      <c r="P2178" s="13">
        <v>103028</v>
      </c>
      <c r="Q2178" s="13">
        <v>104083</v>
      </c>
      <c r="S2178" s="13">
        <v>115706</v>
      </c>
      <c r="U2178" s="13">
        <v>115706</v>
      </c>
      <c r="AC2178" s="10" t="s">
        <v>5222</v>
      </c>
      <c r="AD2178" s="5" t="s">
        <v>2302</v>
      </c>
      <c r="AE2178" s="5" t="s">
        <v>5183</v>
      </c>
      <c r="AF2178" s="5" t="s">
        <v>5223</v>
      </c>
    </row>
    <row r="2179" spans="1:32" ht="10" customHeight="1" x14ac:dyDescent="0.2">
      <c r="A2179" s="5" t="s">
        <v>4708</v>
      </c>
      <c r="B2179" s="5" t="s">
        <v>4709</v>
      </c>
      <c r="D2179" s="5" t="s">
        <v>5224</v>
      </c>
      <c r="E2179" s="10" t="s">
        <v>53</v>
      </c>
      <c r="F2179" s="5" t="s">
        <v>5180</v>
      </c>
      <c r="I2179" s="11">
        <v>6</v>
      </c>
      <c r="K2179" s="12"/>
      <c r="O2179" s="12"/>
      <c r="P2179" s="13">
        <v>22363</v>
      </c>
      <c r="Q2179" s="13">
        <v>34068</v>
      </c>
      <c r="S2179" s="13">
        <v>23672</v>
      </c>
      <c r="U2179" s="13">
        <v>23672</v>
      </c>
      <c r="AC2179" s="10" t="s">
        <v>5225</v>
      </c>
      <c r="AD2179" s="5" t="s">
        <v>2302</v>
      </c>
      <c r="AE2179" s="5" t="s">
        <v>5183</v>
      </c>
      <c r="AF2179" s="5" t="s">
        <v>5226</v>
      </c>
    </row>
    <row r="2180" spans="1:32" ht="10" customHeight="1" x14ac:dyDescent="0.2">
      <c r="A2180" s="5" t="s">
        <v>4708</v>
      </c>
      <c r="B2180" s="5" t="s">
        <v>4709</v>
      </c>
      <c r="D2180" s="5" t="s">
        <v>5227</v>
      </c>
      <c r="E2180" s="10" t="s">
        <v>53</v>
      </c>
      <c r="F2180" s="5" t="s">
        <v>5180</v>
      </c>
      <c r="I2180" s="11">
        <v>6</v>
      </c>
      <c r="K2180" s="12"/>
      <c r="O2180" s="12"/>
      <c r="P2180" s="13">
        <v>12756</v>
      </c>
      <c r="Q2180" s="13">
        <v>11062</v>
      </c>
      <c r="S2180" s="13">
        <v>14954</v>
      </c>
      <c r="U2180" s="13">
        <v>14954</v>
      </c>
      <c r="AC2180" s="10" t="s">
        <v>5228</v>
      </c>
      <c r="AD2180" s="5" t="s">
        <v>2302</v>
      </c>
      <c r="AE2180" s="5" t="s">
        <v>5183</v>
      </c>
      <c r="AF2180" s="5" t="s">
        <v>5229</v>
      </c>
    </row>
    <row r="2181" spans="1:32" ht="10" customHeight="1" x14ac:dyDescent="0.2">
      <c r="A2181" s="5" t="s">
        <v>4708</v>
      </c>
      <c r="B2181" s="5" t="s">
        <v>4709</v>
      </c>
      <c r="D2181" s="5" t="s">
        <v>5230</v>
      </c>
      <c r="E2181" s="10" t="s">
        <v>44</v>
      </c>
      <c r="I2181" s="11">
        <v>7</v>
      </c>
      <c r="K2181" s="12"/>
      <c r="O2181" s="12"/>
      <c r="P2181" s="13">
        <v>129771</v>
      </c>
      <c r="Q2181" s="13">
        <v>135039</v>
      </c>
      <c r="S2181" s="13">
        <v>141596</v>
      </c>
      <c r="U2181" s="13">
        <v>141596</v>
      </c>
      <c r="AC2181" s="10" t="s">
        <v>5231</v>
      </c>
      <c r="AD2181" s="5" t="s">
        <v>2302</v>
      </c>
      <c r="AE2181" s="5" t="s">
        <v>5183</v>
      </c>
    </row>
    <row r="2182" spans="1:32" ht="10" customHeight="1" x14ac:dyDescent="0.2">
      <c r="A2182" s="5" t="s">
        <v>4708</v>
      </c>
      <c r="B2182" s="5" t="s">
        <v>4709</v>
      </c>
      <c r="D2182" s="5" t="s">
        <v>5232</v>
      </c>
      <c r="E2182" s="10" t="s">
        <v>53</v>
      </c>
      <c r="F2182" s="5" t="s">
        <v>5230</v>
      </c>
      <c r="I2182" s="11">
        <v>7</v>
      </c>
      <c r="K2182" s="12"/>
      <c r="O2182" s="12"/>
      <c r="P2182" s="13">
        <v>99158</v>
      </c>
      <c r="Q2182" s="13">
        <v>121924</v>
      </c>
      <c r="S2182" s="13">
        <v>138400</v>
      </c>
      <c r="U2182" s="13">
        <v>138400</v>
      </c>
      <c r="AC2182" s="10" t="s">
        <v>5233</v>
      </c>
      <c r="AD2182" s="5" t="s">
        <v>2302</v>
      </c>
      <c r="AE2182" s="5" t="s">
        <v>5183</v>
      </c>
      <c r="AF2182" s="5" t="s">
        <v>5234</v>
      </c>
    </row>
    <row r="2183" spans="1:32" ht="10" customHeight="1" x14ac:dyDescent="0.2">
      <c r="A2183" s="5" t="s">
        <v>4708</v>
      </c>
      <c r="B2183" s="5" t="s">
        <v>4709</v>
      </c>
      <c r="D2183" s="5" t="s">
        <v>5235</v>
      </c>
      <c r="E2183" s="10" t="s">
        <v>53</v>
      </c>
      <c r="F2183" s="5" t="s">
        <v>5230</v>
      </c>
      <c r="I2183" s="11">
        <v>7</v>
      </c>
      <c r="K2183" s="10" t="s">
        <v>46</v>
      </c>
      <c r="L2183" s="5" t="s">
        <v>47</v>
      </c>
      <c r="M2183" s="5" t="s">
        <v>65</v>
      </c>
      <c r="N2183" s="5" t="s">
        <v>66</v>
      </c>
      <c r="O2183" s="12"/>
      <c r="P2183" s="13">
        <v>30613</v>
      </c>
      <c r="Q2183" s="13">
        <v>13115</v>
      </c>
      <c r="S2183" s="13">
        <v>3196</v>
      </c>
      <c r="U2183" s="13">
        <v>3196</v>
      </c>
      <c r="AC2183" s="10" t="s">
        <v>5236</v>
      </c>
      <c r="AD2183" s="5" t="s">
        <v>2302</v>
      </c>
      <c r="AE2183" s="5" t="s">
        <v>5183</v>
      </c>
      <c r="AF2183" s="5" t="s">
        <v>5237</v>
      </c>
    </row>
    <row r="2184" spans="1:32" ht="10" customHeight="1" x14ac:dyDescent="0.2">
      <c r="A2184" s="5" t="s">
        <v>4708</v>
      </c>
      <c r="B2184" s="5" t="s">
        <v>4709</v>
      </c>
      <c r="D2184" s="5" t="s">
        <v>5238</v>
      </c>
      <c r="E2184" s="10" t="s">
        <v>53</v>
      </c>
      <c r="F2184" s="5" t="s">
        <v>5180</v>
      </c>
      <c r="I2184" s="11">
        <v>6</v>
      </c>
      <c r="K2184" s="12"/>
      <c r="O2184" s="12"/>
      <c r="P2184" s="13">
        <v>22311</v>
      </c>
      <c r="Q2184" s="13">
        <v>25633</v>
      </c>
      <c r="S2184" s="13">
        <v>26529</v>
      </c>
      <c r="U2184" s="13">
        <v>26529</v>
      </c>
      <c r="AC2184" s="10" t="s">
        <v>5239</v>
      </c>
      <c r="AD2184" s="5" t="s">
        <v>2302</v>
      </c>
      <c r="AE2184" s="5" t="s">
        <v>5183</v>
      </c>
      <c r="AF2184" s="5" t="s">
        <v>5240</v>
      </c>
    </row>
    <row r="2185" spans="1:32" ht="10" customHeight="1" x14ac:dyDescent="0.2">
      <c r="A2185" s="5" t="s">
        <v>4708</v>
      </c>
      <c r="B2185" s="5" t="s">
        <v>4709</v>
      </c>
      <c r="D2185" s="5" t="s">
        <v>5241</v>
      </c>
      <c r="E2185" s="10" t="s">
        <v>53</v>
      </c>
      <c r="F2185" s="5" t="s">
        <v>5180</v>
      </c>
      <c r="I2185" s="11">
        <v>6</v>
      </c>
      <c r="K2185" s="12"/>
      <c r="O2185" s="12"/>
      <c r="P2185" s="13">
        <v>571260</v>
      </c>
      <c r="Q2185" s="13">
        <v>628655</v>
      </c>
      <c r="S2185" s="13">
        <v>579450</v>
      </c>
      <c r="U2185" s="13">
        <v>579450</v>
      </c>
      <c r="AC2185" s="10" t="s">
        <v>5242</v>
      </c>
      <c r="AD2185" s="5" t="s">
        <v>2302</v>
      </c>
      <c r="AE2185" s="5" t="s">
        <v>5183</v>
      </c>
      <c r="AF2185" s="5" t="s">
        <v>5243</v>
      </c>
    </row>
    <row r="2186" spans="1:32" ht="10" customHeight="1" x14ac:dyDescent="0.2">
      <c r="A2186" s="5" t="s">
        <v>4708</v>
      </c>
      <c r="B2186" s="5" t="s">
        <v>4709</v>
      </c>
      <c r="D2186" s="5" t="s">
        <v>5244</v>
      </c>
      <c r="E2186" s="10" t="s">
        <v>44</v>
      </c>
      <c r="I2186" s="11">
        <v>2</v>
      </c>
      <c r="K2186" s="12"/>
      <c r="O2186" s="12"/>
      <c r="P2186" s="13">
        <v>547620</v>
      </c>
      <c r="Q2186" s="13">
        <v>463722</v>
      </c>
      <c r="S2186" s="13">
        <v>388627</v>
      </c>
      <c r="U2186" s="13">
        <v>388627</v>
      </c>
      <c r="W2186" s="13">
        <v>3500</v>
      </c>
      <c r="X2186" s="13">
        <v>388627</v>
      </c>
      <c r="Y2186" s="13">
        <v>392127</v>
      </c>
      <c r="AC2186" s="10" t="s">
        <v>5245</v>
      </c>
      <c r="AD2186" s="5" t="s">
        <v>5246</v>
      </c>
      <c r="AE2186" s="5" t="s">
        <v>5247</v>
      </c>
    </row>
    <row r="2187" spans="1:32" ht="10" customHeight="1" x14ac:dyDescent="0.2">
      <c r="A2187" s="5" t="s">
        <v>4708</v>
      </c>
      <c r="B2187" s="5" t="s">
        <v>4709</v>
      </c>
      <c r="D2187" s="5" t="s">
        <v>5248</v>
      </c>
      <c r="E2187" s="10" t="s">
        <v>53</v>
      </c>
      <c r="F2187" s="5" t="s">
        <v>5244</v>
      </c>
      <c r="I2187" s="11">
        <v>6</v>
      </c>
      <c r="K2187" s="10" t="s">
        <v>46</v>
      </c>
      <c r="L2187" s="5" t="s">
        <v>300</v>
      </c>
      <c r="M2187" s="5" t="s">
        <v>5249</v>
      </c>
      <c r="N2187" s="5" t="s">
        <v>5250</v>
      </c>
      <c r="O2187" s="12"/>
      <c r="S2187" s="13">
        <v>8756</v>
      </c>
      <c r="U2187" s="13">
        <v>8756</v>
      </c>
      <c r="AC2187" s="10" t="s">
        <v>5251</v>
      </c>
      <c r="AD2187" s="5" t="s">
        <v>5252</v>
      </c>
      <c r="AE2187" s="5" t="s">
        <v>5247</v>
      </c>
    </row>
    <row r="2188" spans="1:32" ht="10" customHeight="1" x14ac:dyDescent="0.2">
      <c r="A2188" s="5" t="s">
        <v>4708</v>
      </c>
      <c r="B2188" s="5" t="s">
        <v>4709</v>
      </c>
      <c r="D2188" s="5" t="s">
        <v>5253</v>
      </c>
      <c r="E2188" s="10" t="s">
        <v>53</v>
      </c>
      <c r="F2188" s="5" t="s">
        <v>5244</v>
      </c>
      <c r="I2188" s="11">
        <v>5</v>
      </c>
      <c r="K2188" s="10" t="s">
        <v>46</v>
      </c>
      <c r="L2188" s="5" t="s">
        <v>300</v>
      </c>
      <c r="M2188" s="5" t="s">
        <v>5249</v>
      </c>
      <c r="N2188" s="5" t="s">
        <v>5250</v>
      </c>
      <c r="O2188" s="12"/>
      <c r="S2188" s="13">
        <v>5444</v>
      </c>
      <c r="U2188" s="13">
        <v>5444</v>
      </c>
      <c r="AC2188" s="10" t="s">
        <v>5251</v>
      </c>
      <c r="AD2188" s="5" t="s">
        <v>5252</v>
      </c>
      <c r="AE2188" s="5" t="s">
        <v>5247</v>
      </c>
    </row>
    <row r="2189" spans="1:32" ht="10" customHeight="1" x14ac:dyDescent="0.2">
      <c r="A2189" s="5" t="s">
        <v>4708</v>
      </c>
      <c r="B2189" s="5" t="s">
        <v>4709</v>
      </c>
      <c r="C2189" s="5" t="s">
        <v>4792</v>
      </c>
      <c r="D2189" s="5" t="s">
        <v>4793</v>
      </c>
      <c r="E2189" s="10" t="s">
        <v>53</v>
      </c>
      <c r="F2189" s="5" t="s">
        <v>5244</v>
      </c>
      <c r="I2189" s="11">
        <v>2</v>
      </c>
      <c r="K2189" s="12"/>
      <c r="O2189" s="12"/>
      <c r="S2189" s="13">
        <v>12849</v>
      </c>
      <c r="U2189" s="13">
        <v>12849</v>
      </c>
      <c r="AC2189" s="10" t="s">
        <v>5254</v>
      </c>
      <c r="AD2189" s="5" t="s">
        <v>5255</v>
      </c>
      <c r="AE2189" s="5" t="s">
        <v>5247</v>
      </c>
      <c r="AF2189" s="5" t="s">
        <v>4795</v>
      </c>
    </row>
    <row r="2190" spans="1:32" ht="10" customHeight="1" x14ac:dyDescent="0.2">
      <c r="A2190" s="5" t="s">
        <v>4708</v>
      </c>
      <c r="B2190" s="5" t="s">
        <v>4709</v>
      </c>
      <c r="D2190" s="5" t="s">
        <v>5256</v>
      </c>
      <c r="E2190" s="10" t="s">
        <v>44</v>
      </c>
      <c r="I2190" s="11">
        <v>2</v>
      </c>
      <c r="K2190" s="12"/>
      <c r="O2190" s="12"/>
      <c r="P2190" s="13">
        <v>667592</v>
      </c>
      <c r="Q2190" s="13">
        <v>780558</v>
      </c>
      <c r="S2190" s="13">
        <v>785052</v>
      </c>
      <c r="U2190" s="13">
        <v>785052</v>
      </c>
      <c r="AC2190" s="10" t="s">
        <v>5257</v>
      </c>
      <c r="AD2190" s="5" t="s">
        <v>5246</v>
      </c>
      <c r="AE2190" s="5" t="s">
        <v>5258</v>
      </c>
    </row>
    <row r="2191" spans="1:32" ht="10" customHeight="1" x14ac:dyDescent="0.2">
      <c r="A2191" s="5" t="s">
        <v>4708</v>
      </c>
      <c r="B2191" s="5" t="s">
        <v>4709</v>
      </c>
      <c r="D2191" s="5" t="s">
        <v>5259</v>
      </c>
      <c r="E2191" s="10" t="s">
        <v>53</v>
      </c>
      <c r="F2191" s="5" t="s">
        <v>5256</v>
      </c>
      <c r="I2191" s="11">
        <v>2</v>
      </c>
      <c r="K2191" s="10" t="s">
        <v>46</v>
      </c>
      <c r="L2191" s="5" t="s">
        <v>228</v>
      </c>
      <c r="M2191" s="5" t="s">
        <v>241</v>
      </c>
      <c r="N2191" s="5" t="s">
        <v>5260</v>
      </c>
      <c r="O2191" s="12"/>
      <c r="S2191" s="13">
        <v>352199</v>
      </c>
      <c r="U2191" s="13">
        <v>352199</v>
      </c>
      <c r="AC2191" s="10" t="s">
        <v>5261</v>
      </c>
      <c r="AD2191" s="5" t="s">
        <v>5262</v>
      </c>
      <c r="AE2191" s="5" t="s">
        <v>5258</v>
      </c>
    </row>
    <row r="2192" spans="1:32" ht="10" customHeight="1" x14ac:dyDescent="0.2">
      <c r="A2192" s="5" t="s">
        <v>4708</v>
      </c>
      <c r="B2192" s="5" t="s">
        <v>4709</v>
      </c>
      <c r="D2192" s="5" t="s">
        <v>5263</v>
      </c>
      <c r="E2192" s="10" t="s">
        <v>53</v>
      </c>
      <c r="F2192" s="5" t="s">
        <v>5256</v>
      </c>
      <c r="I2192" s="11">
        <v>2</v>
      </c>
      <c r="K2192" s="10" t="s">
        <v>46</v>
      </c>
      <c r="L2192" s="5" t="s">
        <v>228</v>
      </c>
      <c r="M2192" s="5" t="s">
        <v>241</v>
      </c>
      <c r="N2192" s="5" t="s">
        <v>5260</v>
      </c>
      <c r="O2192" s="12"/>
      <c r="S2192" s="13">
        <v>203644</v>
      </c>
      <c r="U2192" s="13">
        <v>203644</v>
      </c>
      <c r="AC2192" s="10" t="s">
        <v>5264</v>
      </c>
      <c r="AD2192" s="5" t="s">
        <v>5265</v>
      </c>
      <c r="AE2192" s="5" t="s">
        <v>5258</v>
      </c>
      <c r="AF2192" s="5" t="s">
        <v>5266</v>
      </c>
    </row>
    <row r="2193" spans="1:32" ht="10" customHeight="1" x14ac:dyDescent="0.2">
      <c r="A2193" s="5" t="s">
        <v>4708</v>
      </c>
      <c r="B2193" s="5" t="s">
        <v>4709</v>
      </c>
      <c r="D2193" s="5" t="s">
        <v>5267</v>
      </c>
      <c r="E2193" s="10" t="s">
        <v>53</v>
      </c>
      <c r="F2193" s="5" t="s">
        <v>5256</v>
      </c>
      <c r="I2193" s="11">
        <v>2</v>
      </c>
      <c r="K2193" s="10" t="s">
        <v>46</v>
      </c>
      <c r="L2193" s="5" t="s">
        <v>228</v>
      </c>
      <c r="M2193" s="5" t="s">
        <v>5268</v>
      </c>
      <c r="N2193" s="5" t="s">
        <v>5269</v>
      </c>
      <c r="O2193" s="12"/>
      <c r="S2193" s="13">
        <v>28801</v>
      </c>
      <c r="U2193" s="13">
        <v>28801</v>
      </c>
      <c r="AC2193" s="10" t="s">
        <v>5270</v>
      </c>
      <c r="AD2193" s="5" t="s">
        <v>5265</v>
      </c>
      <c r="AE2193" s="5" t="s">
        <v>5258</v>
      </c>
      <c r="AF2193" s="5" t="s">
        <v>5271</v>
      </c>
    </row>
    <row r="2194" spans="1:32" ht="10" customHeight="1" x14ac:dyDescent="0.2">
      <c r="A2194" s="5" t="s">
        <v>4708</v>
      </c>
      <c r="B2194" s="5" t="s">
        <v>4709</v>
      </c>
      <c r="D2194" s="5" t="s">
        <v>5272</v>
      </c>
      <c r="E2194" s="10" t="s">
        <v>53</v>
      </c>
      <c r="F2194" s="5" t="s">
        <v>5256</v>
      </c>
      <c r="I2194" s="11">
        <v>2</v>
      </c>
      <c r="K2194" s="10" t="s">
        <v>46</v>
      </c>
      <c r="L2194" s="5" t="s">
        <v>228</v>
      </c>
      <c r="M2194" s="5" t="s">
        <v>5273</v>
      </c>
      <c r="N2194" s="5" t="s">
        <v>5274</v>
      </c>
      <c r="O2194" s="12"/>
      <c r="S2194" s="13">
        <v>32251</v>
      </c>
      <c r="U2194" s="13">
        <v>32251</v>
      </c>
      <c r="AC2194" s="10" t="s">
        <v>5275</v>
      </c>
      <c r="AD2194" s="5" t="s">
        <v>5265</v>
      </c>
      <c r="AE2194" s="5" t="s">
        <v>5258</v>
      </c>
      <c r="AF2194" s="5" t="s">
        <v>5276</v>
      </c>
    </row>
    <row r="2195" spans="1:32" ht="10" customHeight="1" x14ac:dyDescent="0.2">
      <c r="A2195" s="5" t="s">
        <v>4708</v>
      </c>
      <c r="B2195" s="5" t="s">
        <v>4709</v>
      </c>
      <c r="D2195" s="5" t="s">
        <v>5277</v>
      </c>
      <c r="E2195" s="10" t="s">
        <v>53</v>
      </c>
      <c r="F2195" s="5" t="s">
        <v>5256</v>
      </c>
      <c r="I2195" s="11">
        <v>4</v>
      </c>
      <c r="K2195" s="12"/>
      <c r="O2195" s="12"/>
      <c r="S2195" s="13">
        <v>52900</v>
      </c>
      <c r="U2195" s="13">
        <v>52900</v>
      </c>
      <c r="AC2195" s="10" t="s">
        <v>5278</v>
      </c>
      <c r="AD2195" s="5" t="s">
        <v>5265</v>
      </c>
      <c r="AE2195" s="5" t="s">
        <v>5258</v>
      </c>
    </row>
    <row r="2196" spans="1:32" ht="10" customHeight="1" x14ac:dyDescent="0.2">
      <c r="A2196" s="5" t="s">
        <v>4708</v>
      </c>
      <c r="B2196" s="5" t="s">
        <v>4709</v>
      </c>
      <c r="D2196" s="5" t="s">
        <v>5279</v>
      </c>
      <c r="E2196" s="10" t="s">
        <v>53</v>
      </c>
      <c r="F2196" s="5" t="s">
        <v>5256</v>
      </c>
      <c r="I2196" s="11">
        <v>4</v>
      </c>
      <c r="K2196" s="12"/>
      <c r="O2196" s="12"/>
      <c r="S2196" s="13">
        <v>5489</v>
      </c>
      <c r="U2196" s="13">
        <v>5489</v>
      </c>
      <c r="AC2196" s="10" t="s">
        <v>5280</v>
      </c>
      <c r="AD2196" s="5" t="s">
        <v>5281</v>
      </c>
      <c r="AE2196" s="5" t="s">
        <v>5258</v>
      </c>
    </row>
    <row r="2197" spans="1:32" ht="10" customHeight="1" x14ac:dyDescent="0.2">
      <c r="A2197" s="5" t="s">
        <v>4708</v>
      </c>
      <c r="B2197" s="5" t="s">
        <v>4709</v>
      </c>
      <c r="D2197" s="5" t="s">
        <v>5282</v>
      </c>
      <c r="E2197" s="10" t="s">
        <v>44</v>
      </c>
      <c r="I2197" s="11">
        <v>2</v>
      </c>
      <c r="K2197" s="12"/>
      <c r="O2197" s="12"/>
      <c r="P2197" s="13">
        <v>283272</v>
      </c>
      <c r="Q2197" s="13">
        <v>1010215</v>
      </c>
      <c r="S2197" s="13">
        <v>583296</v>
      </c>
      <c r="U2197" s="13">
        <v>583296</v>
      </c>
      <c r="AC2197" s="10" t="s">
        <v>5283</v>
      </c>
      <c r="AD2197" s="5" t="s">
        <v>5246</v>
      </c>
      <c r="AE2197" s="5" t="s">
        <v>5284</v>
      </c>
    </row>
    <row r="2198" spans="1:32" ht="10" customHeight="1" x14ac:dyDescent="0.2">
      <c r="A2198" s="5" t="s">
        <v>4708</v>
      </c>
      <c r="B2198" s="5" t="s">
        <v>4709</v>
      </c>
      <c r="D2198" s="5" t="s">
        <v>5285</v>
      </c>
      <c r="E2198" s="10" t="s">
        <v>53</v>
      </c>
      <c r="F2198" s="5" t="s">
        <v>5282</v>
      </c>
      <c r="I2198" s="11">
        <v>2</v>
      </c>
      <c r="K2198" s="12"/>
      <c r="O2198" s="12"/>
      <c r="S2198" s="13">
        <v>30836</v>
      </c>
      <c r="U2198" s="13">
        <v>30836</v>
      </c>
      <c r="AC2198" s="10" t="s">
        <v>5286</v>
      </c>
      <c r="AD2198" s="5" t="s">
        <v>5287</v>
      </c>
      <c r="AE2198" s="5" t="s">
        <v>5284</v>
      </c>
    </row>
    <row r="2199" spans="1:32" ht="10" customHeight="1" x14ac:dyDescent="0.2">
      <c r="A2199" s="5" t="s">
        <v>4708</v>
      </c>
      <c r="B2199" s="5" t="s">
        <v>4709</v>
      </c>
      <c r="C2199" s="5" t="s">
        <v>5288</v>
      </c>
      <c r="D2199" s="5" t="s">
        <v>5289</v>
      </c>
      <c r="E2199" s="10" t="s">
        <v>53</v>
      </c>
      <c r="F2199" s="5" t="s">
        <v>5282</v>
      </c>
      <c r="I2199" s="11">
        <v>2</v>
      </c>
      <c r="K2199" s="10" t="s">
        <v>46</v>
      </c>
      <c r="L2199" s="5" t="s">
        <v>47</v>
      </c>
      <c r="M2199" s="5" t="s">
        <v>65</v>
      </c>
      <c r="N2199" s="5" t="s">
        <v>66</v>
      </c>
      <c r="O2199" s="12"/>
      <c r="S2199" s="13">
        <v>359408</v>
      </c>
      <c r="U2199" s="13">
        <v>359408</v>
      </c>
      <c r="AC2199" s="10" t="s">
        <v>5290</v>
      </c>
      <c r="AD2199" s="5" t="s">
        <v>5291</v>
      </c>
      <c r="AE2199" s="5" t="s">
        <v>5284</v>
      </c>
    </row>
    <row r="2200" spans="1:32" ht="10" customHeight="1" x14ac:dyDescent="0.2">
      <c r="A2200" s="5" t="s">
        <v>4708</v>
      </c>
      <c r="B2200" s="5" t="s">
        <v>4709</v>
      </c>
      <c r="C2200" s="5" t="s">
        <v>5292</v>
      </c>
      <c r="D2200" s="5" t="s">
        <v>5293</v>
      </c>
      <c r="E2200" s="10" t="s">
        <v>53</v>
      </c>
      <c r="F2200" s="5" t="s">
        <v>5282</v>
      </c>
      <c r="I2200" s="11">
        <v>2</v>
      </c>
      <c r="K2200" s="10" t="s">
        <v>46</v>
      </c>
      <c r="L2200" s="5" t="s">
        <v>47</v>
      </c>
      <c r="M2200" s="5" t="s">
        <v>65</v>
      </c>
      <c r="N2200" s="5" t="s">
        <v>66</v>
      </c>
      <c r="O2200" s="12"/>
      <c r="S2200" s="13">
        <v>7800</v>
      </c>
      <c r="U2200" s="13">
        <v>7800</v>
      </c>
      <c r="AC2200" s="10" t="s">
        <v>5290</v>
      </c>
      <c r="AD2200" s="5" t="s">
        <v>5294</v>
      </c>
      <c r="AE2200" s="5" t="s">
        <v>5284</v>
      </c>
    </row>
    <row r="2201" spans="1:32" ht="10" customHeight="1" x14ac:dyDescent="0.2">
      <c r="A2201" s="5" t="s">
        <v>4708</v>
      </c>
      <c r="B2201" s="5" t="s">
        <v>4709</v>
      </c>
      <c r="C2201" s="5" t="s">
        <v>5295</v>
      </c>
      <c r="D2201" s="5" t="s">
        <v>5296</v>
      </c>
      <c r="E2201" s="10" t="s">
        <v>53</v>
      </c>
      <c r="F2201" s="5" t="s">
        <v>5282</v>
      </c>
      <c r="I2201" s="11">
        <v>2</v>
      </c>
      <c r="K2201" s="10" t="s">
        <v>46</v>
      </c>
      <c r="L2201" s="5" t="s">
        <v>47</v>
      </c>
      <c r="M2201" s="5" t="s">
        <v>48</v>
      </c>
      <c r="N2201" s="5" t="s">
        <v>84</v>
      </c>
      <c r="O2201" s="12"/>
      <c r="S2201" s="13">
        <v>70000</v>
      </c>
      <c r="U2201" s="13">
        <v>70000</v>
      </c>
      <c r="AC2201" s="10" t="s">
        <v>5297</v>
      </c>
      <c r="AD2201" s="5" t="s">
        <v>5298</v>
      </c>
      <c r="AE2201" s="5" t="s">
        <v>5284</v>
      </c>
    </row>
    <row r="2202" spans="1:32" ht="10" customHeight="1" x14ac:dyDescent="0.2">
      <c r="A2202" s="5" t="s">
        <v>4708</v>
      </c>
      <c r="B2202" s="5" t="s">
        <v>4709</v>
      </c>
      <c r="D2202" s="5" t="s">
        <v>5299</v>
      </c>
      <c r="E2202" s="10" t="s">
        <v>53</v>
      </c>
      <c r="F2202" s="5" t="s">
        <v>5282</v>
      </c>
      <c r="I2202" s="11">
        <v>6</v>
      </c>
      <c r="K2202" s="10" t="s">
        <v>46</v>
      </c>
      <c r="L2202" s="5" t="s">
        <v>47</v>
      </c>
      <c r="M2202" s="5" t="s">
        <v>48</v>
      </c>
      <c r="O2202" s="12"/>
      <c r="S2202" s="13">
        <v>30232</v>
      </c>
      <c r="U2202" s="13">
        <v>30232</v>
      </c>
      <c r="AC2202" s="10" t="s">
        <v>5300</v>
      </c>
      <c r="AD2202" s="5" t="s">
        <v>5298</v>
      </c>
      <c r="AE2202" s="5" t="s">
        <v>5284</v>
      </c>
    </row>
    <row r="2203" spans="1:32" ht="10" customHeight="1" x14ac:dyDescent="0.2">
      <c r="A2203" s="5" t="s">
        <v>4708</v>
      </c>
      <c r="B2203" s="5" t="s">
        <v>4709</v>
      </c>
      <c r="D2203" s="5" t="s">
        <v>5301</v>
      </c>
      <c r="E2203" s="10" t="s">
        <v>53</v>
      </c>
      <c r="F2203" s="5" t="s">
        <v>5282</v>
      </c>
      <c r="I2203" s="11">
        <v>2</v>
      </c>
      <c r="K2203" s="12"/>
      <c r="O2203" s="12"/>
      <c r="S2203" s="13">
        <v>14571</v>
      </c>
      <c r="U2203" s="13">
        <v>14571</v>
      </c>
      <c r="AC2203" s="10" t="s">
        <v>5302</v>
      </c>
      <c r="AD2203" s="5" t="s">
        <v>5303</v>
      </c>
      <c r="AE2203" s="5" t="s">
        <v>5284</v>
      </c>
    </row>
    <row r="2204" spans="1:32" ht="10" customHeight="1" x14ac:dyDescent="0.2">
      <c r="A2204" s="5" t="s">
        <v>4708</v>
      </c>
      <c r="B2204" s="5" t="s">
        <v>4709</v>
      </c>
      <c r="C2204" s="5" t="s">
        <v>5304</v>
      </c>
      <c r="D2204" s="5" t="s">
        <v>5305</v>
      </c>
      <c r="E2204" s="10" t="s">
        <v>53</v>
      </c>
      <c r="F2204" s="5" t="s">
        <v>5282</v>
      </c>
      <c r="I2204" s="11">
        <v>2</v>
      </c>
      <c r="K2204" s="10" t="s">
        <v>46</v>
      </c>
      <c r="L2204" s="5" t="s">
        <v>47</v>
      </c>
      <c r="M2204" s="5" t="s">
        <v>48</v>
      </c>
      <c r="N2204" s="5" t="s">
        <v>84</v>
      </c>
      <c r="O2204" s="12"/>
      <c r="S2204" s="13">
        <v>15098</v>
      </c>
      <c r="U2204" s="13">
        <v>15098</v>
      </c>
      <c r="AC2204" s="10" t="s">
        <v>5306</v>
      </c>
      <c r="AD2204" s="5" t="s">
        <v>5294</v>
      </c>
      <c r="AE2204" s="5" t="s">
        <v>5284</v>
      </c>
    </row>
    <row r="2205" spans="1:32" ht="10" customHeight="1" x14ac:dyDescent="0.2">
      <c r="A2205" s="5" t="s">
        <v>4708</v>
      </c>
      <c r="B2205" s="5" t="s">
        <v>4709</v>
      </c>
      <c r="D2205" s="5" t="s">
        <v>5307</v>
      </c>
      <c r="E2205" s="10" t="s">
        <v>53</v>
      </c>
      <c r="F2205" s="5" t="s">
        <v>5282</v>
      </c>
      <c r="I2205" s="11">
        <v>6</v>
      </c>
      <c r="K2205" s="12"/>
      <c r="O2205" s="12"/>
      <c r="S2205" s="13">
        <v>47171</v>
      </c>
      <c r="U2205" s="13">
        <v>47171</v>
      </c>
      <c r="AC2205" s="10" t="s">
        <v>5308</v>
      </c>
      <c r="AD2205" s="5" t="s">
        <v>5309</v>
      </c>
      <c r="AE2205" s="5" t="s">
        <v>5284</v>
      </c>
    </row>
    <row r="2206" spans="1:32" ht="10" customHeight="1" x14ac:dyDescent="0.2">
      <c r="A2206" s="5" t="s">
        <v>4708</v>
      </c>
      <c r="B2206" s="5" t="s">
        <v>4709</v>
      </c>
      <c r="D2206" s="5" t="s">
        <v>5310</v>
      </c>
      <c r="E2206" s="10" t="s">
        <v>44</v>
      </c>
      <c r="I2206" s="11">
        <v>6</v>
      </c>
      <c r="K2206" s="12"/>
      <c r="O2206" s="12"/>
      <c r="P2206" s="13">
        <v>1372331</v>
      </c>
      <c r="Q2206" s="13">
        <v>1536668</v>
      </c>
      <c r="S2206" s="13">
        <v>1719580</v>
      </c>
      <c r="U2206" s="13">
        <v>1719580</v>
      </c>
      <c r="AC2206" s="10" t="s">
        <v>5311</v>
      </c>
      <c r="AD2206" s="5" t="s">
        <v>219</v>
      </c>
      <c r="AE2206" s="5" t="s">
        <v>5312</v>
      </c>
    </row>
    <row r="2207" spans="1:32" ht="10" customHeight="1" x14ac:dyDescent="0.2">
      <c r="A2207" s="5" t="s">
        <v>4708</v>
      </c>
      <c r="B2207" s="5" t="s">
        <v>4709</v>
      </c>
      <c r="D2207" s="5" t="s">
        <v>5313</v>
      </c>
      <c r="E2207" s="10" t="s">
        <v>53</v>
      </c>
      <c r="F2207" s="5" t="s">
        <v>5310</v>
      </c>
      <c r="I2207" s="11">
        <v>6</v>
      </c>
      <c r="K2207" s="10" t="s">
        <v>46</v>
      </c>
      <c r="L2207" s="5" t="s">
        <v>47</v>
      </c>
      <c r="M2207" s="5" t="s">
        <v>115</v>
      </c>
      <c r="N2207" s="5" t="s">
        <v>116</v>
      </c>
      <c r="O2207" s="12"/>
      <c r="S2207" s="13">
        <v>110969</v>
      </c>
      <c r="U2207" s="13">
        <v>110969</v>
      </c>
      <c r="AC2207" s="10" t="s">
        <v>5314</v>
      </c>
      <c r="AD2207" s="5" t="s">
        <v>1802</v>
      </c>
      <c r="AE2207" s="5" t="s">
        <v>5312</v>
      </c>
      <c r="AF2207" s="5" t="s">
        <v>5315</v>
      </c>
    </row>
    <row r="2208" spans="1:32" ht="10" customHeight="1" x14ac:dyDescent="0.2">
      <c r="A2208" s="5" t="s">
        <v>4708</v>
      </c>
      <c r="B2208" s="5" t="s">
        <v>4709</v>
      </c>
      <c r="D2208" s="5" t="s">
        <v>5316</v>
      </c>
      <c r="E2208" s="10" t="s">
        <v>53</v>
      </c>
      <c r="F2208" s="5" t="s">
        <v>5310</v>
      </c>
      <c r="I2208" s="11">
        <v>6</v>
      </c>
      <c r="K2208" s="10" t="s">
        <v>46</v>
      </c>
      <c r="L2208" s="5" t="s">
        <v>47</v>
      </c>
      <c r="M2208" s="5" t="s">
        <v>48</v>
      </c>
      <c r="N2208" s="5" t="s">
        <v>49</v>
      </c>
      <c r="O2208" s="12"/>
      <c r="S2208" s="13">
        <v>23185</v>
      </c>
      <c r="U2208" s="13">
        <v>23185</v>
      </c>
      <c r="AC2208" s="10" t="s">
        <v>5317</v>
      </c>
      <c r="AD2208" s="5" t="s">
        <v>1802</v>
      </c>
      <c r="AE2208" s="5" t="s">
        <v>5312</v>
      </c>
      <c r="AF2208" s="5" t="s">
        <v>5318</v>
      </c>
    </row>
    <row r="2209" spans="1:33" ht="10" customHeight="1" x14ac:dyDescent="0.2">
      <c r="A2209" s="5" t="s">
        <v>4708</v>
      </c>
      <c r="B2209" s="5" t="s">
        <v>4709</v>
      </c>
      <c r="D2209" s="5" t="s">
        <v>5319</v>
      </c>
      <c r="E2209" s="10" t="s">
        <v>53</v>
      </c>
      <c r="F2209" s="5" t="s">
        <v>5310</v>
      </c>
      <c r="I2209" s="11">
        <v>6</v>
      </c>
      <c r="K2209" s="10" t="s">
        <v>46</v>
      </c>
      <c r="L2209" s="5" t="s">
        <v>47</v>
      </c>
      <c r="M2209" s="5" t="s">
        <v>48</v>
      </c>
      <c r="N2209" s="5" t="s">
        <v>84</v>
      </c>
      <c r="O2209" s="12"/>
      <c r="S2209" s="13">
        <v>9633</v>
      </c>
      <c r="U2209" s="13">
        <v>9633</v>
      </c>
      <c r="AC2209" s="10" t="s">
        <v>5317</v>
      </c>
      <c r="AD2209" s="5" t="s">
        <v>1816</v>
      </c>
      <c r="AE2209" s="5" t="s">
        <v>5312</v>
      </c>
      <c r="AF2209" s="5" t="s">
        <v>5318</v>
      </c>
    </row>
    <row r="2210" spans="1:33" ht="10" customHeight="1" x14ac:dyDescent="0.2">
      <c r="A2210" s="5" t="s">
        <v>4708</v>
      </c>
      <c r="B2210" s="5" t="s">
        <v>4709</v>
      </c>
      <c r="D2210" s="5" t="s">
        <v>5320</v>
      </c>
      <c r="E2210" s="10" t="s">
        <v>53</v>
      </c>
      <c r="F2210" s="5" t="s">
        <v>5310</v>
      </c>
      <c r="I2210" s="11">
        <v>6</v>
      </c>
      <c r="K2210" s="10" t="s">
        <v>46</v>
      </c>
      <c r="L2210" s="5" t="s">
        <v>47</v>
      </c>
      <c r="M2210" s="5" t="s">
        <v>48</v>
      </c>
      <c r="N2210" s="5" t="s">
        <v>84</v>
      </c>
      <c r="O2210" s="12"/>
      <c r="S2210" s="13">
        <v>4145</v>
      </c>
      <c r="U2210" s="13">
        <v>4145</v>
      </c>
      <c r="AC2210" s="10" t="s">
        <v>5317</v>
      </c>
      <c r="AD2210" s="5" t="s">
        <v>1816</v>
      </c>
      <c r="AE2210" s="5" t="s">
        <v>5312</v>
      </c>
      <c r="AF2210" s="5" t="s">
        <v>5318</v>
      </c>
    </row>
    <row r="2211" spans="1:33" ht="10" customHeight="1" x14ac:dyDescent="0.2">
      <c r="A2211" s="5" t="s">
        <v>4708</v>
      </c>
      <c r="B2211" s="5" t="s">
        <v>4709</v>
      </c>
      <c r="D2211" s="5" t="s">
        <v>5321</v>
      </c>
      <c r="E2211" s="10" t="s">
        <v>53</v>
      </c>
      <c r="F2211" s="5" t="s">
        <v>5310</v>
      </c>
      <c r="I2211" s="11">
        <v>6</v>
      </c>
      <c r="K2211" s="10" t="s">
        <v>46</v>
      </c>
      <c r="L2211" s="5" t="s">
        <v>47</v>
      </c>
      <c r="M2211" s="5" t="s">
        <v>65</v>
      </c>
      <c r="N2211" s="5" t="s">
        <v>66</v>
      </c>
      <c r="O2211" s="12"/>
      <c r="S2211" s="13">
        <v>1537</v>
      </c>
      <c r="U2211" s="13">
        <v>1537</v>
      </c>
      <c r="AC2211" s="10" t="s">
        <v>5322</v>
      </c>
      <c r="AD2211" s="5" t="s">
        <v>1829</v>
      </c>
      <c r="AE2211" s="5" t="s">
        <v>5312</v>
      </c>
      <c r="AF2211" s="5" t="s">
        <v>5323</v>
      </c>
    </row>
    <row r="2212" spans="1:33" ht="10" customHeight="1" x14ac:dyDescent="0.2">
      <c r="A2212" s="5" t="s">
        <v>4708</v>
      </c>
      <c r="B2212" s="5" t="s">
        <v>4709</v>
      </c>
      <c r="D2212" s="5" t="s">
        <v>5324</v>
      </c>
      <c r="E2212" s="10" t="s">
        <v>53</v>
      </c>
      <c r="F2212" s="5" t="s">
        <v>5310</v>
      </c>
      <c r="I2212" s="11">
        <v>6</v>
      </c>
      <c r="K2212" s="12"/>
      <c r="O2212" s="12"/>
      <c r="S2212" s="13">
        <v>1167</v>
      </c>
      <c r="U2212" s="13">
        <v>1167</v>
      </c>
      <c r="AC2212" s="10" t="s">
        <v>5322</v>
      </c>
      <c r="AD2212" s="5" t="s">
        <v>1829</v>
      </c>
      <c r="AE2212" s="5" t="s">
        <v>5312</v>
      </c>
      <c r="AF2212" s="5" t="s">
        <v>5323</v>
      </c>
    </row>
    <row r="2213" spans="1:33" ht="10" customHeight="1" x14ac:dyDescent="0.2">
      <c r="A2213" s="5" t="s">
        <v>4708</v>
      </c>
      <c r="B2213" s="5" t="s">
        <v>4709</v>
      </c>
      <c r="D2213" s="5" t="s">
        <v>5325</v>
      </c>
      <c r="E2213" s="10" t="s">
        <v>53</v>
      </c>
      <c r="F2213" s="5" t="s">
        <v>5310</v>
      </c>
      <c r="I2213" s="11">
        <v>4</v>
      </c>
      <c r="K2213" s="10" t="s">
        <v>46</v>
      </c>
      <c r="L2213" s="5" t="s">
        <v>47</v>
      </c>
      <c r="M2213" s="5" t="s">
        <v>48</v>
      </c>
      <c r="N2213" s="5" t="s">
        <v>84</v>
      </c>
      <c r="O2213" s="12"/>
      <c r="S2213" s="13">
        <v>2039</v>
      </c>
      <c r="U2213" s="13">
        <v>2039</v>
      </c>
      <c r="AC2213" s="10" t="s">
        <v>5317</v>
      </c>
      <c r="AD2213" s="5" t="s">
        <v>1816</v>
      </c>
      <c r="AE2213" s="5" t="s">
        <v>5312</v>
      </c>
      <c r="AF2213" s="5" t="s">
        <v>5318</v>
      </c>
    </row>
    <row r="2214" spans="1:33" ht="10" customHeight="1" x14ac:dyDescent="0.2">
      <c r="A2214" s="5" t="s">
        <v>4708</v>
      </c>
      <c r="B2214" s="5" t="s">
        <v>4709</v>
      </c>
      <c r="C2214" s="5" t="s">
        <v>4796</v>
      </c>
      <c r="D2214" s="5" t="s">
        <v>4797</v>
      </c>
      <c r="E2214" s="10" t="s">
        <v>53</v>
      </c>
      <c r="F2214" s="5" t="s">
        <v>5310</v>
      </c>
      <c r="I2214" s="11">
        <v>6</v>
      </c>
      <c r="K2214" s="12"/>
      <c r="O2214" s="12"/>
      <c r="P2214" s="13">
        <v>104186</v>
      </c>
      <c r="Q2214" s="13">
        <v>220854</v>
      </c>
      <c r="S2214" s="13">
        <v>283620</v>
      </c>
      <c r="U2214" s="13">
        <v>283620</v>
      </c>
      <c r="AC2214" s="10" t="s">
        <v>5326</v>
      </c>
      <c r="AD2214" s="5" t="s">
        <v>1903</v>
      </c>
      <c r="AE2214" s="5" t="s">
        <v>5312</v>
      </c>
      <c r="AF2214" s="5" t="s">
        <v>4799</v>
      </c>
    </row>
    <row r="2215" spans="1:33" ht="10" customHeight="1" x14ac:dyDescent="0.2">
      <c r="A2215" s="5" t="s">
        <v>4708</v>
      </c>
      <c r="B2215" s="5" t="s">
        <v>4709</v>
      </c>
      <c r="D2215" s="5" t="s">
        <v>5327</v>
      </c>
      <c r="E2215" s="10" t="s">
        <v>53</v>
      </c>
      <c r="F2215" s="5" t="s">
        <v>5328</v>
      </c>
      <c r="I2215" s="11">
        <v>3</v>
      </c>
      <c r="K2215" s="12"/>
      <c r="O2215" s="12"/>
      <c r="S2215" s="13">
        <v>240500</v>
      </c>
      <c r="U2215" s="13">
        <v>240500</v>
      </c>
      <c r="AC2215" s="10" t="s">
        <v>5329</v>
      </c>
      <c r="AD2215" s="5" t="s">
        <v>1677</v>
      </c>
      <c r="AE2215" s="5" t="s">
        <v>5330</v>
      </c>
      <c r="AF2215" s="5" t="s">
        <v>5331</v>
      </c>
    </row>
    <row r="2216" spans="1:33" ht="10" customHeight="1" x14ac:dyDescent="0.2">
      <c r="A2216" s="5" t="s">
        <v>4708</v>
      </c>
      <c r="B2216" s="5" t="s">
        <v>4709</v>
      </c>
      <c r="D2216" s="5" t="s">
        <v>5332</v>
      </c>
      <c r="E2216" s="10" t="s">
        <v>184</v>
      </c>
      <c r="F2216" s="5" t="s">
        <v>4710</v>
      </c>
      <c r="I2216" s="11">
        <v>2</v>
      </c>
      <c r="K2216" s="12"/>
      <c r="O2216" s="12"/>
      <c r="S2216" s="13">
        <v>-1239846</v>
      </c>
      <c r="U2216" s="13">
        <v>-1239846</v>
      </c>
      <c r="AC2216" s="10" t="s">
        <v>5333</v>
      </c>
      <c r="AD2216" s="5" t="s">
        <v>1677</v>
      </c>
      <c r="AE2216" s="5" t="s">
        <v>5330</v>
      </c>
    </row>
    <row r="2217" spans="1:33" ht="10" customHeight="1" x14ac:dyDescent="0.2">
      <c r="A2217" s="5" t="s">
        <v>4708</v>
      </c>
      <c r="B2217" s="5" t="s">
        <v>4709</v>
      </c>
      <c r="D2217" s="5" t="s">
        <v>5334</v>
      </c>
      <c r="E2217" s="10" t="s">
        <v>44</v>
      </c>
      <c r="I2217" s="11">
        <v>6</v>
      </c>
      <c r="K2217" s="12"/>
      <c r="O2217" s="12"/>
      <c r="P2217" s="13">
        <v>604374</v>
      </c>
      <c r="Q2217" s="13">
        <v>598531</v>
      </c>
      <c r="S2217" s="13">
        <v>763841</v>
      </c>
      <c r="U2217" s="13">
        <v>763841</v>
      </c>
      <c r="AC2217" s="10" t="s">
        <v>5335</v>
      </c>
      <c r="AD2217" s="5" t="s">
        <v>5336</v>
      </c>
      <c r="AE2217" s="5" t="s">
        <v>5337</v>
      </c>
    </row>
    <row r="2218" spans="1:33" ht="10" customHeight="1" x14ac:dyDescent="0.2">
      <c r="A2218" s="5" t="s">
        <v>4708</v>
      </c>
      <c r="B2218" s="5" t="s">
        <v>4709</v>
      </c>
      <c r="D2218" s="5" t="s">
        <v>5338</v>
      </c>
      <c r="E2218" s="10" t="s">
        <v>53</v>
      </c>
      <c r="F2218" s="5" t="s">
        <v>5334</v>
      </c>
      <c r="I2218" s="11">
        <v>6</v>
      </c>
      <c r="K2218" s="12"/>
      <c r="O2218" s="12"/>
      <c r="S2218" s="13">
        <v>36358</v>
      </c>
      <c r="U2218" s="13">
        <v>36358</v>
      </c>
      <c r="AC2218" s="10" t="s">
        <v>5339</v>
      </c>
      <c r="AD2218" s="5" t="s">
        <v>5340</v>
      </c>
      <c r="AE2218" s="5" t="s">
        <v>5337</v>
      </c>
      <c r="AF2218" s="5" t="s">
        <v>5341</v>
      </c>
    </row>
    <row r="2219" spans="1:33" ht="10" customHeight="1" x14ac:dyDescent="0.2">
      <c r="A2219" s="5" t="s">
        <v>4708</v>
      </c>
      <c r="B2219" s="5" t="s">
        <v>4709</v>
      </c>
      <c r="D2219" s="5" t="s">
        <v>5342</v>
      </c>
      <c r="E2219" s="10" t="s">
        <v>53</v>
      </c>
      <c r="F2219" s="5" t="s">
        <v>5334</v>
      </c>
      <c r="I2219" s="11">
        <v>6</v>
      </c>
      <c r="K2219" s="12"/>
      <c r="O2219" s="12"/>
      <c r="S2219" s="13">
        <v>19252</v>
      </c>
      <c r="U2219" s="13">
        <v>19252</v>
      </c>
      <c r="AC2219" s="10" t="s">
        <v>5343</v>
      </c>
      <c r="AD2219" s="5" t="s">
        <v>5340</v>
      </c>
      <c r="AE2219" s="5" t="s">
        <v>5337</v>
      </c>
      <c r="AF2219" s="5" t="s">
        <v>5344</v>
      </c>
    </row>
    <row r="2220" spans="1:33" ht="10" customHeight="1" x14ac:dyDescent="0.2">
      <c r="A2220" s="5" t="s">
        <v>4708</v>
      </c>
      <c r="B2220" s="5" t="s">
        <v>4709</v>
      </c>
      <c r="D2220" s="5" t="s">
        <v>5345</v>
      </c>
      <c r="E2220" s="10" t="s">
        <v>53</v>
      </c>
      <c r="F2220" s="5" t="s">
        <v>5334</v>
      </c>
      <c r="I2220" s="11">
        <v>6</v>
      </c>
      <c r="K2220" s="12"/>
      <c r="O2220" s="12"/>
      <c r="AC2220" s="10" t="s">
        <v>5346</v>
      </c>
      <c r="AD2220" s="5" t="s">
        <v>5347</v>
      </c>
      <c r="AE2220" s="5" t="s">
        <v>5337</v>
      </c>
      <c r="AF2220" s="5" t="s">
        <v>5348</v>
      </c>
      <c r="AG2220" s="5" t="s">
        <v>5349</v>
      </c>
    </row>
    <row r="2221" spans="1:33" ht="10" customHeight="1" x14ac:dyDescent="0.2">
      <c r="A2221" s="5" t="s">
        <v>4708</v>
      </c>
      <c r="B2221" s="5" t="s">
        <v>4709</v>
      </c>
      <c r="D2221" s="5" t="s">
        <v>5350</v>
      </c>
      <c r="E2221" s="10" t="s">
        <v>53</v>
      </c>
      <c r="F2221" s="5" t="s">
        <v>5334</v>
      </c>
      <c r="I2221" s="11">
        <v>7</v>
      </c>
      <c r="K2221" s="12"/>
      <c r="O2221" s="12"/>
      <c r="S2221" s="13">
        <v>9195</v>
      </c>
      <c r="U2221" s="13">
        <v>9195</v>
      </c>
      <c r="AC2221" s="10" t="s">
        <v>5351</v>
      </c>
      <c r="AD2221" s="5" t="s">
        <v>5352</v>
      </c>
      <c r="AE2221" s="5" t="s">
        <v>5337</v>
      </c>
      <c r="AF2221" s="5" t="s">
        <v>5353</v>
      </c>
    </row>
    <row r="2222" spans="1:33" ht="10" customHeight="1" x14ac:dyDescent="0.2">
      <c r="A2222" s="5" t="s">
        <v>4708</v>
      </c>
      <c r="B2222" s="5" t="s">
        <v>4709</v>
      </c>
      <c r="D2222" s="5" t="s">
        <v>5354</v>
      </c>
      <c r="E2222" s="10" t="s">
        <v>53</v>
      </c>
      <c r="F2222" s="5" t="s">
        <v>5334</v>
      </c>
      <c r="I2222" s="11">
        <v>6</v>
      </c>
      <c r="K2222" s="12"/>
      <c r="O2222" s="12"/>
      <c r="S2222" s="13">
        <v>42028</v>
      </c>
      <c r="U2222" s="13">
        <v>42028</v>
      </c>
      <c r="AC2222" s="10" t="s">
        <v>5355</v>
      </c>
      <c r="AD2222" s="5" t="s">
        <v>5340</v>
      </c>
      <c r="AE2222" s="5" t="s">
        <v>5337</v>
      </c>
      <c r="AF2222" s="5" t="s">
        <v>5356</v>
      </c>
    </row>
    <row r="2223" spans="1:33" ht="10" customHeight="1" x14ac:dyDescent="0.2">
      <c r="A2223" s="5" t="s">
        <v>4708</v>
      </c>
      <c r="B2223" s="5" t="s">
        <v>4709</v>
      </c>
      <c r="D2223" s="5" t="s">
        <v>5357</v>
      </c>
      <c r="E2223" s="10" t="s">
        <v>44</v>
      </c>
      <c r="I2223" s="11">
        <v>6</v>
      </c>
      <c r="K2223" s="12"/>
      <c r="O2223" s="12"/>
      <c r="P2223" s="13">
        <v>21016</v>
      </c>
      <c r="Q2223" s="13">
        <v>21714</v>
      </c>
      <c r="S2223" s="13">
        <v>22192</v>
      </c>
      <c r="U2223" s="13">
        <v>22192</v>
      </c>
      <c r="AC2223" s="10" t="s">
        <v>5358</v>
      </c>
      <c r="AD2223" s="5" t="s">
        <v>5255</v>
      </c>
      <c r="AE2223" s="5" t="s">
        <v>5359</v>
      </c>
    </row>
    <row r="2224" spans="1:33" ht="10" customHeight="1" x14ac:dyDescent="0.2">
      <c r="A2224" s="5" t="s">
        <v>4708</v>
      </c>
      <c r="B2224" s="5" t="s">
        <v>4709</v>
      </c>
      <c r="D2224" s="5" t="s">
        <v>5360</v>
      </c>
      <c r="E2224" s="10" t="s">
        <v>53</v>
      </c>
      <c r="F2224" s="5" t="s">
        <v>5357</v>
      </c>
      <c r="I2224" s="11">
        <v>6</v>
      </c>
      <c r="K2224" s="12"/>
      <c r="O2224" s="12"/>
      <c r="P2224" s="13">
        <v>17314</v>
      </c>
      <c r="Q2224" s="13">
        <v>17991</v>
      </c>
      <c r="S2224" s="13">
        <v>18436</v>
      </c>
      <c r="U2224" s="13">
        <v>18436</v>
      </c>
      <c r="AC2224" s="10" t="s">
        <v>5361</v>
      </c>
      <c r="AD2224" s="5" t="s">
        <v>5362</v>
      </c>
      <c r="AE2224" s="5" t="s">
        <v>5359</v>
      </c>
    </row>
    <row r="2225" spans="1:32" ht="10" customHeight="1" x14ac:dyDescent="0.2">
      <c r="A2225" s="5" t="s">
        <v>4708</v>
      </c>
      <c r="B2225" s="5" t="s">
        <v>4709</v>
      </c>
      <c r="D2225" s="5" t="s">
        <v>5363</v>
      </c>
      <c r="E2225" s="10" t="s">
        <v>53</v>
      </c>
      <c r="F2225" s="5" t="s">
        <v>5357</v>
      </c>
      <c r="I2225" s="11">
        <v>6</v>
      </c>
      <c r="K2225" s="12"/>
      <c r="O2225" s="12"/>
      <c r="P2225" s="13">
        <v>3702</v>
      </c>
      <c r="Q2225" s="13">
        <v>3723</v>
      </c>
      <c r="S2225" s="13">
        <v>3756</v>
      </c>
      <c r="U2225" s="13">
        <v>3756</v>
      </c>
      <c r="AC2225" s="10" t="s">
        <v>5364</v>
      </c>
      <c r="AD2225" s="5" t="s">
        <v>5362</v>
      </c>
      <c r="AE2225" s="5" t="s">
        <v>5359</v>
      </c>
    </row>
    <row r="2226" spans="1:32" ht="10" customHeight="1" x14ac:dyDescent="0.2">
      <c r="A2226" s="5" t="s">
        <v>4708</v>
      </c>
      <c r="B2226" s="5" t="s">
        <v>4709</v>
      </c>
      <c r="D2226" s="5" t="s">
        <v>5365</v>
      </c>
      <c r="E2226" s="10" t="s">
        <v>53</v>
      </c>
      <c r="F2226" s="5" t="s">
        <v>5366</v>
      </c>
      <c r="I2226" s="11">
        <v>3</v>
      </c>
      <c r="K2226" s="10" t="s">
        <v>46</v>
      </c>
      <c r="L2226" s="5" t="s">
        <v>235</v>
      </c>
      <c r="M2226" s="5" t="s">
        <v>236</v>
      </c>
      <c r="O2226" s="12"/>
      <c r="P2226" s="13">
        <v>185285</v>
      </c>
      <c r="Q2226" s="13">
        <v>153237</v>
      </c>
      <c r="S2226" s="13">
        <v>1846</v>
      </c>
      <c r="U2226" s="13">
        <v>1846</v>
      </c>
      <c r="AC2226" s="10" t="s">
        <v>5367</v>
      </c>
      <c r="AD2226" s="5" t="s">
        <v>3271</v>
      </c>
      <c r="AE2226" s="5" t="s">
        <v>5368</v>
      </c>
    </row>
    <row r="2227" spans="1:32" ht="10" customHeight="1" x14ac:dyDescent="0.2">
      <c r="A2227" s="5" t="s">
        <v>4708</v>
      </c>
      <c r="B2227" s="5" t="s">
        <v>4709</v>
      </c>
      <c r="D2227" s="5" t="s">
        <v>5369</v>
      </c>
      <c r="E2227" s="10" t="s">
        <v>53</v>
      </c>
      <c r="F2227" s="5" t="s">
        <v>5366</v>
      </c>
      <c r="I2227" s="11">
        <v>5</v>
      </c>
      <c r="K2227" s="10" t="s">
        <v>46</v>
      </c>
      <c r="L2227" s="5" t="s">
        <v>235</v>
      </c>
      <c r="M2227" s="5" t="s">
        <v>236</v>
      </c>
      <c r="N2227" s="5" t="s">
        <v>237</v>
      </c>
      <c r="O2227" s="12"/>
      <c r="S2227" s="13">
        <v>12237</v>
      </c>
      <c r="U2227" s="13">
        <v>12237</v>
      </c>
      <c r="AC2227" s="10" t="s">
        <v>5370</v>
      </c>
      <c r="AD2227" s="5" t="s">
        <v>5371</v>
      </c>
      <c r="AE2227" s="5" t="s">
        <v>5368</v>
      </c>
      <c r="AF2227" s="5" t="s">
        <v>5372</v>
      </c>
    </row>
    <row r="2228" spans="1:32" ht="10" customHeight="1" x14ac:dyDescent="0.2">
      <c r="A2228" s="5" t="s">
        <v>4708</v>
      </c>
      <c r="B2228" s="5" t="s">
        <v>4709</v>
      </c>
      <c r="D2228" s="5" t="s">
        <v>5373</v>
      </c>
      <c r="E2228" s="10" t="s">
        <v>53</v>
      </c>
      <c r="F2228" s="5" t="s">
        <v>5366</v>
      </c>
      <c r="I2228" s="11">
        <v>7</v>
      </c>
      <c r="K2228" s="12"/>
      <c r="O2228" s="12"/>
      <c r="P2228" s="13">
        <v>48086</v>
      </c>
      <c r="Q2228" s="13">
        <v>48634</v>
      </c>
      <c r="S2228" s="13">
        <v>38285</v>
      </c>
      <c r="U2228" s="13">
        <v>38285</v>
      </c>
      <c r="AC2228" s="10" t="s">
        <v>5374</v>
      </c>
      <c r="AD2228" s="5" t="s">
        <v>3271</v>
      </c>
      <c r="AE2228" s="5" t="s">
        <v>5368</v>
      </c>
    </row>
    <row r="2229" spans="1:32" ht="10" customHeight="1" x14ac:dyDescent="0.2">
      <c r="A2229" s="5" t="s">
        <v>4708</v>
      </c>
      <c r="B2229" s="5" t="s">
        <v>4709</v>
      </c>
      <c r="D2229" s="5" t="s">
        <v>5375</v>
      </c>
      <c r="E2229" s="10" t="s">
        <v>44</v>
      </c>
      <c r="I2229" s="11" t="s">
        <v>4711</v>
      </c>
      <c r="K2229" s="12"/>
      <c r="O2229" s="12"/>
      <c r="P2229" s="13">
        <v>1761930</v>
      </c>
      <c r="Q2229" s="13">
        <v>1572124</v>
      </c>
      <c r="S2229" s="13">
        <v>1754627</v>
      </c>
      <c r="U2229" s="13">
        <v>1754627</v>
      </c>
      <c r="W2229" s="13">
        <v>269407</v>
      </c>
      <c r="X2229" s="13">
        <v>1626768</v>
      </c>
      <c r="Y2229" s="13">
        <v>1896175</v>
      </c>
      <c r="AC2229" s="10" t="s">
        <v>5376</v>
      </c>
      <c r="AD2229" s="5" t="s">
        <v>5246</v>
      </c>
      <c r="AE2229" s="5" t="s">
        <v>5377</v>
      </c>
    </row>
    <row r="2230" spans="1:32" ht="10" customHeight="1" x14ac:dyDescent="0.2">
      <c r="A2230" s="5" t="s">
        <v>4708</v>
      </c>
      <c r="B2230" s="5" t="s">
        <v>4709</v>
      </c>
      <c r="D2230" s="5" t="s">
        <v>5378</v>
      </c>
      <c r="E2230" s="10" t="s">
        <v>53</v>
      </c>
      <c r="F2230" s="5" t="s">
        <v>5375</v>
      </c>
      <c r="I2230" s="11">
        <v>2</v>
      </c>
      <c r="K2230" s="12"/>
      <c r="O2230" s="12"/>
      <c r="P2230" s="13">
        <v>114818</v>
      </c>
      <c r="Q2230" s="13">
        <v>115812</v>
      </c>
      <c r="S2230" s="13">
        <v>129051</v>
      </c>
      <c r="U2230" s="13">
        <v>129051</v>
      </c>
      <c r="AC2230" s="10" t="s">
        <v>5379</v>
      </c>
      <c r="AD2230" s="5" t="s">
        <v>5380</v>
      </c>
      <c r="AE2230" s="5" t="s">
        <v>5377</v>
      </c>
    </row>
    <row r="2231" spans="1:32" ht="10" customHeight="1" x14ac:dyDescent="0.2">
      <c r="A2231" s="5" t="s">
        <v>4708</v>
      </c>
      <c r="B2231" s="5" t="s">
        <v>4709</v>
      </c>
      <c r="D2231" s="5" t="s">
        <v>5381</v>
      </c>
      <c r="E2231" s="10" t="s">
        <v>53</v>
      </c>
      <c r="F2231" s="5" t="s">
        <v>5375</v>
      </c>
      <c r="I2231" s="11">
        <v>2</v>
      </c>
      <c r="K2231" s="12"/>
      <c r="O2231" s="12"/>
      <c r="P2231" s="13">
        <v>97790</v>
      </c>
      <c r="Q2231" s="13">
        <v>32771</v>
      </c>
      <c r="S2231" s="13">
        <v>82544</v>
      </c>
      <c r="U2231" s="13">
        <v>82544</v>
      </c>
      <c r="AC2231" s="10" t="s">
        <v>5382</v>
      </c>
      <c r="AD2231" s="5" t="s">
        <v>4107</v>
      </c>
      <c r="AE2231" s="5" t="s">
        <v>5377</v>
      </c>
    </row>
    <row r="2232" spans="1:32" ht="10" customHeight="1" x14ac:dyDescent="0.2">
      <c r="A2232" s="5" t="s">
        <v>4708</v>
      </c>
      <c r="B2232" s="5" t="s">
        <v>4709</v>
      </c>
      <c r="D2232" s="5" t="s">
        <v>5383</v>
      </c>
      <c r="E2232" s="10" t="s">
        <v>53</v>
      </c>
      <c r="F2232" s="5" t="s">
        <v>5375</v>
      </c>
      <c r="I2232" s="11">
        <v>2</v>
      </c>
      <c r="K2232" s="12"/>
      <c r="O2232" s="12"/>
      <c r="P2232" s="13">
        <v>271533</v>
      </c>
      <c r="Q2232" s="13">
        <v>97689</v>
      </c>
      <c r="S2232" s="13">
        <v>88674</v>
      </c>
      <c r="U2232" s="13">
        <v>88674</v>
      </c>
      <c r="AC2232" s="10" t="s">
        <v>5384</v>
      </c>
      <c r="AD2232" s="5" t="s">
        <v>4107</v>
      </c>
      <c r="AE2232" s="5" t="s">
        <v>5377</v>
      </c>
      <c r="AF2232" s="5" t="s">
        <v>5385</v>
      </c>
    </row>
    <row r="2233" spans="1:32" ht="10" customHeight="1" x14ac:dyDescent="0.2">
      <c r="A2233" s="5" t="s">
        <v>4708</v>
      </c>
      <c r="B2233" s="5" t="s">
        <v>4709</v>
      </c>
      <c r="D2233" s="5" t="s">
        <v>5386</v>
      </c>
      <c r="E2233" s="10" t="s">
        <v>53</v>
      </c>
      <c r="F2233" s="5" t="s">
        <v>5375</v>
      </c>
      <c r="I2233" s="11">
        <v>3</v>
      </c>
      <c r="K2233" s="12"/>
      <c r="O2233" s="12"/>
      <c r="P2233" s="13">
        <v>28452</v>
      </c>
      <c r="Q2233" s="13">
        <v>24120</v>
      </c>
      <c r="S2233" s="13">
        <v>23487</v>
      </c>
      <c r="U2233" s="13">
        <v>23487</v>
      </c>
      <c r="AC2233" s="10" t="s">
        <v>5387</v>
      </c>
      <c r="AD2233" s="5" t="s">
        <v>4107</v>
      </c>
      <c r="AE2233" s="5" t="s">
        <v>5377</v>
      </c>
      <c r="AF2233" s="5" t="s">
        <v>5388</v>
      </c>
    </row>
    <row r="2234" spans="1:32" ht="10" customHeight="1" x14ac:dyDescent="0.2">
      <c r="A2234" s="5" t="s">
        <v>4708</v>
      </c>
      <c r="B2234" s="5" t="s">
        <v>4709</v>
      </c>
      <c r="D2234" s="5" t="s">
        <v>5389</v>
      </c>
      <c r="E2234" s="10" t="s">
        <v>53</v>
      </c>
      <c r="F2234" s="5" t="s">
        <v>5375</v>
      </c>
      <c r="I2234" s="11">
        <v>2</v>
      </c>
      <c r="K2234" s="10" t="s">
        <v>46</v>
      </c>
      <c r="L2234" s="5" t="s">
        <v>47</v>
      </c>
      <c r="M2234" s="5" t="s">
        <v>115</v>
      </c>
      <c r="N2234" s="5" t="s">
        <v>116</v>
      </c>
      <c r="O2234" s="12"/>
      <c r="P2234" s="13">
        <v>10881</v>
      </c>
      <c r="Q2234" s="13">
        <v>11565</v>
      </c>
      <c r="S2234" s="13">
        <v>11353</v>
      </c>
      <c r="U2234" s="13">
        <v>11353</v>
      </c>
      <c r="AC2234" s="10" t="s">
        <v>5390</v>
      </c>
      <c r="AD2234" s="5" t="s">
        <v>4107</v>
      </c>
      <c r="AE2234" s="5" t="s">
        <v>5377</v>
      </c>
      <c r="AF2234" s="5" t="s">
        <v>5391</v>
      </c>
    </row>
    <row r="2235" spans="1:32" ht="10" customHeight="1" x14ac:dyDescent="0.2">
      <c r="A2235" s="5" t="s">
        <v>4708</v>
      </c>
      <c r="B2235" s="5" t="s">
        <v>4709</v>
      </c>
      <c r="D2235" s="5" t="s">
        <v>5392</v>
      </c>
      <c r="E2235" s="10" t="s">
        <v>53</v>
      </c>
      <c r="F2235" s="5" t="s">
        <v>5375</v>
      </c>
      <c r="I2235" s="11">
        <v>2</v>
      </c>
      <c r="K2235" s="10" t="s">
        <v>46</v>
      </c>
      <c r="L2235" s="5" t="s">
        <v>47</v>
      </c>
      <c r="M2235" s="5" t="s">
        <v>48</v>
      </c>
      <c r="O2235" s="12"/>
      <c r="P2235" s="13">
        <v>127395</v>
      </c>
      <c r="Q2235" s="13">
        <v>130594</v>
      </c>
      <c r="S2235" s="13">
        <v>71804</v>
      </c>
      <c r="U2235" s="13">
        <v>71804</v>
      </c>
      <c r="AC2235" s="10" t="s">
        <v>5393</v>
      </c>
      <c r="AD2235" s="5" t="s">
        <v>5380</v>
      </c>
      <c r="AE2235" s="5" t="s">
        <v>5377</v>
      </c>
      <c r="AF2235" s="5" t="s">
        <v>5394</v>
      </c>
    </row>
    <row r="2236" spans="1:32" ht="10" customHeight="1" x14ac:dyDescent="0.2">
      <c r="A2236" s="5" t="s">
        <v>4708</v>
      </c>
      <c r="B2236" s="5" t="s">
        <v>4709</v>
      </c>
      <c r="D2236" s="5" t="s">
        <v>5395</v>
      </c>
      <c r="E2236" s="10" t="s">
        <v>53</v>
      </c>
      <c r="F2236" s="5" t="s">
        <v>5375</v>
      </c>
      <c r="I2236" s="11">
        <v>2</v>
      </c>
      <c r="K2236" s="12"/>
      <c r="O2236" s="12"/>
      <c r="P2236" s="13">
        <v>41679</v>
      </c>
      <c r="Q2236" s="13">
        <v>41231</v>
      </c>
      <c r="S2236" s="13">
        <v>40897</v>
      </c>
      <c r="U2236" s="13">
        <v>40897</v>
      </c>
      <c r="AC2236" s="10" t="s">
        <v>5396</v>
      </c>
      <c r="AD2236" s="5" t="s">
        <v>4107</v>
      </c>
      <c r="AE2236" s="5" t="s">
        <v>5377</v>
      </c>
      <c r="AF2236" s="5" t="s">
        <v>5397</v>
      </c>
    </row>
    <row r="2237" spans="1:32" ht="10" customHeight="1" x14ac:dyDescent="0.2">
      <c r="A2237" s="5" t="s">
        <v>4708</v>
      </c>
      <c r="B2237" s="5" t="s">
        <v>4709</v>
      </c>
      <c r="D2237" s="5" t="s">
        <v>5398</v>
      </c>
      <c r="E2237" s="10" t="s">
        <v>53</v>
      </c>
      <c r="F2237" s="5" t="s">
        <v>5375</v>
      </c>
      <c r="I2237" s="11">
        <v>2</v>
      </c>
      <c r="K2237" s="10" t="s">
        <v>46</v>
      </c>
      <c r="L2237" s="5" t="s">
        <v>47</v>
      </c>
      <c r="M2237" s="5" t="s">
        <v>48</v>
      </c>
      <c r="O2237" s="12"/>
      <c r="P2237" s="13">
        <v>18244</v>
      </c>
      <c r="Q2237" s="13">
        <v>18509</v>
      </c>
      <c r="S2237" s="13">
        <v>17384</v>
      </c>
      <c r="U2237" s="13">
        <v>17384</v>
      </c>
      <c r="AC2237" s="10" t="s">
        <v>5399</v>
      </c>
      <c r="AD2237" s="5" t="s">
        <v>5380</v>
      </c>
      <c r="AE2237" s="5" t="s">
        <v>5377</v>
      </c>
    </row>
    <row r="2238" spans="1:32" ht="10" customHeight="1" x14ac:dyDescent="0.2">
      <c r="A2238" s="5" t="s">
        <v>4708</v>
      </c>
      <c r="B2238" s="5" t="s">
        <v>4709</v>
      </c>
      <c r="D2238" s="5" t="s">
        <v>5400</v>
      </c>
      <c r="E2238" s="10" t="s">
        <v>53</v>
      </c>
      <c r="F2238" s="5" t="s">
        <v>5375</v>
      </c>
      <c r="I2238" s="11">
        <v>2</v>
      </c>
      <c r="K2238" s="12"/>
      <c r="O2238" s="12"/>
      <c r="P2238" s="13">
        <v>44260</v>
      </c>
      <c r="Q2238" s="13">
        <v>50080</v>
      </c>
      <c r="S2238" s="13">
        <v>41235</v>
      </c>
      <c r="U2238" s="13">
        <v>41235</v>
      </c>
      <c r="AC2238" s="10" t="s">
        <v>5401</v>
      </c>
      <c r="AD2238" s="5" t="s">
        <v>4107</v>
      </c>
      <c r="AE2238" s="5" t="s">
        <v>5377</v>
      </c>
    </row>
    <row r="2239" spans="1:32" ht="10" customHeight="1" x14ac:dyDescent="0.2">
      <c r="A2239" s="5" t="s">
        <v>4708</v>
      </c>
      <c r="B2239" s="5" t="s">
        <v>4709</v>
      </c>
      <c r="D2239" s="5" t="s">
        <v>5402</v>
      </c>
      <c r="E2239" s="10" t="s">
        <v>53</v>
      </c>
      <c r="F2239" s="5" t="s">
        <v>5375</v>
      </c>
      <c r="I2239" s="11">
        <v>2</v>
      </c>
      <c r="K2239" s="12"/>
      <c r="O2239" s="12"/>
      <c r="P2239" s="13">
        <v>14776</v>
      </c>
      <c r="Q2239" s="13">
        <v>18969</v>
      </c>
      <c r="S2239" s="13">
        <v>18784</v>
      </c>
      <c r="U2239" s="13">
        <v>18784</v>
      </c>
      <c r="AC2239" s="10" t="s">
        <v>5403</v>
      </c>
      <c r="AD2239" s="5" t="s">
        <v>4107</v>
      </c>
      <c r="AE2239" s="5" t="s">
        <v>5377</v>
      </c>
    </row>
    <row r="2240" spans="1:32" ht="10" customHeight="1" x14ac:dyDescent="0.2">
      <c r="A2240" s="5" t="s">
        <v>4708</v>
      </c>
      <c r="B2240" s="5" t="s">
        <v>4709</v>
      </c>
      <c r="D2240" s="5" t="s">
        <v>5404</v>
      </c>
      <c r="E2240" s="10" t="s">
        <v>53</v>
      </c>
      <c r="F2240" s="5" t="s">
        <v>5375</v>
      </c>
      <c r="I2240" s="11">
        <v>2</v>
      </c>
      <c r="K2240" s="12"/>
      <c r="O2240" s="12"/>
      <c r="P2240" s="13">
        <v>2205</v>
      </c>
      <c r="Q2240" s="13">
        <v>2169</v>
      </c>
      <c r="S2240" s="13">
        <v>2179</v>
      </c>
      <c r="U2240" s="13">
        <v>2179</v>
      </c>
      <c r="AC2240" s="10" t="s">
        <v>5405</v>
      </c>
      <c r="AD2240" s="5" t="s">
        <v>4107</v>
      </c>
      <c r="AE2240" s="5" t="s">
        <v>5377</v>
      </c>
      <c r="AF2240" s="5" t="s">
        <v>5406</v>
      </c>
    </row>
    <row r="2241" spans="1:33" ht="10" customHeight="1" x14ac:dyDescent="0.2">
      <c r="A2241" s="5" t="s">
        <v>4708</v>
      </c>
      <c r="B2241" s="5" t="s">
        <v>4709</v>
      </c>
      <c r="D2241" s="5" t="s">
        <v>5407</v>
      </c>
      <c r="E2241" s="10" t="s">
        <v>53</v>
      </c>
      <c r="F2241" s="5" t="s">
        <v>5375</v>
      </c>
      <c r="I2241" s="11">
        <v>2</v>
      </c>
      <c r="K2241" s="10" t="s">
        <v>46</v>
      </c>
      <c r="L2241" s="5" t="s">
        <v>47</v>
      </c>
      <c r="M2241" s="5" t="s">
        <v>4680</v>
      </c>
      <c r="N2241" s="5" t="s">
        <v>4681</v>
      </c>
      <c r="O2241" s="12"/>
      <c r="P2241" s="13">
        <v>6756</v>
      </c>
      <c r="Q2241" s="13">
        <v>14976</v>
      </c>
      <c r="S2241" s="13">
        <v>18683</v>
      </c>
      <c r="U2241" s="13">
        <v>18683</v>
      </c>
      <c r="AC2241" s="10" t="s">
        <v>5408</v>
      </c>
      <c r="AD2241" s="5" t="s">
        <v>5409</v>
      </c>
      <c r="AE2241" s="5" t="s">
        <v>5377</v>
      </c>
      <c r="AF2241" s="5" t="s">
        <v>5410</v>
      </c>
    </row>
    <row r="2242" spans="1:33" ht="10" customHeight="1" x14ac:dyDescent="0.2">
      <c r="A2242" s="5" t="s">
        <v>4708</v>
      </c>
      <c r="B2242" s="5" t="s">
        <v>4709</v>
      </c>
      <c r="D2242" s="5" t="s">
        <v>5411</v>
      </c>
      <c r="E2242" s="10" t="s">
        <v>53</v>
      </c>
      <c r="F2242" s="5" t="s">
        <v>5375</v>
      </c>
      <c r="I2242" s="11">
        <v>2</v>
      </c>
      <c r="K2242" s="10" t="s">
        <v>46</v>
      </c>
      <c r="L2242" s="5" t="s">
        <v>4671</v>
      </c>
      <c r="M2242" s="5" t="s">
        <v>5412</v>
      </c>
      <c r="N2242" s="5" t="s">
        <v>5413</v>
      </c>
      <c r="O2242" s="12"/>
      <c r="P2242" s="13">
        <v>42782</v>
      </c>
      <c r="Q2242" s="13">
        <v>62411</v>
      </c>
      <c r="S2242" s="13">
        <v>40610</v>
      </c>
      <c r="U2242" s="13">
        <v>40610</v>
      </c>
      <c r="AC2242" s="10" t="s">
        <v>5414</v>
      </c>
      <c r="AD2242" s="5" t="s">
        <v>5409</v>
      </c>
      <c r="AE2242" s="5" t="s">
        <v>5377</v>
      </c>
      <c r="AF2242" s="5" t="s">
        <v>5415</v>
      </c>
    </row>
    <row r="2243" spans="1:33" ht="10" customHeight="1" x14ac:dyDescent="0.2">
      <c r="A2243" s="5" t="s">
        <v>4708</v>
      </c>
      <c r="B2243" s="5" t="s">
        <v>4709</v>
      </c>
      <c r="D2243" s="5" t="s">
        <v>5416</v>
      </c>
      <c r="E2243" s="10" t="s">
        <v>53</v>
      </c>
      <c r="F2243" s="5" t="s">
        <v>5375</v>
      </c>
      <c r="I2243" s="11">
        <v>2</v>
      </c>
      <c r="K2243" s="10" t="s">
        <v>46</v>
      </c>
      <c r="L2243" s="5" t="s">
        <v>47</v>
      </c>
      <c r="M2243" s="5" t="s">
        <v>115</v>
      </c>
      <c r="N2243" s="5" t="s">
        <v>135</v>
      </c>
      <c r="O2243" s="12"/>
      <c r="P2243" s="13">
        <v>0</v>
      </c>
      <c r="Q2243" s="13">
        <v>639</v>
      </c>
      <c r="S2243" s="13">
        <v>17877</v>
      </c>
      <c r="U2243" s="13">
        <v>17877</v>
      </c>
      <c r="AC2243" s="10" t="s">
        <v>5417</v>
      </c>
      <c r="AD2243" s="5" t="s">
        <v>5409</v>
      </c>
      <c r="AE2243" s="5" t="s">
        <v>5377</v>
      </c>
      <c r="AF2243" s="5" t="s">
        <v>5418</v>
      </c>
    </row>
    <row r="2244" spans="1:33" ht="10" customHeight="1" x14ac:dyDescent="0.2">
      <c r="A2244" s="5" t="s">
        <v>4708</v>
      </c>
      <c r="B2244" s="5" t="s">
        <v>4709</v>
      </c>
      <c r="D2244" s="5" t="s">
        <v>5419</v>
      </c>
      <c r="E2244" s="10" t="s">
        <v>53</v>
      </c>
      <c r="F2244" s="5" t="s">
        <v>5375</v>
      </c>
      <c r="I2244" s="11">
        <v>2</v>
      </c>
      <c r="K2244" s="10" t="s">
        <v>46</v>
      </c>
      <c r="L2244" s="5" t="s">
        <v>4671</v>
      </c>
      <c r="M2244" s="5" t="s">
        <v>4672</v>
      </c>
      <c r="N2244" s="5" t="s">
        <v>5420</v>
      </c>
      <c r="O2244" s="12"/>
      <c r="P2244" s="13">
        <v>0</v>
      </c>
      <c r="Q2244" s="13">
        <v>0</v>
      </c>
      <c r="S2244" s="13">
        <v>7179</v>
      </c>
      <c r="U2244" s="13">
        <v>7179</v>
      </c>
      <c r="AC2244" s="10" t="s">
        <v>5421</v>
      </c>
      <c r="AD2244" s="5" t="s">
        <v>4082</v>
      </c>
      <c r="AE2244" s="5" t="s">
        <v>5377</v>
      </c>
      <c r="AF2244" s="5" t="s">
        <v>5420</v>
      </c>
    </row>
    <row r="2245" spans="1:33" ht="10" customHeight="1" x14ac:dyDescent="0.2">
      <c r="A2245" s="5" t="s">
        <v>4708</v>
      </c>
      <c r="B2245" s="5" t="s">
        <v>4709</v>
      </c>
      <c r="D2245" s="5" t="s">
        <v>5422</v>
      </c>
      <c r="E2245" s="10" t="s">
        <v>53</v>
      </c>
      <c r="F2245" s="5" t="s">
        <v>5375</v>
      </c>
      <c r="I2245" s="11">
        <v>2</v>
      </c>
      <c r="K2245" s="10" t="s">
        <v>46</v>
      </c>
      <c r="L2245" s="5" t="s">
        <v>4671</v>
      </c>
      <c r="M2245" s="5" t="s">
        <v>5412</v>
      </c>
      <c r="N2245" s="5" t="s">
        <v>5423</v>
      </c>
      <c r="O2245" s="12"/>
      <c r="P2245" s="13">
        <v>0</v>
      </c>
      <c r="Q2245" s="13">
        <v>0</v>
      </c>
      <c r="S2245" s="13">
        <v>17475</v>
      </c>
      <c r="U2245" s="13">
        <v>17475</v>
      </c>
      <c r="AC2245" s="10" t="s">
        <v>5424</v>
      </c>
      <c r="AD2245" s="5" t="s">
        <v>5409</v>
      </c>
      <c r="AE2245" s="5" t="s">
        <v>5377</v>
      </c>
      <c r="AF2245" s="5" t="s">
        <v>5425</v>
      </c>
    </row>
    <row r="2246" spans="1:33" ht="10" customHeight="1" x14ac:dyDescent="0.2">
      <c r="A2246" s="5" t="s">
        <v>4708</v>
      </c>
      <c r="B2246" s="5" t="s">
        <v>4709</v>
      </c>
      <c r="D2246" s="5" t="s">
        <v>5426</v>
      </c>
      <c r="E2246" s="10" t="s">
        <v>53</v>
      </c>
      <c r="F2246" s="5" t="s">
        <v>5375</v>
      </c>
      <c r="I2246" s="11">
        <v>2</v>
      </c>
      <c r="K2246" s="10" t="s">
        <v>46</v>
      </c>
      <c r="L2246" s="5" t="s">
        <v>47</v>
      </c>
      <c r="M2246" s="5" t="s">
        <v>48</v>
      </c>
      <c r="N2246" s="5" t="s">
        <v>84</v>
      </c>
      <c r="O2246" s="12"/>
      <c r="P2246" s="13">
        <v>5351</v>
      </c>
      <c r="Q2246" s="13">
        <v>5490</v>
      </c>
      <c r="S2246" s="13">
        <v>5607</v>
      </c>
      <c r="U2246" s="13">
        <v>5607</v>
      </c>
      <c r="AC2246" s="10" t="s">
        <v>5427</v>
      </c>
      <c r="AD2246" s="5" t="s">
        <v>4107</v>
      </c>
      <c r="AE2246" s="5" t="s">
        <v>5377</v>
      </c>
      <c r="AF2246" s="5" t="s">
        <v>5428</v>
      </c>
    </row>
    <row r="2247" spans="1:33" ht="10" customHeight="1" x14ac:dyDescent="0.2">
      <c r="A2247" s="5" t="s">
        <v>4708</v>
      </c>
      <c r="B2247" s="5" t="s">
        <v>4709</v>
      </c>
      <c r="D2247" s="5" t="s">
        <v>5429</v>
      </c>
      <c r="E2247" s="10" t="s">
        <v>184</v>
      </c>
      <c r="I2247" s="11">
        <v>7</v>
      </c>
      <c r="K2247" s="12"/>
      <c r="O2247" s="12"/>
      <c r="P2247" s="13">
        <v>4711542</v>
      </c>
      <c r="Q2247" s="13">
        <v>5922739</v>
      </c>
      <c r="S2247" s="13">
        <v>5678354</v>
      </c>
      <c r="U2247" s="13">
        <v>5678354</v>
      </c>
      <c r="AC2247" s="10" t="s">
        <v>5430</v>
      </c>
      <c r="AD2247" s="5" t="s">
        <v>5246</v>
      </c>
    </row>
    <row r="2248" spans="1:33" ht="10" customHeight="1" x14ac:dyDescent="0.2">
      <c r="A2248" s="5" t="s">
        <v>4708</v>
      </c>
      <c r="B2248" s="5" t="s">
        <v>4709</v>
      </c>
      <c r="D2248" s="5" t="s">
        <v>5431</v>
      </c>
      <c r="E2248" s="10" t="s">
        <v>53</v>
      </c>
      <c r="F2248" s="5" t="s">
        <v>5432</v>
      </c>
      <c r="I2248" s="11">
        <v>7</v>
      </c>
      <c r="K2248" s="12"/>
      <c r="O2248" s="12"/>
      <c r="S2248" s="13">
        <v>830000</v>
      </c>
      <c r="U2248" s="13">
        <v>830000</v>
      </c>
      <c r="AC2248" s="10" t="s">
        <v>5433</v>
      </c>
      <c r="AD2248" s="5" t="s">
        <v>1623</v>
      </c>
    </row>
    <row r="2249" spans="1:33" ht="10" customHeight="1" x14ac:dyDescent="0.2">
      <c r="A2249" s="5" t="s">
        <v>4708</v>
      </c>
      <c r="B2249" s="5" t="s">
        <v>4709</v>
      </c>
      <c r="D2249" s="5" t="s">
        <v>5434</v>
      </c>
      <c r="E2249" s="10" t="s">
        <v>53</v>
      </c>
      <c r="F2249" s="5" t="s">
        <v>5432</v>
      </c>
      <c r="I2249" s="11">
        <v>7</v>
      </c>
      <c r="K2249" s="12"/>
      <c r="O2249" s="12"/>
      <c r="Q2249" s="13">
        <v>620500</v>
      </c>
      <c r="S2249" s="13">
        <v>159062</v>
      </c>
      <c r="U2249" s="13">
        <v>159062</v>
      </c>
      <c r="AC2249" s="10" t="s">
        <v>5435</v>
      </c>
      <c r="AD2249" s="5" t="s">
        <v>297</v>
      </c>
    </row>
    <row r="2250" spans="1:33" ht="10" customHeight="1" x14ac:dyDescent="0.2">
      <c r="A2250" s="5" t="s">
        <v>4708</v>
      </c>
      <c r="B2250" s="5" t="s">
        <v>4709</v>
      </c>
      <c r="D2250" s="5" t="s">
        <v>5436</v>
      </c>
      <c r="E2250" s="10" t="s">
        <v>44</v>
      </c>
      <c r="I2250" s="11">
        <v>2</v>
      </c>
      <c r="K2250" s="12"/>
      <c r="O2250" s="12"/>
      <c r="P2250" s="13">
        <v>188964</v>
      </c>
      <c r="Q2250" s="13">
        <v>49284</v>
      </c>
      <c r="S2250" s="13">
        <v>62495</v>
      </c>
      <c r="U2250" s="13">
        <v>62495</v>
      </c>
      <c r="AC2250" s="10" t="s">
        <v>5437</v>
      </c>
      <c r="AD2250" s="5" t="s">
        <v>219</v>
      </c>
      <c r="AE2250" s="5" t="s">
        <v>5438</v>
      </c>
    </row>
    <row r="2251" spans="1:33" ht="10" customHeight="1" x14ac:dyDescent="0.2">
      <c r="A2251" s="5" t="s">
        <v>4708</v>
      </c>
      <c r="B2251" s="5" t="s">
        <v>4709</v>
      </c>
      <c r="D2251" s="5" t="s">
        <v>5439</v>
      </c>
      <c r="E2251" s="10" t="s">
        <v>53</v>
      </c>
      <c r="F2251" s="5" t="s">
        <v>5436</v>
      </c>
      <c r="I2251" s="11">
        <v>2</v>
      </c>
      <c r="K2251" s="10" t="s">
        <v>46</v>
      </c>
      <c r="L2251" s="5" t="s">
        <v>47</v>
      </c>
      <c r="M2251" s="5" t="s">
        <v>115</v>
      </c>
      <c r="N2251" s="5" t="s">
        <v>135</v>
      </c>
      <c r="O2251" s="12"/>
      <c r="P2251" s="13">
        <v>51202</v>
      </c>
      <c r="Q2251" s="13">
        <v>32395</v>
      </c>
      <c r="S2251" s="13">
        <v>42932</v>
      </c>
      <c r="AC2251" s="10" t="s">
        <v>5440</v>
      </c>
      <c r="AD2251" s="5" t="s">
        <v>3411</v>
      </c>
      <c r="AE2251" s="5" t="s">
        <v>5438</v>
      </c>
    </row>
    <row r="2252" spans="1:33" ht="10" customHeight="1" x14ac:dyDescent="0.2">
      <c r="A2252" s="5" t="s">
        <v>4708</v>
      </c>
      <c r="B2252" s="5" t="s">
        <v>4709</v>
      </c>
      <c r="D2252" s="5" t="s">
        <v>5441</v>
      </c>
      <c r="E2252" s="10" t="s">
        <v>53</v>
      </c>
      <c r="F2252" s="5" t="s">
        <v>5436</v>
      </c>
      <c r="I2252" s="11">
        <v>6</v>
      </c>
      <c r="K2252" s="12"/>
      <c r="O2252" s="12"/>
      <c r="P2252" s="13">
        <v>1316</v>
      </c>
      <c r="Q2252" s="13">
        <v>1959</v>
      </c>
      <c r="S2252" s="13">
        <v>3313</v>
      </c>
      <c r="AC2252" s="10" t="s">
        <v>5442</v>
      </c>
      <c r="AD2252" s="5" t="s">
        <v>3391</v>
      </c>
      <c r="AE2252" s="5" t="s">
        <v>5438</v>
      </c>
      <c r="AF2252" s="5" t="s">
        <v>5443</v>
      </c>
    </row>
    <row r="2253" spans="1:33" ht="10" customHeight="1" x14ac:dyDescent="0.2">
      <c r="A2253" s="5" t="s">
        <v>5444</v>
      </c>
      <c r="B2253" s="5" t="s">
        <v>4709</v>
      </c>
      <c r="D2253" s="5" t="s">
        <v>5445</v>
      </c>
      <c r="E2253" s="12"/>
      <c r="I2253" s="11">
        <v>6</v>
      </c>
      <c r="J2253" s="5" t="s">
        <v>4421</v>
      </c>
      <c r="K2253" s="12"/>
      <c r="O2253" s="12"/>
      <c r="P2253" s="13">
        <v>751016</v>
      </c>
      <c r="Q2253" s="13">
        <v>750265</v>
      </c>
      <c r="S2253" s="13">
        <v>1307122</v>
      </c>
      <c r="AC2253" s="10" t="s">
        <v>5446</v>
      </c>
      <c r="AD2253" s="5" t="s">
        <v>660</v>
      </c>
      <c r="AE2253" s="5" t="s">
        <v>5183</v>
      </c>
      <c r="AF2253" s="5" t="s">
        <v>5447</v>
      </c>
      <c r="AG2253" s="5" t="s">
        <v>5448</v>
      </c>
    </row>
    <row r="2254" spans="1:33" ht="10" customHeight="1" x14ac:dyDescent="0.2">
      <c r="A2254" s="5" t="s">
        <v>5444</v>
      </c>
      <c r="B2254" s="5" t="s">
        <v>4709</v>
      </c>
      <c r="D2254" s="5" t="s">
        <v>5449</v>
      </c>
      <c r="E2254" s="12"/>
      <c r="I2254" s="11">
        <v>6</v>
      </c>
      <c r="J2254" s="5" t="s">
        <v>4421</v>
      </c>
      <c r="K2254" s="12"/>
      <c r="O2254" s="12"/>
      <c r="P2254" s="13">
        <v>2345410</v>
      </c>
      <c r="Q2254" s="13">
        <v>2282625</v>
      </c>
      <c r="S2254" s="13">
        <v>3012564</v>
      </c>
      <c r="AC2254" s="10" t="s">
        <v>5450</v>
      </c>
      <c r="AD2254" s="5" t="s">
        <v>660</v>
      </c>
      <c r="AE2254" s="5" t="s">
        <v>5183</v>
      </c>
      <c r="AF2254" s="5" t="s">
        <v>5447</v>
      </c>
      <c r="AG2254" s="5" t="s">
        <v>5451</v>
      </c>
    </row>
    <row r="2255" spans="1:33" ht="10" customHeight="1" x14ac:dyDescent="0.2">
      <c r="A2255" s="5" t="s">
        <v>5444</v>
      </c>
      <c r="B2255" s="5" t="s">
        <v>4709</v>
      </c>
      <c r="D2255" s="5" t="s">
        <v>5452</v>
      </c>
      <c r="E2255" s="10" t="s">
        <v>53</v>
      </c>
      <c r="F2255" s="5" t="s">
        <v>5453</v>
      </c>
      <c r="I2255" s="11">
        <v>2</v>
      </c>
      <c r="J2255" s="5" t="s">
        <v>4324</v>
      </c>
      <c r="K2255" s="12"/>
      <c r="O2255" s="12"/>
      <c r="P2255" s="13">
        <v>1469442</v>
      </c>
      <c r="Q2255" s="13">
        <v>1574904</v>
      </c>
      <c r="S2255" s="13">
        <v>1775443</v>
      </c>
      <c r="AC2255" s="10" t="s">
        <v>5454</v>
      </c>
      <c r="AD2255" s="5" t="s">
        <v>837</v>
      </c>
      <c r="AE2255" s="5" t="s">
        <v>4713</v>
      </c>
      <c r="AF2255" s="5" t="s">
        <v>5455</v>
      </c>
      <c r="AG2255" s="5" t="s">
        <v>5456</v>
      </c>
    </row>
    <row r="2256" spans="1:33" ht="10" customHeight="1" x14ac:dyDescent="0.2">
      <c r="A2256" s="5" t="s">
        <v>5444</v>
      </c>
      <c r="B2256" s="5" t="s">
        <v>4709</v>
      </c>
      <c r="D2256" s="5" t="s">
        <v>5457</v>
      </c>
      <c r="E2256" s="10" t="s">
        <v>53</v>
      </c>
      <c r="F2256" s="5" t="s">
        <v>5453</v>
      </c>
      <c r="I2256" s="11">
        <v>2</v>
      </c>
      <c r="J2256" s="5" t="s">
        <v>4324</v>
      </c>
      <c r="K2256" s="12"/>
      <c r="O2256" s="12"/>
      <c r="P2256" s="13">
        <v>1445034</v>
      </c>
      <c r="Q2256" s="13">
        <v>1538949</v>
      </c>
      <c r="S2256" s="13">
        <v>1711438</v>
      </c>
      <c r="AC2256" s="10" t="s">
        <v>5458</v>
      </c>
      <c r="AD2256" s="5" t="s">
        <v>837</v>
      </c>
      <c r="AE2256" s="5" t="s">
        <v>4713</v>
      </c>
      <c r="AF2256" s="5" t="s">
        <v>5455</v>
      </c>
      <c r="AG2256" s="5" t="s">
        <v>5456</v>
      </c>
    </row>
    <row r="2257" spans="1:33" ht="10" customHeight="1" x14ac:dyDescent="0.2">
      <c r="A2257" s="5" t="s">
        <v>5444</v>
      </c>
      <c r="B2257" s="5" t="s">
        <v>4709</v>
      </c>
      <c r="D2257" s="5" t="s">
        <v>5459</v>
      </c>
      <c r="E2257" s="10" t="s">
        <v>53</v>
      </c>
      <c r="F2257" s="5" t="s">
        <v>5453</v>
      </c>
      <c r="I2257" s="11">
        <v>2</v>
      </c>
      <c r="J2257" s="5" t="s">
        <v>4324</v>
      </c>
      <c r="K2257" s="12"/>
      <c r="O2257" s="12"/>
      <c r="P2257" s="13">
        <v>1396689</v>
      </c>
      <c r="Q2257" s="13">
        <v>1488706</v>
      </c>
      <c r="S2257" s="13">
        <v>1659169</v>
      </c>
      <c r="AC2257" s="10" t="s">
        <v>5460</v>
      </c>
      <c r="AD2257" s="5" t="s">
        <v>837</v>
      </c>
      <c r="AE2257" s="5" t="s">
        <v>4713</v>
      </c>
      <c r="AF2257" s="5" t="s">
        <v>5455</v>
      </c>
      <c r="AG2257" s="5" t="s">
        <v>5456</v>
      </c>
    </row>
    <row r="2258" spans="1:33" ht="10" customHeight="1" x14ac:dyDescent="0.2">
      <c r="A2258" s="5" t="s">
        <v>5444</v>
      </c>
      <c r="B2258" s="5" t="s">
        <v>4709</v>
      </c>
      <c r="D2258" s="5" t="s">
        <v>5461</v>
      </c>
      <c r="E2258" s="10" t="s">
        <v>53</v>
      </c>
      <c r="F2258" s="5" t="s">
        <v>5453</v>
      </c>
      <c r="I2258" s="11">
        <v>2</v>
      </c>
      <c r="J2258" s="5" t="s">
        <v>4324</v>
      </c>
      <c r="K2258" s="12"/>
      <c r="O2258" s="12"/>
      <c r="P2258" s="13">
        <v>0</v>
      </c>
      <c r="Q2258" s="13">
        <v>0</v>
      </c>
      <c r="S2258" s="13">
        <v>0</v>
      </c>
      <c r="AC2258" s="10" t="s">
        <v>5462</v>
      </c>
      <c r="AD2258" s="5" t="s">
        <v>837</v>
      </c>
      <c r="AE2258" s="5" t="s">
        <v>4713</v>
      </c>
      <c r="AF2258" s="5" t="s">
        <v>5455</v>
      </c>
      <c r="AG2258" s="5" t="s">
        <v>5456</v>
      </c>
    </row>
    <row r="2259" spans="1:33" ht="10" customHeight="1" x14ac:dyDescent="0.2">
      <c r="A2259" s="5" t="s">
        <v>5444</v>
      </c>
      <c r="B2259" s="5" t="s">
        <v>4709</v>
      </c>
      <c r="D2259" s="5" t="s">
        <v>5463</v>
      </c>
      <c r="E2259" s="10" t="s">
        <v>53</v>
      </c>
      <c r="F2259" s="5" t="s">
        <v>5453</v>
      </c>
      <c r="I2259" s="11">
        <v>2</v>
      </c>
      <c r="J2259" s="5" t="s">
        <v>4324</v>
      </c>
      <c r="K2259" s="12"/>
      <c r="O2259" s="12"/>
      <c r="P2259" s="13">
        <v>48345</v>
      </c>
      <c r="Q2259" s="13">
        <v>50243</v>
      </c>
      <c r="S2259" s="13">
        <v>52269</v>
      </c>
      <c r="AC2259" s="10" t="s">
        <v>5464</v>
      </c>
      <c r="AD2259" s="5" t="s">
        <v>837</v>
      </c>
      <c r="AE2259" s="5" t="s">
        <v>4713</v>
      </c>
      <c r="AF2259" s="5" t="s">
        <v>5455</v>
      </c>
      <c r="AG2259" s="5" t="s">
        <v>5456</v>
      </c>
    </row>
    <row r="2260" spans="1:33" ht="10" customHeight="1" x14ac:dyDescent="0.2">
      <c r="A2260" s="5" t="s">
        <v>5444</v>
      </c>
      <c r="B2260" s="5" t="s">
        <v>4709</v>
      </c>
      <c r="D2260" s="5" t="s">
        <v>5465</v>
      </c>
      <c r="E2260" s="10" t="s">
        <v>53</v>
      </c>
      <c r="F2260" s="5" t="s">
        <v>5453</v>
      </c>
      <c r="I2260" s="11">
        <v>2</v>
      </c>
      <c r="J2260" s="5" t="s">
        <v>4324</v>
      </c>
      <c r="K2260" s="12"/>
      <c r="O2260" s="12"/>
      <c r="P2260" s="13">
        <v>24408</v>
      </c>
      <c r="Q2260" s="13">
        <v>35955</v>
      </c>
      <c r="S2260" s="13">
        <v>64005</v>
      </c>
      <c r="AC2260" s="10" t="s">
        <v>5466</v>
      </c>
      <c r="AD2260" s="5" t="s">
        <v>837</v>
      </c>
      <c r="AE2260" s="5" t="s">
        <v>4713</v>
      </c>
      <c r="AF2260" s="5" t="s">
        <v>5455</v>
      </c>
      <c r="AG2260" s="5" t="s">
        <v>5456</v>
      </c>
    </row>
    <row r="2261" spans="1:33" ht="10" customHeight="1" x14ac:dyDescent="0.2">
      <c r="A2261" s="5" t="s">
        <v>5444</v>
      </c>
      <c r="B2261" s="5" t="s">
        <v>4709</v>
      </c>
      <c r="D2261" s="5" t="s">
        <v>5467</v>
      </c>
      <c r="E2261" s="10" t="s">
        <v>53</v>
      </c>
      <c r="F2261" s="5" t="s">
        <v>5453</v>
      </c>
      <c r="I2261" s="11">
        <v>2</v>
      </c>
      <c r="J2261" s="5" t="s">
        <v>4324</v>
      </c>
      <c r="K2261" s="12"/>
      <c r="O2261" s="12"/>
      <c r="P2261" s="13">
        <v>5192</v>
      </c>
      <c r="Q2261" s="13">
        <v>7648</v>
      </c>
      <c r="S2261" s="13">
        <v>13621</v>
      </c>
      <c r="AC2261" s="10" t="s">
        <v>5468</v>
      </c>
      <c r="AD2261" s="5" t="s">
        <v>837</v>
      </c>
      <c r="AE2261" s="5" t="s">
        <v>4713</v>
      </c>
      <c r="AF2261" s="5" t="s">
        <v>5455</v>
      </c>
      <c r="AG2261" s="5" t="s">
        <v>5456</v>
      </c>
    </row>
    <row r="2262" spans="1:33" ht="10" customHeight="1" x14ac:dyDescent="0.2">
      <c r="A2262" s="5" t="s">
        <v>5444</v>
      </c>
      <c r="B2262" s="5" t="s">
        <v>4709</v>
      </c>
      <c r="D2262" s="5" t="s">
        <v>5469</v>
      </c>
      <c r="E2262" s="10" t="s">
        <v>53</v>
      </c>
      <c r="F2262" s="5" t="s">
        <v>5453</v>
      </c>
      <c r="I2262" s="11">
        <v>2</v>
      </c>
      <c r="J2262" s="5" t="s">
        <v>4324</v>
      </c>
      <c r="K2262" s="12"/>
      <c r="O2262" s="12"/>
      <c r="P2262" s="13">
        <v>232</v>
      </c>
      <c r="Q2262" s="13">
        <v>341</v>
      </c>
      <c r="S2262" s="13">
        <v>608</v>
      </c>
      <c r="AC2262" s="10" t="s">
        <v>5470</v>
      </c>
      <c r="AD2262" s="5" t="s">
        <v>837</v>
      </c>
      <c r="AE2262" s="5" t="s">
        <v>4713</v>
      </c>
      <c r="AF2262" s="5" t="s">
        <v>5455</v>
      </c>
      <c r="AG2262" s="5" t="s">
        <v>5456</v>
      </c>
    </row>
    <row r="2263" spans="1:33" ht="10" customHeight="1" x14ac:dyDescent="0.2">
      <c r="A2263" s="5" t="s">
        <v>5444</v>
      </c>
      <c r="B2263" s="5" t="s">
        <v>4709</v>
      </c>
      <c r="D2263" s="5" t="s">
        <v>5471</v>
      </c>
      <c r="E2263" s="10" t="s">
        <v>53</v>
      </c>
      <c r="F2263" s="5" t="s">
        <v>5453</v>
      </c>
      <c r="I2263" s="11">
        <v>2</v>
      </c>
      <c r="J2263" s="5" t="s">
        <v>4324</v>
      </c>
      <c r="K2263" s="12"/>
      <c r="O2263" s="12"/>
      <c r="P2263" s="13">
        <v>15789</v>
      </c>
      <c r="Q2263" s="13">
        <v>23258</v>
      </c>
      <c r="S2263" s="13">
        <v>41393</v>
      </c>
      <c r="AC2263" s="10" t="s">
        <v>5472</v>
      </c>
      <c r="AD2263" s="5" t="s">
        <v>837</v>
      </c>
      <c r="AE2263" s="5" t="s">
        <v>4713</v>
      </c>
      <c r="AF2263" s="5" t="s">
        <v>5455</v>
      </c>
      <c r="AG2263" s="5" t="s">
        <v>5456</v>
      </c>
    </row>
    <row r="2264" spans="1:33" ht="10" customHeight="1" x14ac:dyDescent="0.2">
      <c r="A2264" s="5" t="s">
        <v>5444</v>
      </c>
      <c r="B2264" s="5" t="s">
        <v>4709</v>
      </c>
      <c r="D2264" s="5" t="s">
        <v>5473</v>
      </c>
      <c r="E2264" s="10" t="s">
        <v>53</v>
      </c>
      <c r="F2264" s="5" t="s">
        <v>5453</v>
      </c>
      <c r="I2264" s="11">
        <v>2</v>
      </c>
      <c r="J2264" s="5" t="s">
        <v>4324</v>
      </c>
      <c r="K2264" s="12"/>
      <c r="O2264" s="12"/>
      <c r="P2264" s="13">
        <v>0</v>
      </c>
      <c r="Q2264" s="13">
        <v>0</v>
      </c>
      <c r="S2264" s="13">
        <v>0</v>
      </c>
      <c r="AC2264" s="10" t="s">
        <v>5474</v>
      </c>
      <c r="AD2264" s="5" t="s">
        <v>837</v>
      </c>
      <c r="AE2264" s="5" t="s">
        <v>4713</v>
      </c>
      <c r="AF2264" s="5" t="s">
        <v>5455</v>
      </c>
      <c r="AG2264" s="5" t="s">
        <v>5456</v>
      </c>
    </row>
    <row r="2265" spans="1:33" ht="10" customHeight="1" x14ac:dyDescent="0.2">
      <c r="A2265" s="5" t="s">
        <v>5444</v>
      </c>
      <c r="B2265" s="5" t="s">
        <v>4709</v>
      </c>
      <c r="D2265" s="5" t="s">
        <v>5475</v>
      </c>
      <c r="E2265" s="10" t="s">
        <v>53</v>
      </c>
      <c r="F2265" s="5" t="s">
        <v>5453</v>
      </c>
      <c r="I2265" s="11">
        <v>2</v>
      </c>
      <c r="J2265" s="5" t="s">
        <v>4324</v>
      </c>
      <c r="K2265" s="12"/>
      <c r="O2265" s="12"/>
      <c r="P2265" s="13">
        <v>3195</v>
      </c>
      <c r="Q2265" s="13">
        <v>4708</v>
      </c>
      <c r="S2265" s="13">
        <v>8383</v>
      </c>
      <c r="AC2265" s="10" t="s">
        <v>5476</v>
      </c>
      <c r="AD2265" s="5" t="s">
        <v>837</v>
      </c>
      <c r="AE2265" s="5" t="s">
        <v>4713</v>
      </c>
      <c r="AF2265" s="5" t="s">
        <v>5455</v>
      </c>
      <c r="AG2265" s="5" t="s">
        <v>5456</v>
      </c>
    </row>
    <row r="2266" spans="1:33" ht="10" customHeight="1" x14ac:dyDescent="0.2">
      <c r="A2266" s="5" t="s">
        <v>5444</v>
      </c>
      <c r="B2266" s="5" t="s">
        <v>4709</v>
      </c>
      <c r="D2266" s="5" t="s">
        <v>5477</v>
      </c>
      <c r="E2266" s="10" t="s">
        <v>53</v>
      </c>
      <c r="F2266" s="5" t="s">
        <v>5453</v>
      </c>
      <c r="I2266" s="11">
        <v>2</v>
      </c>
      <c r="J2266" s="5" t="s">
        <v>4324</v>
      </c>
      <c r="K2266" s="12"/>
      <c r="O2266" s="12"/>
      <c r="P2266" s="13">
        <v>627</v>
      </c>
      <c r="Q2266" s="13">
        <v>923</v>
      </c>
      <c r="S2266" s="13">
        <v>1643</v>
      </c>
      <c r="AC2266" s="10" t="s">
        <v>5478</v>
      </c>
      <c r="AD2266" s="5" t="s">
        <v>837</v>
      </c>
      <c r="AE2266" s="5" t="s">
        <v>4713</v>
      </c>
      <c r="AF2266" s="5" t="s">
        <v>5455</v>
      </c>
      <c r="AG2266" s="5" t="s">
        <v>5456</v>
      </c>
    </row>
    <row r="2267" spans="1:33" ht="10" customHeight="1" x14ac:dyDescent="0.2">
      <c r="A2267" s="5" t="s">
        <v>5444</v>
      </c>
      <c r="B2267" s="5" t="s">
        <v>4709</v>
      </c>
      <c r="D2267" s="5" t="s">
        <v>5479</v>
      </c>
      <c r="E2267" s="10" t="s">
        <v>53</v>
      </c>
      <c r="F2267" s="5" t="s">
        <v>5453</v>
      </c>
      <c r="I2267" s="11">
        <v>2</v>
      </c>
      <c r="J2267" s="5" t="s">
        <v>4324</v>
      </c>
      <c r="K2267" s="12"/>
      <c r="O2267" s="12"/>
      <c r="P2267" s="13">
        <v>3845</v>
      </c>
      <c r="Q2267" s="13">
        <v>5665</v>
      </c>
      <c r="S2267" s="13">
        <v>10085</v>
      </c>
      <c r="AC2267" s="10" t="s">
        <v>5480</v>
      </c>
      <c r="AD2267" s="5" t="s">
        <v>837</v>
      </c>
      <c r="AE2267" s="5" t="s">
        <v>4713</v>
      </c>
      <c r="AF2267" s="5" t="s">
        <v>5455</v>
      </c>
      <c r="AG2267" s="5" t="s">
        <v>5456</v>
      </c>
    </row>
    <row r="2268" spans="1:33" ht="10" customHeight="1" x14ac:dyDescent="0.2">
      <c r="A2268" s="5" t="s">
        <v>5444</v>
      </c>
      <c r="B2268" s="5" t="s">
        <v>4709</v>
      </c>
      <c r="D2268" s="5" t="s">
        <v>5481</v>
      </c>
      <c r="E2268" s="10" t="s">
        <v>53</v>
      </c>
      <c r="F2268" s="5" t="s">
        <v>5453</v>
      </c>
      <c r="I2268" s="11">
        <v>2</v>
      </c>
      <c r="J2268" s="5" t="s">
        <v>4324</v>
      </c>
      <c r="K2268" s="12"/>
      <c r="O2268" s="12"/>
      <c r="P2268" s="13">
        <v>724</v>
      </c>
      <c r="Q2268" s="13">
        <v>1067</v>
      </c>
      <c r="S2268" s="13">
        <v>1900</v>
      </c>
      <c r="AC2268" s="10" t="s">
        <v>5482</v>
      </c>
      <c r="AD2268" s="5" t="s">
        <v>837</v>
      </c>
      <c r="AE2268" s="5" t="s">
        <v>4713</v>
      </c>
      <c r="AF2268" s="5" t="s">
        <v>5455</v>
      </c>
      <c r="AG2268" s="5" t="s">
        <v>5456</v>
      </c>
    </row>
    <row r="2269" spans="1:33" ht="10" customHeight="1" x14ac:dyDescent="0.2">
      <c r="A2269" s="5" t="s">
        <v>5444</v>
      </c>
      <c r="B2269" s="5" t="s">
        <v>4709</v>
      </c>
      <c r="D2269" s="5" t="s">
        <v>5483</v>
      </c>
      <c r="E2269" s="10" t="s">
        <v>53</v>
      </c>
      <c r="F2269" s="5" t="s">
        <v>5453</v>
      </c>
      <c r="I2269" s="11">
        <v>2</v>
      </c>
      <c r="J2269" s="5" t="s">
        <v>4324</v>
      </c>
      <c r="K2269" s="12"/>
      <c r="O2269" s="12"/>
      <c r="P2269" s="13">
        <v>2542</v>
      </c>
      <c r="Q2269" s="13">
        <v>3745</v>
      </c>
      <c r="S2269" s="13">
        <v>6666</v>
      </c>
      <c r="AC2269" s="10" t="s">
        <v>5484</v>
      </c>
      <c r="AD2269" s="5" t="s">
        <v>837</v>
      </c>
      <c r="AE2269" s="5" t="s">
        <v>4713</v>
      </c>
      <c r="AF2269" s="5" t="s">
        <v>5455</v>
      </c>
      <c r="AG2269" s="5" t="s">
        <v>5456</v>
      </c>
    </row>
    <row r="2270" spans="1:33" ht="10" customHeight="1" x14ac:dyDescent="0.2">
      <c r="A2270" s="5" t="s">
        <v>5444</v>
      </c>
      <c r="B2270" s="5" t="s">
        <v>4709</v>
      </c>
      <c r="D2270" s="5" t="s">
        <v>5485</v>
      </c>
      <c r="E2270" s="10" t="s">
        <v>53</v>
      </c>
      <c r="F2270" s="5" t="s">
        <v>5453</v>
      </c>
      <c r="I2270" s="11">
        <v>2</v>
      </c>
      <c r="J2270" s="5" t="s">
        <v>4324</v>
      </c>
      <c r="K2270" s="12"/>
      <c r="O2270" s="12"/>
      <c r="P2270" s="13">
        <v>579</v>
      </c>
      <c r="Q2270" s="13">
        <v>853</v>
      </c>
      <c r="S2270" s="13">
        <v>1519</v>
      </c>
      <c r="AC2270" s="10" t="s">
        <v>5486</v>
      </c>
      <c r="AD2270" s="5" t="s">
        <v>837</v>
      </c>
      <c r="AE2270" s="5" t="s">
        <v>4713</v>
      </c>
      <c r="AF2270" s="5" t="s">
        <v>5455</v>
      </c>
      <c r="AG2270" s="5" t="s">
        <v>5456</v>
      </c>
    </row>
    <row r="2271" spans="1:33" ht="10" customHeight="1" x14ac:dyDescent="0.2">
      <c r="A2271" s="5" t="s">
        <v>5444</v>
      </c>
      <c r="B2271" s="5" t="s">
        <v>4709</v>
      </c>
      <c r="D2271" s="5" t="s">
        <v>5487</v>
      </c>
      <c r="E2271" s="10" t="s">
        <v>44</v>
      </c>
      <c r="I2271" s="11">
        <v>2</v>
      </c>
      <c r="J2271" s="5" t="s">
        <v>4324</v>
      </c>
      <c r="K2271" s="12"/>
      <c r="O2271" s="12"/>
      <c r="P2271" s="13">
        <v>1473914</v>
      </c>
      <c r="Q2271" s="13">
        <v>1581492</v>
      </c>
      <c r="S2271" s="13">
        <v>1787171</v>
      </c>
      <c r="AC2271" s="10" t="s">
        <v>5488</v>
      </c>
      <c r="AD2271" s="5" t="s">
        <v>837</v>
      </c>
      <c r="AE2271" s="5" t="s">
        <v>4713</v>
      </c>
      <c r="AF2271" s="5" t="s">
        <v>5455</v>
      </c>
      <c r="AG2271" s="5" t="s">
        <v>5456</v>
      </c>
    </row>
    <row r="2272" spans="1:33" ht="10" customHeight="1" x14ac:dyDescent="0.2">
      <c r="A2272" s="5" t="s">
        <v>5444</v>
      </c>
      <c r="B2272" s="5" t="s">
        <v>4709</v>
      </c>
      <c r="D2272" s="5" t="s">
        <v>5489</v>
      </c>
      <c r="E2272" s="10" t="s">
        <v>345</v>
      </c>
      <c r="F2272" s="5" t="s">
        <v>5453</v>
      </c>
      <c r="I2272" s="11">
        <v>2</v>
      </c>
      <c r="J2272" s="5" t="s">
        <v>4324</v>
      </c>
      <c r="K2272" s="12"/>
      <c r="O2272" s="12"/>
      <c r="P2272" s="13">
        <v>433383</v>
      </c>
      <c r="Q2272" s="13">
        <v>550873</v>
      </c>
      <c r="S2272" s="13">
        <v>574799</v>
      </c>
      <c r="AC2272" s="10" t="s">
        <v>5490</v>
      </c>
      <c r="AD2272" s="5" t="s">
        <v>5491</v>
      </c>
      <c r="AE2272" s="5" t="s">
        <v>4713</v>
      </c>
      <c r="AF2272" s="5" t="s">
        <v>5455</v>
      </c>
      <c r="AG2272" s="5" t="s">
        <v>5492</v>
      </c>
    </row>
    <row r="2273" spans="1:33" ht="10" customHeight="1" x14ac:dyDescent="0.2">
      <c r="A2273" s="5" t="s">
        <v>5444</v>
      </c>
      <c r="B2273" s="5" t="s">
        <v>4709</v>
      </c>
      <c r="D2273" s="5" t="s">
        <v>5493</v>
      </c>
      <c r="E2273" s="10" t="s">
        <v>345</v>
      </c>
      <c r="F2273" s="5" t="s">
        <v>5453</v>
      </c>
      <c r="I2273" s="11">
        <v>2</v>
      </c>
      <c r="J2273" s="5" t="s">
        <v>4324</v>
      </c>
      <c r="K2273" s="12"/>
      <c r="O2273" s="12"/>
      <c r="P2273" s="13">
        <v>21266</v>
      </c>
      <c r="Q2273" s="13">
        <v>41041</v>
      </c>
      <c r="S2273" s="13">
        <v>24059</v>
      </c>
      <c r="AC2273" s="10" t="s">
        <v>5494</v>
      </c>
      <c r="AD2273" s="5" t="s">
        <v>5491</v>
      </c>
      <c r="AE2273" s="5" t="s">
        <v>4713</v>
      </c>
      <c r="AF2273" s="5" t="s">
        <v>5455</v>
      </c>
      <c r="AG2273" s="5" t="s">
        <v>5492</v>
      </c>
    </row>
    <row r="2274" spans="1:33" ht="10" customHeight="1" x14ac:dyDescent="0.2">
      <c r="A2274" s="5" t="s">
        <v>5444</v>
      </c>
      <c r="B2274" s="5" t="s">
        <v>4709</v>
      </c>
      <c r="D2274" s="5" t="s">
        <v>5495</v>
      </c>
      <c r="E2274" s="10" t="s">
        <v>345</v>
      </c>
      <c r="F2274" s="5" t="s">
        <v>5453</v>
      </c>
      <c r="I2274" s="11">
        <v>2</v>
      </c>
      <c r="J2274" s="5" t="s">
        <v>4324</v>
      </c>
      <c r="K2274" s="12"/>
      <c r="O2274" s="12"/>
      <c r="P2274" s="13">
        <v>295608</v>
      </c>
      <c r="Q2274" s="13">
        <v>343964</v>
      </c>
      <c r="S2274" s="13">
        <v>455523</v>
      </c>
      <c r="AC2274" s="10" t="s">
        <v>5496</v>
      </c>
      <c r="AD2274" s="5" t="s">
        <v>5491</v>
      </c>
      <c r="AE2274" s="5" t="s">
        <v>4713</v>
      </c>
      <c r="AF2274" s="5" t="s">
        <v>5455</v>
      </c>
      <c r="AG2274" s="5" t="s">
        <v>5492</v>
      </c>
    </row>
    <row r="2275" spans="1:33" ht="10" customHeight="1" x14ac:dyDescent="0.2">
      <c r="A2275" s="5" t="s">
        <v>5444</v>
      </c>
      <c r="B2275" s="5" t="s">
        <v>4709</v>
      </c>
      <c r="D2275" s="5" t="s">
        <v>5497</v>
      </c>
      <c r="E2275" s="10" t="s">
        <v>345</v>
      </c>
      <c r="F2275" s="5" t="s">
        <v>5453</v>
      </c>
      <c r="I2275" s="11">
        <v>2</v>
      </c>
      <c r="J2275" s="5" t="s">
        <v>4324</v>
      </c>
      <c r="K2275" s="12"/>
      <c r="O2275" s="12"/>
      <c r="P2275" s="13">
        <v>33695</v>
      </c>
      <c r="Q2275" s="13">
        <v>41120</v>
      </c>
      <c r="S2275" s="13">
        <v>55977</v>
      </c>
      <c r="AC2275" s="10" t="s">
        <v>5498</v>
      </c>
      <c r="AD2275" s="5" t="s">
        <v>5491</v>
      </c>
      <c r="AE2275" s="5" t="s">
        <v>4713</v>
      </c>
      <c r="AF2275" s="5" t="s">
        <v>5455</v>
      </c>
      <c r="AG2275" s="5" t="s">
        <v>5492</v>
      </c>
    </row>
    <row r="2276" spans="1:33" ht="10" customHeight="1" x14ac:dyDescent="0.2">
      <c r="A2276" s="5" t="s">
        <v>5444</v>
      </c>
      <c r="B2276" s="5" t="s">
        <v>4709</v>
      </c>
      <c r="D2276" s="5" t="s">
        <v>5499</v>
      </c>
      <c r="E2276" s="10" t="s">
        <v>345</v>
      </c>
      <c r="F2276" s="5" t="s">
        <v>5453</v>
      </c>
      <c r="I2276" s="11">
        <v>2</v>
      </c>
      <c r="J2276" s="5" t="s">
        <v>4324</v>
      </c>
      <c r="K2276" s="12"/>
      <c r="O2276" s="12"/>
      <c r="P2276" s="13">
        <v>20444</v>
      </c>
      <c r="Q2276" s="13">
        <v>27323</v>
      </c>
      <c r="S2276" s="13">
        <v>38987</v>
      </c>
      <c r="AC2276" s="10" t="s">
        <v>5500</v>
      </c>
      <c r="AD2276" s="5" t="s">
        <v>5491</v>
      </c>
      <c r="AE2276" s="5" t="s">
        <v>4713</v>
      </c>
      <c r="AF2276" s="5" t="s">
        <v>5455</v>
      </c>
      <c r="AG2276" s="5" t="s">
        <v>5492</v>
      </c>
    </row>
    <row r="2277" spans="1:33" ht="10" customHeight="1" x14ac:dyDescent="0.2">
      <c r="A2277" s="5" t="s">
        <v>5444</v>
      </c>
      <c r="B2277" s="5" t="s">
        <v>4709</v>
      </c>
      <c r="D2277" s="5" t="s">
        <v>5501</v>
      </c>
      <c r="E2277" s="10" t="s">
        <v>345</v>
      </c>
      <c r="F2277" s="5" t="s">
        <v>5453</v>
      </c>
      <c r="I2277" s="11">
        <v>2</v>
      </c>
      <c r="J2277" s="5" t="s">
        <v>4324</v>
      </c>
      <c r="K2277" s="12"/>
      <c r="O2277" s="12"/>
      <c r="P2277" s="13">
        <v>480213</v>
      </c>
      <c r="Q2277" s="13">
        <v>404936</v>
      </c>
      <c r="S2277" s="13">
        <v>430729</v>
      </c>
      <c r="AC2277" s="10" t="s">
        <v>5502</v>
      </c>
      <c r="AD2277" s="5" t="s">
        <v>5491</v>
      </c>
      <c r="AE2277" s="5" t="s">
        <v>4713</v>
      </c>
      <c r="AF2277" s="5" t="s">
        <v>5455</v>
      </c>
      <c r="AG2277" s="5" t="s">
        <v>5492</v>
      </c>
    </row>
    <row r="2278" spans="1:33" ht="10" customHeight="1" x14ac:dyDescent="0.2">
      <c r="A2278" s="5" t="s">
        <v>5444</v>
      </c>
      <c r="B2278" s="5" t="s">
        <v>4709</v>
      </c>
      <c r="D2278" s="5" t="s">
        <v>5503</v>
      </c>
      <c r="E2278" s="10" t="s">
        <v>345</v>
      </c>
      <c r="F2278" s="5" t="s">
        <v>5453</v>
      </c>
      <c r="I2278" s="11">
        <v>2</v>
      </c>
      <c r="J2278" s="5" t="s">
        <v>4324</v>
      </c>
      <c r="K2278" s="12"/>
      <c r="O2278" s="12"/>
      <c r="P2278" s="13">
        <v>27079</v>
      </c>
      <c r="Q2278" s="13">
        <v>9202</v>
      </c>
      <c r="S2278" s="13">
        <v>28210</v>
      </c>
      <c r="AC2278" s="10" t="s">
        <v>5504</v>
      </c>
      <c r="AD2278" s="5" t="s">
        <v>5491</v>
      </c>
      <c r="AE2278" s="5" t="s">
        <v>4713</v>
      </c>
      <c r="AF2278" s="5" t="s">
        <v>5455</v>
      </c>
      <c r="AG2278" s="5" t="s">
        <v>5492</v>
      </c>
    </row>
    <row r="2279" spans="1:33" ht="10" customHeight="1" x14ac:dyDescent="0.2">
      <c r="A2279" s="5" t="s">
        <v>5444</v>
      </c>
      <c r="B2279" s="5" t="s">
        <v>4709</v>
      </c>
      <c r="D2279" s="5" t="s">
        <v>5505</v>
      </c>
      <c r="E2279" s="10" t="s">
        <v>345</v>
      </c>
      <c r="F2279" s="5" t="s">
        <v>5453</v>
      </c>
      <c r="I2279" s="11">
        <v>2</v>
      </c>
      <c r="J2279" s="5" t="s">
        <v>4324</v>
      </c>
      <c r="K2279" s="12"/>
      <c r="O2279" s="12"/>
      <c r="P2279" s="13">
        <v>157312</v>
      </c>
      <c r="Q2279" s="13">
        <v>158016</v>
      </c>
      <c r="S2279" s="13">
        <v>173764</v>
      </c>
      <c r="AC2279" s="10" t="s">
        <v>5506</v>
      </c>
      <c r="AD2279" s="5" t="s">
        <v>5491</v>
      </c>
      <c r="AE2279" s="5" t="s">
        <v>4713</v>
      </c>
      <c r="AF2279" s="5" t="s">
        <v>5455</v>
      </c>
      <c r="AG2279" s="5" t="s">
        <v>5492</v>
      </c>
    </row>
    <row r="2280" spans="1:33" ht="10" customHeight="1" x14ac:dyDescent="0.2">
      <c r="A2280" s="5" t="s">
        <v>5444</v>
      </c>
      <c r="B2280" s="5" t="s">
        <v>4709</v>
      </c>
      <c r="D2280" s="5" t="s">
        <v>5507</v>
      </c>
      <c r="E2280" s="10" t="s">
        <v>345</v>
      </c>
      <c r="F2280" s="5" t="s">
        <v>5453</v>
      </c>
      <c r="I2280" s="11">
        <v>2</v>
      </c>
      <c r="J2280" s="5" t="s">
        <v>4324</v>
      </c>
      <c r="K2280" s="12"/>
      <c r="O2280" s="12"/>
      <c r="P2280" s="13">
        <v>4914</v>
      </c>
      <c r="Q2280" s="13">
        <v>5017</v>
      </c>
      <c r="S2280" s="13">
        <v>5123</v>
      </c>
      <c r="AC2280" s="10" t="s">
        <v>5508</v>
      </c>
      <c r="AD2280" s="5" t="s">
        <v>5491</v>
      </c>
      <c r="AE2280" s="5" t="s">
        <v>4713</v>
      </c>
      <c r="AF2280" s="5" t="s">
        <v>5455</v>
      </c>
      <c r="AG2280" s="5" t="s">
        <v>5492</v>
      </c>
    </row>
    <row r="2281" spans="1:33" ht="10" customHeight="1" x14ac:dyDescent="0.2">
      <c r="A2281" s="5" t="s">
        <v>5444</v>
      </c>
      <c r="B2281" s="5" t="s">
        <v>4709</v>
      </c>
      <c r="D2281" s="5" t="s">
        <v>5509</v>
      </c>
      <c r="E2281" s="10" t="s">
        <v>345</v>
      </c>
      <c r="F2281" s="5" t="s">
        <v>5453</v>
      </c>
      <c r="I2281" s="11">
        <v>2</v>
      </c>
      <c r="J2281" s="5" t="s">
        <v>4324</v>
      </c>
      <c r="K2281" s="12"/>
      <c r="O2281" s="12"/>
      <c r="P2281" s="13">
        <v>1473914</v>
      </c>
      <c r="Q2281" s="13">
        <v>1581492</v>
      </c>
      <c r="S2281" s="13">
        <v>1787171</v>
      </c>
      <c r="AC2281" s="10" t="s">
        <v>5510</v>
      </c>
      <c r="AD2281" s="5" t="s">
        <v>5491</v>
      </c>
      <c r="AE2281" s="5" t="s">
        <v>4713</v>
      </c>
      <c r="AF2281" s="5" t="s">
        <v>5455</v>
      </c>
      <c r="AG2281" s="5" t="s">
        <v>5492</v>
      </c>
    </row>
    <row r="2282" spans="1:33" ht="10" customHeight="1" x14ac:dyDescent="0.2">
      <c r="A2282" s="5" t="s">
        <v>5444</v>
      </c>
      <c r="B2282" s="5" t="s">
        <v>4709</v>
      </c>
      <c r="D2282" s="5" t="s">
        <v>5511</v>
      </c>
      <c r="E2282" s="10" t="s">
        <v>53</v>
      </c>
      <c r="F2282" s="5" t="s">
        <v>5512</v>
      </c>
      <c r="I2282" s="11">
        <v>7</v>
      </c>
      <c r="J2282" s="5" t="s">
        <v>5513</v>
      </c>
      <c r="K2282" s="12"/>
      <c r="O2282" s="12"/>
      <c r="P2282" s="13">
        <v>16917</v>
      </c>
      <c r="Q2282" s="13">
        <v>17272</v>
      </c>
      <c r="S2282" s="13">
        <v>17635</v>
      </c>
      <c r="AC2282" s="10" t="s">
        <v>5514</v>
      </c>
      <c r="AD2282" s="5" t="s">
        <v>5515</v>
      </c>
      <c r="AE2282" s="5" t="s">
        <v>4713</v>
      </c>
      <c r="AF2282" s="5" t="s">
        <v>5455</v>
      </c>
      <c r="AG2282" s="5" t="s">
        <v>5516</v>
      </c>
    </row>
    <row r="2283" spans="1:33" ht="10" customHeight="1" x14ac:dyDescent="0.2">
      <c r="A2283" s="5" t="s">
        <v>5444</v>
      </c>
      <c r="B2283" s="5" t="s">
        <v>4709</v>
      </c>
      <c r="D2283" s="5" t="s">
        <v>5517</v>
      </c>
      <c r="E2283" s="10" t="s">
        <v>53</v>
      </c>
      <c r="F2283" s="5" t="s">
        <v>5512</v>
      </c>
      <c r="I2283" s="11">
        <v>7</v>
      </c>
      <c r="J2283" s="5" t="s">
        <v>5513</v>
      </c>
      <c r="K2283" s="12"/>
      <c r="O2283" s="12"/>
      <c r="P2283" s="13">
        <v>31912</v>
      </c>
      <c r="Q2283" s="13">
        <v>1903</v>
      </c>
      <c r="S2283" s="13">
        <v>0</v>
      </c>
      <c r="AC2283" s="10" t="s">
        <v>5518</v>
      </c>
      <c r="AD2283" s="5" t="s">
        <v>5515</v>
      </c>
      <c r="AE2283" s="5" t="s">
        <v>4713</v>
      </c>
      <c r="AF2283" s="5" t="s">
        <v>5455</v>
      </c>
      <c r="AG2283" s="5" t="s">
        <v>5516</v>
      </c>
    </row>
    <row r="2284" spans="1:33" ht="10" customHeight="1" x14ac:dyDescent="0.2">
      <c r="A2284" s="5" t="s">
        <v>5444</v>
      </c>
      <c r="B2284" s="5" t="s">
        <v>4709</v>
      </c>
      <c r="D2284" s="5" t="s">
        <v>5519</v>
      </c>
      <c r="E2284" s="10" t="s">
        <v>53</v>
      </c>
      <c r="F2284" s="5" t="s">
        <v>5512</v>
      </c>
      <c r="I2284" s="11">
        <v>7</v>
      </c>
      <c r="J2284" s="5" t="s">
        <v>5513</v>
      </c>
      <c r="K2284" s="12"/>
      <c r="O2284" s="12"/>
      <c r="P2284" s="13">
        <v>72515</v>
      </c>
      <c r="Q2284" s="13">
        <v>202025</v>
      </c>
      <c r="S2284" s="13">
        <v>127769</v>
      </c>
      <c r="AC2284" s="10" t="s">
        <v>5520</v>
      </c>
      <c r="AD2284" s="5" t="s">
        <v>5515</v>
      </c>
      <c r="AE2284" s="5" t="s">
        <v>4713</v>
      </c>
      <c r="AF2284" s="5" t="s">
        <v>5455</v>
      </c>
      <c r="AG2284" s="5" t="s">
        <v>5516</v>
      </c>
    </row>
    <row r="2285" spans="1:33" ht="10" customHeight="1" x14ac:dyDescent="0.2">
      <c r="A2285" s="5" t="s">
        <v>5444</v>
      </c>
      <c r="B2285" s="5" t="s">
        <v>4709</v>
      </c>
      <c r="D2285" s="5" t="s">
        <v>5521</v>
      </c>
      <c r="E2285" s="10" t="s">
        <v>53</v>
      </c>
      <c r="F2285" s="5" t="s">
        <v>5512</v>
      </c>
      <c r="I2285" s="11">
        <v>7</v>
      </c>
      <c r="J2285" s="5" t="s">
        <v>5513</v>
      </c>
      <c r="K2285" s="12"/>
      <c r="O2285" s="12"/>
      <c r="P2285" s="13">
        <v>0</v>
      </c>
      <c r="Q2285" s="13">
        <v>0</v>
      </c>
      <c r="S2285" s="13">
        <v>0</v>
      </c>
      <c r="AC2285" s="10" t="s">
        <v>5522</v>
      </c>
      <c r="AD2285" s="5" t="s">
        <v>5515</v>
      </c>
      <c r="AE2285" s="5" t="s">
        <v>4713</v>
      </c>
      <c r="AF2285" s="5" t="s">
        <v>5455</v>
      </c>
      <c r="AG2285" s="5" t="s">
        <v>5516</v>
      </c>
    </row>
    <row r="2286" spans="1:33" ht="10" customHeight="1" x14ac:dyDescent="0.2">
      <c r="A2286" s="5" t="s">
        <v>5444</v>
      </c>
      <c r="B2286" s="5" t="s">
        <v>4709</v>
      </c>
      <c r="D2286" s="5" t="s">
        <v>5523</v>
      </c>
      <c r="E2286" s="10" t="s">
        <v>53</v>
      </c>
      <c r="F2286" s="5" t="s">
        <v>5512</v>
      </c>
      <c r="I2286" s="11">
        <v>7</v>
      </c>
      <c r="J2286" s="5" t="s">
        <v>5513</v>
      </c>
      <c r="K2286" s="12"/>
      <c r="O2286" s="12"/>
      <c r="P2286" s="13">
        <v>1590625</v>
      </c>
      <c r="Q2286" s="13">
        <v>1199000</v>
      </c>
      <c r="S2286" s="13">
        <v>553720</v>
      </c>
      <c r="AC2286" s="10" t="s">
        <v>5524</v>
      </c>
      <c r="AD2286" s="5" t="s">
        <v>5515</v>
      </c>
      <c r="AE2286" s="5" t="s">
        <v>4713</v>
      </c>
      <c r="AF2286" s="5" t="s">
        <v>5455</v>
      </c>
      <c r="AG2286" s="5" t="s">
        <v>5516</v>
      </c>
    </row>
    <row r="2287" spans="1:33" ht="10" customHeight="1" x14ac:dyDescent="0.2">
      <c r="A2287" s="5" t="s">
        <v>5444</v>
      </c>
      <c r="B2287" s="5" t="s">
        <v>4709</v>
      </c>
      <c r="D2287" s="5" t="s">
        <v>5525</v>
      </c>
      <c r="E2287" s="10" t="s">
        <v>44</v>
      </c>
      <c r="I2287" s="11">
        <v>7</v>
      </c>
      <c r="J2287" s="5" t="s">
        <v>5513</v>
      </c>
      <c r="K2287" s="12"/>
      <c r="O2287" s="12"/>
      <c r="P2287" s="13">
        <v>1711969</v>
      </c>
      <c r="Q2287" s="13">
        <v>1420200</v>
      </c>
      <c r="S2287" s="13">
        <v>699124</v>
      </c>
      <c r="AC2287" s="10" t="s">
        <v>5526</v>
      </c>
      <c r="AD2287" s="5" t="s">
        <v>5515</v>
      </c>
      <c r="AE2287" s="5" t="s">
        <v>4713</v>
      </c>
      <c r="AF2287" s="5" t="s">
        <v>5455</v>
      </c>
      <c r="AG2287" s="5" t="s">
        <v>5516</v>
      </c>
    </row>
    <row r="2288" spans="1:33" ht="10" customHeight="1" x14ac:dyDescent="0.2">
      <c r="A2288" s="5" t="s">
        <v>5444</v>
      </c>
      <c r="B2288" s="5" t="s">
        <v>4709</v>
      </c>
      <c r="D2288" s="5" t="s">
        <v>5527</v>
      </c>
      <c r="E2288" s="10" t="s">
        <v>53</v>
      </c>
      <c r="F2288" s="5" t="s">
        <v>5512</v>
      </c>
      <c r="I2288" s="11">
        <v>7</v>
      </c>
      <c r="J2288" s="5" t="s">
        <v>5513</v>
      </c>
      <c r="K2288" s="12"/>
      <c r="O2288" s="12"/>
      <c r="P2288" s="13">
        <v>21988</v>
      </c>
      <c r="AC2288" s="10" t="s">
        <v>5528</v>
      </c>
      <c r="AD2288" s="5" t="s">
        <v>5515</v>
      </c>
      <c r="AE2288" s="5" t="s">
        <v>4713</v>
      </c>
      <c r="AF2288" s="5" t="s">
        <v>5455</v>
      </c>
      <c r="AG2288" s="5" t="s">
        <v>5529</v>
      </c>
    </row>
    <row r="2289" spans="1:33" ht="10" customHeight="1" x14ac:dyDescent="0.2">
      <c r="A2289" s="5" t="s">
        <v>5444</v>
      </c>
      <c r="B2289" s="5" t="s">
        <v>4709</v>
      </c>
      <c r="D2289" s="5" t="s">
        <v>5530</v>
      </c>
      <c r="E2289" s="10" t="s">
        <v>53</v>
      </c>
      <c r="F2289" s="5" t="s">
        <v>5512</v>
      </c>
      <c r="I2289" s="11">
        <v>7</v>
      </c>
      <c r="J2289" s="5" t="s">
        <v>5513</v>
      </c>
      <c r="K2289" s="12"/>
      <c r="O2289" s="12"/>
      <c r="P2289" s="13">
        <v>3236</v>
      </c>
      <c r="AC2289" s="10" t="s">
        <v>5531</v>
      </c>
      <c r="AD2289" s="5" t="s">
        <v>5515</v>
      </c>
      <c r="AE2289" s="5" t="s">
        <v>4713</v>
      </c>
      <c r="AF2289" s="5" t="s">
        <v>5455</v>
      </c>
      <c r="AG2289" s="5" t="s">
        <v>5529</v>
      </c>
    </row>
    <row r="2290" spans="1:33" ht="10" customHeight="1" x14ac:dyDescent="0.2">
      <c r="A2290" s="5" t="s">
        <v>5444</v>
      </c>
      <c r="B2290" s="5" t="s">
        <v>4709</v>
      </c>
      <c r="D2290" s="5" t="s">
        <v>5532</v>
      </c>
      <c r="E2290" s="10" t="s">
        <v>53</v>
      </c>
      <c r="F2290" s="5" t="s">
        <v>5512</v>
      </c>
      <c r="I2290" s="11">
        <v>7</v>
      </c>
      <c r="J2290" s="5" t="s">
        <v>5513</v>
      </c>
      <c r="K2290" s="12"/>
      <c r="O2290" s="12"/>
      <c r="P2290" s="13">
        <v>683</v>
      </c>
      <c r="AC2290" s="10" t="s">
        <v>5533</v>
      </c>
      <c r="AD2290" s="5" t="s">
        <v>5515</v>
      </c>
      <c r="AE2290" s="5" t="s">
        <v>4713</v>
      </c>
      <c r="AF2290" s="5" t="s">
        <v>5455</v>
      </c>
      <c r="AG2290" s="5" t="s">
        <v>5529</v>
      </c>
    </row>
    <row r="2291" spans="1:33" ht="10" customHeight="1" x14ac:dyDescent="0.2">
      <c r="A2291" s="5" t="s">
        <v>5444</v>
      </c>
      <c r="B2291" s="5" t="s">
        <v>4709</v>
      </c>
      <c r="D2291" s="5" t="s">
        <v>5534</v>
      </c>
      <c r="E2291" s="10" t="s">
        <v>53</v>
      </c>
      <c r="F2291" s="5" t="s">
        <v>5512</v>
      </c>
      <c r="I2291" s="11">
        <v>7</v>
      </c>
      <c r="J2291" s="5" t="s">
        <v>5513</v>
      </c>
      <c r="K2291" s="12"/>
      <c r="O2291" s="12"/>
      <c r="P2291" s="13">
        <v>2130</v>
      </c>
      <c r="AC2291" s="10" t="s">
        <v>5535</v>
      </c>
      <c r="AD2291" s="5" t="s">
        <v>5515</v>
      </c>
      <c r="AE2291" s="5" t="s">
        <v>4713</v>
      </c>
      <c r="AF2291" s="5" t="s">
        <v>5455</v>
      </c>
      <c r="AG2291" s="5" t="s">
        <v>5529</v>
      </c>
    </row>
    <row r="2292" spans="1:33" ht="10" customHeight="1" x14ac:dyDescent="0.2">
      <c r="A2292" s="5" t="s">
        <v>5444</v>
      </c>
      <c r="B2292" s="5" t="s">
        <v>4709</v>
      </c>
      <c r="D2292" s="5" t="s">
        <v>5536</v>
      </c>
      <c r="E2292" s="10" t="s">
        <v>53</v>
      </c>
      <c r="F2292" s="5" t="s">
        <v>5512</v>
      </c>
      <c r="I2292" s="11">
        <v>7</v>
      </c>
      <c r="J2292" s="5" t="s">
        <v>5513</v>
      </c>
      <c r="K2292" s="12"/>
      <c r="O2292" s="12"/>
      <c r="P2292" s="13">
        <v>2010</v>
      </c>
      <c r="AC2292" s="10" t="s">
        <v>5537</v>
      </c>
      <c r="AD2292" s="5" t="s">
        <v>5515</v>
      </c>
      <c r="AE2292" s="5" t="s">
        <v>4713</v>
      </c>
      <c r="AF2292" s="5" t="s">
        <v>5455</v>
      </c>
      <c r="AG2292" s="5" t="s">
        <v>5529</v>
      </c>
    </row>
    <row r="2293" spans="1:33" ht="10" customHeight="1" x14ac:dyDescent="0.2">
      <c r="A2293" s="5" t="s">
        <v>5444</v>
      </c>
      <c r="B2293" s="5" t="s">
        <v>4709</v>
      </c>
      <c r="D2293" s="5" t="s">
        <v>5538</v>
      </c>
      <c r="E2293" s="10" t="s">
        <v>53</v>
      </c>
      <c r="F2293" s="5" t="s">
        <v>5512</v>
      </c>
      <c r="I2293" s="11">
        <v>7</v>
      </c>
      <c r="J2293" s="5" t="s">
        <v>5513</v>
      </c>
      <c r="K2293" s="12"/>
      <c r="O2293" s="12"/>
      <c r="P2293" s="13">
        <v>1865</v>
      </c>
      <c r="AC2293" s="10" t="s">
        <v>5539</v>
      </c>
      <c r="AD2293" s="5" t="s">
        <v>5515</v>
      </c>
      <c r="AE2293" s="5" t="s">
        <v>4713</v>
      </c>
      <c r="AF2293" s="5" t="s">
        <v>5455</v>
      </c>
      <c r="AG2293" s="5" t="s">
        <v>5529</v>
      </c>
    </row>
    <row r="2294" spans="1:33" ht="10" customHeight="1" x14ac:dyDescent="0.2">
      <c r="A2294" s="5" t="s">
        <v>5444</v>
      </c>
      <c r="B2294" s="5" t="s">
        <v>4709</v>
      </c>
      <c r="D2294" s="5" t="s">
        <v>5540</v>
      </c>
      <c r="E2294" s="10" t="s">
        <v>53</v>
      </c>
      <c r="F2294" s="5" t="s">
        <v>5512</v>
      </c>
      <c r="I2294" s="11">
        <v>7</v>
      </c>
      <c r="J2294" s="5" t="s">
        <v>5513</v>
      </c>
      <c r="K2294" s="12"/>
      <c r="O2294" s="12"/>
      <c r="Q2294" s="13">
        <v>1903</v>
      </c>
      <c r="AC2294" s="10" t="s">
        <v>5541</v>
      </c>
      <c r="AD2294" s="5" t="s">
        <v>5515</v>
      </c>
      <c r="AE2294" s="5" t="s">
        <v>4713</v>
      </c>
      <c r="AF2294" s="5" t="s">
        <v>5455</v>
      </c>
      <c r="AG2294" s="5" t="s">
        <v>5529</v>
      </c>
    </row>
    <row r="2295" spans="1:33" ht="10" customHeight="1" x14ac:dyDescent="0.2">
      <c r="A2295" s="5" t="s">
        <v>5444</v>
      </c>
      <c r="B2295" s="5" t="s">
        <v>4709</v>
      </c>
      <c r="D2295" s="5" t="s">
        <v>5542</v>
      </c>
      <c r="E2295" s="10" t="s">
        <v>53</v>
      </c>
      <c r="F2295" s="5" t="s">
        <v>5512</v>
      </c>
      <c r="I2295" s="11">
        <v>7</v>
      </c>
      <c r="J2295" s="5" t="s">
        <v>5513</v>
      </c>
      <c r="K2295" s="12"/>
      <c r="O2295" s="12"/>
      <c r="P2295" s="13">
        <v>1590625</v>
      </c>
      <c r="AC2295" s="10" t="s">
        <v>5543</v>
      </c>
      <c r="AD2295" s="5" t="s">
        <v>4592</v>
      </c>
      <c r="AE2295" s="5" t="s">
        <v>4713</v>
      </c>
      <c r="AF2295" s="5" t="s">
        <v>5455</v>
      </c>
      <c r="AG2295" s="5" t="s">
        <v>5544</v>
      </c>
    </row>
    <row r="2296" spans="1:33" ht="10" customHeight="1" x14ac:dyDescent="0.2">
      <c r="A2296" s="5" t="s">
        <v>5444</v>
      </c>
      <c r="B2296" s="5" t="s">
        <v>4709</v>
      </c>
      <c r="D2296" s="5" t="s">
        <v>5545</v>
      </c>
      <c r="E2296" s="10" t="s">
        <v>53</v>
      </c>
      <c r="F2296" s="5" t="s">
        <v>5512</v>
      </c>
      <c r="I2296" s="11">
        <v>7</v>
      </c>
      <c r="J2296" s="5" t="s">
        <v>5513</v>
      </c>
      <c r="K2296" s="12"/>
      <c r="O2296" s="12"/>
      <c r="Q2296" s="13">
        <v>1199000</v>
      </c>
      <c r="AC2296" s="10" t="s">
        <v>5546</v>
      </c>
      <c r="AD2296" s="5" t="s">
        <v>4592</v>
      </c>
      <c r="AE2296" s="5" t="s">
        <v>4713</v>
      </c>
      <c r="AF2296" s="5" t="s">
        <v>5455</v>
      </c>
      <c r="AG2296" s="5" t="s">
        <v>5544</v>
      </c>
    </row>
    <row r="2297" spans="1:33" ht="10" customHeight="1" x14ac:dyDescent="0.2">
      <c r="A2297" s="5" t="s">
        <v>5444</v>
      </c>
      <c r="B2297" s="5" t="s">
        <v>4709</v>
      </c>
      <c r="D2297" s="5" t="s">
        <v>5547</v>
      </c>
      <c r="E2297" s="10" t="s">
        <v>53</v>
      </c>
      <c r="F2297" s="5" t="s">
        <v>5512</v>
      </c>
      <c r="I2297" s="11">
        <v>7</v>
      </c>
      <c r="J2297" s="5" t="s">
        <v>5513</v>
      </c>
      <c r="K2297" s="12"/>
      <c r="O2297" s="12"/>
      <c r="S2297" s="13">
        <v>553720</v>
      </c>
      <c r="AC2297" s="10" t="s">
        <v>5548</v>
      </c>
      <c r="AD2297" s="5" t="s">
        <v>4592</v>
      </c>
      <c r="AE2297" s="5" t="s">
        <v>4713</v>
      </c>
      <c r="AF2297" s="5" t="s">
        <v>5455</v>
      </c>
      <c r="AG2297" s="5" t="s">
        <v>5544</v>
      </c>
    </row>
    <row r="2298" spans="1:33" ht="10" customHeight="1" x14ac:dyDescent="0.2">
      <c r="A2298" s="5" t="s">
        <v>5444</v>
      </c>
      <c r="B2298" s="5" t="s">
        <v>4709</v>
      </c>
      <c r="D2298" s="5" t="s">
        <v>5549</v>
      </c>
      <c r="E2298" s="10" t="s">
        <v>184</v>
      </c>
      <c r="I2298" s="11">
        <v>2</v>
      </c>
      <c r="J2298" s="5" t="s">
        <v>5550</v>
      </c>
      <c r="K2298" s="10" t="s">
        <v>46</v>
      </c>
      <c r="L2298" s="5" t="s">
        <v>47</v>
      </c>
      <c r="M2298" s="5" t="s">
        <v>48</v>
      </c>
      <c r="N2298" s="5" t="s">
        <v>84</v>
      </c>
      <c r="O2298" s="12"/>
      <c r="AC2298" s="10" t="s">
        <v>5551</v>
      </c>
      <c r="AD2298" s="5" t="s">
        <v>68</v>
      </c>
      <c r="AE2298" s="5" t="s">
        <v>4713</v>
      </c>
      <c r="AF2298" s="5" t="s">
        <v>5455</v>
      </c>
      <c r="AG2298" s="5" t="s">
        <v>5550</v>
      </c>
    </row>
    <row r="2299" spans="1:33" ht="10" customHeight="1" x14ac:dyDescent="0.2">
      <c r="A2299" s="5" t="s">
        <v>5444</v>
      </c>
      <c r="B2299" s="5" t="s">
        <v>4709</v>
      </c>
      <c r="D2299" s="5" t="s">
        <v>5552</v>
      </c>
      <c r="E2299" s="10" t="s">
        <v>184</v>
      </c>
      <c r="I2299" s="11">
        <v>2</v>
      </c>
      <c r="J2299" s="5" t="s">
        <v>5550</v>
      </c>
      <c r="K2299" s="10" t="s">
        <v>46</v>
      </c>
      <c r="L2299" s="5" t="s">
        <v>47</v>
      </c>
      <c r="M2299" s="5" t="s">
        <v>48</v>
      </c>
      <c r="N2299" s="5" t="s">
        <v>84</v>
      </c>
      <c r="O2299" s="12"/>
      <c r="AC2299" s="10" t="s">
        <v>5553</v>
      </c>
      <c r="AD2299" s="5" t="s">
        <v>68</v>
      </c>
      <c r="AE2299" s="5" t="s">
        <v>4713</v>
      </c>
      <c r="AF2299" s="5" t="s">
        <v>5455</v>
      </c>
      <c r="AG2299" s="5" t="s">
        <v>5550</v>
      </c>
    </row>
    <row r="2300" spans="1:33" ht="10" customHeight="1" x14ac:dyDescent="0.2">
      <c r="A2300" s="5" t="s">
        <v>5444</v>
      </c>
      <c r="B2300" s="5" t="s">
        <v>4709</v>
      </c>
      <c r="D2300" s="5" t="s">
        <v>5554</v>
      </c>
      <c r="E2300" s="10" t="s">
        <v>184</v>
      </c>
      <c r="I2300" s="11">
        <v>5</v>
      </c>
      <c r="J2300" s="5" t="s">
        <v>5550</v>
      </c>
      <c r="K2300" s="10" t="s">
        <v>46</v>
      </c>
      <c r="L2300" s="5" t="s">
        <v>47</v>
      </c>
      <c r="M2300" s="5" t="s">
        <v>48</v>
      </c>
      <c r="N2300" s="5" t="s">
        <v>84</v>
      </c>
      <c r="O2300" s="12"/>
      <c r="AC2300" s="10" t="s">
        <v>5555</v>
      </c>
      <c r="AD2300" s="5" t="s">
        <v>68</v>
      </c>
      <c r="AE2300" s="5" t="s">
        <v>4713</v>
      </c>
      <c r="AF2300" s="5" t="s">
        <v>5455</v>
      </c>
      <c r="AG2300" s="5" t="s">
        <v>5550</v>
      </c>
    </row>
    <row r="2301" spans="1:33" ht="10" customHeight="1" x14ac:dyDescent="0.2">
      <c r="A2301" s="5" t="s">
        <v>5444</v>
      </c>
      <c r="B2301" s="5" t="s">
        <v>4709</v>
      </c>
      <c r="D2301" s="5" t="s">
        <v>5556</v>
      </c>
      <c r="E2301" s="10" t="s">
        <v>184</v>
      </c>
      <c r="I2301" s="11">
        <v>2</v>
      </c>
      <c r="J2301" s="5" t="s">
        <v>5550</v>
      </c>
      <c r="K2301" s="10" t="s">
        <v>46</v>
      </c>
      <c r="L2301" s="5" t="s">
        <v>47</v>
      </c>
      <c r="M2301" s="5" t="s">
        <v>48</v>
      </c>
      <c r="N2301" s="5" t="s">
        <v>84</v>
      </c>
      <c r="O2301" s="12"/>
      <c r="AC2301" s="10" t="s">
        <v>5557</v>
      </c>
      <c r="AD2301" s="5" t="s">
        <v>68</v>
      </c>
      <c r="AE2301" s="5" t="s">
        <v>4713</v>
      </c>
      <c r="AF2301" s="5" t="s">
        <v>5455</v>
      </c>
      <c r="AG2301" s="5" t="s">
        <v>5550</v>
      </c>
    </row>
    <row r="2302" spans="1:33" ht="10" customHeight="1" x14ac:dyDescent="0.2">
      <c r="A2302" s="5" t="s">
        <v>5444</v>
      </c>
      <c r="B2302" s="5" t="s">
        <v>4709</v>
      </c>
      <c r="D2302" s="5" t="s">
        <v>5558</v>
      </c>
      <c r="E2302" s="10" t="s">
        <v>184</v>
      </c>
      <c r="I2302" s="11">
        <v>2</v>
      </c>
      <c r="J2302" s="5" t="s">
        <v>5550</v>
      </c>
      <c r="K2302" s="10" t="s">
        <v>46</v>
      </c>
      <c r="L2302" s="5" t="s">
        <v>47</v>
      </c>
      <c r="M2302" s="5" t="s">
        <v>48</v>
      </c>
      <c r="N2302" s="5" t="s">
        <v>84</v>
      </c>
      <c r="O2302" s="12"/>
      <c r="AC2302" s="10" t="s">
        <v>5559</v>
      </c>
      <c r="AD2302" s="5" t="s">
        <v>68</v>
      </c>
      <c r="AE2302" s="5" t="s">
        <v>4713</v>
      </c>
      <c r="AF2302" s="5" t="s">
        <v>5455</v>
      </c>
      <c r="AG2302" s="5" t="s">
        <v>5550</v>
      </c>
    </row>
    <row r="2303" spans="1:33" ht="10" customHeight="1" x14ac:dyDescent="0.2">
      <c r="A2303" s="5" t="s">
        <v>5444</v>
      </c>
      <c r="B2303" s="5" t="s">
        <v>4709</v>
      </c>
      <c r="D2303" s="5" t="s">
        <v>5560</v>
      </c>
      <c r="E2303" s="10" t="s">
        <v>184</v>
      </c>
      <c r="I2303" s="11">
        <v>2</v>
      </c>
      <c r="J2303" s="5" t="s">
        <v>5550</v>
      </c>
      <c r="K2303" s="10" t="s">
        <v>46</v>
      </c>
      <c r="L2303" s="5" t="s">
        <v>47</v>
      </c>
      <c r="M2303" s="5" t="s">
        <v>48</v>
      </c>
      <c r="N2303" s="5" t="s">
        <v>84</v>
      </c>
      <c r="O2303" s="12"/>
      <c r="AC2303" s="10" t="s">
        <v>5561</v>
      </c>
      <c r="AD2303" s="5" t="s">
        <v>68</v>
      </c>
      <c r="AE2303" s="5" t="s">
        <v>4713</v>
      </c>
      <c r="AF2303" s="5" t="s">
        <v>5455</v>
      </c>
      <c r="AG2303" s="5" t="s">
        <v>5550</v>
      </c>
    </row>
    <row r="2304" spans="1:33" ht="10" customHeight="1" x14ac:dyDescent="0.2">
      <c r="A2304" s="5" t="s">
        <v>5444</v>
      </c>
      <c r="B2304" s="5" t="s">
        <v>4709</v>
      </c>
      <c r="D2304" s="5" t="s">
        <v>5562</v>
      </c>
      <c r="E2304" s="10" t="s">
        <v>184</v>
      </c>
      <c r="I2304" s="11">
        <v>2</v>
      </c>
      <c r="J2304" s="5" t="s">
        <v>5550</v>
      </c>
      <c r="K2304" s="10" t="s">
        <v>46</v>
      </c>
      <c r="L2304" s="5" t="s">
        <v>47</v>
      </c>
      <c r="M2304" s="5" t="s">
        <v>48</v>
      </c>
      <c r="N2304" s="5" t="s">
        <v>84</v>
      </c>
      <c r="O2304" s="12"/>
      <c r="AC2304" s="10" t="s">
        <v>5563</v>
      </c>
      <c r="AD2304" s="5" t="s">
        <v>68</v>
      </c>
      <c r="AE2304" s="5" t="s">
        <v>4713</v>
      </c>
      <c r="AF2304" s="5" t="s">
        <v>5455</v>
      </c>
      <c r="AG2304" s="5" t="s">
        <v>5550</v>
      </c>
    </row>
    <row r="2305" spans="1:33" ht="10" customHeight="1" x14ac:dyDescent="0.2">
      <c r="A2305" s="5" t="s">
        <v>5444</v>
      </c>
      <c r="B2305" s="5" t="s">
        <v>4709</v>
      </c>
      <c r="D2305" s="5" t="s">
        <v>5564</v>
      </c>
      <c r="E2305" s="10" t="s">
        <v>184</v>
      </c>
      <c r="I2305" s="11">
        <v>2</v>
      </c>
      <c r="J2305" s="5" t="s">
        <v>5550</v>
      </c>
      <c r="K2305" s="10" t="s">
        <v>46</v>
      </c>
      <c r="L2305" s="5" t="s">
        <v>47</v>
      </c>
      <c r="M2305" s="5" t="s">
        <v>48</v>
      </c>
      <c r="N2305" s="5" t="s">
        <v>84</v>
      </c>
      <c r="O2305" s="12"/>
      <c r="AC2305" s="10" t="s">
        <v>5565</v>
      </c>
      <c r="AD2305" s="5" t="s">
        <v>68</v>
      </c>
      <c r="AE2305" s="5" t="s">
        <v>4713</v>
      </c>
      <c r="AF2305" s="5" t="s">
        <v>5455</v>
      </c>
      <c r="AG2305" s="5" t="s">
        <v>5550</v>
      </c>
    </row>
    <row r="2306" spans="1:33" ht="10" customHeight="1" x14ac:dyDescent="0.2">
      <c r="A2306" s="5" t="s">
        <v>5444</v>
      </c>
      <c r="B2306" s="5" t="s">
        <v>4709</v>
      </c>
      <c r="D2306" s="5" t="s">
        <v>5552</v>
      </c>
      <c r="E2306" s="10" t="s">
        <v>184</v>
      </c>
      <c r="I2306" s="11">
        <v>2</v>
      </c>
      <c r="J2306" s="5" t="s">
        <v>5550</v>
      </c>
      <c r="K2306" s="10" t="s">
        <v>46</v>
      </c>
      <c r="L2306" s="5" t="s">
        <v>47</v>
      </c>
      <c r="M2306" s="5" t="s">
        <v>48</v>
      </c>
      <c r="N2306" s="5" t="s">
        <v>84</v>
      </c>
      <c r="O2306" s="12"/>
      <c r="AC2306" s="10" t="s">
        <v>5553</v>
      </c>
      <c r="AD2306" s="5" t="s">
        <v>68</v>
      </c>
      <c r="AE2306" s="5" t="s">
        <v>4713</v>
      </c>
      <c r="AF2306" s="5" t="s">
        <v>5455</v>
      </c>
      <c r="AG2306" s="5" t="s">
        <v>5550</v>
      </c>
    </row>
    <row r="2307" spans="1:33" ht="10" customHeight="1" x14ac:dyDescent="0.2">
      <c r="A2307" s="5" t="s">
        <v>5444</v>
      </c>
      <c r="B2307" s="5" t="s">
        <v>4709</v>
      </c>
      <c r="D2307" s="5" t="s">
        <v>5566</v>
      </c>
      <c r="E2307" s="10" t="s">
        <v>184</v>
      </c>
      <c r="I2307" s="11">
        <v>2</v>
      </c>
      <c r="J2307" s="5" t="s">
        <v>5550</v>
      </c>
      <c r="K2307" s="10" t="s">
        <v>46</v>
      </c>
      <c r="L2307" s="5" t="s">
        <v>47</v>
      </c>
      <c r="M2307" s="5" t="s">
        <v>48</v>
      </c>
      <c r="N2307" s="5" t="s">
        <v>84</v>
      </c>
      <c r="O2307" s="12"/>
      <c r="AC2307" s="10" t="s">
        <v>5567</v>
      </c>
      <c r="AD2307" s="5" t="s">
        <v>68</v>
      </c>
      <c r="AE2307" s="5" t="s">
        <v>4713</v>
      </c>
      <c r="AF2307" s="5" t="s">
        <v>5455</v>
      </c>
      <c r="AG2307" s="5" t="s">
        <v>5550</v>
      </c>
    </row>
    <row r="2308" spans="1:33" ht="10" customHeight="1" x14ac:dyDescent="0.2">
      <c r="A2308" s="5" t="s">
        <v>5444</v>
      </c>
      <c r="B2308" s="5" t="s">
        <v>4709</v>
      </c>
      <c r="D2308" s="5" t="s">
        <v>5568</v>
      </c>
      <c r="E2308" s="10" t="s">
        <v>184</v>
      </c>
      <c r="I2308" s="11">
        <v>2</v>
      </c>
      <c r="J2308" s="5" t="s">
        <v>5550</v>
      </c>
      <c r="K2308" s="10" t="s">
        <v>46</v>
      </c>
      <c r="L2308" s="5" t="s">
        <v>47</v>
      </c>
      <c r="M2308" s="5" t="s">
        <v>48</v>
      </c>
      <c r="N2308" s="5" t="s">
        <v>84</v>
      </c>
      <c r="O2308" s="12"/>
      <c r="AC2308" s="10" t="s">
        <v>5569</v>
      </c>
      <c r="AD2308" s="5" t="s">
        <v>68</v>
      </c>
      <c r="AE2308" s="5" t="s">
        <v>4713</v>
      </c>
      <c r="AF2308" s="5" t="s">
        <v>5455</v>
      </c>
      <c r="AG2308" s="5" t="s">
        <v>5550</v>
      </c>
    </row>
    <row r="2309" spans="1:33" ht="10" customHeight="1" x14ac:dyDescent="0.2">
      <c r="A2309" s="5" t="s">
        <v>5444</v>
      </c>
      <c r="B2309" s="5" t="s">
        <v>4709</v>
      </c>
      <c r="D2309" s="5" t="s">
        <v>5570</v>
      </c>
      <c r="E2309" s="10" t="s">
        <v>184</v>
      </c>
      <c r="I2309" s="11">
        <v>2</v>
      </c>
      <c r="J2309" s="5" t="s">
        <v>5550</v>
      </c>
      <c r="K2309" s="10" t="s">
        <v>46</v>
      </c>
      <c r="L2309" s="5" t="s">
        <v>47</v>
      </c>
      <c r="M2309" s="5" t="s">
        <v>48</v>
      </c>
      <c r="N2309" s="5" t="s">
        <v>84</v>
      </c>
      <c r="O2309" s="12"/>
      <c r="AC2309" s="10" t="s">
        <v>5571</v>
      </c>
      <c r="AD2309" s="5" t="s">
        <v>68</v>
      </c>
      <c r="AE2309" s="5" t="s">
        <v>4713</v>
      </c>
      <c r="AF2309" s="5" t="s">
        <v>5455</v>
      </c>
      <c r="AG2309" s="5" t="s">
        <v>5550</v>
      </c>
    </row>
    <row r="2310" spans="1:33" ht="10" customHeight="1" x14ac:dyDescent="0.2">
      <c r="A2310" s="5" t="s">
        <v>5444</v>
      </c>
      <c r="B2310" s="5" t="s">
        <v>4709</v>
      </c>
      <c r="D2310" s="5" t="s">
        <v>5572</v>
      </c>
      <c r="E2310" s="10" t="s">
        <v>184</v>
      </c>
      <c r="I2310" s="11">
        <v>5</v>
      </c>
      <c r="J2310" s="5" t="s">
        <v>5550</v>
      </c>
      <c r="K2310" s="10" t="s">
        <v>46</v>
      </c>
      <c r="L2310" s="5" t="s">
        <v>47</v>
      </c>
      <c r="M2310" s="5" t="s">
        <v>48</v>
      </c>
      <c r="N2310" s="5" t="s">
        <v>84</v>
      </c>
      <c r="O2310" s="12"/>
      <c r="AC2310" s="10" t="s">
        <v>5573</v>
      </c>
      <c r="AD2310" s="5" t="s">
        <v>68</v>
      </c>
      <c r="AE2310" s="5" t="s">
        <v>4713</v>
      </c>
      <c r="AF2310" s="5" t="s">
        <v>5455</v>
      </c>
      <c r="AG2310" s="5" t="s">
        <v>5550</v>
      </c>
    </row>
    <row r="2311" spans="1:33" ht="10" customHeight="1" x14ac:dyDescent="0.2">
      <c r="A2311" s="5" t="s">
        <v>5444</v>
      </c>
      <c r="B2311" s="5" t="s">
        <v>4709</v>
      </c>
      <c r="D2311" s="5" t="s">
        <v>5574</v>
      </c>
      <c r="E2311" s="10" t="s">
        <v>184</v>
      </c>
      <c r="I2311" s="11">
        <v>2</v>
      </c>
      <c r="J2311" s="5" t="s">
        <v>5550</v>
      </c>
      <c r="K2311" s="10" t="s">
        <v>46</v>
      </c>
      <c r="L2311" s="5" t="s">
        <v>47</v>
      </c>
      <c r="M2311" s="5" t="s">
        <v>48</v>
      </c>
      <c r="N2311" s="5" t="s">
        <v>84</v>
      </c>
      <c r="O2311" s="12"/>
      <c r="AC2311" s="10" t="s">
        <v>5575</v>
      </c>
      <c r="AD2311" s="5" t="s">
        <v>68</v>
      </c>
      <c r="AE2311" s="5" t="s">
        <v>4713</v>
      </c>
      <c r="AF2311" s="5" t="s">
        <v>5455</v>
      </c>
      <c r="AG2311" s="5" t="s">
        <v>5550</v>
      </c>
    </row>
    <row r="2312" spans="1:33" ht="10" customHeight="1" x14ac:dyDescent="0.2">
      <c r="A2312" s="5" t="s">
        <v>5444</v>
      </c>
      <c r="B2312" s="5" t="s">
        <v>4709</v>
      </c>
      <c r="D2312" s="5" t="s">
        <v>5576</v>
      </c>
      <c r="E2312" s="10" t="s">
        <v>184</v>
      </c>
      <c r="I2312" s="11">
        <v>2</v>
      </c>
      <c r="J2312" s="5" t="s">
        <v>5550</v>
      </c>
      <c r="K2312" s="10" t="s">
        <v>46</v>
      </c>
      <c r="L2312" s="5" t="s">
        <v>47</v>
      </c>
      <c r="M2312" s="5" t="s">
        <v>48</v>
      </c>
      <c r="N2312" s="5" t="s">
        <v>84</v>
      </c>
      <c r="O2312" s="12"/>
      <c r="AC2312" s="10" t="s">
        <v>5577</v>
      </c>
      <c r="AD2312" s="5" t="s">
        <v>68</v>
      </c>
      <c r="AE2312" s="5" t="s">
        <v>4713</v>
      </c>
      <c r="AF2312" s="5" t="s">
        <v>5455</v>
      </c>
      <c r="AG2312" s="5" t="s">
        <v>5550</v>
      </c>
    </row>
    <row r="2313" spans="1:33" ht="10" customHeight="1" x14ac:dyDescent="0.2">
      <c r="A2313" s="5" t="s">
        <v>5444</v>
      </c>
      <c r="B2313" s="5" t="s">
        <v>4709</v>
      </c>
      <c r="D2313" s="5" t="s">
        <v>5578</v>
      </c>
      <c r="E2313" s="10" t="s">
        <v>184</v>
      </c>
      <c r="I2313" s="11">
        <v>2</v>
      </c>
      <c r="J2313" s="5" t="s">
        <v>5550</v>
      </c>
      <c r="K2313" s="10" t="s">
        <v>46</v>
      </c>
      <c r="L2313" s="5" t="s">
        <v>47</v>
      </c>
      <c r="M2313" s="5" t="s">
        <v>48</v>
      </c>
      <c r="N2313" s="5" t="s">
        <v>84</v>
      </c>
      <c r="O2313" s="12"/>
      <c r="AC2313" s="10" t="s">
        <v>5579</v>
      </c>
      <c r="AD2313" s="5" t="s">
        <v>68</v>
      </c>
      <c r="AE2313" s="5" t="s">
        <v>4713</v>
      </c>
      <c r="AF2313" s="5" t="s">
        <v>5455</v>
      </c>
      <c r="AG2313" s="5" t="s">
        <v>5550</v>
      </c>
    </row>
    <row r="2314" spans="1:33" ht="10" customHeight="1" x14ac:dyDescent="0.2">
      <c r="A2314" s="5" t="s">
        <v>5444</v>
      </c>
      <c r="B2314" s="5" t="s">
        <v>4709</v>
      </c>
      <c r="D2314" s="5" t="s">
        <v>5580</v>
      </c>
      <c r="E2314" s="10" t="s">
        <v>184</v>
      </c>
      <c r="I2314" s="11">
        <v>3</v>
      </c>
      <c r="J2314" s="5" t="s">
        <v>5550</v>
      </c>
      <c r="K2314" s="10" t="s">
        <v>46</v>
      </c>
      <c r="L2314" s="5" t="s">
        <v>47</v>
      </c>
      <c r="M2314" s="5" t="s">
        <v>48</v>
      </c>
      <c r="N2314" s="5" t="s">
        <v>84</v>
      </c>
      <c r="O2314" s="12"/>
      <c r="AC2314" s="10" t="s">
        <v>5581</v>
      </c>
      <c r="AD2314" s="5" t="s">
        <v>68</v>
      </c>
      <c r="AE2314" s="5" t="s">
        <v>4713</v>
      </c>
      <c r="AF2314" s="5" t="s">
        <v>5455</v>
      </c>
      <c r="AG2314" s="5" t="s">
        <v>5550</v>
      </c>
    </row>
    <row r="2315" spans="1:33" ht="10" customHeight="1" x14ac:dyDescent="0.2">
      <c r="A2315" s="5" t="s">
        <v>5444</v>
      </c>
      <c r="B2315" s="5" t="s">
        <v>4709</v>
      </c>
      <c r="D2315" s="5" t="s">
        <v>5582</v>
      </c>
      <c r="E2315" s="10" t="s">
        <v>184</v>
      </c>
      <c r="I2315" s="11">
        <v>2</v>
      </c>
      <c r="J2315" s="5" t="s">
        <v>5550</v>
      </c>
      <c r="K2315" s="10" t="s">
        <v>46</v>
      </c>
      <c r="L2315" s="5" t="s">
        <v>47</v>
      </c>
      <c r="M2315" s="5" t="s">
        <v>48</v>
      </c>
      <c r="N2315" s="5" t="s">
        <v>84</v>
      </c>
      <c r="O2315" s="12"/>
      <c r="AC2315" s="10" t="s">
        <v>5583</v>
      </c>
      <c r="AD2315" s="5" t="s">
        <v>68</v>
      </c>
      <c r="AE2315" s="5" t="s">
        <v>4713</v>
      </c>
      <c r="AF2315" s="5" t="s">
        <v>5455</v>
      </c>
      <c r="AG2315" s="5" t="s">
        <v>5550</v>
      </c>
    </row>
    <row r="2316" spans="1:33" ht="10" customHeight="1" x14ac:dyDescent="0.2">
      <c r="A2316" s="5" t="s">
        <v>5444</v>
      </c>
      <c r="B2316" s="5" t="s">
        <v>4709</v>
      </c>
      <c r="D2316" s="5" t="s">
        <v>5584</v>
      </c>
      <c r="E2316" s="10" t="s">
        <v>184</v>
      </c>
      <c r="I2316" s="11">
        <v>2</v>
      </c>
      <c r="J2316" s="5" t="s">
        <v>5550</v>
      </c>
      <c r="K2316" s="10" t="s">
        <v>46</v>
      </c>
      <c r="L2316" s="5" t="s">
        <v>47</v>
      </c>
      <c r="M2316" s="5" t="s">
        <v>48</v>
      </c>
      <c r="N2316" s="5" t="s">
        <v>84</v>
      </c>
      <c r="O2316" s="12"/>
      <c r="AC2316" s="10" t="s">
        <v>5585</v>
      </c>
      <c r="AD2316" s="5" t="s">
        <v>68</v>
      </c>
      <c r="AE2316" s="5" t="s">
        <v>4713</v>
      </c>
      <c r="AF2316" s="5" t="s">
        <v>5455</v>
      </c>
      <c r="AG2316" s="5" t="s">
        <v>5550</v>
      </c>
    </row>
    <row r="2317" spans="1:33" ht="10" customHeight="1" x14ac:dyDescent="0.2">
      <c r="A2317" s="5" t="s">
        <v>5444</v>
      </c>
      <c r="B2317" s="5" t="s">
        <v>4709</v>
      </c>
      <c r="D2317" s="5" t="s">
        <v>5586</v>
      </c>
      <c r="E2317" s="10" t="s">
        <v>184</v>
      </c>
      <c r="I2317" s="11">
        <v>2</v>
      </c>
      <c r="J2317" s="5" t="s">
        <v>5550</v>
      </c>
      <c r="K2317" s="10" t="s">
        <v>46</v>
      </c>
      <c r="L2317" s="5" t="s">
        <v>47</v>
      </c>
      <c r="M2317" s="5" t="s">
        <v>115</v>
      </c>
      <c r="N2317" s="5" t="s">
        <v>116</v>
      </c>
      <c r="O2317" s="12"/>
      <c r="AC2317" s="10" t="s">
        <v>5587</v>
      </c>
      <c r="AD2317" s="5" t="s">
        <v>68</v>
      </c>
      <c r="AE2317" s="5" t="s">
        <v>4713</v>
      </c>
      <c r="AF2317" s="5" t="s">
        <v>5455</v>
      </c>
      <c r="AG2317" s="5" t="s">
        <v>5550</v>
      </c>
    </row>
    <row r="2318" spans="1:33" ht="10" customHeight="1" x14ac:dyDescent="0.2">
      <c r="A2318" s="5" t="s">
        <v>5444</v>
      </c>
      <c r="B2318" s="5" t="s">
        <v>4709</v>
      </c>
      <c r="D2318" s="5" t="s">
        <v>5588</v>
      </c>
      <c r="E2318" s="10" t="s">
        <v>184</v>
      </c>
      <c r="I2318" s="11">
        <v>2</v>
      </c>
      <c r="J2318" s="5" t="s">
        <v>5550</v>
      </c>
      <c r="K2318" s="10" t="s">
        <v>46</v>
      </c>
      <c r="L2318" s="5" t="s">
        <v>47</v>
      </c>
      <c r="M2318" s="5" t="s">
        <v>48</v>
      </c>
      <c r="N2318" s="5" t="s">
        <v>84</v>
      </c>
      <c r="O2318" s="12"/>
      <c r="AC2318" s="10" t="s">
        <v>5589</v>
      </c>
      <c r="AD2318" s="5" t="s">
        <v>68</v>
      </c>
      <c r="AE2318" s="5" t="s">
        <v>4713</v>
      </c>
      <c r="AF2318" s="5" t="s">
        <v>5455</v>
      </c>
      <c r="AG2318" s="5" t="s">
        <v>5550</v>
      </c>
    </row>
    <row r="2319" spans="1:33" ht="10" customHeight="1" x14ac:dyDescent="0.2">
      <c r="A2319" s="5" t="s">
        <v>5444</v>
      </c>
      <c r="B2319" s="5" t="s">
        <v>4709</v>
      </c>
      <c r="D2319" s="5" t="s">
        <v>5590</v>
      </c>
      <c r="E2319" s="10" t="s">
        <v>184</v>
      </c>
      <c r="I2319" s="11">
        <v>3</v>
      </c>
      <c r="J2319" s="5" t="s">
        <v>5550</v>
      </c>
      <c r="K2319" s="10" t="s">
        <v>46</v>
      </c>
      <c r="L2319" s="5" t="s">
        <v>47</v>
      </c>
      <c r="M2319" s="5" t="s">
        <v>48</v>
      </c>
      <c r="N2319" s="5" t="s">
        <v>84</v>
      </c>
      <c r="O2319" s="12"/>
      <c r="AC2319" s="10" t="s">
        <v>5591</v>
      </c>
      <c r="AD2319" s="5" t="s">
        <v>68</v>
      </c>
      <c r="AE2319" s="5" t="s">
        <v>4713</v>
      </c>
      <c r="AF2319" s="5" t="s">
        <v>5455</v>
      </c>
      <c r="AG2319" s="5" t="s">
        <v>5550</v>
      </c>
    </row>
    <row r="2320" spans="1:33" ht="10" customHeight="1" x14ac:dyDescent="0.2">
      <c r="A2320" s="5" t="s">
        <v>5444</v>
      </c>
      <c r="B2320" s="5" t="s">
        <v>4709</v>
      </c>
      <c r="D2320" s="5" t="s">
        <v>5592</v>
      </c>
      <c r="E2320" s="10" t="s">
        <v>184</v>
      </c>
      <c r="I2320" s="11">
        <v>2</v>
      </c>
      <c r="J2320" s="5" t="s">
        <v>5550</v>
      </c>
      <c r="K2320" s="10" t="s">
        <v>46</v>
      </c>
      <c r="L2320" s="5" t="s">
        <v>47</v>
      </c>
      <c r="M2320" s="5" t="s">
        <v>48</v>
      </c>
      <c r="N2320" s="5" t="s">
        <v>84</v>
      </c>
      <c r="O2320" s="12"/>
      <c r="AC2320" s="10" t="s">
        <v>5593</v>
      </c>
      <c r="AD2320" s="5" t="s">
        <v>68</v>
      </c>
      <c r="AE2320" s="5" t="s">
        <v>4713</v>
      </c>
      <c r="AF2320" s="5" t="s">
        <v>5455</v>
      </c>
      <c r="AG2320" s="5" t="s">
        <v>5550</v>
      </c>
    </row>
    <row r="2321" spans="1:33" ht="10" customHeight="1" x14ac:dyDescent="0.2">
      <c r="A2321" s="5" t="s">
        <v>5444</v>
      </c>
      <c r="B2321" s="5" t="s">
        <v>4709</v>
      </c>
      <c r="D2321" s="5" t="s">
        <v>5594</v>
      </c>
      <c r="E2321" s="10" t="s">
        <v>184</v>
      </c>
      <c r="I2321" s="11">
        <v>2</v>
      </c>
      <c r="J2321" s="5" t="s">
        <v>5550</v>
      </c>
      <c r="K2321" s="10" t="s">
        <v>46</v>
      </c>
      <c r="L2321" s="5" t="s">
        <v>47</v>
      </c>
      <c r="M2321" s="5" t="s">
        <v>48</v>
      </c>
      <c r="N2321" s="5" t="s">
        <v>84</v>
      </c>
      <c r="O2321" s="12"/>
      <c r="AC2321" s="10" t="s">
        <v>5595</v>
      </c>
      <c r="AD2321" s="5" t="s">
        <v>68</v>
      </c>
      <c r="AE2321" s="5" t="s">
        <v>4713</v>
      </c>
      <c r="AF2321" s="5" t="s">
        <v>5455</v>
      </c>
      <c r="AG2321" s="5" t="s">
        <v>5550</v>
      </c>
    </row>
    <row r="2322" spans="1:33" ht="10" customHeight="1" x14ac:dyDescent="0.2">
      <c r="A2322" s="5" t="s">
        <v>5444</v>
      </c>
      <c r="B2322" s="5" t="s">
        <v>4709</v>
      </c>
      <c r="D2322" s="5" t="s">
        <v>5596</v>
      </c>
      <c r="E2322" s="10" t="s">
        <v>53</v>
      </c>
      <c r="F2322" s="5" t="s">
        <v>5597</v>
      </c>
      <c r="I2322" s="11">
        <v>2</v>
      </c>
      <c r="J2322" s="5" t="s">
        <v>4324</v>
      </c>
      <c r="K2322" s="12"/>
      <c r="O2322" s="12"/>
      <c r="P2322" s="13">
        <v>2900694</v>
      </c>
      <c r="Q2322" s="13">
        <v>3195971</v>
      </c>
      <c r="S2322" s="13">
        <v>3471183</v>
      </c>
      <c r="AC2322" s="10" t="s">
        <v>5598</v>
      </c>
      <c r="AD2322" s="5" t="s">
        <v>4598</v>
      </c>
      <c r="AE2322" s="5" t="s">
        <v>4713</v>
      </c>
      <c r="AF2322" s="5" t="s">
        <v>5599</v>
      </c>
      <c r="AG2322" s="5" t="s">
        <v>5456</v>
      </c>
    </row>
    <row r="2323" spans="1:33" ht="10" customHeight="1" x14ac:dyDescent="0.2">
      <c r="A2323" s="5" t="s">
        <v>5444</v>
      </c>
      <c r="B2323" s="5" t="s">
        <v>4709</v>
      </c>
      <c r="D2323" s="5" t="s">
        <v>5600</v>
      </c>
      <c r="E2323" s="10" t="s">
        <v>53</v>
      </c>
      <c r="F2323" s="5" t="s">
        <v>5597</v>
      </c>
      <c r="I2323" s="11">
        <v>2</v>
      </c>
      <c r="J2323" s="5" t="s">
        <v>4324</v>
      </c>
      <c r="K2323" s="12"/>
      <c r="O2323" s="12"/>
      <c r="P2323" s="13">
        <v>2617377</v>
      </c>
      <c r="Q2323" s="13">
        <v>2816900</v>
      </c>
      <c r="S2323" s="13">
        <v>3023072</v>
      </c>
      <c r="AC2323" s="10" t="s">
        <v>5601</v>
      </c>
      <c r="AD2323" s="5" t="s">
        <v>4598</v>
      </c>
      <c r="AE2323" s="5" t="s">
        <v>4713</v>
      </c>
      <c r="AF2323" s="5" t="s">
        <v>5599</v>
      </c>
      <c r="AG2323" s="5" t="s">
        <v>5456</v>
      </c>
    </row>
    <row r="2324" spans="1:33" ht="10" customHeight="1" x14ac:dyDescent="0.2">
      <c r="A2324" s="5" t="s">
        <v>5444</v>
      </c>
      <c r="B2324" s="5" t="s">
        <v>4709</v>
      </c>
      <c r="D2324" s="5" t="s">
        <v>5602</v>
      </c>
      <c r="E2324" s="10" t="s">
        <v>53</v>
      </c>
      <c r="F2324" s="5" t="s">
        <v>5597</v>
      </c>
      <c r="I2324" s="11">
        <v>2</v>
      </c>
      <c r="J2324" s="5" t="s">
        <v>4324</v>
      </c>
      <c r="K2324" s="12"/>
      <c r="O2324" s="12"/>
      <c r="P2324" s="13">
        <v>2549190</v>
      </c>
      <c r="Q2324" s="13">
        <v>2746474</v>
      </c>
      <c r="S2324" s="13">
        <v>2950183</v>
      </c>
      <c r="AC2324" s="10" t="s">
        <v>5603</v>
      </c>
      <c r="AD2324" s="5" t="s">
        <v>4598</v>
      </c>
      <c r="AE2324" s="5" t="s">
        <v>4713</v>
      </c>
      <c r="AF2324" s="5" t="s">
        <v>5599</v>
      </c>
      <c r="AG2324" s="5" t="s">
        <v>5456</v>
      </c>
    </row>
    <row r="2325" spans="1:33" ht="10" customHeight="1" x14ac:dyDescent="0.2">
      <c r="A2325" s="5" t="s">
        <v>5444</v>
      </c>
      <c r="B2325" s="5" t="s">
        <v>4709</v>
      </c>
      <c r="D2325" s="5" t="s">
        <v>5604</v>
      </c>
      <c r="E2325" s="10" t="s">
        <v>53</v>
      </c>
      <c r="F2325" s="5" t="s">
        <v>5597</v>
      </c>
      <c r="I2325" s="11">
        <v>2</v>
      </c>
      <c r="J2325" s="5" t="s">
        <v>4324</v>
      </c>
      <c r="K2325" s="12"/>
      <c r="O2325" s="12"/>
      <c r="P2325" s="13">
        <v>0</v>
      </c>
      <c r="Q2325" s="13">
        <v>0</v>
      </c>
      <c r="S2325" s="13">
        <v>0</v>
      </c>
      <c r="AC2325" s="10" t="s">
        <v>5605</v>
      </c>
      <c r="AD2325" s="5" t="s">
        <v>4598</v>
      </c>
      <c r="AE2325" s="5" t="s">
        <v>4713</v>
      </c>
      <c r="AF2325" s="5" t="s">
        <v>5599</v>
      </c>
      <c r="AG2325" s="5" t="s">
        <v>5456</v>
      </c>
    </row>
    <row r="2326" spans="1:33" ht="10" customHeight="1" x14ac:dyDescent="0.2">
      <c r="A2326" s="5" t="s">
        <v>5444</v>
      </c>
      <c r="B2326" s="5" t="s">
        <v>4709</v>
      </c>
      <c r="D2326" s="5" t="s">
        <v>5606</v>
      </c>
      <c r="E2326" s="10" t="s">
        <v>53</v>
      </c>
      <c r="F2326" s="5" t="s">
        <v>5597</v>
      </c>
      <c r="I2326" s="11">
        <v>2</v>
      </c>
      <c r="J2326" s="5" t="s">
        <v>4324</v>
      </c>
      <c r="K2326" s="12"/>
      <c r="O2326" s="12"/>
      <c r="P2326" s="13">
        <v>68187</v>
      </c>
      <c r="Q2326" s="13">
        <v>70426</v>
      </c>
      <c r="S2326" s="13">
        <v>72889</v>
      </c>
      <c r="AC2326" s="10" t="s">
        <v>5607</v>
      </c>
      <c r="AD2326" s="5" t="s">
        <v>4598</v>
      </c>
      <c r="AE2326" s="5" t="s">
        <v>4713</v>
      </c>
      <c r="AF2326" s="5" t="s">
        <v>5599</v>
      </c>
      <c r="AG2326" s="5" t="s">
        <v>5456</v>
      </c>
    </row>
    <row r="2327" spans="1:33" ht="10" customHeight="1" x14ac:dyDescent="0.2">
      <c r="A2327" s="5" t="s">
        <v>5444</v>
      </c>
      <c r="B2327" s="5" t="s">
        <v>4709</v>
      </c>
      <c r="D2327" s="5" t="s">
        <v>5608</v>
      </c>
      <c r="E2327" s="10" t="s">
        <v>53</v>
      </c>
      <c r="F2327" s="5" t="s">
        <v>5597</v>
      </c>
      <c r="I2327" s="11">
        <v>2</v>
      </c>
      <c r="J2327" s="5" t="s">
        <v>4324</v>
      </c>
      <c r="K2327" s="12"/>
      <c r="O2327" s="12"/>
      <c r="P2327" s="13">
        <v>283317</v>
      </c>
      <c r="Q2327" s="13">
        <v>379071</v>
      </c>
      <c r="S2327" s="13">
        <v>448111</v>
      </c>
      <c r="AC2327" s="10" t="s">
        <v>5609</v>
      </c>
      <c r="AD2327" s="5" t="s">
        <v>4598</v>
      </c>
      <c r="AE2327" s="5" t="s">
        <v>4713</v>
      </c>
      <c r="AF2327" s="5" t="s">
        <v>5599</v>
      </c>
      <c r="AG2327" s="5" t="s">
        <v>5456</v>
      </c>
    </row>
    <row r="2328" spans="1:33" ht="10" customHeight="1" x14ac:dyDescent="0.2">
      <c r="A2328" s="5" t="s">
        <v>5444</v>
      </c>
      <c r="B2328" s="5" t="s">
        <v>4709</v>
      </c>
      <c r="D2328" s="5" t="s">
        <v>5610</v>
      </c>
      <c r="E2328" s="10" t="s">
        <v>53</v>
      </c>
      <c r="F2328" s="5" t="s">
        <v>5597</v>
      </c>
      <c r="I2328" s="11">
        <v>2</v>
      </c>
      <c r="J2328" s="5" t="s">
        <v>4324</v>
      </c>
      <c r="K2328" s="12"/>
      <c r="O2328" s="12"/>
      <c r="P2328" s="13">
        <v>159789</v>
      </c>
      <c r="Q2328" s="13">
        <v>213794</v>
      </c>
      <c r="S2328" s="13">
        <v>252732</v>
      </c>
      <c r="AC2328" s="10" t="s">
        <v>5611</v>
      </c>
      <c r="AD2328" s="5" t="s">
        <v>4598</v>
      </c>
      <c r="AE2328" s="5" t="s">
        <v>4713</v>
      </c>
      <c r="AF2328" s="5" t="s">
        <v>5599</v>
      </c>
      <c r="AG2328" s="5" t="s">
        <v>5456</v>
      </c>
    </row>
    <row r="2329" spans="1:33" ht="10" customHeight="1" x14ac:dyDescent="0.2">
      <c r="A2329" s="5" t="s">
        <v>5444</v>
      </c>
      <c r="B2329" s="5" t="s">
        <v>4709</v>
      </c>
      <c r="D2329" s="5" t="s">
        <v>5612</v>
      </c>
      <c r="E2329" s="10" t="s">
        <v>53</v>
      </c>
      <c r="F2329" s="5" t="s">
        <v>5597</v>
      </c>
      <c r="I2329" s="11">
        <v>2</v>
      </c>
      <c r="J2329" s="5" t="s">
        <v>4324</v>
      </c>
      <c r="K2329" s="12"/>
      <c r="O2329" s="12"/>
      <c r="P2329" s="13">
        <v>140</v>
      </c>
      <c r="Q2329" s="13">
        <v>187</v>
      </c>
      <c r="S2329" s="13">
        <v>222</v>
      </c>
      <c r="AC2329" s="10" t="s">
        <v>5613</v>
      </c>
      <c r="AD2329" s="5" t="s">
        <v>4598</v>
      </c>
      <c r="AE2329" s="5" t="s">
        <v>4713</v>
      </c>
      <c r="AF2329" s="5" t="s">
        <v>5599</v>
      </c>
      <c r="AG2329" s="5" t="s">
        <v>5456</v>
      </c>
    </row>
    <row r="2330" spans="1:33" ht="10" customHeight="1" x14ac:dyDescent="0.2">
      <c r="A2330" s="5" t="s">
        <v>5444</v>
      </c>
      <c r="B2330" s="5" t="s">
        <v>4709</v>
      </c>
      <c r="D2330" s="5" t="s">
        <v>5614</v>
      </c>
      <c r="E2330" s="10" t="s">
        <v>53</v>
      </c>
      <c r="F2330" s="5" t="s">
        <v>5597</v>
      </c>
      <c r="I2330" s="11">
        <v>2</v>
      </c>
      <c r="J2330" s="5" t="s">
        <v>4324</v>
      </c>
      <c r="K2330" s="12"/>
      <c r="O2330" s="12"/>
      <c r="P2330" s="13">
        <v>27173</v>
      </c>
      <c r="Q2330" s="13">
        <v>36357</v>
      </c>
      <c r="S2330" s="13">
        <v>42979</v>
      </c>
      <c r="AC2330" s="10" t="s">
        <v>5615</v>
      </c>
      <c r="AD2330" s="5" t="s">
        <v>4598</v>
      </c>
      <c r="AE2330" s="5" t="s">
        <v>4713</v>
      </c>
      <c r="AF2330" s="5" t="s">
        <v>5599</v>
      </c>
      <c r="AG2330" s="5" t="s">
        <v>5456</v>
      </c>
    </row>
    <row r="2331" spans="1:33" ht="10" customHeight="1" x14ac:dyDescent="0.2">
      <c r="A2331" s="5" t="s">
        <v>5444</v>
      </c>
      <c r="B2331" s="5" t="s">
        <v>4709</v>
      </c>
      <c r="D2331" s="5" t="s">
        <v>5616</v>
      </c>
      <c r="E2331" s="10" t="s">
        <v>53</v>
      </c>
      <c r="F2331" s="5" t="s">
        <v>5597</v>
      </c>
      <c r="I2331" s="11">
        <v>2</v>
      </c>
      <c r="J2331" s="5" t="s">
        <v>4324</v>
      </c>
      <c r="K2331" s="12"/>
      <c r="O2331" s="12"/>
      <c r="P2331" s="13">
        <v>0</v>
      </c>
      <c r="Q2331" s="13">
        <v>0</v>
      </c>
      <c r="S2331" s="13">
        <v>0</v>
      </c>
      <c r="AC2331" s="10" t="s">
        <v>5617</v>
      </c>
      <c r="AD2331" s="5" t="s">
        <v>4598</v>
      </c>
      <c r="AE2331" s="5" t="s">
        <v>4713</v>
      </c>
      <c r="AF2331" s="5" t="s">
        <v>5599</v>
      </c>
      <c r="AG2331" s="5" t="s">
        <v>5456</v>
      </c>
    </row>
    <row r="2332" spans="1:33" ht="10" customHeight="1" x14ac:dyDescent="0.2">
      <c r="A2332" s="5" t="s">
        <v>5444</v>
      </c>
      <c r="B2332" s="5" t="s">
        <v>4709</v>
      </c>
      <c r="D2332" s="5" t="s">
        <v>5618</v>
      </c>
      <c r="E2332" s="10" t="s">
        <v>53</v>
      </c>
      <c r="F2332" s="5" t="s">
        <v>5597</v>
      </c>
      <c r="I2332" s="11">
        <v>2</v>
      </c>
      <c r="J2332" s="5" t="s">
        <v>4324</v>
      </c>
      <c r="K2332" s="12"/>
      <c r="O2332" s="12"/>
      <c r="P2332" s="13">
        <v>96215</v>
      </c>
      <c r="Q2332" s="13">
        <v>128733</v>
      </c>
      <c r="S2332" s="13">
        <v>152179</v>
      </c>
      <c r="AC2332" s="10" t="s">
        <v>5619</v>
      </c>
      <c r="AD2332" s="5" t="s">
        <v>4598</v>
      </c>
      <c r="AE2332" s="5" t="s">
        <v>4713</v>
      </c>
      <c r="AF2332" s="5" t="s">
        <v>5599</v>
      </c>
      <c r="AG2332" s="5" t="s">
        <v>5456</v>
      </c>
    </row>
    <row r="2333" spans="1:33" ht="10" customHeight="1" x14ac:dyDescent="0.2">
      <c r="A2333" s="5" t="s">
        <v>5444</v>
      </c>
      <c r="B2333" s="5" t="s">
        <v>4709</v>
      </c>
      <c r="D2333" s="5" t="s">
        <v>5620</v>
      </c>
      <c r="E2333" s="10" t="s">
        <v>53</v>
      </c>
      <c r="F2333" s="5" t="s">
        <v>5597</v>
      </c>
      <c r="I2333" s="11">
        <v>2</v>
      </c>
      <c r="J2333" s="5" t="s">
        <v>4324</v>
      </c>
      <c r="K2333" s="12"/>
      <c r="O2333" s="12"/>
      <c r="P2333" s="13">
        <v>902</v>
      </c>
      <c r="Q2333" s="13">
        <v>1207</v>
      </c>
      <c r="S2333" s="13">
        <v>1427</v>
      </c>
      <c r="AC2333" s="10" t="s">
        <v>5621</v>
      </c>
      <c r="AD2333" s="5" t="s">
        <v>4598</v>
      </c>
      <c r="AE2333" s="5" t="s">
        <v>4713</v>
      </c>
      <c r="AF2333" s="5" t="s">
        <v>5599</v>
      </c>
      <c r="AG2333" s="5" t="s">
        <v>5456</v>
      </c>
    </row>
    <row r="2334" spans="1:33" ht="10" customHeight="1" x14ac:dyDescent="0.2">
      <c r="A2334" s="5" t="s">
        <v>5444</v>
      </c>
      <c r="B2334" s="5" t="s">
        <v>4709</v>
      </c>
      <c r="D2334" s="5" t="s">
        <v>5622</v>
      </c>
      <c r="E2334" s="10" t="s">
        <v>53</v>
      </c>
      <c r="F2334" s="5" t="s">
        <v>5597</v>
      </c>
      <c r="I2334" s="11">
        <v>2</v>
      </c>
      <c r="J2334" s="5" t="s">
        <v>4324</v>
      </c>
      <c r="K2334" s="12"/>
      <c r="O2334" s="12"/>
      <c r="P2334" s="13">
        <v>735</v>
      </c>
      <c r="Q2334" s="13">
        <v>983</v>
      </c>
      <c r="S2334" s="13">
        <v>1162</v>
      </c>
      <c r="AC2334" s="10" t="s">
        <v>5623</v>
      </c>
      <c r="AD2334" s="5" t="s">
        <v>4598</v>
      </c>
      <c r="AE2334" s="5" t="s">
        <v>4713</v>
      </c>
      <c r="AF2334" s="5" t="s">
        <v>5599</v>
      </c>
      <c r="AG2334" s="5" t="s">
        <v>5456</v>
      </c>
    </row>
    <row r="2335" spans="1:33" ht="10" customHeight="1" x14ac:dyDescent="0.2">
      <c r="A2335" s="5" t="s">
        <v>5444</v>
      </c>
      <c r="B2335" s="5" t="s">
        <v>4709</v>
      </c>
      <c r="D2335" s="5" t="s">
        <v>5624</v>
      </c>
      <c r="E2335" s="10" t="s">
        <v>53</v>
      </c>
      <c r="F2335" s="5" t="s">
        <v>5597</v>
      </c>
      <c r="I2335" s="11">
        <v>2</v>
      </c>
      <c r="J2335" s="5" t="s">
        <v>4324</v>
      </c>
      <c r="K2335" s="12"/>
      <c r="O2335" s="12"/>
      <c r="P2335" s="13">
        <v>735</v>
      </c>
      <c r="Q2335" s="13">
        <v>983</v>
      </c>
      <c r="S2335" s="13">
        <v>1162</v>
      </c>
      <c r="AC2335" s="10" t="s">
        <v>5625</v>
      </c>
      <c r="AD2335" s="5" t="s">
        <v>4598</v>
      </c>
      <c r="AE2335" s="5" t="s">
        <v>4713</v>
      </c>
      <c r="AF2335" s="5" t="s">
        <v>5599</v>
      </c>
      <c r="AG2335" s="5" t="s">
        <v>5456</v>
      </c>
    </row>
    <row r="2336" spans="1:33" ht="10" customHeight="1" x14ac:dyDescent="0.2">
      <c r="A2336" s="5" t="s">
        <v>5444</v>
      </c>
      <c r="B2336" s="5" t="s">
        <v>4709</v>
      </c>
      <c r="D2336" s="5" t="s">
        <v>5626</v>
      </c>
      <c r="E2336" s="10" t="s">
        <v>53</v>
      </c>
      <c r="F2336" s="5" t="s">
        <v>5597</v>
      </c>
      <c r="I2336" s="11">
        <v>2</v>
      </c>
      <c r="J2336" s="5" t="s">
        <v>4324</v>
      </c>
      <c r="K2336" s="12"/>
      <c r="O2336" s="12"/>
      <c r="P2336" s="13">
        <v>0</v>
      </c>
      <c r="Q2336" s="13">
        <v>0</v>
      </c>
      <c r="S2336" s="13">
        <v>0</v>
      </c>
      <c r="AC2336" s="10" t="s">
        <v>5627</v>
      </c>
      <c r="AD2336" s="5" t="s">
        <v>4598</v>
      </c>
      <c r="AE2336" s="5" t="s">
        <v>4713</v>
      </c>
      <c r="AF2336" s="5" t="s">
        <v>5599</v>
      </c>
      <c r="AG2336" s="5" t="s">
        <v>5456</v>
      </c>
    </row>
    <row r="2337" spans="1:33" ht="10" customHeight="1" x14ac:dyDescent="0.2">
      <c r="A2337" s="5" t="s">
        <v>5444</v>
      </c>
      <c r="B2337" s="5" t="s">
        <v>4709</v>
      </c>
      <c r="D2337" s="5" t="s">
        <v>5628</v>
      </c>
      <c r="E2337" s="10" t="s">
        <v>53</v>
      </c>
      <c r="F2337" s="5" t="s">
        <v>5597</v>
      </c>
      <c r="I2337" s="11">
        <v>2</v>
      </c>
      <c r="J2337" s="5" t="s">
        <v>4324</v>
      </c>
      <c r="K2337" s="12"/>
      <c r="O2337" s="12"/>
      <c r="P2337" s="13">
        <v>0</v>
      </c>
      <c r="Q2337" s="13">
        <v>0</v>
      </c>
      <c r="S2337" s="13">
        <v>0</v>
      </c>
      <c r="AC2337" s="10" t="s">
        <v>5629</v>
      </c>
      <c r="AD2337" s="5" t="s">
        <v>4598</v>
      </c>
      <c r="AE2337" s="5" t="s">
        <v>4713</v>
      </c>
      <c r="AF2337" s="5" t="s">
        <v>5599</v>
      </c>
      <c r="AG2337" s="5" t="s">
        <v>5456</v>
      </c>
    </row>
    <row r="2338" spans="1:33" ht="10" customHeight="1" x14ac:dyDescent="0.2">
      <c r="A2338" s="5" t="s">
        <v>5444</v>
      </c>
      <c r="B2338" s="5" t="s">
        <v>4709</v>
      </c>
      <c r="D2338" s="5" t="s">
        <v>5630</v>
      </c>
      <c r="E2338" s="10" t="s">
        <v>44</v>
      </c>
      <c r="I2338" s="11">
        <v>2</v>
      </c>
      <c r="J2338" s="5" t="s">
        <v>4324</v>
      </c>
      <c r="K2338" s="12"/>
      <c r="O2338" s="12"/>
      <c r="P2338" s="13">
        <v>2902331</v>
      </c>
      <c r="Q2338" s="13">
        <v>3198161</v>
      </c>
      <c r="S2338" s="13">
        <v>3473772</v>
      </c>
      <c r="AC2338" s="10" t="s">
        <v>5631</v>
      </c>
      <c r="AD2338" s="5" t="s">
        <v>4598</v>
      </c>
      <c r="AE2338" s="5" t="s">
        <v>4713</v>
      </c>
      <c r="AF2338" s="5" t="s">
        <v>5599</v>
      </c>
      <c r="AG2338" s="5" t="s">
        <v>5456</v>
      </c>
    </row>
    <row r="2339" spans="1:33" ht="10" customHeight="1" x14ac:dyDescent="0.2">
      <c r="A2339" s="5" t="s">
        <v>5444</v>
      </c>
      <c r="B2339" s="5" t="s">
        <v>4709</v>
      </c>
      <c r="D2339" s="5" t="s">
        <v>5632</v>
      </c>
      <c r="E2339" s="10" t="s">
        <v>345</v>
      </c>
      <c r="F2339" s="5" t="s">
        <v>5597</v>
      </c>
      <c r="I2339" s="11">
        <v>2</v>
      </c>
      <c r="J2339" s="5" t="s">
        <v>4324</v>
      </c>
      <c r="K2339" s="12"/>
      <c r="O2339" s="12"/>
      <c r="P2339" s="13">
        <v>1180094</v>
      </c>
      <c r="Q2339" s="13">
        <v>1520625</v>
      </c>
      <c r="S2339" s="13">
        <v>1434873</v>
      </c>
      <c r="AC2339" s="10" t="s">
        <v>5633</v>
      </c>
      <c r="AD2339" s="5" t="s">
        <v>840</v>
      </c>
      <c r="AE2339" s="5" t="s">
        <v>4713</v>
      </c>
      <c r="AF2339" s="5" t="s">
        <v>5599</v>
      </c>
      <c r="AG2339" s="5" t="s">
        <v>5492</v>
      </c>
    </row>
    <row r="2340" spans="1:33" ht="10" customHeight="1" x14ac:dyDescent="0.2">
      <c r="A2340" s="5" t="s">
        <v>5444</v>
      </c>
      <c r="B2340" s="5" t="s">
        <v>4709</v>
      </c>
      <c r="D2340" s="5" t="s">
        <v>5634</v>
      </c>
      <c r="E2340" s="10" t="s">
        <v>345</v>
      </c>
      <c r="F2340" s="5" t="s">
        <v>5597</v>
      </c>
      <c r="I2340" s="11">
        <v>2</v>
      </c>
      <c r="J2340" s="5" t="s">
        <v>4324</v>
      </c>
      <c r="K2340" s="12"/>
      <c r="O2340" s="12"/>
      <c r="P2340" s="13">
        <v>43981</v>
      </c>
      <c r="Q2340" s="13">
        <v>45425</v>
      </c>
      <c r="S2340" s="13">
        <v>47013</v>
      </c>
      <c r="AC2340" s="10" t="s">
        <v>5635</v>
      </c>
      <c r="AD2340" s="5" t="s">
        <v>840</v>
      </c>
      <c r="AE2340" s="5" t="s">
        <v>4713</v>
      </c>
      <c r="AF2340" s="5" t="s">
        <v>5599</v>
      </c>
      <c r="AG2340" s="5" t="s">
        <v>5492</v>
      </c>
    </row>
    <row r="2341" spans="1:33" ht="10" customHeight="1" x14ac:dyDescent="0.2">
      <c r="A2341" s="5" t="s">
        <v>5444</v>
      </c>
      <c r="B2341" s="5" t="s">
        <v>4709</v>
      </c>
      <c r="D2341" s="5" t="s">
        <v>5636</v>
      </c>
      <c r="E2341" s="10" t="s">
        <v>345</v>
      </c>
      <c r="F2341" s="5" t="s">
        <v>5597</v>
      </c>
      <c r="I2341" s="11">
        <v>2</v>
      </c>
      <c r="J2341" s="5" t="s">
        <v>4324</v>
      </c>
      <c r="K2341" s="12"/>
      <c r="O2341" s="12"/>
      <c r="P2341" s="13">
        <v>292621</v>
      </c>
      <c r="Q2341" s="13">
        <v>356343</v>
      </c>
      <c r="S2341" s="13">
        <v>566849</v>
      </c>
      <c r="AC2341" s="10" t="s">
        <v>5637</v>
      </c>
      <c r="AD2341" s="5" t="s">
        <v>840</v>
      </c>
      <c r="AE2341" s="5" t="s">
        <v>4713</v>
      </c>
      <c r="AF2341" s="5" t="s">
        <v>5599</v>
      </c>
      <c r="AG2341" s="5" t="s">
        <v>5492</v>
      </c>
    </row>
    <row r="2342" spans="1:33" ht="10" customHeight="1" x14ac:dyDescent="0.2">
      <c r="A2342" s="5" t="s">
        <v>5444</v>
      </c>
      <c r="B2342" s="5" t="s">
        <v>4709</v>
      </c>
      <c r="D2342" s="5" t="s">
        <v>5638</v>
      </c>
      <c r="E2342" s="10" t="s">
        <v>345</v>
      </c>
      <c r="F2342" s="5" t="s">
        <v>5597</v>
      </c>
      <c r="I2342" s="11">
        <v>2</v>
      </c>
      <c r="J2342" s="5" t="s">
        <v>4324</v>
      </c>
      <c r="K2342" s="12"/>
      <c r="O2342" s="12"/>
      <c r="P2342" s="13">
        <v>106880</v>
      </c>
      <c r="Q2342" s="13">
        <v>128313</v>
      </c>
      <c r="S2342" s="13">
        <v>199884</v>
      </c>
      <c r="AC2342" s="10" t="s">
        <v>5639</v>
      </c>
      <c r="AD2342" s="5" t="s">
        <v>840</v>
      </c>
      <c r="AE2342" s="5" t="s">
        <v>4713</v>
      </c>
      <c r="AF2342" s="5" t="s">
        <v>5599</v>
      </c>
      <c r="AG2342" s="5" t="s">
        <v>5492</v>
      </c>
    </row>
    <row r="2343" spans="1:33" ht="10" customHeight="1" x14ac:dyDescent="0.2">
      <c r="A2343" s="5" t="s">
        <v>5444</v>
      </c>
      <c r="B2343" s="5" t="s">
        <v>4709</v>
      </c>
      <c r="D2343" s="5" t="s">
        <v>5640</v>
      </c>
      <c r="E2343" s="10" t="s">
        <v>345</v>
      </c>
      <c r="F2343" s="5" t="s">
        <v>5597</v>
      </c>
      <c r="I2343" s="11">
        <v>2</v>
      </c>
      <c r="J2343" s="5" t="s">
        <v>4324</v>
      </c>
      <c r="K2343" s="12"/>
      <c r="O2343" s="12"/>
      <c r="P2343" s="13">
        <v>98526</v>
      </c>
      <c r="Q2343" s="13">
        <v>113492</v>
      </c>
      <c r="S2343" s="13">
        <v>165608</v>
      </c>
      <c r="AC2343" s="10" t="s">
        <v>5641</v>
      </c>
      <c r="AD2343" s="5" t="s">
        <v>840</v>
      </c>
      <c r="AE2343" s="5" t="s">
        <v>4713</v>
      </c>
      <c r="AF2343" s="5" t="s">
        <v>5599</v>
      </c>
      <c r="AG2343" s="5" t="s">
        <v>5492</v>
      </c>
    </row>
    <row r="2344" spans="1:33" ht="10" customHeight="1" x14ac:dyDescent="0.2">
      <c r="A2344" s="5" t="s">
        <v>5444</v>
      </c>
      <c r="B2344" s="5" t="s">
        <v>4709</v>
      </c>
      <c r="D2344" s="5" t="s">
        <v>5642</v>
      </c>
      <c r="E2344" s="10" t="s">
        <v>345</v>
      </c>
      <c r="F2344" s="5" t="s">
        <v>5597</v>
      </c>
      <c r="I2344" s="11">
        <v>2</v>
      </c>
      <c r="J2344" s="5" t="s">
        <v>4324</v>
      </c>
      <c r="K2344" s="12"/>
      <c r="O2344" s="12"/>
      <c r="P2344" s="13">
        <v>894251</v>
      </c>
      <c r="Q2344" s="13">
        <v>776191</v>
      </c>
      <c r="S2344" s="13">
        <v>747414</v>
      </c>
      <c r="AC2344" s="10" t="s">
        <v>5643</v>
      </c>
      <c r="AD2344" s="5" t="s">
        <v>840</v>
      </c>
      <c r="AE2344" s="5" t="s">
        <v>4713</v>
      </c>
      <c r="AF2344" s="5" t="s">
        <v>5599</v>
      </c>
      <c r="AG2344" s="5" t="s">
        <v>5492</v>
      </c>
    </row>
    <row r="2345" spans="1:33" ht="10" customHeight="1" x14ac:dyDescent="0.2">
      <c r="A2345" s="5" t="s">
        <v>5444</v>
      </c>
      <c r="B2345" s="5" t="s">
        <v>4709</v>
      </c>
      <c r="D2345" s="5" t="s">
        <v>5644</v>
      </c>
      <c r="E2345" s="10" t="s">
        <v>345</v>
      </c>
      <c r="F2345" s="5" t="s">
        <v>5597</v>
      </c>
      <c r="I2345" s="11">
        <v>2</v>
      </c>
      <c r="J2345" s="5" t="s">
        <v>4324</v>
      </c>
      <c r="K2345" s="12"/>
      <c r="O2345" s="12"/>
      <c r="P2345" s="13">
        <v>24206</v>
      </c>
      <c r="Q2345" s="13">
        <v>25001</v>
      </c>
      <c r="S2345" s="13">
        <v>25876</v>
      </c>
      <c r="AC2345" s="10" t="s">
        <v>5645</v>
      </c>
      <c r="AD2345" s="5" t="s">
        <v>840</v>
      </c>
      <c r="AE2345" s="5" t="s">
        <v>4713</v>
      </c>
      <c r="AF2345" s="5" t="s">
        <v>5599</v>
      </c>
      <c r="AG2345" s="5" t="s">
        <v>5492</v>
      </c>
    </row>
    <row r="2346" spans="1:33" ht="10" customHeight="1" x14ac:dyDescent="0.2">
      <c r="A2346" s="5" t="s">
        <v>5444</v>
      </c>
      <c r="B2346" s="5" t="s">
        <v>4709</v>
      </c>
      <c r="D2346" s="5" t="s">
        <v>5646</v>
      </c>
      <c r="E2346" s="10" t="s">
        <v>345</v>
      </c>
      <c r="F2346" s="5" t="s">
        <v>5597</v>
      </c>
      <c r="I2346" s="11">
        <v>2</v>
      </c>
      <c r="J2346" s="5" t="s">
        <v>4324</v>
      </c>
      <c r="K2346" s="12"/>
      <c r="O2346" s="12"/>
      <c r="P2346" s="13">
        <v>252118</v>
      </c>
      <c r="Q2346" s="13">
        <v>222914</v>
      </c>
      <c r="S2346" s="13">
        <v>276190</v>
      </c>
      <c r="AC2346" s="10" t="s">
        <v>5647</v>
      </c>
      <c r="AD2346" s="5" t="s">
        <v>840</v>
      </c>
      <c r="AE2346" s="5" t="s">
        <v>4713</v>
      </c>
      <c r="AF2346" s="5" t="s">
        <v>5599</v>
      </c>
      <c r="AG2346" s="5" t="s">
        <v>5492</v>
      </c>
    </row>
    <row r="2347" spans="1:33" ht="10" customHeight="1" x14ac:dyDescent="0.2">
      <c r="A2347" s="5" t="s">
        <v>5444</v>
      </c>
      <c r="B2347" s="5" t="s">
        <v>4709</v>
      </c>
      <c r="D2347" s="5" t="s">
        <v>5648</v>
      </c>
      <c r="E2347" s="10" t="s">
        <v>345</v>
      </c>
      <c r="F2347" s="5" t="s">
        <v>5597</v>
      </c>
      <c r="I2347" s="11">
        <v>2</v>
      </c>
      <c r="J2347" s="5" t="s">
        <v>4324</v>
      </c>
      <c r="K2347" s="12"/>
      <c r="O2347" s="12"/>
      <c r="P2347" s="13">
        <v>9655</v>
      </c>
      <c r="Q2347" s="13">
        <v>9858</v>
      </c>
      <c r="S2347" s="13">
        <v>10065</v>
      </c>
      <c r="AC2347" s="10" t="s">
        <v>5649</v>
      </c>
      <c r="AD2347" s="5" t="s">
        <v>840</v>
      </c>
      <c r="AE2347" s="5" t="s">
        <v>4713</v>
      </c>
      <c r="AF2347" s="5" t="s">
        <v>5599</v>
      </c>
      <c r="AG2347" s="5" t="s">
        <v>5492</v>
      </c>
    </row>
    <row r="2348" spans="1:33" ht="10" customHeight="1" x14ac:dyDescent="0.2">
      <c r="A2348" s="5" t="s">
        <v>5444</v>
      </c>
      <c r="B2348" s="5" t="s">
        <v>4709</v>
      </c>
      <c r="D2348" s="5" t="s">
        <v>5650</v>
      </c>
      <c r="E2348" s="10" t="s">
        <v>345</v>
      </c>
      <c r="F2348" s="5" t="s">
        <v>5597</v>
      </c>
      <c r="I2348" s="11">
        <v>2</v>
      </c>
      <c r="J2348" s="5" t="s">
        <v>4324</v>
      </c>
      <c r="K2348" s="12"/>
      <c r="O2348" s="12"/>
      <c r="P2348" s="13">
        <v>2902331</v>
      </c>
      <c r="Q2348" s="13">
        <v>3198161</v>
      </c>
      <c r="S2348" s="13">
        <v>3473772</v>
      </c>
      <c r="AC2348" s="10" t="s">
        <v>5651</v>
      </c>
      <c r="AD2348" s="5" t="s">
        <v>840</v>
      </c>
      <c r="AE2348" s="5" t="s">
        <v>4713</v>
      </c>
      <c r="AF2348" s="5" t="s">
        <v>5599</v>
      </c>
      <c r="AG2348" s="5" t="s">
        <v>5492</v>
      </c>
    </row>
    <row r="2349" spans="1:33" ht="10" customHeight="1" x14ac:dyDescent="0.2">
      <c r="A2349" s="5" t="s">
        <v>5444</v>
      </c>
      <c r="B2349" s="5" t="s">
        <v>4709</v>
      </c>
      <c r="D2349" s="5" t="s">
        <v>5652</v>
      </c>
      <c r="E2349" s="10" t="s">
        <v>53</v>
      </c>
      <c r="F2349" s="5" t="s">
        <v>5653</v>
      </c>
      <c r="I2349" s="11">
        <v>7</v>
      </c>
      <c r="J2349" s="5" t="s">
        <v>5513</v>
      </c>
      <c r="K2349" s="12"/>
      <c r="O2349" s="12"/>
      <c r="P2349" s="13">
        <v>5444</v>
      </c>
      <c r="Q2349" s="13">
        <v>5558</v>
      </c>
      <c r="S2349" s="13">
        <v>5675</v>
      </c>
      <c r="AC2349" s="10" t="s">
        <v>5654</v>
      </c>
      <c r="AD2349" s="5" t="s">
        <v>857</v>
      </c>
      <c r="AE2349" s="5" t="s">
        <v>4713</v>
      </c>
      <c r="AF2349" s="5" t="s">
        <v>5599</v>
      </c>
      <c r="AG2349" s="5" t="s">
        <v>5516</v>
      </c>
    </row>
    <row r="2350" spans="1:33" ht="10" customHeight="1" x14ac:dyDescent="0.2">
      <c r="A2350" s="5" t="s">
        <v>5444</v>
      </c>
      <c r="B2350" s="5" t="s">
        <v>4709</v>
      </c>
      <c r="D2350" s="5" t="s">
        <v>5655</v>
      </c>
      <c r="E2350" s="10" t="s">
        <v>53</v>
      </c>
      <c r="F2350" s="5" t="s">
        <v>5653</v>
      </c>
      <c r="I2350" s="11">
        <v>7</v>
      </c>
      <c r="J2350" s="5" t="s">
        <v>5513</v>
      </c>
      <c r="K2350" s="12"/>
      <c r="O2350" s="12"/>
      <c r="P2350" s="13">
        <v>67630</v>
      </c>
      <c r="Q2350" s="13">
        <v>9252</v>
      </c>
      <c r="S2350" s="13">
        <v>0</v>
      </c>
      <c r="AC2350" s="10" t="s">
        <v>5656</v>
      </c>
      <c r="AD2350" s="5" t="s">
        <v>857</v>
      </c>
      <c r="AE2350" s="5" t="s">
        <v>4713</v>
      </c>
      <c r="AF2350" s="5" t="s">
        <v>5599</v>
      </c>
      <c r="AG2350" s="5" t="s">
        <v>5516</v>
      </c>
    </row>
    <row r="2351" spans="1:33" ht="10" customHeight="1" x14ac:dyDescent="0.2">
      <c r="A2351" s="5" t="s">
        <v>5444</v>
      </c>
      <c r="B2351" s="5" t="s">
        <v>4709</v>
      </c>
      <c r="D2351" s="5" t="s">
        <v>5657</v>
      </c>
      <c r="E2351" s="10" t="s">
        <v>53</v>
      </c>
      <c r="F2351" s="5" t="s">
        <v>5653</v>
      </c>
      <c r="I2351" s="11">
        <v>7</v>
      </c>
      <c r="J2351" s="5" t="s">
        <v>5513</v>
      </c>
      <c r="K2351" s="12"/>
      <c r="O2351" s="12"/>
      <c r="P2351" s="13">
        <v>100356</v>
      </c>
      <c r="Q2351" s="13">
        <v>149268</v>
      </c>
      <c r="S2351" s="13">
        <v>981248</v>
      </c>
      <c r="AC2351" s="10" t="s">
        <v>5658</v>
      </c>
      <c r="AD2351" s="5" t="s">
        <v>857</v>
      </c>
      <c r="AE2351" s="5" t="s">
        <v>4713</v>
      </c>
      <c r="AF2351" s="5" t="s">
        <v>5599</v>
      </c>
      <c r="AG2351" s="5" t="s">
        <v>5516</v>
      </c>
    </row>
    <row r="2352" spans="1:33" ht="10" customHeight="1" x14ac:dyDescent="0.2">
      <c r="A2352" s="5" t="s">
        <v>5444</v>
      </c>
      <c r="B2352" s="5" t="s">
        <v>4709</v>
      </c>
      <c r="D2352" s="5" t="s">
        <v>5659</v>
      </c>
      <c r="E2352" s="10" t="s">
        <v>53</v>
      </c>
      <c r="F2352" s="5" t="s">
        <v>5653</v>
      </c>
      <c r="I2352" s="11">
        <v>7</v>
      </c>
      <c r="J2352" s="5" t="s">
        <v>5513</v>
      </c>
      <c r="K2352" s="12"/>
      <c r="O2352" s="12"/>
      <c r="P2352" s="13">
        <v>0</v>
      </c>
      <c r="Q2352" s="13">
        <v>0</v>
      </c>
      <c r="S2352" s="13">
        <v>0</v>
      </c>
      <c r="AC2352" s="10" t="s">
        <v>5660</v>
      </c>
      <c r="AD2352" s="5" t="s">
        <v>857</v>
      </c>
      <c r="AE2352" s="5" t="s">
        <v>4713</v>
      </c>
      <c r="AF2352" s="5" t="s">
        <v>5599</v>
      </c>
      <c r="AG2352" s="5" t="s">
        <v>5516</v>
      </c>
    </row>
    <row r="2353" spans="1:33" ht="10" customHeight="1" x14ac:dyDescent="0.2">
      <c r="A2353" s="5" t="s">
        <v>5444</v>
      </c>
      <c r="B2353" s="5" t="s">
        <v>4709</v>
      </c>
      <c r="D2353" s="5" t="s">
        <v>5661</v>
      </c>
      <c r="E2353" s="10" t="s">
        <v>53</v>
      </c>
      <c r="F2353" s="5" t="s">
        <v>5653</v>
      </c>
      <c r="I2353" s="11">
        <v>7</v>
      </c>
      <c r="J2353" s="5" t="s">
        <v>5513</v>
      </c>
      <c r="K2353" s="12"/>
      <c r="O2353" s="12"/>
      <c r="P2353" s="13">
        <v>195000</v>
      </c>
      <c r="Q2353" s="13">
        <v>182200</v>
      </c>
      <c r="S2353" s="13">
        <v>48800</v>
      </c>
      <c r="AC2353" s="10" t="s">
        <v>5662</v>
      </c>
      <c r="AD2353" s="5" t="s">
        <v>857</v>
      </c>
      <c r="AE2353" s="5" t="s">
        <v>4713</v>
      </c>
      <c r="AF2353" s="5" t="s">
        <v>5599</v>
      </c>
      <c r="AG2353" s="5" t="s">
        <v>5516</v>
      </c>
    </row>
    <row r="2354" spans="1:33" ht="10" customHeight="1" x14ac:dyDescent="0.2">
      <c r="A2354" s="5" t="s">
        <v>5444</v>
      </c>
      <c r="B2354" s="5" t="s">
        <v>4709</v>
      </c>
      <c r="D2354" s="5" t="s">
        <v>5663</v>
      </c>
      <c r="E2354" s="10" t="s">
        <v>44</v>
      </c>
      <c r="I2354" s="11">
        <v>7</v>
      </c>
      <c r="J2354" s="5" t="s">
        <v>5513</v>
      </c>
      <c r="K2354" s="12"/>
      <c r="O2354" s="12"/>
      <c r="P2354" s="13">
        <v>368430</v>
      </c>
      <c r="Q2354" s="13">
        <v>346278</v>
      </c>
      <c r="S2354" s="13">
        <v>1035723</v>
      </c>
      <c r="AC2354" s="10" t="s">
        <v>5664</v>
      </c>
      <c r="AD2354" s="5" t="s">
        <v>857</v>
      </c>
      <c r="AE2354" s="5" t="s">
        <v>4713</v>
      </c>
      <c r="AF2354" s="5" t="s">
        <v>5599</v>
      </c>
      <c r="AG2354" s="5" t="s">
        <v>5516</v>
      </c>
    </row>
    <row r="2355" spans="1:33" ht="10" customHeight="1" x14ac:dyDescent="0.2">
      <c r="A2355" s="5" t="s">
        <v>5444</v>
      </c>
      <c r="B2355" s="5" t="s">
        <v>4709</v>
      </c>
      <c r="D2355" s="5" t="s">
        <v>5665</v>
      </c>
      <c r="E2355" s="10" t="s">
        <v>53</v>
      </c>
      <c r="F2355" s="5" t="s">
        <v>5653</v>
      </c>
      <c r="I2355" s="11">
        <v>7</v>
      </c>
      <c r="J2355" s="5" t="s">
        <v>5513</v>
      </c>
      <c r="K2355" s="12"/>
      <c r="O2355" s="12"/>
      <c r="P2355" s="13">
        <v>32359</v>
      </c>
      <c r="AC2355" s="10" t="s">
        <v>5666</v>
      </c>
      <c r="AD2355" s="5" t="s">
        <v>857</v>
      </c>
      <c r="AE2355" s="5" t="s">
        <v>4713</v>
      </c>
      <c r="AF2355" s="5" t="s">
        <v>5599</v>
      </c>
      <c r="AG2355" s="5" t="s">
        <v>5529</v>
      </c>
    </row>
    <row r="2356" spans="1:33" ht="10" customHeight="1" x14ac:dyDescent="0.2">
      <c r="A2356" s="5" t="s">
        <v>5444</v>
      </c>
      <c r="B2356" s="5" t="s">
        <v>4709</v>
      </c>
      <c r="D2356" s="5" t="s">
        <v>5667</v>
      </c>
      <c r="E2356" s="10" t="s">
        <v>53</v>
      </c>
      <c r="F2356" s="5" t="s">
        <v>5653</v>
      </c>
      <c r="I2356" s="11">
        <v>7</v>
      </c>
      <c r="J2356" s="5" t="s">
        <v>5513</v>
      </c>
      <c r="K2356" s="12"/>
      <c r="O2356" s="12"/>
      <c r="P2356" s="13">
        <v>11722</v>
      </c>
      <c r="AC2356" s="10" t="s">
        <v>5668</v>
      </c>
      <c r="AD2356" s="5" t="s">
        <v>857</v>
      </c>
      <c r="AE2356" s="5" t="s">
        <v>4713</v>
      </c>
      <c r="AF2356" s="5" t="s">
        <v>5599</v>
      </c>
      <c r="AG2356" s="5" t="s">
        <v>5529</v>
      </c>
    </row>
    <row r="2357" spans="1:33" ht="10" customHeight="1" x14ac:dyDescent="0.2">
      <c r="A2357" s="5" t="s">
        <v>5444</v>
      </c>
      <c r="B2357" s="5" t="s">
        <v>4709</v>
      </c>
      <c r="D2357" s="5" t="s">
        <v>5669</v>
      </c>
      <c r="E2357" s="10" t="s">
        <v>53</v>
      </c>
      <c r="F2357" s="5" t="s">
        <v>5653</v>
      </c>
      <c r="I2357" s="11">
        <v>7</v>
      </c>
      <c r="J2357" s="5" t="s">
        <v>5513</v>
      </c>
      <c r="K2357" s="12"/>
      <c r="O2357" s="12"/>
      <c r="P2357" s="13">
        <v>5376</v>
      </c>
      <c r="AC2357" s="10" t="s">
        <v>5670</v>
      </c>
      <c r="AD2357" s="5" t="s">
        <v>857</v>
      </c>
      <c r="AE2357" s="5" t="s">
        <v>4713</v>
      </c>
      <c r="AF2357" s="5" t="s">
        <v>5599</v>
      </c>
      <c r="AG2357" s="5" t="s">
        <v>5529</v>
      </c>
    </row>
    <row r="2358" spans="1:33" ht="10" customHeight="1" x14ac:dyDescent="0.2">
      <c r="A2358" s="5" t="s">
        <v>5444</v>
      </c>
      <c r="B2358" s="5" t="s">
        <v>4709</v>
      </c>
      <c r="D2358" s="5" t="s">
        <v>5671</v>
      </c>
      <c r="E2358" s="10" t="s">
        <v>53</v>
      </c>
      <c r="F2358" s="5" t="s">
        <v>5653</v>
      </c>
      <c r="I2358" s="11">
        <v>7</v>
      </c>
      <c r="J2358" s="5" t="s">
        <v>5513</v>
      </c>
      <c r="K2358" s="12"/>
      <c r="O2358" s="12"/>
      <c r="P2358" s="13">
        <v>298</v>
      </c>
      <c r="AC2358" s="10" t="s">
        <v>5672</v>
      </c>
      <c r="AD2358" s="5" t="s">
        <v>857</v>
      </c>
      <c r="AE2358" s="5" t="s">
        <v>4713</v>
      </c>
      <c r="AF2358" s="5" t="s">
        <v>5599</v>
      </c>
      <c r="AG2358" s="5" t="s">
        <v>5529</v>
      </c>
    </row>
    <row r="2359" spans="1:33" ht="10" customHeight="1" x14ac:dyDescent="0.2">
      <c r="A2359" s="5" t="s">
        <v>5444</v>
      </c>
      <c r="B2359" s="5" t="s">
        <v>4709</v>
      </c>
      <c r="D2359" s="5" t="s">
        <v>5673</v>
      </c>
      <c r="E2359" s="10" t="s">
        <v>53</v>
      </c>
      <c r="F2359" s="5" t="s">
        <v>5653</v>
      </c>
      <c r="I2359" s="11">
        <v>7</v>
      </c>
      <c r="J2359" s="5" t="s">
        <v>5513</v>
      </c>
      <c r="K2359" s="12"/>
      <c r="O2359" s="12"/>
      <c r="P2359" s="13">
        <v>1716</v>
      </c>
      <c r="AC2359" s="10" t="s">
        <v>5674</v>
      </c>
      <c r="AD2359" s="5" t="s">
        <v>857</v>
      </c>
      <c r="AE2359" s="5" t="s">
        <v>4713</v>
      </c>
      <c r="AF2359" s="5" t="s">
        <v>5599</v>
      </c>
      <c r="AG2359" s="5" t="s">
        <v>5529</v>
      </c>
    </row>
    <row r="2360" spans="1:33" ht="10" customHeight="1" x14ac:dyDescent="0.2">
      <c r="A2360" s="5" t="s">
        <v>5444</v>
      </c>
      <c r="B2360" s="5" t="s">
        <v>4709</v>
      </c>
      <c r="D2360" s="5" t="s">
        <v>5675</v>
      </c>
      <c r="E2360" s="10" t="s">
        <v>53</v>
      </c>
      <c r="F2360" s="5" t="s">
        <v>5653</v>
      </c>
      <c r="I2360" s="11">
        <v>7</v>
      </c>
      <c r="J2360" s="5" t="s">
        <v>5513</v>
      </c>
      <c r="K2360" s="12"/>
      <c r="O2360" s="12"/>
      <c r="P2360" s="13">
        <v>16159</v>
      </c>
      <c r="AC2360" s="10" t="s">
        <v>5676</v>
      </c>
      <c r="AD2360" s="5" t="s">
        <v>857</v>
      </c>
      <c r="AE2360" s="5" t="s">
        <v>4713</v>
      </c>
      <c r="AF2360" s="5" t="s">
        <v>5599</v>
      </c>
      <c r="AG2360" s="5" t="s">
        <v>5529</v>
      </c>
    </row>
    <row r="2361" spans="1:33" ht="10" customHeight="1" x14ac:dyDescent="0.2">
      <c r="A2361" s="5" t="s">
        <v>5444</v>
      </c>
      <c r="B2361" s="5" t="s">
        <v>4709</v>
      </c>
      <c r="D2361" s="5" t="s">
        <v>5677</v>
      </c>
      <c r="E2361" s="10" t="s">
        <v>53</v>
      </c>
      <c r="F2361" s="5" t="s">
        <v>5653</v>
      </c>
      <c r="I2361" s="11">
        <v>7</v>
      </c>
      <c r="J2361" s="5" t="s">
        <v>5513</v>
      </c>
      <c r="K2361" s="12"/>
      <c r="O2361" s="12"/>
      <c r="Q2361" s="13">
        <v>3620</v>
      </c>
      <c r="AC2361" s="10" t="s">
        <v>5678</v>
      </c>
      <c r="AD2361" s="5" t="s">
        <v>857</v>
      </c>
      <c r="AE2361" s="5" t="s">
        <v>4713</v>
      </c>
      <c r="AF2361" s="5" t="s">
        <v>5599</v>
      </c>
      <c r="AG2361" s="5" t="s">
        <v>5529</v>
      </c>
    </row>
    <row r="2362" spans="1:33" ht="10" customHeight="1" x14ac:dyDescent="0.2">
      <c r="A2362" s="5" t="s">
        <v>5444</v>
      </c>
      <c r="B2362" s="5" t="s">
        <v>4709</v>
      </c>
      <c r="D2362" s="5" t="s">
        <v>5679</v>
      </c>
      <c r="E2362" s="10" t="s">
        <v>53</v>
      </c>
      <c r="F2362" s="5" t="s">
        <v>5653</v>
      </c>
      <c r="I2362" s="11">
        <v>7</v>
      </c>
      <c r="J2362" s="5" t="s">
        <v>5513</v>
      </c>
      <c r="K2362" s="12"/>
      <c r="O2362" s="12"/>
      <c r="Q2362" s="13">
        <v>1500</v>
      </c>
      <c r="AC2362" s="10" t="s">
        <v>5680</v>
      </c>
      <c r="AD2362" s="5" t="s">
        <v>857</v>
      </c>
      <c r="AE2362" s="5" t="s">
        <v>4713</v>
      </c>
      <c r="AF2362" s="5" t="s">
        <v>5599</v>
      </c>
      <c r="AG2362" s="5" t="s">
        <v>5529</v>
      </c>
    </row>
    <row r="2363" spans="1:33" ht="10" customHeight="1" x14ac:dyDescent="0.2">
      <c r="A2363" s="5" t="s">
        <v>5444</v>
      </c>
      <c r="B2363" s="5" t="s">
        <v>4709</v>
      </c>
      <c r="D2363" s="5" t="s">
        <v>5681</v>
      </c>
      <c r="E2363" s="10" t="s">
        <v>53</v>
      </c>
      <c r="F2363" s="5" t="s">
        <v>5653</v>
      </c>
      <c r="I2363" s="11">
        <v>7</v>
      </c>
      <c r="J2363" s="5" t="s">
        <v>5513</v>
      </c>
      <c r="K2363" s="12"/>
      <c r="O2363" s="12"/>
      <c r="Q2363" s="13">
        <v>4132</v>
      </c>
      <c r="AC2363" s="10" t="s">
        <v>5682</v>
      </c>
      <c r="AD2363" s="5" t="s">
        <v>857</v>
      </c>
      <c r="AE2363" s="5" t="s">
        <v>4713</v>
      </c>
      <c r="AF2363" s="5" t="s">
        <v>5599</v>
      </c>
      <c r="AG2363" s="5" t="s">
        <v>5529</v>
      </c>
    </row>
    <row r="2364" spans="1:33" ht="10" customHeight="1" x14ac:dyDescent="0.2">
      <c r="A2364" s="5" t="s">
        <v>5444</v>
      </c>
      <c r="B2364" s="5" t="s">
        <v>4709</v>
      </c>
      <c r="D2364" s="5" t="s">
        <v>5683</v>
      </c>
      <c r="E2364" s="10" t="s">
        <v>53</v>
      </c>
      <c r="F2364" s="5" t="s">
        <v>5653</v>
      </c>
      <c r="I2364" s="11">
        <v>7</v>
      </c>
      <c r="J2364" s="5" t="s">
        <v>5513</v>
      </c>
      <c r="K2364" s="12"/>
      <c r="O2364" s="12"/>
      <c r="P2364" s="13">
        <v>195000</v>
      </c>
      <c r="AC2364" s="10" t="s">
        <v>5684</v>
      </c>
      <c r="AD2364" s="5" t="s">
        <v>942</v>
      </c>
      <c r="AE2364" s="5" t="s">
        <v>4713</v>
      </c>
      <c r="AF2364" s="5" t="s">
        <v>5599</v>
      </c>
      <c r="AG2364" s="5" t="s">
        <v>5544</v>
      </c>
    </row>
    <row r="2365" spans="1:33" ht="10" customHeight="1" x14ac:dyDescent="0.2">
      <c r="A2365" s="5" t="s">
        <v>5444</v>
      </c>
      <c r="B2365" s="5" t="s">
        <v>4709</v>
      </c>
      <c r="D2365" s="5" t="s">
        <v>5685</v>
      </c>
      <c r="E2365" s="10" t="s">
        <v>53</v>
      </c>
      <c r="F2365" s="5" t="s">
        <v>5653</v>
      </c>
      <c r="I2365" s="11">
        <v>7</v>
      </c>
      <c r="J2365" s="5" t="s">
        <v>5513</v>
      </c>
      <c r="K2365" s="12"/>
      <c r="O2365" s="12"/>
      <c r="Q2365" s="13">
        <v>182200</v>
      </c>
      <c r="AC2365" s="10" t="s">
        <v>5686</v>
      </c>
      <c r="AD2365" s="5" t="s">
        <v>942</v>
      </c>
      <c r="AE2365" s="5" t="s">
        <v>4713</v>
      </c>
      <c r="AF2365" s="5" t="s">
        <v>5599</v>
      </c>
      <c r="AG2365" s="5" t="s">
        <v>5544</v>
      </c>
    </row>
    <row r="2366" spans="1:33" ht="10" customHeight="1" x14ac:dyDescent="0.2">
      <c r="A2366" s="5" t="s">
        <v>5444</v>
      </c>
      <c r="B2366" s="5" t="s">
        <v>4709</v>
      </c>
      <c r="D2366" s="5" t="s">
        <v>5687</v>
      </c>
      <c r="E2366" s="10" t="s">
        <v>53</v>
      </c>
      <c r="F2366" s="5" t="s">
        <v>5653</v>
      </c>
      <c r="I2366" s="11">
        <v>7</v>
      </c>
      <c r="J2366" s="5" t="s">
        <v>5513</v>
      </c>
      <c r="K2366" s="12"/>
      <c r="O2366" s="12"/>
      <c r="S2366" s="13">
        <v>48800</v>
      </c>
      <c r="AC2366" s="10" t="s">
        <v>5688</v>
      </c>
      <c r="AD2366" s="5" t="s">
        <v>942</v>
      </c>
      <c r="AE2366" s="5" t="s">
        <v>4713</v>
      </c>
      <c r="AF2366" s="5" t="s">
        <v>5599</v>
      </c>
      <c r="AG2366" s="5" t="s">
        <v>5544</v>
      </c>
    </row>
    <row r="2367" spans="1:33" ht="10" customHeight="1" x14ac:dyDescent="0.2">
      <c r="A2367" s="5" t="s">
        <v>5444</v>
      </c>
      <c r="B2367" s="5" t="s">
        <v>4709</v>
      </c>
      <c r="D2367" s="5" t="s">
        <v>5689</v>
      </c>
      <c r="E2367" s="10" t="s">
        <v>184</v>
      </c>
      <c r="I2367" s="11">
        <v>5</v>
      </c>
      <c r="J2367" s="5" t="s">
        <v>5550</v>
      </c>
      <c r="K2367" s="10" t="s">
        <v>46</v>
      </c>
      <c r="L2367" s="5" t="s">
        <v>47</v>
      </c>
      <c r="M2367" s="5" t="s">
        <v>48</v>
      </c>
      <c r="N2367" s="5" t="s">
        <v>4748</v>
      </c>
      <c r="O2367" s="12"/>
      <c r="AC2367" s="10" t="s">
        <v>5690</v>
      </c>
      <c r="AD2367" s="5" t="s">
        <v>1000</v>
      </c>
      <c r="AE2367" s="5" t="s">
        <v>4713</v>
      </c>
      <c r="AF2367" s="5" t="s">
        <v>5599</v>
      </c>
      <c r="AG2367" s="5" t="s">
        <v>5550</v>
      </c>
    </row>
    <row r="2368" spans="1:33" ht="10" customHeight="1" x14ac:dyDescent="0.2">
      <c r="A2368" s="5" t="s">
        <v>5444</v>
      </c>
      <c r="B2368" s="5" t="s">
        <v>4709</v>
      </c>
      <c r="D2368" s="5" t="s">
        <v>5691</v>
      </c>
      <c r="E2368" s="10" t="s">
        <v>184</v>
      </c>
      <c r="I2368" s="11">
        <v>2</v>
      </c>
      <c r="J2368" s="5" t="s">
        <v>5550</v>
      </c>
      <c r="K2368" s="10" t="s">
        <v>46</v>
      </c>
      <c r="L2368" s="5" t="s">
        <v>47</v>
      </c>
      <c r="M2368" s="5" t="s">
        <v>65</v>
      </c>
      <c r="N2368" s="5" t="s">
        <v>66</v>
      </c>
      <c r="O2368" s="12"/>
      <c r="AC2368" s="10" t="s">
        <v>5692</v>
      </c>
      <c r="AD2368" s="5" t="s">
        <v>1000</v>
      </c>
      <c r="AE2368" s="5" t="s">
        <v>4713</v>
      </c>
      <c r="AF2368" s="5" t="s">
        <v>5599</v>
      </c>
      <c r="AG2368" s="5" t="s">
        <v>5550</v>
      </c>
    </row>
    <row r="2369" spans="1:33" ht="10" customHeight="1" x14ac:dyDescent="0.2">
      <c r="A2369" s="5" t="s">
        <v>5444</v>
      </c>
      <c r="B2369" s="5" t="s">
        <v>4709</v>
      </c>
      <c r="D2369" s="5" t="s">
        <v>5693</v>
      </c>
      <c r="E2369" s="10" t="s">
        <v>184</v>
      </c>
      <c r="I2369" s="11">
        <v>2</v>
      </c>
      <c r="J2369" s="5" t="s">
        <v>5550</v>
      </c>
      <c r="K2369" s="10" t="s">
        <v>46</v>
      </c>
      <c r="L2369" s="5" t="s">
        <v>47</v>
      </c>
      <c r="M2369" s="5" t="s">
        <v>65</v>
      </c>
      <c r="N2369" s="5" t="s">
        <v>66</v>
      </c>
      <c r="O2369" s="12"/>
      <c r="AC2369" s="10" t="s">
        <v>5694</v>
      </c>
      <c r="AD2369" s="5" t="s">
        <v>1000</v>
      </c>
      <c r="AE2369" s="5" t="s">
        <v>4713</v>
      </c>
      <c r="AF2369" s="5" t="s">
        <v>5599</v>
      </c>
      <c r="AG2369" s="5" t="s">
        <v>5550</v>
      </c>
    </row>
    <row r="2370" spans="1:33" ht="10" customHeight="1" x14ac:dyDescent="0.2">
      <c r="A2370" s="5" t="s">
        <v>5444</v>
      </c>
      <c r="B2370" s="5" t="s">
        <v>4709</v>
      </c>
      <c r="D2370" s="5" t="s">
        <v>5695</v>
      </c>
      <c r="E2370" s="10" t="s">
        <v>184</v>
      </c>
      <c r="I2370" s="11">
        <v>2</v>
      </c>
      <c r="J2370" s="5" t="s">
        <v>5550</v>
      </c>
      <c r="K2370" s="10" t="s">
        <v>46</v>
      </c>
      <c r="L2370" s="5" t="s">
        <v>47</v>
      </c>
      <c r="M2370" s="5" t="s">
        <v>48</v>
      </c>
      <c r="N2370" s="5" t="s">
        <v>84</v>
      </c>
      <c r="O2370" s="12"/>
      <c r="AC2370" s="10" t="s">
        <v>5696</v>
      </c>
      <c r="AD2370" s="5" t="s">
        <v>1000</v>
      </c>
      <c r="AE2370" s="5" t="s">
        <v>4713</v>
      </c>
      <c r="AF2370" s="5" t="s">
        <v>5599</v>
      </c>
      <c r="AG2370" s="5" t="s">
        <v>5550</v>
      </c>
    </row>
    <row r="2371" spans="1:33" ht="10" customHeight="1" x14ac:dyDescent="0.2">
      <c r="A2371" s="5" t="s">
        <v>5444</v>
      </c>
      <c r="B2371" s="5" t="s">
        <v>4709</v>
      </c>
      <c r="D2371" s="5" t="s">
        <v>5693</v>
      </c>
      <c r="E2371" s="10" t="s">
        <v>184</v>
      </c>
      <c r="I2371" s="11">
        <v>2</v>
      </c>
      <c r="J2371" s="5" t="s">
        <v>5550</v>
      </c>
      <c r="K2371" s="10" t="s">
        <v>46</v>
      </c>
      <c r="L2371" s="5" t="s">
        <v>47</v>
      </c>
      <c r="M2371" s="5" t="s">
        <v>65</v>
      </c>
      <c r="N2371" s="5" t="s">
        <v>66</v>
      </c>
      <c r="O2371" s="12"/>
      <c r="AC2371" s="10" t="s">
        <v>5694</v>
      </c>
      <c r="AD2371" s="5" t="s">
        <v>1000</v>
      </c>
      <c r="AE2371" s="5" t="s">
        <v>4713</v>
      </c>
      <c r="AF2371" s="5" t="s">
        <v>5599</v>
      </c>
      <c r="AG2371" s="5" t="s">
        <v>5550</v>
      </c>
    </row>
    <row r="2372" spans="1:33" ht="10" customHeight="1" x14ac:dyDescent="0.2">
      <c r="A2372" s="5" t="s">
        <v>5444</v>
      </c>
      <c r="B2372" s="5" t="s">
        <v>4709</v>
      </c>
      <c r="D2372" s="5" t="s">
        <v>5697</v>
      </c>
      <c r="E2372" s="10" t="s">
        <v>184</v>
      </c>
      <c r="I2372" s="11">
        <v>5</v>
      </c>
      <c r="J2372" s="5" t="s">
        <v>5550</v>
      </c>
      <c r="K2372" s="10" t="s">
        <v>46</v>
      </c>
      <c r="L2372" s="5" t="s">
        <v>47</v>
      </c>
      <c r="M2372" s="5" t="s">
        <v>48</v>
      </c>
      <c r="N2372" s="5" t="s">
        <v>4748</v>
      </c>
      <c r="O2372" s="12"/>
      <c r="AC2372" s="10" t="s">
        <v>5698</v>
      </c>
      <c r="AD2372" s="5" t="s">
        <v>1000</v>
      </c>
      <c r="AE2372" s="5" t="s">
        <v>4713</v>
      </c>
      <c r="AF2372" s="5" t="s">
        <v>5599</v>
      </c>
      <c r="AG2372" s="5" t="s">
        <v>5550</v>
      </c>
    </row>
    <row r="2373" spans="1:33" ht="10" customHeight="1" x14ac:dyDescent="0.2">
      <c r="A2373" s="5" t="s">
        <v>5444</v>
      </c>
      <c r="B2373" s="5" t="s">
        <v>4709</v>
      </c>
      <c r="D2373" s="5" t="s">
        <v>5699</v>
      </c>
      <c r="E2373" s="10" t="s">
        <v>184</v>
      </c>
      <c r="I2373" s="11">
        <v>2</v>
      </c>
      <c r="J2373" s="5" t="s">
        <v>5550</v>
      </c>
      <c r="K2373" s="10" t="s">
        <v>46</v>
      </c>
      <c r="L2373" s="5" t="s">
        <v>47</v>
      </c>
      <c r="M2373" s="5" t="s">
        <v>48</v>
      </c>
      <c r="N2373" s="5" t="s">
        <v>84</v>
      </c>
      <c r="O2373" s="12"/>
      <c r="AC2373" s="10" t="s">
        <v>5700</v>
      </c>
      <c r="AD2373" s="5" t="s">
        <v>1000</v>
      </c>
      <c r="AE2373" s="5" t="s">
        <v>4713</v>
      </c>
      <c r="AF2373" s="5" t="s">
        <v>5599</v>
      </c>
      <c r="AG2373" s="5" t="s">
        <v>5550</v>
      </c>
    </row>
    <row r="2374" spans="1:33" ht="10" customHeight="1" x14ac:dyDescent="0.2">
      <c r="A2374" s="5" t="s">
        <v>5444</v>
      </c>
      <c r="B2374" s="5" t="s">
        <v>4709</v>
      </c>
      <c r="D2374" s="5" t="s">
        <v>5701</v>
      </c>
      <c r="E2374" s="10" t="s">
        <v>184</v>
      </c>
      <c r="I2374" s="11">
        <v>2</v>
      </c>
      <c r="J2374" s="5" t="s">
        <v>5550</v>
      </c>
      <c r="K2374" s="10" t="s">
        <v>46</v>
      </c>
      <c r="L2374" s="5" t="s">
        <v>47</v>
      </c>
      <c r="M2374" s="5" t="s">
        <v>48</v>
      </c>
      <c r="N2374" s="5" t="s">
        <v>4748</v>
      </c>
      <c r="O2374" s="12"/>
      <c r="AC2374" s="10" t="s">
        <v>5702</v>
      </c>
      <c r="AD2374" s="5" t="s">
        <v>1000</v>
      </c>
      <c r="AE2374" s="5" t="s">
        <v>4713</v>
      </c>
      <c r="AF2374" s="5" t="s">
        <v>5599</v>
      </c>
      <c r="AG2374" s="5" t="s">
        <v>5550</v>
      </c>
    </row>
    <row r="2375" spans="1:33" ht="10" customHeight="1" x14ac:dyDescent="0.2">
      <c r="A2375" s="5" t="s">
        <v>5444</v>
      </c>
      <c r="B2375" s="5" t="s">
        <v>4709</v>
      </c>
      <c r="D2375" s="5" t="s">
        <v>5703</v>
      </c>
      <c r="E2375" s="10" t="s">
        <v>184</v>
      </c>
      <c r="I2375" s="11">
        <v>2</v>
      </c>
      <c r="J2375" s="5" t="s">
        <v>5550</v>
      </c>
      <c r="K2375" s="10" t="s">
        <v>46</v>
      </c>
      <c r="L2375" s="5" t="s">
        <v>47</v>
      </c>
      <c r="M2375" s="5" t="s">
        <v>48</v>
      </c>
      <c r="N2375" s="5" t="s">
        <v>84</v>
      </c>
      <c r="O2375" s="12"/>
      <c r="AC2375" s="10" t="s">
        <v>5704</v>
      </c>
      <c r="AD2375" s="5" t="s">
        <v>1000</v>
      </c>
      <c r="AE2375" s="5" t="s">
        <v>4713</v>
      </c>
      <c r="AF2375" s="5" t="s">
        <v>5599</v>
      </c>
      <c r="AG2375" s="5" t="s">
        <v>5550</v>
      </c>
    </row>
    <row r="2376" spans="1:33" ht="10" customHeight="1" x14ac:dyDescent="0.2">
      <c r="A2376" s="5" t="s">
        <v>5444</v>
      </c>
      <c r="B2376" s="5" t="s">
        <v>4709</v>
      </c>
      <c r="D2376" s="5" t="s">
        <v>5705</v>
      </c>
      <c r="E2376" s="10" t="s">
        <v>184</v>
      </c>
      <c r="I2376" s="11">
        <v>2</v>
      </c>
      <c r="J2376" s="5" t="s">
        <v>5550</v>
      </c>
      <c r="K2376" s="10" t="s">
        <v>46</v>
      </c>
      <c r="L2376" s="5" t="s">
        <v>47</v>
      </c>
      <c r="M2376" s="5" t="s">
        <v>48</v>
      </c>
      <c r="N2376" s="5" t="s">
        <v>84</v>
      </c>
      <c r="O2376" s="12"/>
      <c r="AC2376" s="10" t="s">
        <v>5706</v>
      </c>
      <c r="AD2376" s="5" t="s">
        <v>1000</v>
      </c>
      <c r="AE2376" s="5" t="s">
        <v>4713</v>
      </c>
      <c r="AF2376" s="5" t="s">
        <v>5599</v>
      </c>
      <c r="AG2376" s="5" t="s">
        <v>5550</v>
      </c>
    </row>
    <row r="2377" spans="1:33" ht="10" customHeight="1" x14ac:dyDescent="0.2">
      <c r="A2377" s="5" t="s">
        <v>5444</v>
      </c>
      <c r="B2377" s="5" t="s">
        <v>4709</v>
      </c>
      <c r="D2377" s="5" t="s">
        <v>5707</v>
      </c>
      <c r="E2377" s="10" t="s">
        <v>184</v>
      </c>
      <c r="I2377" s="11">
        <v>2</v>
      </c>
      <c r="J2377" s="5" t="s">
        <v>5550</v>
      </c>
      <c r="K2377" s="10" t="s">
        <v>46</v>
      </c>
      <c r="L2377" s="5" t="s">
        <v>47</v>
      </c>
      <c r="M2377" s="5" t="s">
        <v>48</v>
      </c>
      <c r="N2377" s="5" t="s">
        <v>84</v>
      </c>
      <c r="O2377" s="12"/>
      <c r="AC2377" s="10" t="s">
        <v>5708</v>
      </c>
      <c r="AD2377" s="5" t="s">
        <v>1000</v>
      </c>
      <c r="AE2377" s="5" t="s">
        <v>4713</v>
      </c>
      <c r="AF2377" s="5" t="s">
        <v>5599</v>
      </c>
      <c r="AG2377" s="5" t="s">
        <v>5550</v>
      </c>
    </row>
    <row r="2378" spans="1:33" ht="10" customHeight="1" x14ac:dyDescent="0.2">
      <c r="A2378" s="5" t="s">
        <v>5444</v>
      </c>
      <c r="B2378" s="5" t="s">
        <v>4709</v>
      </c>
      <c r="D2378" s="5" t="s">
        <v>5709</v>
      </c>
      <c r="E2378" s="10" t="s">
        <v>184</v>
      </c>
      <c r="I2378" s="11">
        <v>5</v>
      </c>
      <c r="J2378" s="5" t="s">
        <v>5550</v>
      </c>
      <c r="K2378" s="10" t="s">
        <v>46</v>
      </c>
      <c r="L2378" s="5" t="s">
        <v>47</v>
      </c>
      <c r="M2378" s="5" t="s">
        <v>48</v>
      </c>
      <c r="N2378" s="5" t="s">
        <v>4748</v>
      </c>
      <c r="O2378" s="12"/>
      <c r="AC2378" s="10" t="s">
        <v>5710</v>
      </c>
      <c r="AD2378" s="5" t="s">
        <v>1000</v>
      </c>
      <c r="AE2378" s="5" t="s">
        <v>4713</v>
      </c>
      <c r="AF2378" s="5" t="s">
        <v>5599</v>
      </c>
      <c r="AG2378" s="5" t="s">
        <v>5550</v>
      </c>
    </row>
    <row r="2379" spans="1:33" ht="10" customHeight="1" x14ac:dyDescent="0.2">
      <c r="A2379" s="5" t="s">
        <v>5444</v>
      </c>
      <c r="B2379" s="5" t="s">
        <v>4709</v>
      </c>
      <c r="D2379" s="5" t="s">
        <v>5711</v>
      </c>
      <c r="E2379" s="10" t="s">
        <v>184</v>
      </c>
      <c r="I2379" s="11">
        <v>2</v>
      </c>
      <c r="J2379" s="5" t="s">
        <v>5550</v>
      </c>
      <c r="K2379" s="10" t="s">
        <v>46</v>
      </c>
      <c r="L2379" s="5" t="s">
        <v>47</v>
      </c>
      <c r="M2379" s="5" t="s">
        <v>48</v>
      </c>
      <c r="N2379" s="5" t="s">
        <v>84</v>
      </c>
      <c r="O2379" s="12"/>
      <c r="AC2379" s="10" t="s">
        <v>5712</v>
      </c>
      <c r="AD2379" s="5" t="s">
        <v>1000</v>
      </c>
      <c r="AE2379" s="5" t="s">
        <v>4713</v>
      </c>
      <c r="AF2379" s="5" t="s">
        <v>5599</v>
      </c>
      <c r="AG2379" s="5" t="s">
        <v>5550</v>
      </c>
    </row>
    <row r="2380" spans="1:33" ht="10" customHeight="1" x14ac:dyDescent="0.2">
      <c r="A2380" s="5" t="s">
        <v>5444</v>
      </c>
      <c r="B2380" s="5" t="s">
        <v>4709</v>
      </c>
      <c r="D2380" s="5" t="s">
        <v>5713</v>
      </c>
      <c r="E2380" s="10" t="s">
        <v>184</v>
      </c>
      <c r="I2380" s="11">
        <v>2</v>
      </c>
      <c r="J2380" s="5" t="s">
        <v>5550</v>
      </c>
      <c r="K2380" s="10" t="s">
        <v>46</v>
      </c>
      <c r="L2380" s="5" t="s">
        <v>47</v>
      </c>
      <c r="M2380" s="5" t="s">
        <v>65</v>
      </c>
      <c r="N2380" s="5" t="s">
        <v>66</v>
      </c>
      <c r="O2380" s="12"/>
      <c r="AC2380" s="10" t="s">
        <v>5714</v>
      </c>
      <c r="AD2380" s="5" t="s">
        <v>1000</v>
      </c>
      <c r="AE2380" s="5" t="s">
        <v>4713</v>
      </c>
      <c r="AF2380" s="5" t="s">
        <v>5599</v>
      </c>
      <c r="AG2380" s="5" t="s">
        <v>5550</v>
      </c>
    </row>
    <row r="2381" spans="1:33" ht="10" customHeight="1" x14ac:dyDescent="0.2">
      <c r="A2381" s="5" t="s">
        <v>5444</v>
      </c>
      <c r="B2381" s="5" t="s">
        <v>4709</v>
      </c>
      <c r="D2381" s="5" t="s">
        <v>5715</v>
      </c>
      <c r="E2381" s="10" t="s">
        <v>184</v>
      </c>
      <c r="I2381" s="11">
        <v>2</v>
      </c>
      <c r="J2381" s="5" t="s">
        <v>5550</v>
      </c>
      <c r="K2381" s="10" t="s">
        <v>46</v>
      </c>
      <c r="L2381" s="5" t="s">
        <v>47</v>
      </c>
      <c r="M2381" s="5" t="s">
        <v>48</v>
      </c>
      <c r="N2381" s="5" t="s">
        <v>84</v>
      </c>
      <c r="O2381" s="12"/>
      <c r="AC2381" s="10" t="s">
        <v>5716</v>
      </c>
      <c r="AD2381" s="5" t="s">
        <v>1000</v>
      </c>
      <c r="AE2381" s="5" t="s">
        <v>4713</v>
      </c>
      <c r="AF2381" s="5" t="s">
        <v>5599</v>
      </c>
      <c r="AG2381" s="5" t="s">
        <v>5550</v>
      </c>
    </row>
    <row r="2382" spans="1:33" ht="10" customHeight="1" x14ac:dyDescent="0.2">
      <c r="A2382" s="5" t="s">
        <v>5444</v>
      </c>
      <c r="B2382" s="5" t="s">
        <v>4709</v>
      </c>
      <c r="D2382" s="5" t="s">
        <v>5717</v>
      </c>
      <c r="E2382" s="10" t="s">
        <v>184</v>
      </c>
      <c r="I2382" s="11">
        <v>2</v>
      </c>
      <c r="J2382" s="5" t="s">
        <v>5550</v>
      </c>
      <c r="K2382" s="10" t="s">
        <v>46</v>
      </c>
      <c r="L2382" s="5" t="s">
        <v>47</v>
      </c>
      <c r="M2382" s="5" t="s">
        <v>48</v>
      </c>
      <c r="N2382" s="5" t="s">
        <v>4748</v>
      </c>
      <c r="O2382" s="12"/>
      <c r="AC2382" s="10" t="s">
        <v>5718</v>
      </c>
      <c r="AD2382" s="5" t="s">
        <v>1000</v>
      </c>
      <c r="AE2382" s="5" t="s">
        <v>4713</v>
      </c>
      <c r="AF2382" s="5" t="s">
        <v>5599</v>
      </c>
      <c r="AG2382" s="5" t="s">
        <v>5550</v>
      </c>
    </row>
    <row r="2383" spans="1:33" ht="10" customHeight="1" x14ac:dyDescent="0.2">
      <c r="A2383" s="5" t="s">
        <v>5444</v>
      </c>
      <c r="B2383" s="5" t="s">
        <v>4709</v>
      </c>
      <c r="D2383" s="5" t="s">
        <v>5719</v>
      </c>
      <c r="E2383" s="10" t="s">
        <v>184</v>
      </c>
      <c r="I2383" s="11">
        <v>2</v>
      </c>
      <c r="J2383" s="5" t="s">
        <v>5550</v>
      </c>
      <c r="K2383" s="10" t="s">
        <v>46</v>
      </c>
      <c r="L2383" s="5" t="s">
        <v>47</v>
      </c>
      <c r="M2383" s="5" t="s">
        <v>48</v>
      </c>
      <c r="N2383" s="5" t="s">
        <v>84</v>
      </c>
      <c r="O2383" s="12"/>
      <c r="AC2383" s="10" t="s">
        <v>5720</v>
      </c>
      <c r="AD2383" s="5" t="s">
        <v>1000</v>
      </c>
      <c r="AE2383" s="5" t="s">
        <v>4713</v>
      </c>
      <c r="AF2383" s="5" t="s">
        <v>5599</v>
      </c>
      <c r="AG2383" s="5" t="s">
        <v>5550</v>
      </c>
    </row>
    <row r="2384" spans="1:33" ht="10" customHeight="1" x14ac:dyDescent="0.2">
      <c r="A2384" s="5" t="s">
        <v>5444</v>
      </c>
      <c r="B2384" s="5" t="s">
        <v>4709</v>
      </c>
      <c r="D2384" s="5" t="s">
        <v>5721</v>
      </c>
      <c r="E2384" s="10" t="s">
        <v>184</v>
      </c>
      <c r="I2384" s="11">
        <v>2</v>
      </c>
      <c r="J2384" s="5" t="s">
        <v>5550</v>
      </c>
      <c r="K2384" s="10" t="s">
        <v>46</v>
      </c>
      <c r="L2384" s="5" t="s">
        <v>47</v>
      </c>
      <c r="M2384" s="5" t="s">
        <v>48</v>
      </c>
      <c r="N2384" s="5" t="s">
        <v>84</v>
      </c>
      <c r="O2384" s="12"/>
      <c r="AC2384" s="10" t="s">
        <v>5722</v>
      </c>
      <c r="AD2384" s="5" t="s">
        <v>1000</v>
      </c>
      <c r="AE2384" s="5" t="s">
        <v>4713</v>
      </c>
      <c r="AF2384" s="5" t="s">
        <v>5599</v>
      </c>
      <c r="AG2384" s="5" t="s">
        <v>5550</v>
      </c>
    </row>
    <row r="2385" spans="1:33" ht="10" customHeight="1" x14ac:dyDescent="0.2">
      <c r="A2385" s="5" t="s">
        <v>5444</v>
      </c>
      <c r="B2385" s="5" t="s">
        <v>4709</v>
      </c>
      <c r="D2385" s="5" t="s">
        <v>5723</v>
      </c>
      <c r="E2385" s="10" t="s">
        <v>184</v>
      </c>
      <c r="I2385" s="11">
        <v>2</v>
      </c>
      <c r="J2385" s="5" t="s">
        <v>5550</v>
      </c>
      <c r="K2385" s="10" t="s">
        <v>46</v>
      </c>
      <c r="L2385" s="5" t="s">
        <v>47</v>
      </c>
      <c r="M2385" s="5" t="s">
        <v>65</v>
      </c>
      <c r="N2385" s="5" t="s">
        <v>66</v>
      </c>
      <c r="O2385" s="12"/>
      <c r="AC2385" s="10" t="s">
        <v>5724</v>
      </c>
      <c r="AD2385" s="5" t="s">
        <v>1000</v>
      </c>
      <c r="AE2385" s="5" t="s">
        <v>4713</v>
      </c>
      <c r="AF2385" s="5" t="s">
        <v>5599</v>
      </c>
      <c r="AG2385" s="5" t="s">
        <v>5550</v>
      </c>
    </row>
    <row r="2386" spans="1:33" ht="10" customHeight="1" x14ac:dyDescent="0.2">
      <c r="A2386" s="5" t="s">
        <v>5444</v>
      </c>
      <c r="B2386" s="5" t="s">
        <v>4709</v>
      </c>
      <c r="D2386" s="5" t="s">
        <v>5725</v>
      </c>
      <c r="E2386" s="10" t="s">
        <v>184</v>
      </c>
      <c r="I2386" s="11">
        <v>2</v>
      </c>
      <c r="J2386" s="5" t="s">
        <v>5550</v>
      </c>
      <c r="K2386" s="10" t="s">
        <v>46</v>
      </c>
      <c r="L2386" s="5" t="s">
        <v>47</v>
      </c>
      <c r="M2386" s="5" t="s">
        <v>65</v>
      </c>
      <c r="N2386" s="5" t="s">
        <v>66</v>
      </c>
      <c r="O2386" s="12"/>
      <c r="AC2386" s="10" t="s">
        <v>5726</v>
      </c>
      <c r="AD2386" s="5" t="s">
        <v>1000</v>
      </c>
      <c r="AE2386" s="5" t="s">
        <v>4713</v>
      </c>
      <c r="AF2386" s="5" t="s">
        <v>5599</v>
      </c>
      <c r="AG2386" s="5" t="s">
        <v>5550</v>
      </c>
    </row>
    <row r="2387" spans="1:33" ht="10" customHeight="1" x14ac:dyDescent="0.2">
      <c r="A2387" s="5" t="s">
        <v>5444</v>
      </c>
      <c r="B2387" s="5" t="s">
        <v>4709</v>
      </c>
      <c r="D2387" s="5" t="s">
        <v>5727</v>
      </c>
      <c r="E2387" s="10" t="s">
        <v>184</v>
      </c>
      <c r="I2387" s="11">
        <v>2</v>
      </c>
      <c r="J2387" s="5" t="s">
        <v>5550</v>
      </c>
      <c r="K2387" s="10" t="s">
        <v>46</v>
      </c>
      <c r="L2387" s="5" t="s">
        <v>47</v>
      </c>
      <c r="M2387" s="5" t="s">
        <v>65</v>
      </c>
      <c r="N2387" s="5" t="s">
        <v>66</v>
      </c>
      <c r="O2387" s="12"/>
      <c r="AC2387" s="10" t="s">
        <v>5728</v>
      </c>
      <c r="AD2387" s="5" t="s">
        <v>1000</v>
      </c>
      <c r="AE2387" s="5" t="s">
        <v>4713</v>
      </c>
      <c r="AF2387" s="5" t="s">
        <v>5599</v>
      </c>
      <c r="AG2387" s="5" t="s">
        <v>5550</v>
      </c>
    </row>
    <row r="2388" spans="1:33" ht="10" customHeight="1" x14ac:dyDescent="0.2">
      <c r="A2388" s="5" t="s">
        <v>5444</v>
      </c>
      <c r="B2388" s="5" t="s">
        <v>4709</v>
      </c>
      <c r="D2388" s="5" t="s">
        <v>5729</v>
      </c>
      <c r="E2388" s="10" t="s">
        <v>184</v>
      </c>
      <c r="I2388" s="11">
        <v>2</v>
      </c>
      <c r="J2388" s="5" t="s">
        <v>5550</v>
      </c>
      <c r="K2388" s="10" t="s">
        <v>46</v>
      </c>
      <c r="L2388" s="5" t="s">
        <v>47</v>
      </c>
      <c r="M2388" s="5" t="s">
        <v>65</v>
      </c>
      <c r="N2388" s="5" t="s">
        <v>66</v>
      </c>
      <c r="O2388" s="12"/>
      <c r="AC2388" s="10" t="s">
        <v>5730</v>
      </c>
      <c r="AD2388" s="5" t="s">
        <v>1000</v>
      </c>
      <c r="AE2388" s="5" t="s">
        <v>4713</v>
      </c>
      <c r="AF2388" s="5" t="s">
        <v>5599</v>
      </c>
      <c r="AG2388" s="5" t="s">
        <v>5550</v>
      </c>
    </row>
    <row r="2389" spans="1:33" ht="10" customHeight="1" x14ac:dyDescent="0.2">
      <c r="A2389" s="5" t="s">
        <v>5444</v>
      </c>
      <c r="B2389" s="5" t="s">
        <v>4709</v>
      </c>
      <c r="D2389" s="5" t="s">
        <v>5731</v>
      </c>
      <c r="E2389" s="10" t="s">
        <v>184</v>
      </c>
      <c r="I2389" s="11">
        <v>2</v>
      </c>
      <c r="J2389" s="5" t="s">
        <v>5550</v>
      </c>
      <c r="K2389" s="10" t="s">
        <v>46</v>
      </c>
      <c r="L2389" s="5" t="s">
        <v>47</v>
      </c>
      <c r="M2389" s="5" t="s">
        <v>48</v>
      </c>
      <c r="N2389" s="5" t="s">
        <v>84</v>
      </c>
      <c r="O2389" s="12"/>
      <c r="AC2389" s="10" t="s">
        <v>5732</v>
      </c>
      <c r="AD2389" s="5" t="s">
        <v>1005</v>
      </c>
      <c r="AE2389" s="5" t="s">
        <v>4713</v>
      </c>
      <c r="AF2389" s="5" t="s">
        <v>5599</v>
      </c>
      <c r="AG2389" s="5" t="s">
        <v>5550</v>
      </c>
    </row>
    <row r="2390" spans="1:33" ht="10" customHeight="1" x14ac:dyDescent="0.2">
      <c r="A2390" s="5" t="s">
        <v>5444</v>
      </c>
      <c r="B2390" s="5" t="s">
        <v>4709</v>
      </c>
      <c r="D2390" s="5" t="s">
        <v>5733</v>
      </c>
      <c r="E2390" s="10" t="s">
        <v>184</v>
      </c>
      <c r="I2390" s="11">
        <v>2</v>
      </c>
      <c r="J2390" s="5" t="s">
        <v>5550</v>
      </c>
      <c r="K2390" s="10" t="s">
        <v>46</v>
      </c>
      <c r="L2390" s="5" t="s">
        <v>47</v>
      </c>
      <c r="M2390" s="5" t="s">
        <v>48</v>
      </c>
      <c r="N2390" s="5" t="s">
        <v>84</v>
      </c>
      <c r="O2390" s="12"/>
      <c r="AC2390" s="10" t="s">
        <v>5734</v>
      </c>
      <c r="AD2390" s="5" t="s">
        <v>1005</v>
      </c>
      <c r="AE2390" s="5" t="s">
        <v>4713</v>
      </c>
      <c r="AF2390" s="5" t="s">
        <v>5599</v>
      </c>
      <c r="AG2390" s="5" t="s">
        <v>5550</v>
      </c>
    </row>
    <row r="2391" spans="1:33" ht="10" customHeight="1" x14ac:dyDescent="0.2">
      <c r="A2391" s="5" t="s">
        <v>5444</v>
      </c>
      <c r="B2391" s="5" t="s">
        <v>4709</v>
      </c>
      <c r="D2391" s="5" t="s">
        <v>5735</v>
      </c>
      <c r="E2391" s="10" t="s">
        <v>184</v>
      </c>
      <c r="I2391" s="11">
        <v>2</v>
      </c>
      <c r="J2391" s="5" t="s">
        <v>5550</v>
      </c>
      <c r="K2391" s="10" t="s">
        <v>46</v>
      </c>
      <c r="L2391" s="5" t="s">
        <v>47</v>
      </c>
      <c r="M2391" s="5" t="s">
        <v>48</v>
      </c>
      <c r="N2391" s="5" t="s">
        <v>84</v>
      </c>
      <c r="O2391" s="12"/>
      <c r="AC2391" s="10" t="s">
        <v>5736</v>
      </c>
      <c r="AD2391" s="5" t="s">
        <v>1005</v>
      </c>
      <c r="AE2391" s="5" t="s">
        <v>4713</v>
      </c>
      <c r="AF2391" s="5" t="s">
        <v>5599</v>
      </c>
      <c r="AG2391" s="5" t="s">
        <v>5550</v>
      </c>
    </row>
    <row r="2392" spans="1:33" ht="10" customHeight="1" x14ac:dyDescent="0.2">
      <c r="A2392" s="5" t="s">
        <v>5444</v>
      </c>
      <c r="B2392" s="5" t="s">
        <v>4709</v>
      </c>
      <c r="D2392" s="5" t="s">
        <v>5737</v>
      </c>
      <c r="E2392" s="10" t="s">
        <v>184</v>
      </c>
      <c r="I2392" s="11">
        <v>2</v>
      </c>
      <c r="J2392" s="5" t="s">
        <v>5550</v>
      </c>
      <c r="K2392" s="10" t="s">
        <v>46</v>
      </c>
      <c r="L2392" s="5" t="s">
        <v>47</v>
      </c>
      <c r="M2392" s="5" t="s">
        <v>65</v>
      </c>
      <c r="N2392" s="5" t="s">
        <v>66</v>
      </c>
      <c r="O2392" s="12"/>
      <c r="AC2392" s="10" t="s">
        <v>5738</v>
      </c>
      <c r="AD2392" s="5" t="s">
        <v>1005</v>
      </c>
      <c r="AE2392" s="5" t="s">
        <v>4713</v>
      </c>
      <c r="AF2392" s="5" t="s">
        <v>5599</v>
      </c>
      <c r="AG2392" s="5" t="s">
        <v>5550</v>
      </c>
    </row>
    <row r="2393" spans="1:33" ht="10" customHeight="1" x14ac:dyDescent="0.2">
      <c r="A2393" s="5" t="s">
        <v>5444</v>
      </c>
      <c r="B2393" s="5" t="s">
        <v>4709</v>
      </c>
      <c r="D2393" s="5" t="s">
        <v>5739</v>
      </c>
      <c r="E2393" s="10" t="s">
        <v>184</v>
      </c>
      <c r="I2393" s="11">
        <v>5</v>
      </c>
      <c r="J2393" s="5" t="s">
        <v>5550</v>
      </c>
      <c r="K2393" s="10" t="s">
        <v>46</v>
      </c>
      <c r="L2393" s="5" t="s">
        <v>47</v>
      </c>
      <c r="M2393" s="5" t="s">
        <v>48</v>
      </c>
      <c r="N2393" s="5" t="s">
        <v>4748</v>
      </c>
      <c r="O2393" s="12"/>
      <c r="AC2393" s="10" t="s">
        <v>5740</v>
      </c>
      <c r="AD2393" s="5" t="s">
        <v>1005</v>
      </c>
      <c r="AE2393" s="5" t="s">
        <v>4713</v>
      </c>
      <c r="AF2393" s="5" t="s">
        <v>5599</v>
      </c>
      <c r="AG2393" s="5" t="s">
        <v>5550</v>
      </c>
    </row>
    <row r="2394" spans="1:33" ht="10" customHeight="1" x14ac:dyDescent="0.2">
      <c r="A2394" s="5" t="s">
        <v>5444</v>
      </c>
      <c r="B2394" s="5" t="s">
        <v>4709</v>
      </c>
      <c r="D2394" s="5" t="s">
        <v>5741</v>
      </c>
      <c r="E2394" s="10" t="s">
        <v>184</v>
      </c>
      <c r="I2394" s="11">
        <v>2</v>
      </c>
      <c r="J2394" s="5" t="s">
        <v>5550</v>
      </c>
      <c r="K2394" s="10" t="s">
        <v>46</v>
      </c>
      <c r="L2394" s="5" t="s">
        <v>47</v>
      </c>
      <c r="M2394" s="5" t="s">
        <v>65</v>
      </c>
      <c r="N2394" s="5" t="s">
        <v>66</v>
      </c>
      <c r="O2394" s="12"/>
      <c r="AC2394" s="10" t="s">
        <v>5742</v>
      </c>
      <c r="AD2394" s="5" t="s">
        <v>1005</v>
      </c>
      <c r="AE2394" s="5" t="s">
        <v>4713</v>
      </c>
      <c r="AF2394" s="5" t="s">
        <v>5599</v>
      </c>
      <c r="AG2394" s="5" t="s">
        <v>5550</v>
      </c>
    </row>
    <row r="2395" spans="1:33" ht="10" customHeight="1" x14ac:dyDescent="0.2">
      <c r="A2395" s="5" t="s">
        <v>5444</v>
      </c>
      <c r="B2395" s="5" t="s">
        <v>4709</v>
      </c>
      <c r="D2395" s="5" t="s">
        <v>5743</v>
      </c>
      <c r="E2395" s="10" t="s">
        <v>184</v>
      </c>
      <c r="I2395" s="11">
        <v>2</v>
      </c>
      <c r="J2395" s="5" t="s">
        <v>5550</v>
      </c>
      <c r="K2395" s="10" t="s">
        <v>46</v>
      </c>
      <c r="L2395" s="5" t="s">
        <v>47</v>
      </c>
      <c r="M2395" s="5" t="s">
        <v>65</v>
      </c>
      <c r="N2395" s="5" t="s">
        <v>66</v>
      </c>
      <c r="O2395" s="12"/>
      <c r="AC2395" s="10" t="s">
        <v>5744</v>
      </c>
      <c r="AD2395" s="5" t="s">
        <v>1005</v>
      </c>
      <c r="AE2395" s="5" t="s">
        <v>4713</v>
      </c>
      <c r="AF2395" s="5" t="s">
        <v>5599</v>
      </c>
      <c r="AG2395" s="5" t="s">
        <v>5550</v>
      </c>
    </row>
    <row r="2396" spans="1:33" ht="10" customHeight="1" x14ac:dyDescent="0.2">
      <c r="A2396" s="5" t="s">
        <v>5444</v>
      </c>
      <c r="B2396" s="5" t="s">
        <v>4709</v>
      </c>
      <c r="D2396" s="5" t="s">
        <v>5745</v>
      </c>
      <c r="E2396" s="10" t="s">
        <v>184</v>
      </c>
      <c r="I2396" s="11">
        <v>2</v>
      </c>
      <c r="J2396" s="5" t="s">
        <v>5550</v>
      </c>
      <c r="K2396" s="10" t="s">
        <v>46</v>
      </c>
      <c r="L2396" s="5" t="s">
        <v>47</v>
      </c>
      <c r="M2396" s="5" t="s">
        <v>48</v>
      </c>
      <c r="N2396" s="5" t="s">
        <v>84</v>
      </c>
      <c r="O2396" s="12"/>
      <c r="AC2396" s="10" t="s">
        <v>5746</v>
      </c>
      <c r="AD2396" s="5" t="s">
        <v>1005</v>
      </c>
      <c r="AE2396" s="5" t="s">
        <v>4713</v>
      </c>
      <c r="AF2396" s="5" t="s">
        <v>5599</v>
      </c>
      <c r="AG2396" s="5" t="s">
        <v>5550</v>
      </c>
    </row>
    <row r="2397" spans="1:33" ht="10" customHeight="1" x14ac:dyDescent="0.2">
      <c r="A2397" s="5" t="s">
        <v>5444</v>
      </c>
      <c r="B2397" s="5" t="s">
        <v>4709</v>
      </c>
      <c r="D2397" s="5" t="s">
        <v>5747</v>
      </c>
      <c r="E2397" s="10" t="s">
        <v>184</v>
      </c>
      <c r="I2397" s="11">
        <v>2</v>
      </c>
      <c r="J2397" s="5" t="s">
        <v>5550</v>
      </c>
      <c r="K2397" s="10" t="s">
        <v>46</v>
      </c>
      <c r="L2397" s="5" t="s">
        <v>47</v>
      </c>
      <c r="M2397" s="5" t="s">
        <v>65</v>
      </c>
      <c r="N2397" s="5" t="s">
        <v>66</v>
      </c>
      <c r="O2397" s="12"/>
      <c r="AC2397" s="10" t="s">
        <v>5748</v>
      </c>
      <c r="AD2397" s="5" t="s">
        <v>1005</v>
      </c>
      <c r="AE2397" s="5" t="s">
        <v>4713</v>
      </c>
      <c r="AF2397" s="5" t="s">
        <v>5599</v>
      </c>
      <c r="AG2397" s="5" t="s">
        <v>5550</v>
      </c>
    </row>
    <row r="2398" spans="1:33" ht="10" customHeight="1" x14ac:dyDescent="0.2">
      <c r="A2398" s="5" t="s">
        <v>5444</v>
      </c>
      <c r="B2398" s="5" t="s">
        <v>4709</v>
      </c>
      <c r="D2398" s="5" t="s">
        <v>5749</v>
      </c>
      <c r="E2398" s="10" t="s">
        <v>184</v>
      </c>
      <c r="I2398" s="11">
        <v>2</v>
      </c>
      <c r="J2398" s="5" t="s">
        <v>5550</v>
      </c>
      <c r="K2398" s="10" t="s">
        <v>46</v>
      </c>
      <c r="L2398" s="5" t="s">
        <v>47</v>
      </c>
      <c r="M2398" s="5" t="s">
        <v>48</v>
      </c>
      <c r="N2398" s="5" t="s">
        <v>84</v>
      </c>
      <c r="O2398" s="12"/>
      <c r="AC2398" s="10" t="s">
        <v>5750</v>
      </c>
      <c r="AD2398" s="5" t="s">
        <v>1005</v>
      </c>
      <c r="AE2398" s="5" t="s">
        <v>4713</v>
      </c>
      <c r="AF2398" s="5" t="s">
        <v>5599</v>
      </c>
      <c r="AG2398" s="5" t="s">
        <v>5550</v>
      </c>
    </row>
    <row r="2399" spans="1:33" ht="10" customHeight="1" x14ac:dyDescent="0.2">
      <c r="A2399" s="5" t="s">
        <v>5444</v>
      </c>
      <c r="B2399" s="5" t="s">
        <v>4709</v>
      </c>
      <c r="D2399" s="5" t="s">
        <v>5751</v>
      </c>
      <c r="E2399" s="10" t="s">
        <v>184</v>
      </c>
      <c r="I2399" s="11">
        <v>2</v>
      </c>
      <c r="J2399" s="5" t="s">
        <v>5550</v>
      </c>
      <c r="K2399" s="10" t="s">
        <v>46</v>
      </c>
      <c r="L2399" s="5" t="s">
        <v>47</v>
      </c>
      <c r="M2399" s="5" t="s">
        <v>48</v>
      </c>
      <c r="N2399" s="5" t="s">
        <v>84</v>
      </c>
      <c r="O2399" s="12"/>
      <c r="AC2399" s="10" t="s">
        <v>5752</v>
      </c>
      <c r="AD2399" s="5" t="s">
        <v>1005</v>
      </c>
      <c r="AE2399" s="5" t="s">
        <v>4713</v>
      </c>
      <c r="AF2399" s="5" t="s">
        <v>5599</v>
      </c>
      <c r="AG2399" s="5" t="s">
        <v>5550</v>
      </c>
    </row>
    <row r="2400" spans="1:33" ht="10" customHeight="1" x14ac:dyDescent="0.2">
      <c r="A2400" s="5" t="s">
        <v>5444</v>
      </c>
      <c r="B2400" s="5" t="s">
        <v>4709</v>
      </c>
      <c r="D2400" s="5" t="s">
        <v>5745</v>
      </c>
      <c r="E2400" s="10" t="s">
        <v>184</v>
      </c>
      <c r="I2400" s="11">
        <v>2</v>
      </c>
      <c r="J2400" s="5" t="s">
        <v>5550</v>
      </c>
      <c r="K2400" s="10" t="s">
        <v>46</v>
      </c>
      <c r="L2400" s="5" t="s">
        <v>47</v>
      </c>
      <c r="M2400" s="5" t="s">
        <v>48</v>
      </c>
      <c r="N2400" s="5" t="s">
        <v>84</v>
      </c>
      <c r="O2400" s="12"/>
      <c r="AC2400" s="10" t="s">
        <v>5746</v>
      </c>
      <c r="AD2400" s="5" t="s">
        <v>1005</v>
      </c>
      <c r="AE2400" s="5" t="s">
        <v>4713</v>
      </c>
      <c r="AF2400" s="5" t="s">
        <v>5599</v>
      </c>
      <c r="AG2400" s="5" t="s">
        <v>5550</v>
      </c>
    </row>
    <row r="2401" spans="1:33" ht="10" customHeight="1" x14ac:dyDescent="0.2">
      <c r="A2401" s="5" t="s">
        <v>5444</v>
      </c>
      <c r="B2401" s="5" t="s">
        <v>4709</v>
      </c>
      <c r="D2401" s="5" t="s">
        <v>5753</v>
      </c>
      <c r="E2401" s="10" t="s">
        <v>184</v>
      </c>
      <c r="I2401" s="11">
        <v>5</v>
      </c>
      <c r="J2401" s="5" t="s">
        <v>5550</v>
      </c>
      <c r="K2401" s="10" t="s">
        <v>46</v>
      </c>
      <c r="L2401" s="5" t="s">
        <v>47</v>
      </c>
      <c r="M2401" s="5" t="s">
        <v>48</v>
      </c>
      <c r="N2401" s="5" t="s">
        <v>4748</v>
      </c>
      <c r="O2401" s="12"/>
      <c r="AC2401" s="10" t="s">
        <v>5754</v>
      </c>
      <c r="AD2401" s="5" t="s">
        <v>1005</v>
      </c>
      <c r="AE2401" s="5" t="s">
        <v>4713</v>
      </c>
      <c r="AF2401" s="5" t="s">
        <v>5599</v>
      </c>
      <c r="AG2401" s="5" t="s">
        <v>5550</v>
      </c>
    </row>
    <row r="2402" spans="1:33" ht="10" customHeight="1" x14ac:dyDescent="0.2">
      <c r="A2402" s="5" t="s">
        <v>5444</v>
      </c>
      <c r="B2402" s="5" t="s">
        <v>4709</v>
      </c>
      <c r="D2402" s="5" t="s">
        <v>5747</v>
      </c>
      <c r="E2402" s="10" t="s">
        <v>184</v>
      </c>
      <c r="I2402" s="11">
        <v>2</v>
      </c>
      <c r="J2402" s="5" t="s">
        <v>5550</v>
      </c>
      <c r="K2402" s="10" t="s">
        <v>46</v>
      </c>
      <c r="L2402" s="5" t="s">
        <v>47</v>
      </c>
      <c r="M2402" s="5" t="s">
        <v>65</v>
      </c>
      <c r="N2402" s="5" t="s">
        <v>66</v>
      </c>
      <c r="O2402" s="12"/>
      <c r="AC2402" s="10" t="s">
        <v>5748</v>
      </c>
      <c r="AD2402" s="5" t="s">
        <v>1005</v>
      </c>
      <c r="AE2402" s="5" t="s">
        <v>4713</v>
      </c>
      <c r="AF2402" s="5" t="s">
        <v>5599</v>
      </c>
      <c r="AG2402" s="5" t="s">
        <v>5550</v>
      </c>
    </row>
    <row r="2403" spans="1:33" ht="10" customHeight="1" x14ac:dyDescent="0.2">
      <c r="A2403" s="5" t="s">
        <v>5444</v>
      </c>
      <c r="B2403" s="5" t="s">
        <v>4709</v>
      </c>
      <c r="D2403" s="5" t="s">
        <v>5755</v>
      </c>
      <c r="E2403" s="10" t="s">
        <v>184</v>
      </c>
      <c r="I2403" s="11">
        <v>2</v>
      </c>
      <c r="J2403" s="5" t="s">
        <v>5550</v>
      </c>
      <c r="K2403" s="10" t="s">
        <v>46</v>
      </c>
      <c r="L2403" s="5" t="s">
        <v>47</v>
      </c>
      <c r="M2403" s="5" t="s">
        <v>48</v>
      </c>
      <c r="N2403" s="5" t="s">
        <v>84</v>
      </c>
      <c r="O2403" s="12"/>
      <c r="AC2403" s="10" t="s">
        <v>5756</v>
      </c>
      <c r="AD2403" s="5" t="s">
        <v>1005</v>
      </c>
      <c r="AE2403" s="5" t="s">
        <v>4713</v>
      </c>
      <c r="AF2403" s="5" t="s">
        <v>5599</v>
      </c>
      <c r="AG2403" s="5" t="s">
        <v>5550</v>
      </c>
    </row>
    <row r="2404" spans="1:33" ht="10" customHeight="1" x14ac:dyDescent="0.2">
      <c r="A2404" s="5" t="s">
        <v>5444</v>
      </c>
      <c r="B2404" s="5" t="s">
        <v>4709</v>
      </c>
      <c r="D2404" s="5" t="s">
        <v>5737</v>
      </c>
      <c r="E2404" s="10" t="s">
        <v>184</v>
      </c>
      <c r="I2404" s="11">
        <v>2</v>
      </c>
      <c r="J2404" s="5" t="s">
        <v>5550</v>
      </c>
      <c r="K2404" s="10" t="s">
        <v>46</v>
      </c>
      <c r="L2404" s="5" t="s">
        <v>47</v>
      </c>
      <c r="M2404" s="5" t="s">
        <v>65</v>
      </c>
      <c r="N2404" s="5" t="s">
        <v>66</v>
      </c>
      <c r="O2404" s="12"/>
      <c r="AC2404" s="10" t="s">
        <v>5738</v>
      </c>
      <c r="AD2404" s="5" t="s">
        <v>1005</v>
      </c>
      <c r="AE2404" s="5" t="s">
        <v>4713</v>
      </c>
      <c r="AF2404" s="5" t="s">
        <v>5599</v>
      </c>
      <c r="AG2404" s="5" t="s">
        <v>5550</v>
      </c>
    </row>
    <row r="2405" spans="1:33" ht="10" customHeight="1" x14ac:dyDescent="0.2">
      <c r="A2405" s="5" t="s">
        <v>5444</v>
      </c>
      <c r="B2405" s="5" t="s">
        <v>4709</v>
      </c>
      <c r="D2405" s="5" t="s">
        <v>5749</v>
      </c>
      <c r="E2405" s="10" t="s">
        <v>184</v>
      </c>
      <c r="I2405" s="11">
        <v>2</v>
      </c>
      <c r="J2405" s="5" t="s">
        <v>5550</v>
      </c>
      <c r="K2405" s="10" t="s">
        <v>46</v>
      </c>
      <c r="L2405" s="5" t="s">
        <v>47</v>
      </c>
      <c r="M2405" s="5" t="s">
        <v>48</v>
      </c>
      <c r="N2405" s="5" t="s">
        <v>84</v>
      </c>
      <c r="O2405" s="12"/>
      <c r="AC2405" s="10" t="s">
        <v>5750</v>
      </c>
      <c r="AD2405" s="5" t="s">
        <v>1005</v>
      </c>
      <c r="AE2405" s="5" t="s">
        <v>4713</v>
      </c>
      <c r="AF2405" s="5" t="s">
        <v>5599</v>
      </c>
      <c r="AG2405" s="5" t="s">
        <v>5550</v>
      </c>
    </row>
    <row r="2406" spans="1:33" ht="10" customHeight="1" x14ac:dyDescent="0.2">
      <c r="A2406" s="5" t="s">
        <v>5444</v>
      </c>
      <c r="B2406" s="5" t="s">
        <v>4709</v>
      </c>
      <c r="D2406" s="5" t="s">
        <v>5757</v>
      </c>
      <c r="E2406" s="10" t="s">
        <v>184</v>
      </c>
      <c r="I2406" s="11">
        <v>2</v>
      </c>
      <c r="J2406" s="5" t="s">
        <v>5550</v>
      </c>
      <c r="K2406" s="10" t="s">
        <v>46</v>
      </c>
      <c r="L2406" s="5" t="s">
        <v>47</v>
      </c>
      <c r="M2406" s="5" t="s">
        <v>48</v>
      </c>
      <c r="N2406" s="5" t="s">
        <v>84</v>
      </c>
      <c r="O2406" s="12"/>
      <c r="AC2406" s="10" t="s">
        <v>5758</v>
      </c>
      <c r="AD2406" s="5" t="s">
        <v>1005</v>
      </c>
      <c r="AE2406" s="5" t="s">
        <v>4713</v>
      </c>
      <c r="AF2406" s="5" t="s">
        <v>5599</v>
      </c>
      <c r="AG2406" s="5" t="s">
        <v>5550</v>
      </c>
    </row>
    <row r="2407" spans="1:33" ht="10" customHeight="1" x14ac:dyDescent="0.2">
      <c r="A2407" s="5" t="s">
        <v>5444</v>
      </c>
      <c r="B2407" s="5" t="s">
        <v>4709</v>
      </c>
      <c r="D2407" s="5" t="s">
        <v>5759</v>
      </c>
      <c r="E2407" s="10" t="s">
        <v>184</v>
      </c>
      <c r="I2407" s="11">
        <v>2</v>
      </c>
      <c r="J2407" s="5" t="s">
        <v>5550</v>
      </c>
      <c r="K2407" s="10" t="s">
        <v>46</v>
      </c>
      <c r="L2407" s="5" t="s">
        <v>47</v>
      </c>
      <c r="M2407" s="5" t="s">
        <v>65</v>
      </c>
      <c r="N2407" s="5" t="s">
        <v>66</v>
      </c>
      <c r="O2407" s="12"/>
      <c r="AC2407" s="10" t="s">
        <v>5760</v>
      </c>
      <c r="AD2407" s="5" t="s">
        <v>1005</v>
      </c>
      <c r="AE2407" s="5" t="s">
        <v>4713</v>
      </c>
      <c r="AF2407" s="5" t="s">
        <v>5599</v>
      </c>
      <c r="AG2407" s="5" t="s">
        <v>5550</v>
      </c>
    </row>
    <row r="2408" spans="1:33" ht="10" customHeight="1" x14ac:dyDescent="0.2">
      <c r="A2408" s="5" t="s">
        <v>5444</v>
      </c>
      <c r="B2408" s="5" t="s">
        <v>4709</v>
      </c>
      <c r="D2408" s="5" t="s">
        <v>5761</v>
      </c>
      <c r="E2408" s="10" t="s">
        <v>184</v>
      </c>
      <c r="I2408" s="11">
        <v>2</v>
      </c>
      <c r="J2408" s="5" t="s">
        <v>5550</v>
      </c>
      <c r="K2408" s="10" t="s">
        <v>46</v>
      </c>
      <c r="L2408" s="5" t="s">
        <v>47</v>
      </c>
      <c r="M2408" s="5" t="s">
        <v>48</v>
      </c>
      <c r="N2408" s="5" t="s">
        <v>84</v>
      </c>
      <c r="O2408" s="12"/>
      <c r="AC2408" s="10" t="s">
        <v>5762</v>
      </c>
      <c r="AD2408" s="5" t="s">
        <v>1005</v>
      </c>
      <c r="AE2408" s="5" t="s">
        <v>4713</v>
      </c>
      <c r="AF2408" s="5" t="s">
        <v>5599</v>
      </c>
      <c r="AG2408" s="5" t="s">
        <v>5550</v>
      </c>
    </row>
    <row r="2409" spans="1:33" ht="10" customHeight="1" x14ac:dyDescent="0.2">
      <c r="A2409" s="5" t="s">
        <v>5444</v>
      </c>
      <c r="B2409" s="5" t="s">
        <v>4709</v>
      </c>
      <c r="D2409" s="5" t="s">
        <v>5763</v>
      </c>
      <c r="E2409" s="10" t="s">
        <v>184</v>
      </c>
      <c r="I2409" s="11">
        <v>2</v>
      </c>
      <c r="J2409" s="5" t="s">
        <v>5550</v>
      </c>
      <c r="K2409" s="10" t="s">
        <v>46</v>
      </c>
      <c r="L2409" s="5" t="s">
        <v>47</v>
      </c>
      <c r="M2409" s="5" t="s">
        <v>65</v>
      </c>
      <c r="N2409" s="5" t="s">
        <v>66</v>
      </c>
      <c r="O2409" s="12"/>
      <c r="AC2409" s="10" t="s">
        <v>5764</v>
      </c>
      <c r="AD2409" s="5" t="s">
        <v>1005</v>
      </c>
      <c r="AE2409" s="5" t="s">
        <v>4713</v>
      </c>
      <c r="AF2409" s="5" t="s">
        <v>5599</v>
      </c>
      <c r="AG2409" s="5" t="s">
        <v>5550</v>
      </c>
    </row>
    <row r="2410" spans="1:33" ht="10" customHeight="1" x14ac:dyDescent="0.2">
      <c r="A2410" s="5" t="s">
        <v>5444</v>
      </c>
      <c r="B2410" s="5" t="s">
        <v>4709</v>
      </c>
      <c r="D2410" s="5" t="s">
        <v>5765</v>
      </c>
      <c r="E2410" s="10" t="s">
        <v>53</v>
      </c>
      <c r="F2410" s="5" t="s">
        <v>5766</v>
      </c>
      <c r="I2410" s="11">
        <v>2</v>
      </c>
      <c r="J2410" s="5" t="s">
        <v>4324</v>
      </c>
      <c r="K2410" s="12"/>
      <c r="O2410" s="12"/>
      <c r="P2410" s="13">
        <v>1536562</v>
      </c>
      <c r="Q2410" s="13">
        <v>1689320</v>
      </c>
      <c r="S2410" s="13">
        <v>1634100</v>
      </c>
      <c r="AC2410" s="10" t="s">
        <v>5767</v>
      </c>
      <c r="AD2410" s="5" t="s">
        <v>1021</v>
      </c>
      <c r="AE2410" s="5" t="s">
        <v>4713</v>
      </c>
      <c r="AF2410" s="5" t="s">
        <v>5768</v>
      </c>
      <c r="AG2410" s="5" t="s">
        <v>5456</v>
      </c>
    </row>
    <row r="2411" spans="1:33" ht="10" customHeight="1" x14ac:dyDescent="0.2">
      <c r="A2411" s="5" t="s">
        <v>5444</v>
      </c>
      <c r="B2411" s="5" t="s">
        <v>4709</v>
      </c>
      <c r="D2411" s="5" t="s">
        <v>5769</v>
      </c>
      <c r="E2411" s="10" t="s">
        <v>53</v>
      </c>
      <c r="F2411" s="5" t="s">
        <v>5766</v>
      </c>
      <c r="I2411" s="11">
        <v>2</v>
      </c>
      <c r="J2411" s="5" t="s">
        <v>4324</v>
      </c>
      <c r="K2411" s="12"/>
      <c r="O2411" s="12"/>
      <c r="P2411" s="13">
        <v>1345207</v>
      </c>
      <c r="Q2411" s="13">
        <v>1490550</v>
      </c>
      <c r="S2411" s="13">
        <v>1424720</v>
      </c>
      <c r="AC2411" s="10" t="s">
        <v>5770</v>
      </c>
      <c r="AD2411" s="5" t="s">
        <v>1021</v>
      </c>
      <c r="AE2411" s="5" t="s">
        <v>4713</v>
      </c>
      <c r="AF2411" s="5" t="s">
        <v>5768</v>
      </c>
      <c r="AG2411" s="5" t="s">
        <v>5456</v>
      </c>
    </row>
    <row r="2412" spans="1:33" ht="10" customHeight="1" x14ac:dyDescent="0.2">
      <c r="A2412" s="5" t="s">
        <v>5444</v>
      </c>
      <c r="B2412" s="5" t="s">
        <v>4709</v>
      </c>
      <c r="D2412" s="5" t="s">
        <v>5771</v>
      </c>
      <c r="E2412" s="10" t="s">
        <v>53</v>
      </c>
      <c r="F2412" s="5" t="s">
        <v>5766</v>
      </c>
      <c r="I2412" s="11">
        <v>2</v>
      </c>
      <c r="J2412" s="5" t="s">
        <v>4324</v>
      </c>
      <c r="K2412" s="12"/>
      <c r="O2412" s="12"/>
      <c r="P2412" s="13">
        <v>1200641</v>
      </c>
      <c r="Q2412" s="13">
        <v>1309897</v>
      </c>
      <c r="S2412" s="13">
        <v>1165641</v>
      </c>
      <c r="AC2412" s="10" t="s">
        <v>5772</v>
      </c>
      <c r="AD2412" s="5" t="s">
        <v>1021</v>
      </c>
      <c r="AE2412" s="5" t="s">
        <v>4713</v>
      </c>
      <c r="AF2412" s="5" t="s">
        <v>5768</v>
      </c>
      <c r="AG2412" s="5" t="s">
        <v>5456</v>
      </c>
    </row>
    <row r="2413" spans="1:33" ht="10" customHeight="1" x14ac:dyDescent="0.2">
      <c r="A2413" s="5" t="s">
        <v>5444</v>
      </c>
      <c r="B2413" s="5" t="s">
        <v>4709</v>
      </c>
      <c r="D2413" s="5" t="s">
        <v>5773</v>
      </c>
      <c r="E2413" s="10" t="s">
        <v>53</v>
      </c>
      <c r="F2413" s="5" t="s">
        <v>5766</v>
      </c>
      <c r="I2413" s="11">
        <v>2</v>
      </c>
      <c r="J2413" s="5" t="s">
        <v>4324</v>
      </c>
      <c r="K2413" s="12"/>
      <c r="O2413" s="12"/>
      <c r="P2413" s="13">
        <v>125254</v>
      </c>
      <c r="Q2413" s="13">
        <v>160523</v>
      </c>
      <c r="S2413" s="13">
        <v>238286</v>
      </c>
      <c r="AC2413" s="10" t="s">
        <v>5774</v>
      </c>
      <c r="AD2413" s="5" t="s">
        <v>1021</v>
      </c>
      <c r="AE2413" s="5" t="s">
        <v>4713</v>
      </c>
      <c r="AF2413" s="5" t="s">
        <v>5768</v>
      </c>
      <c r="AG2413" s="5" t="s">
        <v>5456</v>
      </c>
    </row>
    <row r="2414" spans="1:33" ht="10" customHeight="1" x14ac:dyDescent="0.2">
      <c r="A2414" s="5" t="s">
        <v>5444</v>
      </c>
      <c r="B2414" s="5" t="s">
        <v>4709</v>
      </c>
      <c r="D2414" s="5" t="s">
        <v>5775</v>
      </c>
      <c r="E2414" s="10" t="s">
        <v>53</v>
      </c>
      <c r="F2414" s="5" t="s">
        <v>5766</v>
      </c>
      <c r="I2414" s="11">
        <v>2</v>
      </c>
      <c r="J2414" s="5" t="s">
        <v>4324</v>
      </c>
      <c r="K2414" s="12"/>
      <c r="O2414" s="12"/>
      <c r="P2414" s="13">
        <v>19312</v>
      </c>
      <c r="Q2414" s="13">
        <v>20130</v>
      </c>
      <c r="S2414" s="13">
        <v>20793</v>
      </c>
      <c r="AC2414" s="10" t="s">
        <v>5776</v>
      </c>
      <c r="AD2414" s="5" t="s">
        <v>1021</v>
      </c>
      <c r="AE2414" s="5" t="s">
        <v>4713</v>
      </c>
      <c r="AF2414" s="5" t="s">
        <v>5768</v>
      </c>
      <c r="AG2414" s="5" t="s">
        <v>5456</v>
      </c>
    </row>
    <row r="2415" spans="1:33" ht="10" customHeight="1" x14ac:dyDescent="0.2">
      <c r="A2415" s="5" t="s">
        <v>5444</v>
      </c>
      <c r="B2415" s="5" t="s">
        <v>4709</v>
      </c>
      <c r="D2415" s="5" t="s">
        <v>5777</v>
      </c>
      <c r="E2415" s="10" t="s">
        <v>53</v>
      </c>
      <c r="F2415" s="5" t="s">
        <v>5766</v>
      </c>
      <c r="I2415" s="11">
        <v>2</v>
      </c>
      <c r="J2415" s="5" t="s">
        <v>4324</v>
      </c>
      <c r="K2415" s="12"/>
      <c r="O2415" s="12"/>
      <c r="P2415" s="13">
        <v>191355</v>
      </c>
      <c r="Q2415" s="13">
        <v>198770</v>
      </c>
      <c r="S2415" s="13">
        <v>209380</v>
      </c>
      <c r="AC2415" s="10" t="s">
        <v>5778</v>
      </c>
      <c r="AD2415" s="5" t="s">
        <v>1021</v>
      </c>
      <c r="AE2415" s="5" t="s">
        <v>4713</v>
      </c>
      <c r="AF2415" s="5" t="s">
        <v>5768</v>
      </c>
      <c r="AG2415" s="5" t="s">
        <v>5456</v>
      </c>
    </row>
    <row r="2416" spans="1:33" ht="10" customHeight="1" x14ac:dyDescent="0.2">
      <c r="A2416" s="5" t="s">
        <v>5444</v>
      </c>
      <c r="B2416" s="5" t="s">
        <v>4709</v>
      </c>
      <c r="D2416" s="5" t="s">
        <v>5779</v>
      </c>
      <c r="E2416" s="10" t="s">
        <v>53</v>
      </c>
      <c r="F2416" s="5" t="s">
        <v>5766</v>
      </c>
      <c r="I2416" s="11">
        <v>2</v>
      </c>
      <c r="J2416" s="5" t="s">
        <v>4324</v>
      </c>
      <c r="K2416" s="12"/>
      <c r="O2416" s="12"/>
      <c r="P2416" s="13">
        <v>151831</v>
      </c>
      <c r="Q2416" s="13">
        <v>118776</v>
      </c>
      <c r="S2416" s="13">
        <v>173107</v>
      </c>
      <c r="AC2416" s="10" t="s">
        <v>5780</v>
      </c>
      <c r="AD2416" s="5" t="s">
        <v>1021</v>
      </c>
      <c r="AE2416" s="5" t="s">
        <v>4713</v>
      </c>
      <c r="AF2416" s="5" t="s">
        <v>5768</v>
      </c>
      <c r="AG2416" s="5" t="s">
        <v>5456</v>
      </c>
    </row>
    <row r="2417" spans="1:33" ht="10" customHeight="1" x14ac:dyDescent="0.2">
      <c r="A2417" s="5" t="s">
        <v>5444</v>
      </c>
      <c r="B2417" s="5" t="s">
        <v>4709</v>
      </c>
      <c r="D2417" s="5" t="s">
        <v>5781</v>
      </c>
      <c r="E2417" s="10" t="s">
        <v>53</v>
      </c>
      <c r="F2417" s="5" t="s">
        <v>5766</v>
      </c>
      <c r="I2417" s="11">
        <v>2</v>
      </c>
      <c r="J2417" s="5" t="s">
        <v>4324</v>
      </c>
      <c r="K2417" s="12"/>
      <c r="O2417" s="12"/>
      <c r="P2417" s="13">
        <v>124</v>
      </c>
      <c r="Q2417" s="13">
        <v>251</v>
      </c>
      <c r="S2417" s="13">
        <v>114</v>
      </c>
      <c r="AC2417" s="10" t="s">
        <v>5782</v>
      </c>
      <c r="AD2417" s="5" t="s">
        <v>1021</v>
      </c>
      <c r="AE2417" s="5" t="s">
        <v>4713</v>
      </c>
      <c r="AF2417" s="5" t="s">
        <v>5768</v>
      </c>
      <c r="AG2417" s="5" t="s">
        <v>5456</v>
      </c>
    </row>
    <row r="2418" spans="1:33" ht="10" customHeight="1" x14ac:dyDescent="0.2">
      <c r="A2418" s="5" t="s">
        <v>5444</v>
      </c>
      <c r="B2418" s="5" t="s">
        <v>4709</v>
      </c>
      <c r="D2418" s="5" t="s">
        <v>5783</v>
      </c>
      <c r="E2418" s="10" t="s">
        <v>53</v>
      </c>
      <c r="F2418" s="5" t="s">
        <v>5766</v>
      </c>
      <c r="I2418" s="11">
        <v>2</v>
      </c>
      <c r="J2418" s="5" t="s">
        <v>4324</v>
      </c>
      <c r="K2418" s="12"/>
      <c r="O2418" s="12"/>
      <c r="P2418" s="13">
        <v>20352</v>
      </c>
      <c r="Q2418" s="13">
        <v>41191</v>
      </c>
      <c r="S2418" s="13">
        <v>18678</v>
      </c>
      <c r="AC2418" s="10" t="s">
        <v>5784</v>
      </c>
      <c r="AD2418" s="5" t="s">
        <v>1021</v>
      </c>
      <c r="AE2418" s="5" t="s">
        <v>4713</v>
      </c>
      <c r="AF2418" s="5" t="s">
        <v>5768</v>
      </c>
      <c r="AG2418" s="5" t="s">
        <v>5456</v>
      </c>
    </row>
    <row r="2419" spans="1:33" ht="10" customHeight="1" x14ac:dyDescent="0.2">
      <c r="A2419" s="5" t="s">
        <v>5444</v>
      </c>
      <c r="B2419" s="5" t="s">
        <v>4709</v>
      </c>
      <c r="D2419" s="5" t="s">
        <v>5785</v>
      </c>
      <c r="E2419" s="10" t="s">
        <v>53</v>
      </c>
      <c r="F2419" s="5" t="s">
        <v>5766</v>
      </c>
      <c r="I2419" s="11">
        <v>2</v>
      </c>
      <c r="J2419" s="5" t="s">
        <v>4324</v>
      </c>
      <c r="K2419" s="12"/>
      <c r="O2419" s="12"/>
      <c r="P2419" s="13">
        <v>0</v>
      </c>
      <c r="Q2419" s="13">
        <v>0</v>
      </c>
      <c r="S2419" s="13">
        <v>0</v>
      </c>
      <c r="AC2419" s="10" t="s">
        <v>5786</v>
      </c>
      <c r="AD2419" s="5" t="s">
        <v>1021</v>
      </c>
      <c r="AE2419" s="5" t="s">
        <v>4713</v>
      </c>
      <c r="AF2419" s="5" t="s">
        <v>5768</v>
      </c>
      <c r="AG2419" s="5" t="s">
        <v>5456</v>
      </c>
    </row>
    <row r="2420" spans="1:33" ht="10" customHeight="1" x14ac:dyDescent="0.2">
      <c r="A2420" s="5" t="s">
        <v>5444</v>
      </c>
      <c r="B2420" s="5" t="s">
        <v>4709</v>
      </c>
      <c r="D2420" s="5" t="s">
        <v>5787</v>
      </c>
      <c r="E2420" s="10" t="s">
        <v>53</v>
      </c>
      <c r="F2420" s="5" t="s">
        <v>5766</v>
      </c>
      <c r="I2420" s="11">
        <v>2</v>
      </c>
      <c r="J2420" s="5" t="s">
        <v>4324</v>
      </c>
      <c r="K2420" s="12"/>
      <c r="O2420" s="12"/>
      <c r="P2420" s="13">
        <v>19048</v>
      </c>
      <c r="Q2420" s="13">
        <v>38552</v>
      </c>
      <c r="S2420" s="13">
        <v>17481</v>
      </c>
      <c r="AC2420" s="10" t="s">
        <v>5788</v>
      </c>
      <c r="AD2420" s="5" t="s">
        <v>1021</v>
      </c>
      <c r="AE2420" s="5" t="s">
        <v>4713</v>
      </c>
      <c r="AF2420" s="5" t="s">
        <v>5768</v>
      </c>
      <c r="AG2420" s="5" t="s">
        <v>5456</v>
      </c>
    </row>
    <row r="2421" spans="1:33" ht="10" customHeight="1" x14ac:dyDescent="0.2">
      <c r="A2421" s="5" t="s">
        <v>5444</v>
      </c>
      <c r="B2421" s="5" t="s">
        <v>4709</v>
      </c>
      <c r="D2421" s="5" t="s">
        <v>5789</v>
      </c>
      <c r="E2421" s="10" t="s">
        <v>53</v>
      </c>
      <c r="F2421" s="5" t="s">
        <v>5766</v>
      </c>
      <c r="I2421" s="11">
        <v>2</v>
      </c>
      <c r="J2421" s="5" t="s">
        <v>4324</v>
      </c>
      <c r="K2421" s="12"/>
      <c r="O2421" s="12"/>
      <c r="P2421" s="13">
        <v>10901</v>
      </c>
      <c r="Q2421" s="13">
        <v>14690</v>
      </c>
      <c r="S2421" s="13">
        <v>6661</v>
      </c>
      <c r="AC2421" s="10" t="s">
        <v>5790</v>
      </c>
      <c r="AD2421" s="5" t="s">
        <v>1021</v>
      </c>
      <c r="AE2421" s="5" t="s">
        <v>4713</v>
      </c>
      <c r="AF2421" s="5" t="s">
        <v>5768</v>
      </c>
      <c r="AG2421" s="5" t="s">
        <v>5456</v>
      </c>
    </row>
    <row r="2422" spans="1:33" ht="10" customHeight="1" x14ac:dyDescent="0.2">
      <c r="A2422" s="5" t="s">
        <v>5444</v>
      </c>
      <c r="B2422" s="5" t="s">
        <v>4709</v>
      </c>
      <c r="D2422" s="5" t="s">
        <v>5791</v>
      </c>
      <c r="E2422" s="10" t="s">
        <v>53</v>
      </c>
      <c r="F2422" s="5" t="s">
        <v>5766</v>
      </c>
      <c r="I2422" s="11">
        <v>2</v>
      </c>
      <c r="J2422" s="5" t="s">
        <v>4324</v>
      </c>
      <c r="K2422" s="12"/>
      <c r="O2422" s="12"/>
      <c r="P2422" s="13">
        <v>1</v>
      </c>
      <c r="Q2422" s="13">
        <v>2</v>
      </c>
      <c r="S2422" s="13">
        <v>1</v>
      </c>
      <c r="AC2422" s="10" t="s">
        <v>5792</v>
      </c>
      <c r="AD2422" s="5" t="s">
        <v>1021</v>
      </c>
      <c r="AE2422" s="5" t="s">
        <v>4713</v>
      </c>
      <c r="AF2422" s="5" t="s">
        <v>5768</v>
      </c>
      <c r="AG2422" s="5" t="s">
        <v>5456</v>
      </c>
    </row>
    <row r="2423" spans="1:33" ht="10" customHeight="1" x14ac:dyDescent="0.2">
      <c r="A2423" s="5" t="s">
        <v>5444</v>
      </c>
      <c r="B2423" s="5" t="s">
        <v>4709</v>
      </c>
      <c r="D2423" s="5" t="s">
        <v>5793</v>
      </c>
      <c r="E2423" s="10" t="s">
        <v>53</v>
      </c>
      <c r="F2423" s="5" t="s">
        <v>5766</v>
      </c>
      <c r="I2423" s="11">
        <v>2</v>
      </c>
      <c r="J2423" s="5" t="s">
        <v>4324</v>
      </c>
      <c r="K2423" s="12"/>
      <c r="O2423" s="12"/>
      <c r="P2423" s="13">
        <v>1</v>
      </c>
      <c r="Q2423" s="13">
        <v>2</v>
      </c>
      <c r="S2423" s="13">
        <v>1</v>
      </c>
      <c r="AC2423" s="10" t="s">
        <v>5794</v>
      </c>
      <c r="AD2423" s="5" t="s">
        <v>1021</v>
      </c>
      <c r="AE2423" s="5" t="s">
        <v>4713</v>
      </c>
      <c r="AF2423" s="5" t="s">
        <v>5768</v>
      </c>
      <c r="AG2423" s="5" t="s">
        <v>5456</v>
      </c>
    </row>
    <row r="2424" spans="1:33" ht="10" customHeight="1" x14ac:dyDescent="0.2">
      <c r="A2424" s="5" t="s">
        <v>5444</v>
      </c>
      <c r="B2424" s="5" t="s">
        <v>4709</v>
      </c>
      <c r="D2424" s="5" t="s">
        <v>5795</v>
      </c>
      <c r="E2424" s="10" t="s">
        <v>53</v>
      </c>
      <c r="F2424" s="5" t="s">
        <v>5766</v>
      </c>
      <c r="I2424" s="11">
        <v>2</v>
      </c>
      <c r="J2424" s="5" t="s">
        <v>4324</v>
      </c>
      <c r="K2424" s="12"/>
      <c r="O2424" s="12"/>
      <c r="P2424" s="13">
        <v>0</v>
      </c>
      <c r="Q2424" s="13">
        <v>0</v>
      </c>
      <c r="S2424" s="13">
        <v>0</v>
      </c>
      <c r="AC2424" s="10" t="s">
        <v>5796</v>
      </c>
      <c r="AD2424" s="5" t="s">
        <v>1021</v>
      </c>
      <c r="AE2424" s="5" t="s">
        <v>4713</v>
      </c>
      <c r="AF2424" s="5" t="s">
        <v>5768</v>
      </c>
      <c r="AG2424" s="5" t="s">
        <v>5456</v>
      </c>
    </row>
    <row r="2425" spans="1:33" ht="10" customHeight="1" x14ac:dyDescent="0.2">
      <c r="A2425" s="5" t="s">
        <v>5444</v>
      </c>
      <c r="B2425" s="5" t="s">
        <v>4709</v>
      </c>
      <c r="D2425" s="5" t="s">
        <v>5797</v>
      </c>
      <c r="E2425" s="10" t="s">
        <v>53</v>
      </c>
      <c r="F2425" s="5" t="s">
        <v>5766</v>
      </c>
      <c r="I2425" s="11">
        <v>2</v>
      </c>
      <c r="J2425" s="5" t="s">
        <v>4324</v>
      </c>
      <c r="K2425" s="12"/>
      <c r="O2425" s="12"/>
      <c r="P2425" s="13">
        <v>0</v>
      </c>
      <c r="Q2425" s="13">
        <v>0</v>
      </c>
      <c r="S2425" s="13">
        <v>0</v>
      </c>
      <c r="AC2425" s="10" t="s">
        <v>5798</v>
      </c>
      <c r="AD2425" s="5" t="s">
        <v>1021</v>
      </c>
      <c r="AE2425" s="5" t="s">
        <v>4713</v>
      </c>
      <c r="AF2425" s="5" t="s">
        <v>5768</v>
      </c>
      <c r="AG2425" s="5" t="s">
        <v>5456</v>
      </c>
    </row>
    <row r="2426" spans="1:33" ht="10" customHeight="1" x14ac:dyDescent="0.2">
      <c r="A2426" s="5" t="s">
        <v>5444</v>
      </c>
      <c r="B2426" s="5" t="s">
        <v>4709</v>
      </c>
      <c r="D2426" s="5" t="s">
        <v>5799</v>
      </c>
      <c r="E2426" s="10" t="s">
        <v>44</v>
      </c>
      <c r="I2426" s="11">
        <v>2</v>
      </c>
      <c r="J2426" s="5" t="s">
        <v>4324</v>
      </c>
      <c r="K2426" s="12"/>
      <c r="O2426" s="12"/>
      <c r="P2426" s="13">
        <v>1547464</v>
      </c>
      <c r="Q2426" s="13">
        <v>1704012</v>
      </c>
      <c r="S2426" s="13">
        <v>1640762</v>
      </c>
      <c r="AC2426" s="10" t="s">
        <v>5800</v>
      </c>
      <c r="AD2426" s="5" t="s">
        <v>1021</v>
      </c>
      <c r="AE2426" s="5" t="s">
        <v>4713</v>
      </c>
      <c r="AF2426" s="5" t="s">
        <v>5768</v>
      </c>
      <c r="AG2426" s="5" t="s">
        <v>5456</v>
      </c>
    </row>
    <row r="2427" spans="1:33" ht="10" customHeight="1" x14ac:dyDescent="0.2">
      <c r="A2427" s="5" t="s">
        <v>5444</v>
      </c>
      <c r="B2427" s="5" t="s">
        <v>4709</v>
      </c>
      <c r="D2427" s="5" t="s">
        <v>5801</v>
      </c>
      <c r="E2427" s="10" t="s">
        <v>345</v>
      </c>
      <c r="F2427" s="5" t="s">
        <v>5766</v>
      </c>
      <c r="I2427" s="11">
        <v>2</v>
      </c>
      <c r="J2427" s="5" t="s">
        <v>4324</v>
      </c>
      <c r="K2427" s="12"/>
      <c r="O2427" s="12"/>
      <c r="P2427" s="13">
        <v>461962</v>
      </c>
      <c r="Q2427" s="13">
        <v>569420</v>
      </c>
      <c r="S2427" s="13">
        <v>603052</v>
      </c>
      <c r="AC2427" s="10" t="s">
        <v>5802</v>
      </c>
      <c r="AD2427" s="5" t="s">
        <v>1089</v>
      </c>
      <c r="AE2427" s="5" t="s">
        <v>4713</v>
      </c>
      <c r="AF2427" s="5" t="s">
        <v>5768</v>
      </c>
      <c r="AG2427" s="5" t="s">
        <v>5492</v>
      </c>
    </row>
    <row r="2428" spans="1:33" ht="10" customHeight="1" x14ac:dyDescent="0.2">
      <c r="A2428" s="5" t="s">
        <v>5444</v>
      </c>
      <c r="B2428" s="5" t="s">
        <v>4709</v>
      </c>
      <c r="D2428" s="5" t="s">
        <v>5803</v>
      </c>
      <c r="E2428" s="10" t="s">
        <v>345</v>
      </c>
      <c r="F2428" s="5" t="s">
        <v>5766</v>
      </c>
      <c r="I2428" s="11">
        <v>2</v>
      </c>
      <c r="J2428" s="5" t="s">
        <v>4324</v>
      </c>
      <c r="K2428" s="12"/>
      <c r="O2428" s="12"/>
      <c r="P2428" s="13">
        <v>9142</v>
      </c>
      <c r="Q2428" s="13">
        <v>9530</v>
      </c>
      <c r="S2428" s="13">
        <v>9843</v>
      </c>
      <c r="AC2428" s="10" t="s">
        <v>5804</v>
      </c>
      <c r="AD2428" s="5" t="s">
        <v>1089</v>
      </c>
      <c r="AE2428" s="5" t="s">
        <v>4713</v>
      </c>
      <c r="AF2428" s="5" t="s">
        <v>5768</v>
      </c>
      <c r="AG2428" s="5" t="s">
        <v>5492</v>
      </c>
    </row>
    <row r="2429" spans="1:33" ht="10" customHeight="1" x14ac:dyDescent="0.2">
      <c r="A2429" s="5" t="s">
        <v>5444</v>
      </c>
      <c r="B2429" s="5" t="s">
        <v>4709</v>
      </c>
      <c r="D2429" s="5" t="s">
        <v>5805</v>
      </c>
      <c r="E2429" s="10" t="s">
        <v>345</v>
      </c>
      <c r="F2429" s="5" t="s">
        <v>5766</v>
      </c>
      <c r="I2429" s="11">
        <v>2</v>
      </c>
      <c r="J2429" s="5" t="s">
        <v>4324</v>
      </c>
      <c r="K2429" s="12"/>
      <c r="O2429" s="12"/>
      <c r="P2429" s="13">
        <v>394970</v>
      </c>
      <c r="Q2429" s="13">
        <v>422738</v>
      </c>
      <c r="S2429" s="13">
        <v>247284</v>
      </c>
      <c r="AC2429" s="10" t="s">
        <v>5806</v>
      </c>
      <c r="AD2429" s="5" t="s">
        <v>1089</v>
      </c>
      <c r="AE2429" s="5" t="s">
        <v>4713</v>
      </c>
      <c r="AF2429" s="5" t="s">
        <v>5768</v>
      </c>
      <c r="AG2429" s="5" t="s">
        <v>5492</v>
      </c>
    </row>
    <row r="2430" spans="1:33" ht="10" customHeight="1" x14ac:dyDescent="0.2">
      <c r="A2430" s="5" t="s">
        <v>5444</v>
      </c>
      <c r="B2430" s="5" t="s">
        <v>4709</v>
      </c>
      <c r="D2430" s="5" t="s">
        <v>5807</v>
      </c>
      <c r="E2430" s="10" t="s">
        <v>345</v>
      </c>
      <c r="F2430" s="5" t="s">
        <v>5766</v>
      </c>
      <c r="I2430" s="11">
        <v>2</v>
      </c>
      <c r="J2430" s="5" t="s">
        <v>4324</v>
      </c>
      <c r="K2430" s="12"/>
      <c r="O2430" s="12"/>
      <c r="P2430" s="13">
        <v>18215</v>
      </c>
      <c r="Q2430" s="13">
        <v>84538</v>
      </c>
      <c r="S2430" s="13">
        <v>103652</v>
      </c>
      <c r="AC2430" s="10" t="s">
        <v>5808</v>
      </c>
      <c r="AD2430" s="5" t="s">
        <v>1089</v>
      </c>
      <c r="AE2430" s="5" t="s">
        <v>4713</v>
      </c>
      <c r="AF2430" s="5" t="s">
        <v>5768</v>
      </c>
      <c r="AG2430" s="5" t="s">
        <v>5492</v>
      </c>
    </row>
    <row r="2431" spans="1:33" ht="10" customHeight="1" x14ac:dyDescent="0.2">
      <c r="A2431" s="5" t="s">
        <v>5444</v>
      </c>
      <c r="B2431" s="5" t="s">
        <v>4709</v>
      </c>
      <c r="D2431" s="5" t="s">
        <v>5809</v>
      </c>
      <c r="E2431" s="10" t="s">
        <v>345</v>
      </c>
      <c r="F2431" s="5" t="s">
        <v>5766</v>
      </c>
      <c r="I2431" s="11">
        <v>2</v>
      </c>
      <c r="J2431" s="5" t="s">
        <v>4324</v>
      </c>
      <c r="K2431" s="12"/>
      <c r="O2431" s="12"/>
      <c r="P2431" s="13">
        <v>41731</v>
      </c>
      <c r="Q2431" s="13">
        <v>44690</v>
      </c>
      <c r="S2431" s="13">
        <v>104399</v>
      </c>
      <c r="AC2431" s="10" t="s">
        <v>5810</v>
      </c>
      <c r="AD2431" s="5" t="s">
        <v>1089</v>
      </c>
      <c r="AE2431" s="5" t="s">
        <v>4713</v>
      </c>
      <c r="AF2431" s="5" t="s">
        <v>5768</v>
      </c>
      <c r="AG2431" s="5" t="s">
        <v>5492</v>
      </c>
    </row>
    <row r="2432" spans="1:33" ht="10" customHeight="1" x14ac:dyDescent="0.2">
      <c r="A2432" s="5" t="s">
        <v>5444</v>
      </c>
      <c r="B2432" s="5" t="s">
        <v>4709</v>
      </c>
      <c r="D2432" s="5" t="s">
        <v>5811</v>
      </c>
      <c r="E2432" s="10" t="s">
        <v>345</v>
      </c>
      <c r="F2432" s="5" t="s">
        <v>5766</v>
      </c>
      <c r="I2432" s="11">
        <v>2</v>
      </c>
      <c r="J2432" s="5" t="s">
        <v>4324</v>
      </c>
      <c r="K2432" s="12"/>
      <c r="O2432" s="12"/>
      <c r="P2432" s="13">
        <v>472168</v>
      </c>
      <c r="Q2432" s="13">
        <v>431109</v>
      </c>
      <c r="S2432" s="13">
        <v>409527</v>
      </c>
      <c r="AC2432" s="10" t="s">
        <v>5812</v>
      </c>
      <c r="AD2432" s="5" t="s">
        <v>1089</v>
      </c>
      <c r="AE2432" s="5" t="s">
        <v>4713</v>
      </c>
      <c r="AF2432" s="5" t="s">
        <v>5768</v>
      </c>
      <c r="AG2432" s="5" t="s">
        <v>5492</v>
      </c>
    </row>
    <row r="2433" spans="1:33" ht="10" customHeight="1" x14ac:dyDescent="0.2">
      <c r="A2433" s="5" t="s">
        <v>5444</v>
      </c>
      <c r="B2433" s="5" t="s">
        <v>4709</v>
      </c>
      <c r="D2433" s="5" t="s">
        <v>5813</v>
      </c>
      <c r="E2433" s="10" t="s">
        <v>345</v>
      </c>
      <c r="F2433" s="5" t="s">
        <v>5766</v>
      </c>
      <c r="I2433" s="11">
        <v>2</v>
      </c>
      <c r="J2433" s="5" t="s">
        <v>4324</v>
      </c>
      <c r="K2433" s="12"/>
      <c r="O2433" s="12"/>
      <c r="P2433" s="13">
        <v>10170</v>
      </c>
      <c r="Q2433" s="13">
        <v>10600</v>
      </c>
      <c r="S2433" s="13">
        <v>10950</v>
      </c>
      <c r="AC2433" s="10" t="s">
        <v>5814</v>
      </c>
      <c r="AD2433" s="5" t="s">
        <v>1089</v>
      </c>
      <c r="AE2433" s="5" t="s">
        <v>4713</v>
      </c>
      <c r="AF2433" s="5" t="s">
        <v>5768</v>
      </c>
      <c r="AG2433" s="5" t="s">
        <v>5492</v>
      </c>
    </row>
    <row r="2434" spans="1:33" ht="10" customHeight="1" x14ac:dyDescent="0.2">
      <c r="A2434" s="5" t="s">
        <v>5444</v>
      </c>
      <c r="B2434" s="5" t="s">
        <v>4709</v>
      </c>
      <c r="D2434" s="5" t="s">
        <v>5815</v>
      </c>
      <c r="E2434" s="10" t="s">
        <v>345</v>
      </c>
      <c r="F2434" s="5" t="s">
        <v>5766</v>
      </c>
      <c r="I2434" s="11">
        <v>2</v>
      </c>
      <c r="J2434" s="5" t="s">
        <v>4324</v>
      </c>
      <c r="K2434" s="12"/>
      <c r="O2434" s="12"/>
      <c r="P2434" s="13">
        <v>135059</v>
      </c>
      <c r="Q2434" s="13">
        <v>127819</v>
      </c>
      <c r="S2434" s="13">
        <v>148398</v>
      </c>
      <c r="AC2434" s="10" t="s">
        <v>5816</v>
      </c>
      <c r="AD2434" s="5" t="s">
        <v>1089</v>
      </c>
      <c r="AE2434" s="5" t="s">
        <v>4713</v>
      </c>
      <c r="AF2434" s="5" t="s">
        <v>5768</v>
      </c>
      <c r="AG2434" s="5" t="s">
        <v>5492</v>
      </c>
    </row>
    <row r="2435" spans="1:33" ht="10" customHeight="1" x14ac:dyDescent="0.2">
      <c r="A2435" s="5" t="s">
        <v>5444</v>
      </c>
      <c r="B2435" s="5" t="s">
        <v>4709</v>
      </c>
      <c r="D2435" s="5" t="s">
        <v>5817</v>
      </c>
      <c r="E2435" s="10" t="s">
        <v>345</v>
      </c>
      <c r="F2435" s="5" t="s">
        <v>5766</v>
      </c>
      <c r="I2435" s="11">
        <v>2</v>
      </c>
      <c r="J2435" s="5" t="s">
        <v>4324</v>
      </c>
      <c r="K2435" s="12"/>
      <c r="O2435" s="12"/>
      <c r="P2435" s="13">
        <v>4047</v>
      </c>
      <c r="Q2435" s="13">
        <v>3568</v>
      </c>
      <c r="S2435" s="13">
        <v>3657</v>
      </c>
      <c r="AC2435" s="10" t="s">
        <v>5818</v>
      </c>
      <c r="AD2435" s="5" t="s">
        <v>1089</v>
      </c>
      <c r="AE2435" s="5" t="s">
        <v>4713</v>
      </c>
      <c r="AF2435" s="5" t="s">
        <v>5768</v>
      </c>
      <c r="AG2435" s="5" t="s">
        <v>5492</v>
      </c>
    </row>
    <row r="2436" spans="1:33" ht="10" customHeight="1" x14ac:dyDescent="0.2">
      <c r="A2436" s="5" t="s">
        <v>5444</v>
      </c>
      <c r="B2436" s="5" t="s">
        <v>4709</v>
      </c>
      <c r="D2436" s="5" t="s">
        <v>5819</v>
      </c>
      <c r="E2436" s="10" t="s">
        <v>345</v>
      </c>
      <c r="F2436" s="5" t="s">
        <v>5766</v>
      </c>
      <c r="I2436" s="11">
        <v>2</v>
      </c>
      <c r="J2436" s="5" t="s">
        <v>4324</v>
      </c>
      <c r="K2436" s="12"/>
      <c r="O2436" s="12"/>
      <c r="P2436" s="13">
        <v>1547464</v>
      </c>
      <c r="Q2436" s="13">
        <v>1704012</v>
      </c>
      <c r="S2436" s="13">
        <v>1640762</v>
      </c>
      <c r="AC2436" s="10" t="s">
        <v>5820</v>
      </c>
      <c r="AD2436" s="5" t="s">
        <v>1089</v>
      </c>
      <c r="AE2436" s="5" t="s">
        <v>4713</v>
      </c>
      <c r="AF2436" s="5" t="s">
        <v>5768</v>
      </c>
      <c r="AG2436" s="5" t="s">
        <v>5492</v>
      </c>
    </row>
    <row r="2437" spans="1:33" ht="10" customHeight="1" x14ac:dyDescent="0.2">
      <c r="A2437" s="5" t="s">
        <v>5444</v>
      </c>
      <c r="B2437" s="5" t="s">
        <v>4709</v>
      </c>
      <c r="D2437" s="5" t="s">
        <v>5821</v>
      </c>
      <c r="E2437" s="10" t="s">
        <v>53</v>
      </c>
      <c r="F2437" s="5" t="s">
        <v>5822</v>
      </c>
      <c r="I2437" s="11">
        <v>7</v>
      </c>
      <c r="J2437" s="5" t="s">
        <v>5513</v>
      </c>
      <c r="K2437" s="12"/>
      <c r="O2437" s="12"/>
      <c r="P2437" s="13">
        <v>5835</v>
      </c>
      <c r="Q2437" s="13">
        <v>5958</v>
      </c>
      <c r="S2437" s="13">
        <v>6083</v>
      </c>
      <c r="AC2437" s="10" t="s">
        <v>5823</v>
      </c>
      <c r="AD2437" s="5" t="s">
        <v>1116</v>
      </c>
      <c r="AE2437" s="5" t="s">
        <v>4713</v>
      </c>
      <c r="AF2437" s="5" t="s">
        <v>5768</v>
      </c>
      <c r="AG2437" s="5" t="s">
        <v>5516</v>
      </c>
    </row>
    <row r="2438" spans="1:33" ht="10" customHeight="1" x14ac:dyDescent="0.2">
      <c r="A2438" s="5" t="s">
        <v>5444</v>
      </c>
      <c r="B2438" s="5" t="s">
        <v>4709</v>
      </c>
      <c r="D2438" s="5" t="s">
        <v>5824</v>
      </c>
      <c r="E2438" s="10" t="s">
        <v>53</v>
      </c>
      <c r="F2438" s="5" t="s">
        <v>5822</v>
      </c>
      <c r="I2438" s="11">
        <v>7</v>
      </c>
      <c r="J2438" s="5" t="s">
        <v>5513</v>
      </c>
      <c r="K2438" s="12"/>
      <c r="O2438" s="12"/>
      <c r="P2438" s="13">
        <v>10719</v>
      </c>
      <c r="Q2438" s="13">
        <v>60000</v>
      </c>
      <c r="S2438" s="13">
        <v>0</v>
      </c>
      <c r="AC2438" s="10" t="s">
        <v>5825</v>
      </c>
      <c r="AD2438" s="5" t="s">
        <v>1116</v>
      </c>
      <c r="AE2438" s="5" t="s">
        <v>4713</v>
      </c>
      <c r="AF2438" s="5" t="s">
        <v>5768</v>
      </c>
      <c r="AG2438" s="5" t="s">
        <v>5516</v>
      </c>
    </row>
    <row r="2439" spans="1:33" ht="10" customHeight="1" x14ac:dyDescent="0.2">
      <c r="A2439" s="5" t="s">
        <v>5444</v>
      </c>
      <c r="B2439" s="5" t="s">
        <v>4709</v>
      </c>
      <c r="D2439" s="5" t="s">
        <v>5826</v>
      </c>
      <c r="E2439" s="10" t="s">
        <v>53</v>
      </c>
      <c r="F2439" s="5" t="s">
        <v>5822</v>
      </c>
      <c r="I2439" s="11">
        <v>7</v>
      </c>
      <c r="J2439" s="5" t="s">
        <v>5513</v>
      </c>
      <c r="K2439" s="12"/>
      <c r="O2439" s="12"/>
      <c r="P2439" s="13">
        <v>20564</v>
      </c>
      <c r="Q2439" s="13">
        <v>82578</v>
      </c>
      <c r="S2439" s="13">
        <v>21644</v>
      </c>
      <c r="AC2439" s="10" t="s">
        <v>5827</v>
      </c>
      <c r="AD2439" s="5" t="s">
        <v>1116</v>
      </c>
      <c r="AE2439" s="5" t="s">
        <v>4713</v>
      </c>
      <c r="AF2439" s="5" t="s">
        <v>5768</v>
      </c>
      <c r="AG2439" s="5" t="s">
        <v>5516</v>
      </c>
    </row>
    <row r="2440" spans="1:33" ht="10" customHeight="1" x14ac:dyDescent="0.2">
      <c r="A2440" s="5" t="s">
        <v>5444</v>
      </c>
      <c r="B2440" s="5" t="s">
        <v>4709</v>
      </c>
      <c r="D2440" s="5" t="s">
        <v>5828</v>
      </c>
      <c r="E2440" s="10" t="s">
        <v>53</v>
      </c>
      <c r="F2440" s="5" t="s">
        <v>5822</v>
      </c>
      <c r="I2440" s="11">
        <v>7</v>
      </c>
      <c r="J2440" s="5" t="s">
        <v>5513</v>
      </c>
      <c r="K2440" s="12"/>
      <c r="O2440" s="12"/>
      <c r="P2440" s="13">
        <v>0</v>
      </c>
      <c r="Q2440" s="13">
        <v>0</v>
      </c>
      <c r="S2440" s="13">
        <v>0</v>
      </c>
      <c r="AC2440" s="10" t="s">
        <v>5829</v>
      </c>
      <c r="AD2440" s="5" t="s">
        <v>1116</v>
      </c>
      <c r="AE2440" s="5" t="s">
        <v>4713</v>
      </c>
      <c r="AF2440" s="5" t="s">
        <v>5768</v>
      </c>
      <c r="AG2440" s="5" t="s">
        <v>5516</v>
      </c>
    </row>
    <row r="2441" spans="1:33" ht="10" customHeight="1" x14ac:dyDescent="0.2">
      <c r="A2441" s="5" t="s">
        <v>5444</v>
      </c>
      <c r="B2441" s="5" t="s">
        <v>4709</v>
      </c>
      <c r="D2441" s="5" t="s">
        <v>5830</v>
      </c>
      <c r="E2441" s="10" t="s">
        <v>53</v>
      </c>
      <c r="F2441" s="5" t="s">
        <v>5822</v>
      </c>
      <c r="I2441" s="11">
        <v>7</v>
      </c>
      <c r="J2441" s="5" t="s">
        <v>5513</v>
      </c>
      <c r="K2441" s="12"/>
      <c r="O2441" s="12"/>
      <c r="P2441" s="13">
        <v>644808</v>
      </c>
      <c r="Q2441" s="13">
        <v>400578</v>
      </c>
      <c r="S2441" s="13">
        <v>448562</v>
      </c>
      <c r="AC2441" s="10" t="s">
        <v>5831</v>
      </c>
      <c r="AD2441" s="5" t="s">
        <v>1116</v>
      </c>
      <c r="AE2441" s="5" t="s">
        <v>4713</v>
      </c>
      <c r="AF2441" s="5" t="s">
        <v>5768</v>
      </c>
      <c r="AG2441" s="5" t="s">
        <v>5516</v>
      </c>
    </row>
    <row r="2442" spans="1:33" ht="10" customHeight="1" x14ac:dyDescent="0.2">
      <c r="A2442" s="5" t="s">
        <v>5444</v>
      </c>
      <c r="B2442" s="5" t="s">
        <v>4709</v>
      </c>
      <c r="D2442" s="5" t="s">
        <v>5832</v>
      </c>
      <c r="E2442" s="10" t="s">
        <v>44</v>
      </c>
      <c r="I2442" s="11">
        <v>7</v>
      </c>
      <c r="J2442" s="5" t="s">
        <v>5513</v>
      </c>
      <c r="K2442" s="12"/>
      <c r="O2442" s="12"/>
      <c r="P2442" s="13">
        <v>681926</v>
      </c>
      <c r="Q2442" s="13">
        <v>549114</v>
      </c>
      <c r="S2442" s="13">
        <v>476289</v>
      </c>
      <c r="AC2442" s="10" t="s">
        <v>5833</v>
      </c>
      <c r="AD2442" s="5" t="s">
        <v>1116</v>
      </c>
      <c r="AE2442" s="5" t="s">
        <v>4713</v>
      </c>
      <c r="AF2442" s="5" t="s">
        <v>5768</v>
      </c>
      <c r="AG2442" s="5" t="s">
        <v>5516</v>
      </c>
    </row>
    <row r="2443" spans="1:33" ht="10" customHeight="1" x14ac:dyDescent="0.2">
      <c r="A2443" s="5" t="s">
        <v>5444</v>
      </c>
      <c r="B2443" s="5" t="s">
        <v>4709</v>
      </c>
      <c r="D2443" s="5" t="s">
        <v>5834</v>
      </c>
      <c r="E2443" s="10" t="s">
        <v>53</v>
      </c>
      <c r="F2443" s="5" t="s">
        <v>5822</v>
      </c>
      <c r="I2443" s="11">
        <v>7</v>
      </c>
      <c r="J2443" s="5" t="s">
        <v>5513</v>
      </c>
      <c r="K2443" s="12"/>
      <c r="O2443" s="12"/>
      <c r="P2443" s="13">
        <v>1066</v>
      </c>
      <c r="AC2443" s="10" t="s">
        <v>5835</v>
      </c>
      <c r="AD2443" s="5" t="s">
        <v>1116</v>
      </c>
      <c r="AE2443" s="5" t="s">
        <v>4713</v>
      </c>
      <c r="AF2443" s="5" t="s">
        <v>5768</v>
      </c>
      <c r="AG2443" s="5" t="s">
        <v>5529</v>
      </c>
    </row>
    <row r="2444" spans="1:33" ht="10" customHeight="1" x14ac:dyDescent="0.2">
      <c r="A2444" s="5" t="s">
        <v>5444</v>
      </c>
      <c r="B2444" s="5" t="s">
        <v>4709</v>
      </c>
      <c r="D2444" s="5" t="s">
        <v>5836</v>
      </c>
      <c r="E2444" s="10" t="s">
        <v>53</v>
      </c>
      <c r="F2444" s="5" t="s">
        <v>5822</v>
      </c>
      <c r="I2444" s="11">
        <v>7</v>
      </c>
      <c r="J2444" s="5" t="s">
        <v>5513</v>
      </c>
      <c r="K2444" s="12"/>
      <c r="O2444" s="12"/>
      <c r="P2444" s="13">
        <v>940</v>
      </c>
      <c r="AC2444" s="10" t="s">
        <v>5837</v>
      </c>
      <c r="AD2444" s="5" t="s">
        <v>1116</v>
      </c>
      <c r="AE2444" s="5" t="s">
        <v>4713</v>
      </c>
      <c r="AF2444" s="5" t="s">
        <v>5768</v>
      </c>
      <c r="AG2444" s="5" t="s">
        <v>5529</v>
      </c>
    </row>
    <row r="2445" spans="1:33" ht="10" customHeight="1" x14ac:dyDescent="0.2">
      <c r="A2445" s="5" t="s">
        <v>5444</v>
      </c>
      <c r="B2445" s="5" t="s">
        <v>4709</v>
      </c>
      <c r="D2445" s="5" t="s">
        <v>5838</v>
      </c>
      <c r="E2445" s="10" t="s">
        <v>53</v>
      </c>
      <c r="F2445" s="5" t="s">
        <v>5822</v>
      </c>
      <c r="I2445" s="11">
        <v>7</v>
      </c>
      <c r="J2445" s="5" t="s">
        <v>5513</v>
      </c>
      <c r="K2445" s="12"/>
      <c r="O2445" s="12"/>
      <c r="P2445" s="13">
        <v>200</v>
      </c>
      <c r="AC2445" s="10" t="s">
        <v>5839</v>
      </c>
      <c r="AD2445" s="5" t="s">
        <v>1116</v>
      </c>
      <c r="AE2445" s="5" t="s">
        <v>4713</v>
      </c>
      <c r="AF2445" s="5" t="s">
        <v>5768</v>
      </c>
      <c r="AG2445" s="5" t="s">
        <v>5529</v>
      </c>
    </row>
    <row r="2446" spans="1:33" ht="10" customHeight="1" x14ac:dyDescent="0.2">
      <c r="A2446" s="5" t="s">
        <v>5444</v>
      </c>
      <c r="B2446" s="5" t="s">
        <v>4709</v>
      </c>
      <c r="D2446" s="5" t="s">
        <v>5840</v>
      </c>
      <c r="E2446" s="10" t="s">
        <v>53</v>
      </c>
      <c r="F2446" s="5" t="s">
        <v>5822</v>
      </c>
      <c r="I2446" s="11">
        <v>7</v>
      </c>
      <c r="J2446" s="5" t="s">
        <v>5513</v>
      </c>
      <c r="K2446" s="12"/>
      <c r="O2446" s="12"/>
      <c r="P2446" s="13">
        <v>976</v>
      </c>
      <c r="AC2446" s="10" t="s">
        <v>5841</v>
      </c>
      <c r="AD2446" s="5" t="s">
        <v>1116</v>
      </c>
      <c r="AE2446" s="5" t="s">
        <v>4713</v>
      </c>
      <c r="AF2446" s="5" t="s">
        <v>5768</v>
      </c>
      <c r="AG2446" s="5" t="s">
        <v>5529</v>
      </c>
    </row>
    <row r="2447" spans="1:33" ht="10" customHeight="1" x14ac:dyDescent="0.2">
      <c r="A2447" s="5" t="s">
        <v>5444</v>
      </c>
      <c r="B2447" s="5" t="s">
        <v>4709</v>
      </c>
      <c r="D2447" s="5" t="s">
        <v>5842</v>
      </c>
      <c r="E2447" s="10" t="s">
        <v>53</v>
      </c>
      <c r="F2447" s="5" t="s">
        <v>5822</v>
      </c>
      <c r="I2447" s="11">
        <v>7</v>
      </c>
      <c r="J2447" s="5" t="s">
        <v>5513</v>
      </c>
      <c r="K2447" s="12"/>
      <c r="O2447" s="12"/>
      <c r="P2447" s="13">
        <v>1985</v>
      </c>
      <c r="AC2447" s="10" t="s">
        <v>5843</v>
      </c>
      <c r="AD2447" s="5" t="s">
        <v>1116</v>
      </c>
      <c r="AE2447" s="5" t="s">
        <v>4713</v>
      </c>
      <c r="AF2447" s="5" t="s">
        <v>5768</v>
      </c>
      <c r="AG2447" s="5" t="s">
        <v>5529</v>
      </c>
    </row>
    <row r="2448" spans="1:33" ht="10" customHeight="1" x14ac:dyDescent="0.2">
      <c r="A2448" s="5" t="s">
        <v>5444</v>
      </c>
      <c r="B2448" s="5" t="s">
        <v>4709</v>
      </c>
      <c r="D2448" s="5" t="s">
        <v>5844</v>
      </c>
      <c r="E2448" s="10" t="s">
        <v>53</v>
      </c>
      <c r="F2448" s="5" t="s">
        <v>5822</v>
      </c>
      <c r="I2448" s="11">
        <v>7</v>
      </c>
      <c r="J2448" s="5" t="s">
        <v>5513</v>
      </c>
      <c r="K2448" s="12"/>
      <c r="O2448" s="12"/>
      <c r="P2448" s="13">
        <v>4441</v>
      </c>
      <c r="AC2448" s="10" t="s">
        <v>5845</v>
      </c>
      <c r="AD2448" s="5" t="s">
        <v>1116</v>
      </c>
      <c r="AE2448" s="5" t="s">
        <v>4713</v>
      </c>
      <c r="AF2448" s="5" t="s">
        <v>5768</v>
      </c>
      <c r="AG2448" s="5" t="s">
        <v>5529</v>
      </c>
    </row>
    <row r="2449" spans="1:33" ht="10" customHeight="1" x14ac:dyDescent="0.2">
      <c r="A2449" s="5" t="s">
        <v>5444</v>
      </c>
      <c r="B2449" s="5" t="s">
        <v>4709</v>
      </c>
      <c r="D2449" s="5" t="s">
        <v>5846</v>
      </c>
      <c r="E2449" s="10" t="s">
        <v>53</v>
      </c>
      <c r="F2449" s="5" t="s">
        <v>5822</v>
      </c>
      <c r="I2449" s="11">
        <v>7</v>
      </c>
      <c r="J2449" s="5" t="s">
        <v>5513</v>
      </c>
      <c r="K2449" s="12"/>
      <c r="O2449" s="12"/>
      <c r="P2449" s="13">
        <v>1111</v>
      </c>
      <c r="AC2449" s="10" t="s">
        <v>5847</v>
      </c>
      <c r="AD2449" s="5" t="s">
        <v>1116</v>
      </c>
      <c r="AE2449" s="5" t="s">
        <v>4713</v>
      </c>
      <c r="AF2449" s="5" t="s">
        <v>5768</v>
      </c>
      <c r="AG2449" s="5" t="s">
        <v>5529</v>
      </c>
    </row>
    <row r="2450" spans="1:33" ht="10" customHeight="1" x14ac:dyDescent="0.2">
      <c r="A2450" s="5" t="s">
        <v>5444</v>
      </c>
      <c r="B2450" s="5" t="s">
        <v>4709</v>
      </c>
      <c r="D2450" s="5" t="s">
        <v>5848</v>
      </c>
      <c r="E2450" s="10" t="s">
        <v>53</v>
      </c>
      <c r="F2450" s="5" t="s">
        <v>5822</v>
      </c>
      <c r="I2450" s="11">
        <v>7</v>
      </c>
      <c r="J2450" s="5" t="s">
        <v>5513</v>
      </c>
      <c r="K2450" s="12"/>
      <c r="O2450" s="12"/>
      <c r="Q2450" s="13">
        <v>32930</v>
      </c>
      <c r="AC2450" s="10" t="s">
        <v>5849</v>
      </c>
      <c r="AD2450" s="5" t="s">
        <v>1116</v>
      </c>
      <c r="AE2450" s="5" t="s">
        <v>4713</v>
      </c>
      <c r="AF2450" s="5" t="s">
        <v>5768</v>
      </c>
      <c r="AG2450" s="5" t="s">
        <v>5529</v>
      </c>
    </row>
    <row r="2451" spans="1:33" ht="10" customHeight="1" x14ac:dyDescent="0.2">
      <c r="A2451" s="5" t="s">
        <v>5444</v>
      </c>
      <c r="B2451" s="5" t="s">
        <v>4709</v>
      </c>
      <c r="D2451" s="5" t="s">
        <v>5850</v>
      </c>
      <c r="E2451" s="10" t="s">
        <v>53</v>
      </c>
      <c r="F2451" s="5" t="s">
        <v>5822</v>
      </c>
      <c r="I2451" s="11">
        <v>7</v>
      </c>
      <c r="J2451" s="5" t="s">
        <v>5513</v>
      </c>
      <c r="K2451" s="12"/>
      <c r="O2451" s="12"/>
      <c r="Q2451" s="13">
        <v>2757</v>
      </c>
      <c r="AC2451" s="10" t="s">
        <v>5851</v>
      </c>
      <c r="AD2451" s="5" t="s">
        <v>1116</v>
      </c>
      <c r="AE2451" s="5" t="s">
        <v>4713</v>
      </c>
      <c r="AF2451" s="5" t="s">
        <v>5768</v>
      </c>
      <c r="AG2451" s="5" t="s">
        <v>5529</v>
      </c>
    </row>
    <row r="2452" spans="1:33" ht="10" customHeight="1" x14ac:dyDescent="0.2">
      <c r="A2452" s="5" t="s">
        <v>5444</v>
      </c>
      <c r="B2452" s="5" t="s">
        <v>4709</v>
      </c>
      <c r="D2452" s="5" t="s">
        <v>5852</v>
      </c>
      <c r="E2452" s="10" t="s">
        <v>53</v>
      </c>
      <c r="F2452" s="5" t="s">
        <v>5822</v>
      </c>
      <c r="I2452" s="11">
        <v>7</v>
      </c>
      <c r="J2452" s="5" t="s">
        <v>5513</v>
      </c>
      <c r="K2452" s="12"/>
      <c r="O2452" s="12"/>
      <c r="Q2452" s="13">
        <v>23253</v>
      </c>
      <c r="AC2452" s="10" t="s">
        <v>5853</v>
      </c>
      <c r="AD2452" s="5" t="s">
        <v>1116</v>
      </c>
      <c r="AE2452" s="5" t="s">
        <v>4713</v>
      </c>
      <c r="AF2452" s="5" t="s">
        <v>5768</v>
      </c>
      <c r="AG2452" s="5" t="s">
        <v>5529</v>
      </c>
    </row>
    <row r="2453" spans="1:33" ht="10" customHeight="1" x14ac:dyDescent="0.2">
      <c r="A2453" s="5" t="s">
        <v>5444</v>
      </c>
      <c r="B2453" s="5" t="s">
        <v>4709</v>
      </c>
      <c r="D2453" s="5" t="s">
        <v>5854</v>
      </c>
      <c r="E2453" s="10" t="s">
        <v>53</v>
      </c>
      <c r="F2453" s="5" t="s">
        <v>5822</v>
      </c>
      <c r="I2453" s="11">
        <v>7</v>
      </c>
      <c r="J2453" s="5" t="s">
        <v>5513</v>
      </c>
      <c r="K2453" s="12"/>
      <c r="O2453" s="12"/>
      <c r="Q2453" s="13">
        <v>1060</v>
      </c>
      <c r="AC2453" s="10" t="s">
        <v>5855</v>
      </c>
      <c r="AD2453" s="5" t="s">
        <v>1116</v>
      </c>
      <c r="AE2453" s="5" t="s">
        <v>4713</v>
      </c>
      <c r="AF2453" s="5" t="s">
        <v>5768</v>
      </c>
      <c r="AG2453" s="5" t="s">
        <v>5529</v>
      </c>
    </row>
    <row r="2454" spans="1:33" ht="10" customHeight="1" x14ac:dyDescent="0.2">
      <c r="A2454" s="5" t="s">
        <v>5444</v>
      </c>
      <c r="B2454" s="5" t="s">
        <v>4709</v>
      </c>
      <c r="D2454" s="5" t="s">
        <v>5856</v>
      </c>
      <c r="E2454" s="10" t="s">
        <v>53</v>
      </c>
      <c r="F2454" s="5" t="s">
        <v>5822</v>
      </c>
      <c r="I2454" s="11">
        <v>7</v>
      </c>
      <c r="J2454" s="5" t="s">
        <v>5513</v>
      </c>
      <c r="K2454" s="12"/>
      <c r="O2454" s="12"/>
      <c r="P2454" s="13">
        <v>644808</v>
      </c>
      <c r="AC2454" s="10" t="s">
        <v>5857</v>
      </c>
      <c r="AD2454" s="5" t="s">
        <v>1129</v>
      </c>
      <c r="AE2454" s="5" t="s">
        <v>4713</v>
      </c>
      <c r="AF2454" s="5" t="s">
        <v>5768</v>
      </c>
      <c r="AG2454" s="5" t="s">
        <v>5544</v>
      </c>
    </row>
    <row r="2455" spans="1:33" ht="10" customHeight="1" x14ac:dyDescent="0.2">
      <c r="A2455" s="5" t="s">
        <v>5444</v>
      </c>
      <c r="B2455" s="5" t="s">
        <v>4709</v>
      </c>
      <c r="D2455" s="5" t="s">
        <v>5858</v>
      </c>
      <c r="E2455" s="10" t="s">
        <v>53</v>
      </c>
      <c r="F2455" s="5" t="s">
        <v>5822</v>
      </c>
      <c r="I2455" s="11">
        <v>7</v>
      </c>
      <c r="J2455" s="5" t="s">
        <v>5513</v>
      </c>
      <c r="K2455" s="12"/>
      <c r="O2455" s="12"/>
      <c r="Q2455" s="13">
        <v>400578</v>
      </c>
      <c r="AC2455" s="10" t="s">
        <v>5859</v>
      </c>
      <c r="AD2455" s="5" t="s">
        <v>1129</v>
      </c>
      <c r="AE2455" s="5" t="s">
        <v>4713</v>
      </c>
      <c r="AF2455" s="5" t="s">
        <v>5768</v>
      </c>
      <c r="AG2455" s="5" t="s">
        <v>5544</v>
      </c>
    </row>
    <row r="2456" spans="1:33" ht="10" customHeight="1" x14ac:dyDescent="0.2">
      <c r="A2456" s="5" t="s">
        <v>5444</v>
      </c>
      <c r="B2456" s="5" t="s">
        <v>4709</v>
      </c>
      <c r="D2456" s="5" t="s">
        <v>5860</v>
      </c>
      <c r="E2456" s="10" t="s">
        <v>53</v>
      </c>
      <c r="F2456" s="5" t="s">
        <v>5822</v>
      </c>
      <c r="I2456" s="11">
        <v>7</v>
      </c>
      <c r="J2456" s="5" t="s">
        <v>5513</v>
      </c>
      <c r="K2456" s="12"/>
      <c r="O2456" s="12"/>
      <c r="S2456" s="13">
        <v>220793</v>
      </c>
      <c r="AC2456" s="10" t="s">
        <v>5861</v>
      </c>
      <c r="AD2456" s="5" t="s">
        <v>1129</v>
      </c>
      <c r="AE2456" s="5" t="s">
        <v>4713</v>
      </c>
      <c r="AF2456" s="5" t="s">
        <v>5768</v>
      </c>
      <c r="AG2456" s="5" t="s">
        <v>5544</v>
      </c>
    </row>
    <row r="2457" spans="1:33" ht="10" customHeight="1" x14ac:dyDescent="0.2">
      <c r="A2457" s="5" t="s">
        <v>5444</v>
      </c>
      <c r="B2457" s="5" t="s">
        <v>4709</v>
      </c>
      <c r="D2457" s="5" t="s">
        <v>5862</v>
      </c>
      <c r="E2457" s="10" t="s">
        <v>53</v>
      </c>
      <c r="F2457" s="5" t="s">
        <v>5822</v>
      </c>
      <c r="I2457" s="11">
        <v>7</v>
      </c>
      <c r="J2457" s="5" t="s">
        <v>5513</v>
      </c>
      <c r="K2457" s="12"/>
      <c r="O2457" s="12"/>
      <c r="S2457" s="13">
        <v>227769</v>
      </c>
      <c r="AC2457" s="10" t="s">
        <v>5863</v>
      </c>
      <c r="AD2457" s="5" t="s">
        <v>1129</v>
      </c>
      <c r="AE2457" s="5" t="s">
        <v>4713</v>
      </c>
      <c r="AF2457" s="5" t="s">
        <v>5768</v>
      </c>
      <c r="AG2457" s="5" t="s">
        <v>5544</v>
      </c>
    </row>
    <row r="2458" spans="1:33" ht="10" customHeight="1" x14ac:dyDescent="0.2">
      <c r="A2458" s="5" t="s">
        <v>5444</v>
      </c>
      <c r="B2458" s="5" t="s">
        <v>4709</v>
      </c>
      <c r="D2458" s="5" t="s">
        <v>5864</v>
      </c>
      <c r="E2458" s="10" t="s">
        <v>184</v>
      </c>
      <c r="I2458" s="11">
        <v>5</v>
      </c>
      <c r="J2458" s="5" t="s">
        <v>5550</v>
      </c>
      <c r="K2458" s="10" t="s">
        <v>46</v>
      </c>
      <c r="L2458" s="5" t="s">
        <v>47</v>
      </c>
      <c r="M2458" s="5" t="s">
        <v>48</v>
      </c>
      <c r="N2458" s="5" t="s">
        <v>84</v>
      </c>
      <c r="O2458" s="12"/>
      <c r="AC2458" s="10" t="s">
        <v>5865</v>
      </c>
      <c r="AD2458" s="5" t="s">
        <v>1144</v>
      </c>
      <c r="AE2458" s="5" t="s">
        <v>4713</v>
      </c>
      <c r="AF2458" s="5" t="s">
        <v>5768</v>
      </c>
      <c r="AG2458" s="5" t="s">
        <v>5550</v>
      </c>
    </row>
    <row r="2459" spans="1:33" ht="10" customHeight="1" x14ac:dyDescent="0.2">
      <c r="A2459" s="5" t="s">
        <v>5444</v>
      </c>
      <c r="B2459" s="5" t="s">
        <v>4709</v>
      </c>
      <c r="D2459" s="5" t="s">
        <v>5866</v>
      </c>
      <c r="E2459" s="10" t="s">
        <v>184</v>
      </c>
      <c r="I2459" s="11">
        <v>5</v>
      </c>
      <c r="J2459" s="5" t="s">
        <v>5550</v>
      </c>
      <c r="K2459" s="10" t="s">
        <v>46</v>
      </c>
      <c r="L2459" s="5" t="s">
        <v>47</v>
      </c>
      <c r="M2459" s="5" t="s">
        <v>48</v>
      </c>
      <c r="N2459" s="5" t="s">
        <v>84</v>
      </c>
      <c r="O2459" s="12"/>
      <c r="AC2459" s="10" t="s">
        <v>5867</v>
      </c>
      <c r="AD2459" s="5" t="s">
        <v>1144</v>
      </c>
      <c r="AE2459" s="5" t="s">
        <v>4713</v>
      </c>
      <c r="AF2459" s="5" t="s">
        <v>5768</v>
      </c>
      <c r="AG2459" s="5" t="s">
        <v>5550</v>
      </c>
    </row>
    <row r="2460" spans="1:33" ht="10" customHeight="1" x14ac:dyDescent="0.2">
      <c r="A2460" s="5" t="s">
        <v>5444</v>
      </c>
      <c r="B2460" s="5" t="s">
        <v>4709</v>
      </c>
      <c r="D2460" s="5" t="s">
        <v>5868</v>
      </c>
      <c r="E2460" s="10" t="s">
        <v>184</v>
      </c>
      <c r="I2460" s="11">
        <v>2</v>
      </c>
      <c r="J2460" s="5" t="s">
        <v>5550</v>
      </c>
      <c r="K2460" s="10" t="s">
        <v>46</v>
      </c>
      <c r="L2460" s="5" t="s">
        <v>47</v>
      </c>
      <c r="M2460" s="5" t="s">
        <v>48</v>
      </c>
      <c r="N2460" s="5" t="s">
        <v>84</v>
      </c>
      <c r="O2460" s="12"/>
      <c r="AC2460" s="10" t="s">
        <v>5869</v>
      </c>
      <c r="AD2460" s="5" t="s">
        <v>1144</v>
      </c>
      <c r="AE2460" s="5" t="s">
        <v>4713</v>
      </c>
      <c r="AF2460" s="5" t="s">
        <v>5768</v>
      </c>
      <c r="AG2460" s="5" t="s">
        <v>5550</v>
      </c>
    </row>
    <row r="2461" spans="1:33" ht="10" customHeight="1" x14ac:dyDescent="0.2">
      <c r="A2461" s="5" t="s">
        <v>5444</v>
      </c>
      <c r="B2461" s="5" t="s">
        <v>4709</v>
      </c>
      <c r="D2461" s="5" t="s">
        <v>5870</v>
      </c>
      <c r="E2461" s="10" t="s">
        <v>184</v>
      </c>
      <c r="I2461" s="11">
        <v>2</v>
      </c>
      <c r="J2461" s="5" t="s">
        <v>5550</v>
      </c>
      <c r="K2461" s="10" t="s">
        <v>46</v>
      </c>
      <c r="L2461" s="5" t="s">
        <v>47</v>
      </c>
      <c r="M2461" s="5" t="s">
        <v>48</v>
      </c>
      <c r="N2461" s="5" t="s">
        <v>84</v>
      </c>
      <c r="O2461" s="12"/>
      <c r="AC2461" s="10" t="s">
        <v>5871</v>
      </c>
      <c r="AD2461" s="5" t="s">
        <v>1144</v>
      </c>
      <c r="AE2461" s="5" t="s">
        <v>4713</v>
      </c>
      <c r="AF2461" s="5" t="s">
        <v>5768</v>
      </c>
      <c r="AG2461" s="5" t="s">
        <v>5550</v>
      </c>
    </row>
    <row r="2462" spans="1:33" ht="10" customHeight="1" x14ac:dyDescent="0.2">
      <c r="A2462" s="5" t="s">
        <v>5444</v>
      </c>
      <c r="B2462" s="5" t="s">
        <v>4709</v>
      </c>
      <c r="D2462" s="5" t="s">
        <v>5872</v>
      </c>
      <c r="E2462" s="10" t="s">
        <v>184</v>
      </c>
      <c r="I2462" s="11">
        <v>2</v>
      </c>
      <c r="J2462" s="5" t="s">
        <v>5550</v>
      </c>
      <c r="K2462" s="10" t="s">
        <v>46</v>
      </c>
      <c r="L2462" s="5" t="s">
        <v>47</v>
      </c>
      <c r="M2462" s="5" t="s">
        <v>48</v>
      </c>
      <c r="N2462" s="5" t="s">
        <v>84</v>
      </c>
      <c r="O2462" s="12"/>
      <c r="AC2462" s="10" t="s">
        <v>5873</v>
      </c>
      <c r="AD2462" s="5" t="s">
        <v>1144</v>
      </c>
      <c r="AE2462" s="5" t="s">
        <v>4713</v>
      </c>
      <c r="AF2462" s="5" t="s">
        <v>5768</v>
      </c>
      <c r="AG2462" s="5" t="s">
        <v>5550</v>
      </c>
    </row>
    <row r="2463" spans="1:33" ht="10" customHeight="1" x14ac:dyDescent="0.2">
      <c r="A2463" s="5" t="s">
        <v>5444</v>
      </c>
      <c r="B2463" s="5" t="s">
        <v>4709</v>
      </c>
      <c r="D2463" s="5" t="s">
        <v>5874</v>
      </c>
      <c r="E2463" s="10" t="s">
        <v>184</v>
      </c>
      <c r="I2463" s="11">
        <v>2</v>
      </c>
      <c r="J2463" s="5" t="s">
        <v>5550</v>
      </c>
      <c r="K2463" s="10" t="s">
        <v>46</v>
      </c>
      <c r="L2463" s="5" t="s">
        <v>47</v>
      </c>
      <c r="M2463" s="5" t="s">
        <v>48</v>
      </c>
      <c r="N2463" s="5" t="s">
        <v>84</v>
      </c>
      <c r="O2463" s="12"/>
      <c r="AC2463" s="10" t="s">
        <v>5875</v>
      </c>
      <c r="AD2463" s="5" t="s">
        <v>1144</v>
      </c>
      <c r="AE2463" s="5" t="s">
        <v>4713</v>
      </c>
      <c r="AF2463" s="5" t="s">
        <v>5768</v>
      </c>
      <c r="AG2463" s="5" t="s">
        <v>5550</v>
      </c>
    </row>
    <row r="2464" spans="1:33" ht="10" customHeight="1" x14ac:dyDescent="0.2">
      <c r="A2464" s="5" t="s">
        <v>5444</v>
      </c>
      <c r="B2464" s="5" t="s">
        <v>4709</v>
      </c>
      <c r="D2464" s="5" t="s">
        <v>5876</v>
      </c>
      <c r="E2464" s="10" t="s">
        <v>184</v>
      </c>
      <c r="I2464" s="11">
        <v>2</v>
      </c>
      <c r="J2464" s="5" t="s">
        <v>5550</v>
      </c>
      <c r="K2464" s="10" t="s">
        <v>46</v>
      </c>
      <c r="L2464" s="5" t="s">
        <v>47</v>
      </c>
      <c r="M2464" s="5" t="s">
        <v>48</v>
      </c>
      <c r="N2464" s="5" t="s">
        <v>84</v>
      </c>
      <c r="O2464" s="12"/>
      <c r="AC2464" s="10" t="s">
        <v>5877</v>
      </c>
      <c r="AD2464" s="5" t="s">
        <v>1144</v>
      </c>
      <c r="AE2464" s="5" t="s">
        <v>4713</v>
      </c>
      <c r="AF2464" s="5" t="s">
        <v>5768</v>
      </c>
      <c r="AG2464" s="5" t="s">
        <v>5550</v>
      </c>
    </row>
    <row r="2465" spans="1:33" ht="10" customHeight="1" x14ac:dyDescent="0.2">
      <c r="A2465" s="5" t="s">
        <v>5444</v>
      </c>
      <c r="B2465" s="5" t="s">
        <v>4709</v>
      </c>
      <c r="D2465" s="5" t="s">
        <v>5878</v>
      </c>
      <c r="E2465" s="10" t="s">
        <v>184</v>
      </c>
      <c r="I2465" s="11">
        <v>5</v>
      </c>
      <c r="J2465" s="5" t="s">
        <v>5550</v>
      </c>
      <c r="K2465" s="10" t="s">
        <v>46</v>
      </c>
      <c r="L2465" s="5" t="s">
        <v>47</v>
      </c>
      <c r="M2465" s="5" t="s">
        <v>48</v>
      </c>
      <c r="N2465" s="5" t="s">
        <v>84</v>
      </c>
      <c r="O2465" s="12"/>
      <c r="AC2465" s="10" t="s">
        <v>5879</v>
      </c>
      <c r="AD2465" s="5" t="s">
        <v>1144</v>
      </c>
      <c r="AE2465" s="5" t="s">
        <v>4713</v>
      </c>
      <c r="AF2465" s="5" t="s">
        <v>5768</v>
      </c>
      <c r="AG2465" s="5" t="s">
        <v>5550</v>
      </c>
    </row>
    <row r="2466" spans="1:33" ht="10" customHeight="1" x14ac:dyDescent="0.2">
      <c r="A2466" s="5" t="s">
        <v>5444</v>
      </c>
      <c r="B2466" s="5" t="s">
        <v>4709</v>
      </c>
      <c r="D2466" s="5" t="s">
        <v>5880</v>
      </c>
      <c r="E2466" s="10" t="s">
        <v>184</v>
      </c>
      <c r="I2466" s="11">
        <v>5</v>
      </c>
      <c r="J2466" s="5" t="s">
        <v>5550</v>
      </c>
      <c r="K2466" s="10" t="s">
        <v>46</v>
      </c>
      <c r="L2466" s="5" t="s">
        <v>47</v>
      </c>
      <c r="M2466" s="5" t="s">
        <v>48</v>
      </c>
      <c r="N2466" s="5" t="s">
        <v>84</v>
      </c>
      <c r="O2466" s="12"/>
      <c r="AC2466" s="10" t="s">
        <v>5881</v>
      </c>
      <c r="AD2466" s="5" t="s">
        <v>1144</v>
      </c>
      <c r="AE2466" s="5" t="s">
        <v>4713</v>
      </c>
      <c r="AF2466" s="5" t="s">
        <v>5768</v>
      </c>
      <c r="AG2466" s="5" t="s">
        <v>5550</v>
      </c>
    </row>
    <row r="2467" spans="1:33" ht="10" customHeight="1" x14ac:dyDescent="0.2">
      <c r="A2467" s="5" t="s">
        <v>5444</v>
      </c>
      <c r="B2467" s="5" t="s">
        <v>4709</v>
      </c>
      <c r="D2467" s="5" t="s">
        <v>5882</v>
      </c>
      <c r="E2467" s="10" t="s">
        <v>184</v>
      </c>
      <c r="I2467" s="11">
        <v>2</v>
      </c>
      <c r="J2467" s="5" t="s">
        <v>5550</v>
      </c>
      <c r="K2467" s="10" t="s">
        <v>46</v>
      </c>
      <c r="L2467" s="5" t="s">
        <v>47</v>
      </c>
      <c r="M2467" s="5" t="s">
        <v>48</v>
      </c>
      <c r="N2467" s="5" t="s">
        <v>84</v>
      </c>
      <c r="O2467" s="12"/>
      <c r="AC2467" s="10" t="s">
        <v>5883</v>
      </c>
      <c r="AD2467" s="5" t="s">
        <v>1144</v>
      </c>
      <c r="AE2467" s="5" t="s">
        <v>4713</v>
      </c>
      <c r="AF2467" s="5" t="s">
        <v>5768</v>
      </c>
      <c r="AG2467" s="5" t="s">
        <v>5550</v>
      </c>
    </row>
    <row r="2468" spans="1:33" ht="10" customHeight="1" x14ac:dyDescent="0.2">
      <c r="A2468" s="5" t="s">
        <v>5444</v>
      </c>
      <c r="B2468" s="5" t="s">
        <v>4709</v>
      </c>
      <c r="D2468" s="5" t="s">
        <v>5884</v>
      </c>
      <c r="E2468" s="10" t="s">
        <v>184</v>
      </c>
      <c r="I2468" s="11">
        <v>2</v>
      </c>
      <c r="J2468" s="5" t="s">
        <v>5550</v>
      </c>
      <c r="K2468" s="10" t="s">
        <v>46</v>
      </c>
      <c r="L2468" s="5" t="s">
        <v>47</v>
      </c>
      <c r="M2468" s="5" t="s">
        <v>48</v>
      </c>
      <c r="N2468" s="5" t="s">
        <v>84</v>
      </c>
      <c r="O2468" s="12"/>
      <c r="AC2468" s="10" t="s">
        <v>5885</v>
      </c>
      <c r="AD2468" s="5" t="s">
        <v>1144</v>
      </c>
      <c r="AE2468" s="5" t="s">
        <v>4713</v>
      </c>
      <c r="AF2468" s="5" t="s">
        <v>5768</v>
      </c>
      <c r="AG2468" s="5" t="s">
        <v>5550</v>
      </c>
    </row>
    <row r="2469" spans="1:33" ht="10" customHeight="1" x14ac:dyDescent="0.2">
      <c r="A2469" s="5" t="s">
        <v>5444</v>
      </c>
      <c r="B2469" s="5" t="s">
        <v>4709</v>
      </c>
      <c r="D2469" s="5" t="s">
        <v>5886</v>
      </c>
      <c r="E2469" s="10" t="s">
        <v>184</v>
      </c>
      <c r="I2469" s="11">
        <v>2</v>
      </c>
      <c r="J2469" s="5" t="s">
        <v>5550</v>
      </c>
      <c r="K2469" s="10" t="s">
        <v>46</v>
      </c>
      <c r="L2469" s="5" t="s">
        <v>47</v>
      </c>
      <c r="M2469" s="5" t="s">
        <v>48</v>
      </c>
      <c r="N2469" s="5" t="s">
        <v>84</v>
      </c>
      <c r="O2469" s="12"/>
      <c r="AC2469" s="10" t="s">
        <v>5887</v>
      </c>
      <c r="AD2469" s="5" t="s">
        <v>1144</v>
      </c>
      <c r="AE2469" s="5" t="s">
        <v>4713</v>
      </c>
      <c r="AF2469" s="5" t="s">
        <v>5768</v>
      </c>
      <c r="AG2469" s="5" t="s">
        <v>5550</v>
      </c>
    </row>
    <row r="2470" spans="1:33" ht="10" customHeight="1" x14ac:dyDescent="0.2">
      <c r="A2470" s="5" t="s">
        <v>5444</v>
      </c>
      <c r="B2470" s="5" t="s">
        <v>4709</v>
      </c>
      <c r="D2470" s="5" t="s">
        <v>5888</v>
      </c>
      <c r="E2470" s="10" t="s">
        <v>184</v>
      </c>
      <c r="I2470" s="11">
        <v>2</v>
      </c>
      <c r="J2470" s="5" t="s">
        <v>5550</v>
      </c>
      <c r="K2470" s="10" t="s">
        <v>46</v>
      </c>
      <c r="L2470" s="5" t="s">
        <v>47</v>
      </c>
      <c r="M2470" s="5" t="s">
        <v>48</v>
      </c>
      <c r="N2470" s="5" t="s">
        <v>84</v>
      </c>
      <c r="O2470" s="12"/>
      <c r="AC2470" s="10" t="s">
        <v>5889</v>
      </c>
      <c r="AD2470" s="5" t="s">
        <v>1144</v>
      </c>
      <c r="AE2470" s="5" t="s">
        <v>4713</v>
      </c>
      <c r="AF2470" s="5" t="s">
        <v>5768</v>
      </c>
      <c r="AG2470" s="5" t="s">
        <v>5550</v>
      </c>
    </row>
    <row r="2471" spans="1:33" ht="10" customHeight="1" x14ac:dyDescent="0.2">
      <c r="A2471" s="5" t="s">
        <v>5444</v>
      </c>
      <c r="B2471" s="5" t="s">
        <v>4709</v>
      </c>
      <c r="D2471" s="5" t="s">
        <v>5890</v>
      </c>
      <c r="E2471" s="10" t="s">
        <v>184</v>
      </c>
      <c r="I2471" s="11">
        <v>5</v>
      </c>
      <c r="J2471" s="5" t="s">
        <v>5550</v>
      </c>
      <c r="K2471" s="10" t="s">
        <v>46</v>
      </c>
      <c r="L2471" s="5" t="s">
        <v>47</v>
      </c>
      <c r="M2471" s="5" t="s">
        <v>48</v>
      </c>
      <c r="N2471" s="5" t="s">
        <v>84</v>
      </c>
      <c r="O2471" s="12"/>
      <c r="AC2471" s="10" t="s">
        <v>5891</v>
      </c>
      <c r="AD2471" s="5" t="s">
        <v>1144</v>
      </c>
      <c r="AE2471" s="5" t="s">
        <v>4713</v>
      </c>
      <c r="AF2471" s="5" t="s">
        <v>5768</v>
      </c>
      <c r="AG2471" s="5" t="s">
        <v>5550</v>
      </c>
    </row>
    <row r="2472" spans="1:33" ht="10" customHeight="1" x14ac:dyDescent="0.2">
      <c r="A2472" s="5" t="s">
        <v>5444</v>
      </c>
      <c r="B2472" s="5" t="s">
        <v>4709</v>
      </c>
      <c r="D2472" s="5" t="s">
        <v>5892</v>
      </c>
      <c r="E2472" s="10" t="s">
        <v>184</v>
      </c>
      <c r="I2472" s="11">
        <v>2</v>
      </c>
      <c r="J2472" s="5" t="s">
        <v>5550</v>
      </c>
      <c r="K2472" s="10" t="s">
        <v>46</v>
      </c>
      <c r="L2472" s="5" t="s">
        <v>47</v>
      </c>
      <c r="M2472" s="5" t="s">
        <v>48</v>
      </c>
      <c r="N2472" s="5" t="s">
        <v>84</v>
      </c>
      <c r="O2472" s="12"/>
      <c r="AC2472" s="10" t="s">
        <v>5893</v>
      </c>
      <c r="AD2472" s="5" t="s">
        <v>1144</v>
      </c>
      <c r="AE2472" s="5" t="s">
        <v>4713</v>
      </c>
      <c r="AF2472" s="5" t="s">
        <v>5768</v>
      </c>
      <c r="AG2472" s="5" t="s">
        <v>5550</v>
      </c>
    </row>
    <row r="2473" spans="1:33" ht="10" customHeight="1" x14ac:dyDescent="0.2">
      <c r="A2473" s="5" t="s">
        <v>5444</v>
      </c>
      <c r="B2473" s="5" t="s">
        <v>4709</v>
      </c>
      <c r="D2473" s="5" t="s">
        <v>5894</v>
      </c>
      <c r="E2473" s="10" t="s">
        <v>184</v>
      </c>
      <c r="I2473" s="11">
        <v>2</v>
      </c>
      <c r="J2473" s="5" t="s">
        <v>5550</v>
      </c>
      <c r="K2473" s="10" t="s">
        <v>46</v>
      </c>
      <c r="L2473" s="5" t="s">
        <v>47</v>
      </c>
      <c r="M2473" s="5" t="s">
        <v>48</v>
      </c>
      <c r="N2473" s="5" t="s">
        <v>84</v>
      </c>
      <c r="O2473" s="12"/>
      <c r="AC2473" s="10" t="s">
        <v>5895</v>
      </c>
      <c r="AD2473" s="5" t="s">
        <v>1144</v>
      </c>
      <c r="AE2473" s="5" t="s">
        <v>4713</v>
      </c>
      <c r="AF2473" s="5" t="s">
        <v>5768</v>
      </c>
      <c r="AG2473" s="5" t="s">
        <v>5550</v>
      </c>
    </row>
    <row r="2474" spans="1:33" ht="10" customHeight="1" x14ac:dyDescent="0.2">
      <c r="A2474" s="5" t="s">
        <v>5444</v>
      </c>
      <c r="B2474" s="5" t="s">
        <v>4709</v>
      </c>
      <c r="D2474" s="5" t="s">
        <v>5896</v>
      </c>
      <c r="E2474" s="10" t="s">
        <v>184</v>
      </c>
      <c r="I2474" s="11">
        <v>2</v>
      </c>
      <c r="J2474" s="5" t="s">
        <v>5550</v>
      </c>
      <c r="K2474" s="10" t="s">
        <v>46</v>
      </c>
      <c r="L2474" s="5" t="s">
        <v>47</v>
      </c>
      <c r="M2474" s="5" t="s">
        <v>48</v>
      </c>
      <c r="N2474" s="5" t="s">
        <v>84</v>
      </c>
      <c r="O2474" s="12"/>
      <c r="AC2474" s="10" t="s">
        <v>5897</v>
      </c>
      <c r="AD2474" s="5" t="s">
        <v>1144</v>
      </c>
      <c r="AE2474" s="5" t="s">
        <v>4713</v>
      </c>
      <c r="AF2474" s="5" t="s">
        <v>5768</v>
      </c>
      <c r="AG2474" s="5" t="s">
        <v>5550</v>
      </c>
    </row>
    <row r="2475" spans="1:33" ht="10" customHeight="1" x14ac:dyDescent="0.2">
      <c r="A2475" s="5" t="s">
        <v>5444</v>
      </c>
      <c r="B2475" s="5" t="s">
        <v>4709</v>
      </c>
      <c r="D2475" s="5" t="s">
        <v>5898</v>
      </c>
      <c r="E2475" s="10" t="s">
        <v>53</v>
      </c>
      <c r="F2475" s="5" t="s">
        <v>5899</v>
      </c>
      <c r="I2475" s="11">
        <v>2</v>
      </c>
      <c r="J2475" s="5" t="s">
        <v>4324</v>
      </c>
      <c r="K2475" s="12"/>
      <c r="O2475" s="12"/>
      <c r="P2475" s="13">
        <v>1978623</v>
      </c>
      <c r="Q2475" s="13">
        <v>2090577</v>
      </c>
      <c r="S2475" s="13">
        <v>2044669</v>
      </c>
      <c r="AC2475" s="10" t="s">
        <v>5900</v>
      </c>
      <c r="AD2475" s="5" t="s">
        <v>1153</v>
      </c>
      <c r="AE2475" s="5" t="s">
        <v>4713</v>
      </c>
      <c r="AF2475" s="5" t="s">
        <v>5901</v>
      </c>
      <c r="AG2475" s="5" t="s">
        <v>5456</v>
      </c>
    </row>
    <row r="2476" spans="1:33" ht="10" customHeight="1" x14ac:dyDescent="0.2">
      <c r="A2476" s="5" t="s">
        <v>5444</v>
      </c>
      <c r="B2476" s="5" t="s">
        <v>4709</v>
      </c>
      <c r="D2476" s="5" t="s">
        <v>5902</v>
      </c>
      <c r="E2476" s="10" t="s">
        <v>53</v>
      </c>
      <c r="F2476" s="5" t="s">
        <v>5899</v>
      </c>
      <c r="I2476" s="11">
        <v>2</v>
      </c>
      <c r="J2476" s="5" t="s">
        <v>4324</v>
      </c>
      <c r="K2476" s="12"/>
      <c r="O2476" s="12"/>
      <c r="P2476" s="13">
        <v>1758846</v>
      </c>
      <c r="Q2476" s="13">
        <v>1847552</v>
      </c>
      <c r="S2476" s="13">
        <v>1835038</v>
      </c>
      <c r="AC2476" s="10" t="s">
        <v>5903</v>
      </c>
      <c r="AD2476" s="5" t="s">
        <v>1153</v>
      </c>
      <c r="AE2476" s="5" t="s">
        <v>4713</v>
      </c>
      <c r="AF2476" s="5" t="s">
        <v>5901</v>
      </c>
      <c r="AG2476" s="5" t="s">
        <v>5456</v>
      </c>
    </row>
    <row r="2477" spans="1:33" ht="10" customHeight="1" x14ac:dyDescent="0.2">
      <c r="A2477" s="5" t="s">
        <v>5444</v>
      </c>
      <c r="B2477" s="5" t="s">
        <v>4709</v>
      </c>
      <c r="D2477" s="5" t="s">
        <v>5904</v>
      </c>
      <c r="E2477" s="10" t="s">
        <v>53</v>
      </c>
      <c r="F2477" s="5" t="s">
        <v>5899</v>
      </c>
      <c r="I2477" s="11">
        <v>2</v>
      </c>
      <c r="J2477" s="5" t="s">
        <v>4324</v>
      </c>
      <c r="K2477" s="12"/>
      <c r="O2477" s="12"/>
      <c r="P2477" s="13">
        <v>1558318</v>
      </c>
      <c r="Q2477" s="13">
        <v>1767890</v>
      </c>
      <c r="S2477" s="13">
        <v>1587466</v>
      </c>
      <c r="AC2477" s="10" t="s">
        <v>5905</v>
      </c>
      <c r="AD2477" s="5" t="s">
        <v>1153</v>
      </c>
      <c r="AE2477" s="5" t="s">
        <v>4713</v>
      </c>
      <c r="AF2477" s="5" t="s">
        <v>5901</v>
      </c>
      <c r="AG2477" s="5" t="s">
        <v>5456</v>
      </c>
    </row>
    <row r="2478" spans="1:33" ht="10" customHeight="1" x14ac:dyDescent="0.2">
      <c r="A2478" s="5" t="s">
        <v>5444</v>
      </c>
      <c r="B2478" s="5" t="s">
        <v>4709</v>
      </c>
      <c r="D2478" s="5" t="s">
        <v>5906</v>
      </c>
      <c r="E2478" s="10" t="s">
        <v>53</v>
      </c>
      <c r="F2478" s="5" t="s">
        <v>5899</v>
      </c>
      <c r="I2478" s="11">
        <v>2</v>
      </c>
      <c r="J2478" s="5" t="s">
        <v>4324</v>
      </c>
      <c r="K2478" s="12"/>
      <c r="O2478" s="12"/>
      <c r="P2478" s="13">
        <v>148982</v>
      </c>
      <c r="Q2478" s="13">
        <v>26569</v>
      </c>
      <c r="S2478" s="13">
        <v>192640</v>
      </c>
      <c r="AC2478" s="10" t="s">
        <v>5907</v>
      </c>
      <c r="AD2478" s="5" t="s">
        <v>1153</v>
      </c>
      <c r="AE2478" s="5" t="s">
        <v>4713</v>
      </c>
      <c r="AF2478" s="5" t="s">
        <v>5901</v>
      </c>
      <c r="AG2478" s="5" t="s">
        <v>5456</v>
      </c>
    </row>
    <row r="2479" spans="1:33" ht="10" customHeight="1" x14ac:dyDescent="0.2">
      <c r="A2479" s="5" t="s">
        <v>5444</v>
      </c>
      <c r="B2479" s="5" t="s">
        <v>4709</v>
      </c>
      <c r="D2479" s="5" t="s">
        <v>5908</v>
      </c>
      <c r="E2479" s="10" t="s">
        <v>53</v>
      </c>
      <c r="F2479" s="5" t="s">
        <v>5899</v>
      </c>
      <c r="I2479" s="11">
        <v>2</v>
      </c>
      <c r="J2479" s="5" t="s">
        <v>4324</v>
      </c>
      <c r="K2479" s="12"/>
      <c r="O2479" s="12"/>
      <c r="P2479" s="13">
        <v>51546</v>
      </c>
      <c r="Q2479" s="13">
        <v>53093</v>
      </c>
      <c r="S2479" s="13">
        <v>54932</v>
      </c>
      <c r="AC2479" s="10" t="s">
        <v>5909</v>
      </c>
      <c r="AD2479" s="5" t="s">
        <v>1153</v>
      </c>
      <c r="AE2479" s="5" t="s">
        <v>4713</v>
      </c>
      <c r="AF2479" s="5" t="s">
        <v>5901</v>
      </c>
      <c r="AG2479" s="5" t="s">
        <v>5456</v>
      </c>
    </row>
    <row r="2480" spans="1:33" ht="10" customHeight="1" x14ac:dyDescent="0.2">
      <c r="A2480" s="5" t="s">
        <v>5444</v>
      </c>
      <c r="B2480" s="5" t="s">
        <v>4709</v>
      </c>
      <c r="D2480" s="5" t="s">
        <v>5910</v>
      </c>
      <c r="E2480" s="10" t="s">
        <v>53</v>
      </c>
      <c r="F2480" s="5" t="s">
        <v>5899</v>
      </c>
      <c r="I2480" s="11">
        <v>2</v>
      </c>
      <c r="J2480" s="5" t="s">
        <v>4324</v>
      </c>
      <c r="K2480" s="12"/>
      <c r="O2480" s="12"/>
      <c r="P2480" s="13">
        <v>219777</v>
      </c>
      <c r="Q2480" s="13">
        <v>243025</v>
      </c>
      <c r="S2480" s="13">
        <v>209631</v>
      </c>
      <c r="AC2480" s="10" t="s">
        <v>5911</v>
      </c>
      <c r="AD2480" s="5" t="s">
        <v>1153</v>
      </c>
      <c r="AE2480" s="5" t="s">
        <v>4713</v>
      </c>
      <c r="AF2480" s="5" t="s">
        <v>5901</v>
      </c>
      <c r="AG2480" s="5" t="s">
        <v>5456</v>
      </c>
    </row>
    <row r="2481" spans="1:33" ht="10" customHeight="1" x14ac:dyDescent="0.2">
      <c r="A2481" s="5" t="s">
        <v>5444</v>
      </c>
      <c r="B2481" s="5" t="s">
        <v>4709</v>
      </c>
      <c r="D2481" s="5" t="s">
        <v>5912</v>
      </c>
      <c r="E2481" s="10" t="s">
        <v>53</v>
      </c>
      <c r="F2481" s="5" t="s">
        <v>5899</v>
      </c>
      <c r="I2481" s="11">
        <v>2</v>
      </c>
      <c r="J2481" s="5" t="s">
        <v>4324</v>
      </c>
      <c r="K2481" s="12"/>
      <c r="O2481" s="12"/>
      <c r="P2481" s="13">
        <v>120379</v>
      </c>
      <c r="Q2481" s="13">
        <v>133113</v>
      </c>
      <c r="S2481" s="13">
        <v>114822</v>
      </c>
      <c r="AC2481" s="10" t="s">
        <v>5913</v>
      </c>
      <c r="AD2481" s="5" t="s">
        <v>1153</v>
      </c>
      <c r="AE2481" s="5" t="s">
        <v>4713</v>
      </c>
      <c r="AF2481" s="5" t="s">
        <v>5901</v>
      </c>
      <c r="AG2481" s="5" t="s">
        <v>5456</v>
      </c>
    </row>
    <row r="2482" spans="1:33" ht="10" customHeight="1" x14ac:dyDescent="0.2">
      <c r="A2482" s="5" t="s">
        <v>5444</v>
      </c>
      <c r="B2482" s="5" t="s">
        <v>4709</v>
      </c>
      <c r="D2482" s="5" t="s">
        <v>5914</v>
      </c>
      <c r="E2482" s="10" t="s">
        <v>53</v>
      </c>
      <c r="F2482" s="5" t="s">
        <v>5899</v>
      </c>
      <c r="I2482" s="11">
        <v>2</v>
      </c>
      <c r="J2482" s="5" t="s">
        <v>4324</v>
      </c>
      <c r="K2482" s="12"/>
      <c r="O2482" s="12"/>
      <c r="P2482" s="13">
        <v>53472</v>
      </c>
      <c r="Q2482" s="13">
        <v>59128</v>
      </c>
      <c r="S2482" s="13">
        <v>51003</v>
      </c>
      <c r="AC2482" s="10" t="s">
        <v>5915</v>
      </c>
      <c r="AD2482" s="5" t="s">
        <v>1153</v>
      </c>
      <c r="AE2482" s="5" t="s">
        <v>4713</v>
      </c>
      <c r="AF2482" s="5" t="s">
        <v>5901</v>
      </c>
      <c r="AG2482" s="5" t="s">
        <v>5456</v>
      </c>
    </row>
    <row r="2483" spans="1:33" ht="10" customHeight="1" x14ac:dyDescent="0.2">
      <c r="A2483" s="5" t="s">
        <v>5444</v>
      </c>
      <c r="B2483" s="5" t="s">
        <v>4709</v>
      </c>
      <c r="D2483" s="5" t="s">
        <v>5916</v>
      </c>
      <c r="E2483" s="10" t="s">
        <v>53</v>
      </c>
      <c r="F2483" s="5" t="s">
        <v>5899</v>
      </c>
      <c r="I2483" s="11">
        <v>2</v>
      </c>
      <c r="J2483" s="5" t="s">
        <v>4324</v>
      </c>
      <c r="K2483" s="12"/>
      <c r="O2483" s="12"/>
      <c r="P2483" s="13">
        <v>31578</v>
      </c>
      <c r="Q2483" s="13">
        <v>34918</v>
      </c>
      <c r="S2483" s="13">
        <v>30120</v>
      </c>
      <c r="AC2483" s="10" t="s">
        <v>5917</v>
      </c>
      <c r="AD2483" s="5" t="s">
        <v>1153</v>
      </c>
      <c r="AE2483" s="5" t="s">
        <v>4713</v>
      </c>
      <c r="AF2483" s="5" t="s">
        <v>5901</v>
      </c>
      <c r="AG2483" s="5" t="s">
        <v>5456</v>
      </c>
    </row>
    <row r="2484" spans="1:33" ht="10" customHeight="1" x14ac:dyDescent="0.2">
      <c r="A2484" s="5" t="s">
        <v>5444</v>
      </c>
      <c r="B2484" s="5" t="s">
        <v>4709</v>
      </c>
      <c r="D2484" s="5" t="s">
        <v>5918</v>
      </c>
      <c r="E2484" s="10" t="s">
        <v>53</v>
      </c>
      <c r="F2484" s="5" t="s">
        <v>5899</v>
      </c>
      <c r="I2484" s="11">
        <v>2</v>
      </c>
      <c r="J2484" s="5" t="s">
        <v>4324</v>
      </c>
      <c r="K2484" s="12"/>
      <c r="O2484" s="12"/>
      <c r="P2484" s="13">
        <v>0</v>
      </c>
      <c r="Q2484" s="13">
        <v>0</v>
      </c>
      <c r="S2484" s="13">
        <v>0</v>
      </c>
      <c r="AC2484" s="10" t="s">
        <v>5919</v>
      </c>
      <c r="AD2484" s="5" t="s">
        <v>1153</v>
      </c>
      <c r="AE2484" s="5" t="s">
        <v>4713</v>
      </c>
      <c r="AF2484" s="5" t="s">
        <v>5901</v>
      </c>
      <c r="AG2484" s="5" t="s">
        <v>5456</v>
      </c>
    </row>
    <row r="2485" spans="1:33" ht="10" customHeight="1" x14ac:dyDescent="0.2">
      <c r="A2485" s="5" t="s">
        <v>5444</v>
      </c>
      <c r="B2485" s="5" t="s">
        <v>4709</v>
      </c>
      <c r="D2485" s="5" t="s">
        <v>5920</v>
      </c>
      <c r="E2485" s="10" t="s">
        <v>53</v>
      </c>
      <c r="F2485" s="5" t="s">
        <v>5899</v>
      </c>
      <c r="I2485" s="11">
        <v>2</v>
      </c>
      <c r="J2485" s="5" t="s">
        <v>4324</v>
      </c>
      <c r="K2485" s="12"/>
      <c r="O2485" s="12"/>
      <c r="P2485" s="13">
        <v>14348</v>
      </c>
      <c r="Q2485" s="13">
        <v>15866</v>
      </c>
      <c r="S2485" s="13">
        <v>13686</v>
      </c>
      <c r="AC2485" s="10" t="s">
        <v>5921</v>
      </c>
      <c r="AD2485" s="5" t="s">
        <v>1153</v>
      </c>
      <c r="AE2485" s="5" t="s">
        <v>4713</v>
      </c>
      <c r="AF2485" s="5" t="s">
        <v>5901</v>
      </c>
      <c r="AG2485" s="5" t="s">
        <v>5456</v>
      </c>
    </row>
    <row r="2486" spans="1:33" ht="10" customHeight="1" x14ac:dyDescent="0.2">
      <c r="A2486" s="5" t="s">
        <v>5444</v>
      </c>
      <c r="B2486" s="5" t="s">
        <v>4709</v>
      </c>
      <c r="D2486" s="5" t="s">
        <v>5922</v>
      </c>
      <c r="E2486" s="10" t="s">
        <v>53</v>
      </c>
      <c r="F2486" s="5" t="s">
        <v>5899</v>
      </c>
      <c r="I2486" s="11">
        <v>2</v>
      </c>
      <c r="J2486" s="5" t="s">
        <v>4324</v>
      </c>
      <c r="K2486" s="12"/>
      <c r="O2486" s="12"/>
      <c r="P2486" s="13">
        <v>4325</v>
      </c>
      <c r="Q2486" s="13">
        <v>4783</v>
      </c>
      <c r="S2486" s="13">
        <v>4125</v>
      </c>
      <c r="AC2486" s="10" t="s">
        <v>5923</v>
      </c>
      <c r="AD2486" s="5" t="s">
        <v>1153</v>
      </c>
      <c r="AE2486" s="5" t="s">
        <v>4713</v>
      </c>
      <c r="AF2486" s="5" t="s">
        <v>5901</v>
      </c>
      <c r="AG2486" s="5" t="s">
        <v>5456</v>
      </c>
    </row>
    <row r="2487" spans="1:33" ht="10" customHeight="1" x14ac:dyDescent="0.2">
      <c r="A2487" s="5" t="s">
        <v>5444</v>
      </c>
      <c r="B2487" s="5" t="s">
        <v>4709</v>
      </c>
      <c r="D2487" s="5" t="s">
        <v>5924</v>
      </c>
      <c r="E2487" s="10" t="s">
        <v>53</v>
      </c>
      <c r="F2487" s="5" t="s">
        <v>5899</v>
      </c>
      <c r="I2487" s="11">
        <v>2</v>
      </c>
      <c r="J2487" s="5" t="s">
        <v>4324</v>
      </c>
      <c r="K2487" s="12"/>
      <c r="O2487" s="12"/>
      <c r="P2487" s="13">
        <v>55983</v>
      </c>
      <c r="Q2487" s="13">
        <v>61905</v>
      </c>
      <c r="S2487" s="13">
        <v>53399</v>
      </c>
      <c r="AC2487" s="10" t="s">
        <v>5925</v>
      </c>
      <c r="AD2487" s="5" t="s">
        <v>1153</v>
      </c>
      <c r="AE2487" s="5" t="s">
        <v>4713</v>
      </c>
      <c r="AF2487" s="5" t="s">
        <v>5901</v>
      </c>
      <c r="AG2487" s="5" t="s">
        <v>5456</v>
      </c>
    </row>
    <row r="2488" spans="1:33" ht="10" customHeight="1" x14ac:dyDescent="0.2">
      <c r="A2488" s="5" t="s">
        <v>5444</v>
      </c>
      <c r="B2488" s="5" t="s">
        <v>4709</v>
      </c>
      <c r="D2488" s="5" t="s">
        <v>5926</v>
      </c>
      <c r="E2488" s="10" t="s">
        <v>53</v>
      </c>
      <c r="F2488" s="5" t="s">
        <v>5899</v>
      </c>
      <c r="I2488" s="11">
        <v>2</v>
      </c>
      <c r="J2488" s="5" t="s">
        <v>4324</v>
      </c>
      <c r="K2488" s="12"/>
      <c r="O2488" s="12"/>
      <c r="P2488" s="13">
        <v>55919</v>
      </c>
      <c r="Q2488" s="13">
        <v>61834</v>
      </c>
      <c r="S2488" s="13">
        <v>53338</v>
      </c>
      <c r="AC2488" s="10" t="s">
        <v>5927</v>
      </c>
      <c r="AD2488" s="5" t="s">
        <v>1153</v>
      </c>
      <c r="AE2488" s="5" t="s">
        <v>4713</v>
      </c>
      <c r="AF2488" s="5" t="s">
        <v>5901</v>
      </c>
      <c r="AG2488" s="5" t="s">
        <v>5456</v>
      </c>
    </row>
    <row r="2489" spans="1:33" ht="10" customHeight="1" x14ac:dyDescent="0.2">
      <c r="A2489" s="5" t="s">
        <v>5444</v>
      </c>
      <c r="B2489" s="5" t="s">
        <v>4709</v>
      </c>
      <c r="D2489" s="5" t="s">
        <v>5928</v>
      </c>
      <c r="E2489" s="10" t="s">
        <v>53</v>
      </c>
      <c r="F2489" s="5" t="s">
        <v>5899</v>
      </c>
      <c r="I2489" s="11">
        <v>2</v>
      </c>
      <c r="J2489" s="5" t="s">
        <v>4324</v>
      </c>
      <c r="K2489" s="12"/>
      <c r="O2489" s="12"/>
      <c r="P2489" s="13">
        <v>31</v>
      </c>
      <c r="Q2489" s="13">
        <v>34</v>
      </c>
      <c r="S2489" s="13">
        <v>30</v>
      </c>
      <c r="AC2489" s="10" t="s">
        <v>5929</v>
      </c>
      <c r="AD2489" s="5" t="s">
        <v>1153</v>
      </c>
      <c r="AE2489" s="5" t="s">
        <v>4713</v>
      </c>
      <c r="AF2489" s="5" t="s">
        <v>5901</v>
      </c>
      <c r="AG2489" s="5" t="s">
        <v>5456</v>
      </c>
    </row>
    <row r="2490" spans="1:33" ht="10" customHeight="1" x14ac:dyDescent="0.2">
      <c r="A2490" s="5" t="s">
        <v>5444</v>
      </c>
      <c r="B2490" s="5" t="s">
        <v>4709</v>
      </c>
      <c r="D2490" s="5" t="s">
        <v>5930</v>
      </c>
      <c r="E2490" s="10" t="s">
        <v>53</v>
      </c>
      <c r="F2490" s="5" t="s">
        <v>5899</v>
      </c>
      <c r="I2490" s="11">
        <v>2</v>
      </c>
      <c r="J2490" s="5" t="s">
        <v>4324</v>
      </c>
      <c r="K2490" s="12"/>
      <c r="O2490" s="12"/>
      <c r="P2490" s="13">
        <v>33</v>
      </c>
      <c r="Q2490" s="13">
        <v>36</v>
      </c>
      <c r="S2490" s="13">
        <v>31</v>
      </c>
      <c r="AC2490" s="10" t="s">
        <v>5931</v>
      </c>
      <c r="AD2490" s="5" t="s">
        <v>1153</v>
      </c>
      <c r="AE2490" s="5" t="s">
        <v>4713</v>
      </c>
      <c r="AF2490" s="5" t="s">
        <v>5901</v>
      </c>
      <c r="AG2490" s="5" t="s">
        <v>5456</v>
      </c>
    </row>
    <row r="2491" spans="1:33" ht="10" customHeight="1" x14ac:dyDescent="0.2">
      <c r="A2491" s="5" t="s">
        <v>5444</v>
      </c>
      <c r="B2491" s="5" t="s">
        <v>4709</v>
      </c>
      <c r="D2491" s="5" t="s">
        <v>5932</v>
      </c>
      <c r="E2491" s="10" t="s">
        <v>44</v>
      </c>
      <c r="I2491" s="11">
        <v>2</v>
      </c>
      <c r="J2491" s="5" t="s">
        <v>4324</v>
      </c>
      <c r="K2491" s="12"/>
      <c r="O2491" s="12"/>
      <c r="P2491" s="13">
        <v>2038931</v>
      </c>
      <c r="Q2491" s="13">
        <v>2157265</v>
      </c>
      <c r="S2491" s="13">
        <v>2102193</v>
      </c>
      <c r="AC2491" s="10" t="s">
        <v>5933</v>
      </c>
      <c r="AD2491" s="5" t="s">
        <v>1153</v>
      </c>
      <c r="AE2491" s="5" t="s">
        <v>4713</v>
      </c>
      <c r="AF2491" s="5" t="s">
        <v>5901</v>
      </c>
      <c r="AG2491" s="5" t="s">
        <v>5456</v>
      </c>
    </row>
    <row r="2492" spans="1:33" ht="10" customHeight="1" x14ac:dyDescent="0.2">
      <c r="A2492" s="5" t="s">
        <v>5444</v>
      </c>
      <c r="B2492" s="5" t="s">
        <v>4709</v>
      </c>
      <c r="D2492" s="5" t="s">
        <v>5934</v>
      </c>
      <c r="E2492" s="10" t="s">
        <v>345</v>
      </c>
      <c r="F2492" s="5" t="s">
        <v>5899</v>
      </c>
      <c r="I2492" s="11">
        <v>2</v>
      </c>
      <c r="J2492" s="5" t="s">
        <v>4324</v>
      </c>
      <c r="K2492" s="12"/>
      <c r="O2492" s="12"/>
      <c r="P2492" s="13">
        <v>718374</v>
      </c>
      <c r="Q2492" s="13">
        <v>825790</v>
      </c>
      <c r="S2492" s="13">
        <v>831814</v>
      </c>
      <c r="AC2492" s="10" t="s">
        <v>5935</v>
      </c>
      <c r="AD2492" s="5" t="s">
        <v>1166</v>
      </c>
      <c r="AE2492" s="5" t="s">
        <v>4713</v>
      </c>
      <c r="AF2492" s="5" t="s">
        <v>5901</v>
      </c>
      <c r="AG2492" s="5" t="s">
        <v>5492</v>
      </c>
    </row>
    <row r="2493" spans="1:33" ht="10" customHeight="1" x14ac:dyDescent="0.2">
      <c r="A2493" s="5" t="s">
        <v>5444</v>
      </c>
      <c r="B2493" s="5" t="s">
        <v>4709</v>
      </c>
      <c r="D2493" s="5" t="s">
        <v>5936</v>
      </c>
      <c r="E2493" s="10" t="s">
        <v>345</v>
      </c>
      <c r="F2493" s="5" t="s">
        <v>5899</v>
      </c>
      <c r="I2493" s="11">
        <v>2</v>
      </c>
      <c r="J2493" s="5" t="s">
        <v>4324</v>
      </c>
      <c r="K2493" s="12"/>
      <c r="O2493" s="12"/>
      <c r="P2493" s="13">
        <v>14782</v>
      </c>
      <c r="Q2493" s="13">
        <v>15226</v>
      </c>
      <c r="S2493" s="13">
        <v>15753</v>
      </c>
      <c r="AC2493" s="10" t="s">
        <v>5937</v>
      </c>
      <c r="AD2493" s="5" t="s">
        <v>1166</v>
      </c>
      <c r="AE2493" s="5" t="s">
        <v>4713</v>
      </c>
      <c r="AF2493" s="5" t="s">
        <v>5901</v>
      </c>
      <c r="AG2493" s="5" t="s">
        <v>5492</v>
      </c>
    </row>
    <row r="2494" spans="1:33" ht="10" customHeight="1" x14ac:dyDescent="0.2">
      <c r="A2494" s="5" t="s">
        <v>5444</v>
      </c>
      <c r="B2494" s="5" t="s">
        <v>4709</v>
      </c>
      <c r="D2494" s="5" t="s">
        <v>5938</v>
      </c>
      <c r="E2494" s="10" t="s">
        <v>345</v>
      </c>
      <c r="F2494" s="5" t="s">
        <v>5899</v>
      </c>
      <c r="I2494" s="11">
        <v>2</v>
      </c>
      <c r="J2494" s="5" t="s">
        <v>4324</v>
      </c>
      <c r="K2494" s="12"/>
      <c r="O2494" s="12"/>
      <c r="P2494" s="13">
        <v>274015</v>
      </c>
      <c r="Q2494" s="13">
        <v>255236</v>
      </c>
      <c r="S2494" s="13">
        <v>170139</v>
      </c>
      <c r="AC2494" s="10" t="s">
        <v>5939</v>
      </c>
      <c r="AD2494" s="5" t="s">
        <v>1166</v>
      </c>
      <c r="AE2494" s="5" t="s">
        <v>4713</v>
      </c>
      <c r="AF2494" s="5" t="s">
        <v>5901</v>
      </c>
      <c r="AG2494" s="5" t="s">
        <v>5492</v>
      </c>
    </row>
    <row r="2495" spans="1:33" ht="10" customHeight="1" x14ac:dyDescent="0.2">
      <c r="A2495" s="5" t="s">
        <v>5444</v>
      </c>
      <c r="B2495" s="5" t="s">
        <v>4709</v>
      </c>
      <c r="D2495" s="5" t="s">
        <v>5940</v>
      </c>
      <c r="E2495" s="10" t="s">
        <v>345</v>
      </c>
      <c r="F2495" s="5" t="s">
        <v>5899</v>
      </c>
      <c r="I2495" s="11">
        <v>2</v>
      </c>
      <c r="J2495" s="5" t="s">
        <v>4324</v>
      </c>
      <c r="K2495" s="12"/>
      <c r="O2495" s="12"/>
      <c r="P2495" s="13">
        <v>71531</v>
      </c>
      <c r="Q2495" s="13">
        <v>89606</v>
      </c>
      <c r="S2495" s="13">
        <v>73761</v>
      </c>
      <c r="AC2495" s="10" t="s">
        <v>5941</v>
      </c>
      <c r="AD2495" s="5" t="s">
        <v>1166</v>
      </c>
      <c r="AE2495" s="5" t="s">
        <v>4713</v>
      </c>
      <c r="AF2495" s="5" t="s">
        <v>5901</v>
      </c>
      <c r="AG2495" s="5" t="s">
        <v>5492</v>
      </c>
    </row>
    <row r="2496" spans="1:33" ht="10" customHeight="1" x14ac:dyDescent="0.2">
      <c r="A2496" s="5" t="s">
        <v>5444</v>
      </c>
      <c r="B2496" s="5" t="s">
        <v>4709</v>
      </c>
      <c r="D2496" s="5" t="s">
        <v>5942</v>
      </c>
      <c r="E2496" s="10" t="s">
        <v>345</v>
      </c>
      <c r="F2496" s="5" t="s">
        <v>5899</v>
      </c>
      <c r="I2496" s="11">
        <v>2</v>
      </c>
      <c r="J2496" s="5" t="s">
        <v>4324</v>
      </c>
      <c r="K2496" s="12"/>
      <c r="O2496" s="12"/>
      <c r="P2496" s="13">
        <v>25527</v>
      </c>
      <c r="Q2496" s="13">
        <v>41797</v>
      </c>
      <c r="S2496" s="13">
        <v>31891</v>
      </c>
      <c r="AC2496" s="10" t="s">
        <v>5943</v>
      </c>
      <c r="AD2496" s="5" t="s">
        <v>1166</v>
      </c>
      <c r="AE2496" s="5" t="s">
        <v>4713</v>
      </c>
      <c r="AF2496" s="5" t="s">
        <v>5901</v>
      </c>
      <c r="AG2496" s="5" t="s">
        <v>5492</v>
      </c>
    </row>
    <row r="2497" spans="1:33" ht="10" customHeight="1" x14ac:dyDescent="0.2">
      <c r="A2497" s="5" t="s">
        <v>5444</v>
      </c>
      <c r="B2497" s="5" t="s">
        <v>4709</v>
      </c>
      <c r="D2497" s="5" t="s">
        <v>5944</v>
      </c>
      <c r="E2497" s="10" t="s">
        <v>345</v>
      </c>
      <c r="F2497" s="5" t="s">
        <v>5899</v>
      </c>
      <c r="I2497" s="11">
        <v>2</v>
      </c>
      <c r="J2497" s="5" t="s">
        <v>4324</v>
      </c>
      <c r="K2497" s="12"/>
      <c r="O2497" s="12"/>
      <c r="P2497" s="13">
        <v>635666</v>
      </c>
      <c r="Q2497" s="13">
        <v>643370</v>
      </c>
      <c r="S2497" s="13">
        <v>689712</v>
      </c>
      <c r="AC2497" s="10" t="s">
        <v>5945</v>
      </c>
      <c r="AD2497" s="5" t="s">
        <v>1166</v>
      </c>
      <c r="AE2497" s="5" t="s">
        <v>4713</v>
      </c>
      <c r="AF2497" s="5" t="s">
        <v>5901</v>
      </c>
      <c r="AG2497" s="5" t="s">
        <v>5492</v>
      </c>
    </row>
    <row r="2498" spans="1:33" ht="10" customHeight="1" x14ac:dyDescent="0.2">
      <c r="A2498" s="5" t="s">
        <v>5444</v>
      </c>
      <c r="B2498" s="5" t="s">
        <v>4709</v>
      </c>
      <c r="D2498" s="5" t="s">
        <v>5946</v>
      </c>
      <c r="E2498" s="10" t="s">
        <v>345</v>
      </c>
      <c r="F2498" s="5" t="s">
        <v>5899</v>
      </c>
      <c r="I2498" s="11">
        <v>2</v>
      </c>
      <c r="J2498" s="5" t="s">
        <v>4324</v>
      </c>
      <c r="K2498" s="12"/>
      <c r="O2498" s="12"/>
      <c r="P2498" s="13">
        <v>36764</v>
      </c>
      <c r="Q2498" s="13">
        <v>37867</v>
      </c>
      <c r="S2498" s="13">
        <v>39179</v>
      </c>
      <c r="AC2498" s="10" t="s">
        <v>5947</v>
      </c>
      <c r="AD2498" s="5" t="s">
        <v>1166</v>
      </c>
      <c r="AE2498" s="5" t="s">
        <v>4713</v>
      </c>
      <c r="AF2498" s="5" t="s">
        <v>5901</v>
      </c>
      <c r="AG2498" s="5" t="s">
        <v>5492</v>
      </c>
    </row>
    <row r="2499" spans="1:33" ht="10" customHeight="1" x14ac:dyDescent="0.2">
      <c r="A2499" s="5" t="s">
        <v>5444</v>
      </c>
      <c r="B2499" s="5" t="s">
        <v>4709</v>
      </c>
      <c r="D2499" s="5" t="s">
        <v>5948</v>
      </c>
      <c r="E2499" s="10" t="s">
        <v>345</v>
      </c>
      <c r="F2499" s="5" t="s">
        <v>5899</v>
      </c>
      <c r="I2499" s="11">
        <v>2</v>
      </c>
      <c r="J2499" s="5" t="s">
        <v>4324</v>
      </c>
      <c r="K2499" s="12"/>
      <c r="O2499" s="12"/>
      <c r="P2499" s="13">
        <v>251251</v>
      </c>
      <c r="Q2499" s="13">
        <v>239927</v>
      </c>
      <c r="S2499" s="13">
        <v>241288</v>
      </c>
      <c r="AC2499" s="10" t="s">
        <v>5949</v>
      </c>
      <c r="AD2499" s="5" t="s">
        <v>1166</v>
      </c>
      <c r="AE2499" s="5" t="s">
        <v>4713</v>
      </c>
      <c r="AF2499" s="5" t="s">
        <v>5901</v>
      </c>
      <c r="AG2499" s="5" t="s">
        <v>5492</v>
      </c>
    </row>
    <row r="2500" spans="1:33" ht="10" customHeight="1" x14ac:dyDescent="0.2">
      <c r="A2500" s="5" t="s">
        <v>5444</v>
      </c>
      <c r="B2500" s="5" t="s">
        <v>4709</v>
      </c>
      <c r="D2500" s="5" t="s">
        <v>5950</v>
      </c>
      <c r="E2500" s="10" t="s">
        <v>345</v>
      </c>
      <c r="F2500" s="5" t="s">
        <v>5899</v>
      </c>
      <c r="I2500" s="11">
        <v>2</v>
      </c>
      <c r="J2500" s="5" t="s">
        <v>4324</v>
      </c>
      <c r="K2500" s="12"/>
      <c r="O2500" s="12"/>
      <c r="P2500" s="13">
        <v>11021</v>
      </c>
      <c r="Q2500" s="13">
        <v>8446</v>
      </c>
      <c r="S2500" s="13">
        <v>8656</v>
      </c>
      <c r="AC2500" s="10" t="s">
        <v>5951</v>
      </c>
      <c r="AD2500" s="5" t="s">
        <v>1166</v>
      </c>
      <c r="AE2500" s="5" t="s">
        <v>4713</v>
      </c>
      <c r="AF2500" s="5" t="s">
        <v>5901</v>
      </c>
      <c r="AG2500" s="5" t="s">
        <v>5492</v>
      </c>
    </row>
    <row r="2501" spans="1:33" ht="10" customHeight="1" x14ac:dyDescent="0.2">
      <c r="A2501" s="5" t="s">
        <v>5444</v>
      </c>
      <c r="B2501" s="5" t="s">
        <v>4709</v>
      </c>
      <c r="D2501" s="5" t="s">
        <v>5952</v>
      </c>
      <c r="E2501" s="10" t="s">
        <v>345</v>
      </c>
      <c r="F2501" s="5" t="s">
        <v>5899</v>
      </c>
      <c r="I2501" s="11">
        <v>2</v>
      </c>
      <c r="J2501" s="5" t="s">
        <v>4324</v>
      </c>
      <c r="K2501" s="12"/>
      <c r="O2501" s="12"/>
      <c r="P2501" s="13">
        <v>2038931</v>
      </c>
      <c r="Q2501" s="13">
        <v>2157265</v>
      </c>
      <c r="S2501" s="13">
        <v>2102193</v>
      </c>
      <c r="AC2501" s="10" t="s">
        <v>5953</v>
      </c>
      <c r="AD2501" s="5" t="s">
        <v>1166</v>
      </c>
      <c r="AE2501" s="5" t="s">
        <v>4713</v>
      </c>
      <c r="AF2501" s="5" t="s">
        <v>5901</v>
      </c>
      <c r="AG2501" s="5" t="s">
        <v>5492</v>
      </c>
    </row>
    <row r="2502" spans="1:33" ht="10" customHeight="1" x14ac:dyDescent="0.2">
      <c r="A2502" s="5" t="s">
        <v>5444</v>
      </c>
      <c r="B2502" s="5" t="s">
        <v>4709</v>
      </c>
      <c r="D2502" s="5" t="s">
        <v>5954</v>
      </c>
      <c r="E2502" s="10" t="s">
        <v>53</v>
      </c>
      <c r="F2502" s="5" t="s">
        <v>5955</v>
      </c>
      <c r="I2502" s="11">
        <v>7</v>
      </c>
      <c r="J2502" s="5" t="s">
        <v>5513</v>
      </c>
      <c r="K2502" s="12"/>
      <c r="O2502" s="12"/>
      <c r="P2502" s="13">
        <v>15344</v>
      </c>
      <c r="Q2502" s="13">
        <v>15666</v>
      </c>
      <c r="S2502" s="13">
        <v>15995</v>
      </c>
      <c r="AC2502" s="10" t="s">
        <v>5956</v>
      </c>
      <c r="AD2502" s="5" t="s">
        <v>1203</v>
      </c>
      <c r="AE2502" s="5" t="s">
        <v>4713</v>
      </c>
      <c r="AF2502" s="5" t="s">
        <v>5901</v>
      </c>
      <c r="AG2502" s="5" t="s">
        <v>5516</v>
      </c>
    </row>
    <row r="2503" spans="1:33" ht="10" customHeight="1" x14ac:dyDescent="0.2">
      <c r="A2503" s="5" t="s">
        <v>5444</v>
      </c>
      <c r="B2503" s="5" t="s">
        <v>4709</v>
      </c>
      <c r="D2503" s="5" t="s">
        <v>5957</v>
      </c>
      <c r="E2503" s="10" t="s">
        <v>53</v>
      </c>
      <c r="F2503" s="5" t="s">
        <v>5955</v>
      </c>
      <c r="I2503" s="11">
        <v>7</v>
      </c>
      <c r="J2503" s="5" t="s">
        <v>5513</v>
      </c>
      <c r="K2503" s="12"/>
      <c r="O2503" s="12"/>
      <c r="P2503" s="13">
        <v>9750</v>
      </c>
      <c r="Q2503" s="13">
        <v>54852</v>
      </c>
      <c r="S2503" s="13">
        <v>0</v>
      </c>
      <c r="AC2503" s="10" t="s">
        <v>5958</v>
      </c>
      <c r="AD2503" s="5" t="s">
        <v>1203</v>
      </c>
      <c r="AE2503" s="5" t="s">
        <v>4713</v>
      </c>
      <c r="AF2503" s="5" t="s">
        <v>5901</v>
      </c>
      <c r="AG2503" s="5" t="s">
        <v>5516</v>
      </c>
    </row>
    <row r="2504" spans="1:33" ht="10" customHeight="1" x14ac:dyDescent="0.2">
      <c r="A2504" s="5" t="s">
        <v>5444</v>
      </c>
      <c r="B2504" s="5" t="s">
        <v>4709</v>
      </c>
      <c r="D2504" s="5" t="s">
        <v>5959</v>
      </c>
      <c r="E2504" s="10" t="s">
        <v>53</v>
      </c>
      <c r="F2504" s="5" t="s">
        <v>5955</v>
      </c>
      <c r="I2504" s="11">
        <v>7</v>
      </c>
      <c r="J2504" s="5" t="s">
        <v>5513</v>
      </c>
      <c r="K2504" s="12"/>
      <c r="O2504" s="12"/>
      <c r="P2504" s="13">
        <v>54098</v>
      </c>
      <c r="Q2504" s="13">
        <v>203185</v>
      </c>
      <c r="S2504" s="13">
        <v>45998</v>
      </c>
      <c r="AC2504" s="10" t="s">
        <v>5960</v>
      </c>
      <c r="AD2504" s="5" t="s">
        <v>1203</v>
      </c>
      <c r="AE2504" s="5" t="s">
        <v>4713</v>
      </c>
      <c r="AF2504" s="5" t="s">
        <v>5901</v>
      </c>
      <c r="AG2504" s="5" t="s">
        <v>5516</v>
      </c>
    </row>
    <row r="2505" spans="1:33" ht="10" customHeight="1" x14ac:dyDescent="0.2">
      <c r="A2505" s="5" t="s">
        <v>5444</v>
      </c>
      <c r="B2505" s="5" t="s">
        <v>4709</v>
      </c>
      <c r="D2505" s="5" t="s">
        <v>5961</v>
      </c>
      <c r="E2505" s="10" t="s">
        <v>53</v>
      </c>
      <c r="F2505" s="5" t="s">
        <v>5955</v>
      </c>
      <c r="I2505" s="11">
        <v>7</v>
      </c>
      <c r="J2505" s="5" t="s">
        <v>5513</v>
      </c>
      <c r="K2505" s="12"/>
      <c r="O2505" s="12"/>
      <c r="P2505" s="13">
        <v>0</v>
      </c>
      <c r="Q2505" s="13">
        <v>0</v>
      </c>
      <c r="S2505" s="13">
        <v>0</v>
      </c>
      <c r="AC2505" s="10" t="s">
        <v>5962</v>
      </c>
      <c r="AD2505" s="5" t="s">
        <v>1203</v>
      </c>
      <c r="AE2505" s="5" t="s">
        <v>4713</v>
      </c>
      <c r="AF2505" s="5" t="s">
        <v>5901</v>
      </c>
      <c r="AG2505" s="5" t="s">
        <v>5516</v>
      </c>
    </row>
    <row r="2506" spans="1:33" ht="10" customHeight="1" x14ac:dyDescent="0.2">
      <c r="A2506" s="5" t="s">
        <v>5444</v>
      </c>
      <c r="B2506" s="5" t="s">
        <v>4709</v>
      </c>
      <c r="D2506" s="5" t="s">
        <v>5963</v>
      </c>
      <c r="E2506" s="10" t="s">
        <v>53</v>
      </c>
      <c r="F2506" s="5" t="s">
        <v>5955</v>
      </c>
      <c r="I2506" s="11">
        <v>7</v>
      </c>
      <c r="J2506" s="5" t="s">
        <v>5513</v>
      </c>
      <c r="K2506" s="12"/>
      <c r="O2506" s="12"/>
      <c r="P2506" s="13">
        <v>81082</v>
      </c>
      <c r="Q2506" s="13">
        <v>54366</v>
      </c>
      <c r="S2506" s="13">
        <v>281883</v>
      </c>
      <c r="AC2506" s="10" t="s">
        <v>5964</v>
      </c>
      <c r="AD2506" s="5" t="s">
        <v>1203</v>
      </c>
      <c r="AE2506" s="5" t="s">
        <v>4713</v>
      </c>
      <c r="AF2506" s="5" t="s">
        <v>5901</v>
      </c>
      <c r="AG2506" s="5" t="s">
        <v>5516</v>
      </c>
    </row>
    <row r="2507" spans="1:33" ht="10" customHeight="1" x14ac:dyDescent="0.2">
      <c r="A2507" s="5" t="s">
        <v>5444</v>
      </c>
      <c r="B2507" s="5" t="s">
        <v>4709</v>
      </c>
      <c r="D2507" s="5" t="s">
        <v>5965</v>
      </c>
      <c r="E2507" s="10" t="s">
        <v>44</v>
      </c>
      <c r="I2507" s="11">
        <v>7</v>
      </c>
      <c r="J2507" s="5" t="s">
        <v>5513</v>
      </c>
      <c r="K2507" s="12"/>
      <c r="O2507" s="12"/>
      <c r="P2507" s="13">
        <v>160274</v>
      </c>
      <c r="Q2507" s="13">
        <v>328069</v>
      </c>
      <c r="S2507" s="13">
        <v>343876</v>
      </c>
      <c r="AC2507" s="10" t="s">
        <v>5966</v>
      </c>
      <c r="AD2507" s="5" t="s">
        <v>1203</v>
      </c>
      <c r="AE2507" s="5" t="s">
        <v>4713</v>
      </c>
      <c r="AF2507" s="5" t="s">
        <v>5901</v>
      </c>
      <c r="AG2507" s="5" t="s">
        <v>5516</v>
      </c>
    </row>
    <row r="2508" spans="1:33" ht="10" customHeight="1" x14ac:dyDescent="0.2">
      <c r="A2508" s="5" t="s">
        <v>5444</v>
      </c>
      <c r="B2508" s="5" t="s">
        <v>4709</v>
      </c>
      <c r="D2508" s="5" t="s">
        <v>5967</v>
      </c>
      <c r="E2508" s="10" t="s">
        <v>53</v>
      </c>
      <c r="F2508" s="5" t="s">
        <v>5955</v>
      </c>
      <c r="I2508" s="11">
        <v>7</v>
      </c>
      <c r="J2508" s="5" t="s">
        <v>5513</v>
      </c>
      <c r="K2508" s="12"/>
      <c r="O2508" s="12"/>
      <c r="P2508" s="13">
        <v>1349</v>
      </c>
      <c r="AC2508" s="10" t="s">
        <v>5968</v>
      </c>
      <c r="AD2508" s="5" t="s">
        <v>1203</v>
      </c>
      <c r="AE2508" s="5" t="s">
        <v>4713</v>
      </c>
      <c r="AF2508" s="5" t="s">
        <v>5901</v>
      </c>
      <c r="AG2508" s="5" t="s">
        <v>5529</v>
      </c>
    </row>
    <row r="2509" spans="1:33" ht="10" customHeight="1" x14ac:dyDescent="0.2">
      <c r="A2509" s="5" t="s">
        <v>5444</v>
      </c>
      <c r="B2509" s="5" t="s">
        <v>4709</v>
      </c>
      <c r="D2509" s="5" t="s">
        <v>5969</v>
      </c>
      <c r="E2509" s="10" t="s">
        <v>53</v>
      </c>
      <c r="F2509" s="5" t="s">
        <v>5955</v>
      </c>
      <c r="I2509" s="11">
        <v>7</v>
      </c>
      <c r="J2509" s="5" t="s">
        <v>5513</v>
      </c>
      <c r="K2509" s="12"/>
      <c r="O2509" s="12"/>
      <c r="P2509" s="13">
        <v>26</v>
      </c>
      <c r="AC2509" s="10" t="s">
        <v>5970</v>
      </c>
      <c r="AD2509" s="5" t="s">
        <v>1203</v>
      </c>
      <c r="AE2509" s="5" t="s">
        <v>4713</v>
      </c>
      <c r="AF2509" s="5" t="s">
        <v>5901</v>
      </c>
      <c r="AG2509" s="5" t="s">
        <v>5529</v>
      </c>
    </row>
    <row r="2510" spans="1:33" ht="10" customHeight="1" x14ac:dyDescent="0.2">
      <c r="A2510" s="5" t="s">
        <v>5444</v>
      </c>
      <c r="B2510" s="5" t="s">
        <v>4709</v>
      </c>
      <c r="D2510" s="5" t="s">
        <v>5971</v>
      </c>
      <c r="E2510" s="10" t="s">
        <v>53</v>
      </c>
      <c r="F2510" s="5" t="s">
        <v>5955</v>
      </c>
      <c r="I2510" s="11">
        <v>7</v>
      </c>
      <c r="J2510" s="5" t="s">
        <v>5513</v>
      </c>
      <c r="K2510" s="12"/>
      <c r="O2510" s="12"/>
      <c r="P2510" s="13">
        <v>1123</v>
      </c>
      <c r="AC2510" s="10" t="s">
        <v>5972</v>
      </c>
      <c r="AD2510" s="5" t="s">
        <v>1203</v>
      </c>
      <c r="AE2510" s="5" t="s">
        <v>4713</v>
      </c>
      <c r="AF2510" s="5" t="s">
        <v>5901</v>
      </c>
      <c r="AG2510" s="5" t="s">
        <v>5529</v>
      </c>
    </row>
    <row r="2511" spans="1:33" ht="10" customHeight="1" x14ac:dyDescent="0.2">
      <c r="A2511" s="5" t="s">
        <v>5444</v>
      </c>
      <c r="B2511" s="5" t="s">
        <v>4709</v>
      </c>
      <c r="D2511" s="5" t="s">
        <v>5973</v>
      </c>
      <c r="E2511" s="10" t="s">
        <v>53</v>
      </c>
      <c r="F2511" s="5" t="s">
        <v>5955</v>
      </c>
      <c r="I2511" s="11">
        <v>7</v>
      </c>
      <c r="J2511" s="5" t="s">
        <v>5513</v>
      </c>
      <c r="K2511" s="12"/>
      <c r="O2511" s="12"/>
      <c r="P2511" s="13">
        <v>3158</v>
      </c>
      <c r="AC2511" s="10" t="s">
        <v>5974</v>
      </c>
      <c r="AD2511" s="5" t="s">
        <v>1203</v>
      </c>
      <c r="AE2511" s="5" t="s">
        <v>4713</v>
      </c>
      <c r="AF2511" s="5" t="s">
        <v>5901</v>
      </c>
      <c r="AG2511" s="5" t="s">
        <v>5529</v>
      </c>
    </row>
    <row r="2512" spans="1:33" ht="10" customHeight="1" x14ac:dyDescent="0.2">
      <c r="A2512" s="5" t="s">
        <v>5444</v>
      </c>
      <c r="B2512" s="5" t="s">
        <v>4709</v>
      </c>
      <c r="D2512" s="5" t="s">
        <v>5975</v>
      </c>
      <c r="E2512" s="10" t="s">
        <v>53</v>
      </c>
      <c r="F2512" s="5" t="s">
        <v>5955</v>
      </c>
      <c r="I2512" s="11">
        <v>7</v>
      </c>
      <c r="J2512" s="5" t="s">
        <v>5513</v>
      </c>
      <c r="K2512" s="12"/>
      <c r="O2512" s="12"/>
      <c r="P2512" s="13">
        <v>1936</v>
      </c>
      <c r="AC2512" s="10" t="s">
        <v>5976</v>
      </c>
      <c r="AD2512" s="5" t="s">
        <v>1203</v>
      </c>
      <c r="AE2512" s="5" t="s">
        <v>4713</v>
      </c>
      <c r="AF2512" s="5" t="s">
        <v>5901</v>
      </c>
      <c r="AG2512" s="5" t="s">
        <v>5529</v>
      </c>
    </row>
    <row r="2513" spans="1:33" ht="10" customHeight="1" x14ac:dyDescent="0.2">
      <c r="A2513" s="5" t="s">
        <v>5444</v>
      </c>
      <c r="B2513" s="5" t="s">
        <v>4709</v>
      </c>
      <c r="D2513" s="5" t="s">
        <v>5977</v>
      </c>
      <c r="E2513" s="10" t="s">
        <v>53</v>
      </c>
      <c r="F2513" s="5" t="s">
        <v>5955</v>
      </c>
      <c r="I2513" s="11">
        <v>7</v>
      </c>
      <c r="J2513" s="5" t="s">
        <v>5513</v>
      </c>
      <c r="K2513" s="12"/>
      <c r="O2513" s="12"/>
      <c r="P2513" s="13">
        <v>2158</v>
      </c>
      <c r="AC2513" s="10" t="s">
        <v>5978</v>
      </c>
      <c r="AD2513" s="5" t="s">
        <v>1203</v>
      </c>
      <c r="AE2513" s="5" t="s">
        <v>4713</v>
      </c>
      <c r="AF2513" s="5" t="s">
        <v>5901</v>
      </c>
      <c r="AG2513" s="5" t="s">
        <v>5529</v>
      </c>
    </row>
    <row r="2514" spans="1:33" ht="10" customHeight="1" x14ac:dyDescent="0.2">
      <c r="A2514" s="5" t="s">
        <v>5444</v>
      </c>
      <c r="B2514" s="5" t="s">
        <v>4709</v>
      </c>
      <c r="D2514" s="5" t="s">
        <v>5979</v>
      </c>
      <c r="E2514" s="10" t="s">
        <v>53</v>
      </c>
      <c r="F2514" s="5" t="s">
        <v>5955</v>
      </c>
      <c r="I2514" s="11">
        <v>7</v>
      </c>
      <c r="J2514" s="5" t="s">
        <v>5513</v>
      </c>
      <c r="K2514" s="12"/>
      <c r="O2514" s="12"/>
      <c r="Q2514" s="13">
        <v>49287</v>
      </c>
      <c r="AC2514" s="10" t="s">
        <v>5980</v>
      </c>
      <c r="AD2514" s="5" t="s">
        <v>1203</v>
      </c>
      <c r="AE2514" s="5" t="s">
        <v>4713</v>
      </c>
      <c r="AF2514" s="5" t="s">
        <v>5901</v>
      </c>
      <c r="AG2514" s="5" t="s">
        <v>5529</v>
      </c>
    </row>
    <row r="2515" spans="1:33" ht="10" customHeight="1" x14ac:dyDescent="0.2">
      <c r="A2515" s="5" t="s">
        <v>5444</v>
      </c>
      <c r="B2515" s="5" t="s">
        <v>4709</v>
      </c>
      <c r="D2515" s="5" t="s">
        <v>5981</v>
      </c>
      <c r="E2515" s="10" t="s">
        <v>53</v>
      </c>
      <c r="F2515" s="5" t="s">
        <v>5955</v>
      </c>
      <c r="I2515" s="11">
        <v>7</v>
      </c>
      <c r="J2515" s="5" t="s">
        <v>5513</v>
      </c>
      <c r="K2515" s="12"/>
      <c r="O2515" s="12"/>
      <c r="Q2515" s="13">
        <v>490</v>
      </c>
      <c r="AC2515" s="10" t="s">
        <v>5982</v>
      </c>
      <c r="AD2515" s="5" t="s">
        <v>1203</v>
      </c>
      <c r="AE2515" s="5" t="s">
        <v>4713</v>
      </c>
      <c r="AF2515" s="5" t="s">
        <v>5901</v>
      </c>
      <c r="AG2515" s="5" t="s">
        <v>5529</v>
      </c>
    </row>
    <row r="2516" spans="1:33" ht="10" customHeight="1" x14ac:dyDescent="0.2">
      <c r="A2516" s="5" t="s">
        <v>5444</v>
      </c>
      <c r="B2516" s="5" t="s">
        <v>4709</v>
      </c>
      <c r="D2516" s="5" t="s">
        <v>5977</v>
      </c>
      <c r="E2516" s="10" t="s">
        <v>53</v>
      </c>
      <c r="F2516" s="5" t="s">
        <v>5955</v>
      </c>
      <c r="I2516" s="11">
        <v>7</v>
      </c>
      <c r="J2516" s="5" t="s">
        <v>5513</v>
      </c>
      <c r="K2516" s="12"/>
      <c r="O2516" s="12"/>
      <c r="Q2516" s="13">
        <v>2199</v>
      </c>
      <c r="AC2516" s="10" t="s">
        <v>5978</v>
      </c>
      <c r="AD2516" s="5" t="s">
        <v>1203</v>
      </c>
      <c r="AE2516" s="5" t="s">
        <v>4713</v>
      </c>
      <c r="AF2516" s="5" t="s">
        <v>5901</v>
      </c>
      <c r="AG2516" s="5" t="s">
        <v>5529</v>
      </c>
    </row>
    <row r="2517" spans="1:33" ht="10" customHeight="1" x14ac:dyDescent="0.2">
      <c r="A2517" s="5" t="s">
        <v>5444</v>
      </c>
      <c r="B2517" s="5" t="s">
        <v>4709</v>
      </c>
      <c r="D2517" s="5" t="s">
        <v>5983</v>
      </c>
      <c r="E2517" s="10" t="s">
        <v>53</v>
      </c>
      <c r="F2517" s="5" t="s">
        <v>5955</v>
      </c>
      <c r="I2517" s="11">
        <v>7</v>
      </c>
      <c r="J2517" s="5" t="s">
        <v>5513</v>
      </c>
      <c r="K2517" s="12"/>
      <c r="O2517" s="12"/>
      <c r="Q2517" s="13">
        <v>2876</v>
      </c>
      <c r="AC2517" s="10" t="s">
        <v>5984</v>
      </c>
      <c r="AD2517" s="5" t="s">
        <v>1203</v>
      </c>
      <c r="AE2517" s="5" t="s">
        <v>4713</v>
      </c>
      <c r="AF2517" s="5" t="s">
        <v>5901</v>
      </c>
      <c r="AG2517" s="5" t="s">
        <v>5529</v>
      </c>
    </row>
    <row r="2518" spans="1:33" ht="10" customHeight="1" x14ac:dyDescent="0.2">
      <c r="A2518" s="5" t="s">
        <v>5444</v>
      </c>
      <c r="B2518" s="5" t="s">
        <v>4709</v>
      </c>
      <c r="D2518" s="5" t="s">
        <v>5985</v>
      </c>
      <c r="E2518" s="10" t="s">
        <v>53</v>
      </c>
      <c r="F2518" s="5" t="s">
        <v>5955</v>
      </c>
      <c r="I2518" s="11">
        <v>7</v>
      </c>
      <c r="J2518" s="5" t="s">
        <v>5513</v>
      </c>
      <c r="K2518" s="12"/>
      <c r="O2518" s="12"/>
      <c r="S2518" s="13">
        <v>139280</v>
      </c>
      <c r="AC2518" s="10" t="s">
        <v>5986</v>
      </c>
      <c r="AD2518" s="5" t="s">
        <v>1203</v>
      </c>
      <c r="AE2518" s="5" t="s">
        <v>4713</v>
      </c>
      <c r="AF2518" s="5" t="s">
        <v>5901</v>
      </c>
      <c r="AG2518" s="5" t="s">
        <v>5529</v>
      </c>
    </row>
    <row r="2519" spans="1:33" ht="10" customHeight="1" x14ac:dyDescent="0.2">
      <c r="A2519" s="5" t="s">
        <v>5444</v>
      </c>
      <c r="B2519" s="5" t="s">
        <v>4709</v>
      </c>
      <c r="D2519" s="5" t="s">
        <v>5987</v>
      </c>
      <c r="E2519" s="10" t="s">
        <v>53</v>
      </c>
      <c r="F2519" s="5" t="s">
        <v>5955</v>
      </c>
      <c r="I2519" s="11">
        <v>7</v>
      </c>
      <c r="J2519" s="5" t="s">
        <v>5513</v>
      </c>
      <c r="K2519" s="12"/>
      <c r="O2519" s="12"/>
      <c r="P2519" s="13">
        <v>81082</v>
      </c>
      <c r="AC2519" s="10" t="s">
        <v>5988</v>
      </c>
      <c r="AD2519" s="5" t="s">
        <v>1214</v>
      </c>
      <c r="AE2519" s="5" t="s">
        <v>4713</v>
      </c>
      <c r="AF2519" s="5" t="s">
        <v>5901</v>
      </c>
      <c r="AG2519" s="5" t="s">
        <v>5544</v>
      </c>
    </row>
    <row r="2520" spans="1:33" ht="10" customHeight="1" x14ac:dyDescent="0.2">
      <c r="A2520" s="5" t="s">
        <v>5444</v>
      </c>
      <c r="B2520" s="5" t="s">
        <v>4709</v>
      </c>
      <c r="D2520" s="5" t="s">
        <v>5989</v>
      </c>
      <c r="E2520" s="10" t="s">
        <v>53</v>
      </c>
      <c r="F2520" s="5" t="s">
        <v>5955</v>
      </c>
      <c r="I2520" s="11">
        <v>7</v>
      </c>
      <c r="J2520" s="5" t="s">
        <v>5513</v>
      </c>
      <c r="K2520" s="12"/>
      <c r="O2520" s="12"/>
      <c r="Q2520" s="13">
        <v>54366</v>
      </c>
      <c r="AC2520" s="10" t="s">
        <v>5990</v>
      </c>
      <c r="AD2520" s="5" t="s">
        <v>1214</v>
      </c>
      <c r="AE2520" s="5" t="s">
        <v>4713</v>
      </c>
      <c r="AF2520" s="5" t="s">
        <v>5901</v>
      </c>
      <c r="AG2520" s="5" t="s">
        <v>5544</v>
      </c>
    </row>
    <row r="2521" spans="1:33" ht="10" customHeight="1" x14ac:dyDescent="0.2">
      <c r="A2521" s="5" t="s">
        <v>5444</v>
      </c>
      <c r="B2521" s="5" t="s">
        <v>4709</v>
      </c>
      <c r="D2521" s="5" t="s">
        <v>5991</v>
      </c>
      <c r="E2521" s="10" t="s">
        <v>53</v>
      </c>
      <c r="F2521" s="5" t="s">
        <v>5955</v>
      </c>
      <c r="I2521" s="11">
        <v>7</v>
      </c>
      <c r="J2521" s="5" t="s">
        <v>5513</v>
      </c>
      <c r="K2521" s="12"/>
      <c r="O2521" s="12"/>
      <c r="S2521" s="13">
        <v>188576</v>
      </c>
      <c r="AC2521" s="10" t="s">
        <v>5992</v>
      </c>
      <c r="AD2521" s="5" t="s">
        <v>1214</v>
      </c>
      <c r="AE2521" s="5" t="s">
        <v>4713</v>
      </c>
      <c r="AF2521" s="5" t="s">
        <v>5901</v>
      </c>
      <c r="AG2521" s="5" t="s">
        <v>5544</v>
      </c>
    </row>
    <row r="2522" spans="1:33" ht="10" customHeight="1" x14ac:dyDescent="0.2">
      <c r="A2522" s="5" t="s">
        <v>5444</v>
      </c>
      <c r="B2522" s="5" t="s">
        <v>4709</v>
      </c>
      <c r="D2522" s="5" t="s">
        <v>5993</v>
      </c>
      <c r="E2522" s="10" t="s">
        <v>53</v>
      </c>
      <c r="F2522" s="5" t="s">
        <v>5955</v>
      </c>
      <c r="I2522" s="11">
        <v>7</v>
      </c>
      <c r="J2522" s="5" t="s">
        <v>5513</v>
      </c>
      <c r="K2522" s="12"/>
      <c r="O2522" s="12"/>
      <c r="S2522" s="13">
        <v>93307</v>
      </c>
      <c r="AC2522" s="10" t="s">
        <v>5994</v>
      </c>
      <c r="AD2522" s="5" t="s">
        <v>1214</v>
      </c>
      <c r="AE2522" s="5" t="s">
        <v>4713</v>
      </c>
      <c r="AF2522" s="5" t="s">
        <v>5901</v>
      </c>
      <c r="AG2522" s="5" t="s">
        <v>5544</v>
      </c>
    </row>
    <row r="2523" spans="1:33" ht="10" customHeight="1" x14ac:dyDescent="0.2">
      <c r="A2523" s="5" t="s">
        <v>5444</v>
      </c>
      <c r="B2523" s="5" t="s">
        <v>4709</v>
      </c>
      <c r="D2523" s="5" t="s">
        <v>5995</v>
      </c>
      <c r="E2523" s="10" t="s">
        <v>184</v>
      </c>
      <c r="I2523" s="11">
        <v>2</v>
      </c>
      <c r="J2523" s="5" t="s">
        <v>5550</v>
      </c>
      <c r="K2523" s="10" t="s">
        <v>46</v>
      </c>
      <c r="L2523" s="5" t="s">
        <v>47</v>
      </c>
      <c r="M2523" s="5" t="s">
        <v>48</v>
      </c>
      <c r="N2523" s="5" t="s">
        <v>84</v>
      </c>
      <c r="O2523" s="12"/>
      <c r="AC2523" s="10" t="s">
        <v>5996</v>
      </c>
      <c r="AD2523" s="5" t="s">
        <v>1225</v>
      </c>
      <c r="AE2523" s="5" t="s">
        <v>4713</v>
      </c>
      <c r="AF2523" s="5" t="s">
        <v>5901</v>
      </c>
      <c r="AG2523" s="5" t="s">
        <v>5550</v>
      </c>
    </row>
    <row r="2524" spans="1:33" ht="10" customHeight="1" x14ac:dyDescent="0.2">
      <c r="A2524" s="5" t="s">
        <v>5444</v>
      </c>
      <c r="B2524" s="5" t="s">
        <v>4709</v>
      </c>
      <c r="D2524" s="5" t="s">
        <v>5997</v>
      </c>
      <c r="E2524" s="10" t="s">
        <v>184</v>
      </c>
      <c r="I2524" s="11">
        <v>2</v>
      </c>
      <c r="J2524" s="5" t="s">
        <v>5550</v>
      </c>
      <c r="K2524" s="10" t="s">
        <v>46</v>
      </c>
      <c r="L2524" s="5" t="s">
        <v>47</v>
      </c>
      <c r="M2524" s="5" t="s">
        <v>4962</v>
      </c>
      <c r="N2524" s="5" t="s">
        <v>4963</v>
      </c>
      <c r="O2524" s="12"/>
      <c r="AC2524" s="10" t="s">
        <v>5998</v>
      </c>
      <c r="AD2524" s="5" t="s">
        <v>1225</v>
      </c>
      <c r="AE2524" s="5" t="s">
        <v>4713</v>
      </c>
      <c r="AF2524" s="5" t="s">
        <v>5901</v>
      </c>
      <c r="AG2524" s="5" t="s">
        <v>5550</v>
      </c>
    </row>
    <row r="2525" spans="1:33" ht="10" customHeight="1" x14ac:dyDescent="0.2">
      <c r="A2525" s="5" t="s">
        <v>5444</v>
      </c>
      <c r="B2525" s="5" t="s">
        <v>4709</v>
      </c>
      <c r="D2525" s="5" t="s">
        <v>5999</v>
      </c>
      <c r="E2525" s="10" t="s">
        <v>184</v>
      </c>
      <c r="I2525" s="11">
        <v>2</v>
      </c>
      <c r="J2525" s="5" t="s">
        <v>5550</v>
      </c>
      <c r="K2525" s="10" t="s">
        <v>46</v>
      </c>
      <c r="L2525" s="5" t="s">
        <v>47</v>
      </c>
      <c r="M2525" s="5" t="s">
        <v>48</v>
      </c>
      <c r="N2525" s="5" t="s">
        <v>84</v>
      </c>
      <c r="O2525" s="12"/>
      <c r="AC2525" s="10" t="s">
        <v>6000</v>
      </c>
      <c r="AD2525" s="5" t="s">
        <v>1225</v>
      </c>
      <c r="AE2525" s="5" t="s">
        <v>4713</v>
      </c>
      <c r="AF2525" s="5" t="s">
        <v>5901</v>
      </c>
      <c r="AG2525" s="5" t="s">
        <v>5550</v>
      </c>
    </row>
    <row r="2526" spans="1:33" ht="10" customHeight="1" x14ac:dyDescent="0.2">
      <c r="A2526" s="5" t="s">
        <v>5444</v>
      </c>
      <c r="B2526" s="5" t="s">
        <v>4709</v>
      </c>
      <c r="D2526" s="5" t="s">
        <v>6001</v>
      </c>
      <c r="E2526" s="10" t="s">
        <v>184</v>
      </c>
      <c r="I2526" s="11">
        <v>5</v>
      </c>
      <c r="J2526" s="5" t="s">
        <v>5550</v>
      </c>
      <c r="K2526" s="10" t="s">
        <v>46</v>
      </c>
      <c r="L2526" s="5" t="s">
        <v>47</v>
      </c>
      <c r="M2526" s="5" t="s">
        <v>48</v>
      </c>
      <c r="N2526" s="5" t="s">
        <v>84</v>
      </c>
      <c r="O2526" s="12"/>
      <c r="AC2526" s="10" t="s">
        <v>6002</v>
      </c>
      <c r="AD2526" s="5" t="s">
        <v>1225</v>
      </c>
      <c r="AE2526" s="5" t="s">
        <v>4713</v>
      </c>
      <c r="AF2526" s="5" t="s">
        <v>5901</v>
      </c>
      <c r="AG2526" s="5" t="s">
        <v>5550</v>
      </c>
    </row>
    <row r="2527" spans="1:33" ht="10" customHeight="1" x14ac:dyDescent="0.2">
      <c r="A2527" s="5" t="s">
        <v>5444</v>
      </c>
      <c r="B2527" s="5" t="s">
        <v>4709</v>
      </c>
      <c r="D2527" s="5" t="s">
        <v>6003</v>
      </c>
      <c r="E2527" s="10" t="s">
        <v>184</v>
      </c>
      <c r="I2527" s="11">
        <v>2</v>
      </c>
      <c r="J2527" s="5" t="s">
        <v>5550</v>
      </c>
      <c r="K2527" s="10" t="s">
        <v>46</v>
      </c>
      <c r="L2527" s="5" t="s">
        <v>47</v>
      </c>
      <c r="M2527" s="5" t="s">
        <v>48</v>
      </c>
      <c r="N2527" s="5" t="s">
        <v>84</v>
      </c>
      <c r="O2527" s="12"/>
      <c r="AC2527" s="10" t="s">
        <v>6004</v>
      </c>
      <c r="AD2527" s="5" t="s">
        <v>1225</v>
      </c>
      <c r="AE2527" s="5" t="s">
        <v>4713</v>
      </c>
      <c r="AF2527" s="5" t="s">
        <v>5901</v>
      </c>
      <c r="AG2527" s="5" t="s">
        <v>5550</v>
      </c>
    </row>
    <row r="2528" spans="1:33" ht="10" customHeight="1" x14ac:dyDescent="0.2">
      <c r="A2528" s="5" t="s">
        <v>5444</v>
      </c>
      <c r="B2528" s="5" t="s">
        <v>4709</v>
      </c>
      <c r="D2528" s="5" t="s">
        <v>6005</v>
      </c>
      <c r="E2528" s="10" t="s">
        <v>184</v>
      </c>
      <c r="I2528" s="11">
        <v>2</v>
      </c>
      <c r="J2528" s="5" t="s">
        <v>5550</v>
      </c>
      <c r="K2528" s="10" t="s">
        <v>46</v>
      </c>
      <c r="L2528" s="5" t="s">
        <v>47</v>
      </c>
      <c r="M2528" s="5" t="s">
        <v>48</v>
      </c>
      <c r="N2528" s="5" t="s">
        <v>84</v>
      </c>
      <c r="O2528" s="12"/>
      <c r="AC2528" s="10" t="s">
        <v>6006</v>
      </c>
      <c r="AD2528" s="5" t="s">
        <v>1225</v>
      </c>
      <c r="AE2528" s="5" t="s">
        <v>4713</v>
      </c>
      <c r="AF2528" s="5" t="s">
        <v>5901</v>
      </c>
      <c r="AG2528" s="5" t="s">
        <v>5550</v>
      </c>
    </row>
    <row r="2529" spans="1:33" ht="10" customHeight="1" x14ac:dyDescent="0.2">
      <c r="A2529" s="5" t="s">
        <v>5444</v>
      </c>
      <c r="B2529" s="5" t="s">
        <v>4709</v>
      </c>
      <c r="D2529" s="5" t="s">
        <v>6007</v>
      </c>
      <c r="E2529" s="10" t="s">
        <v>184</v>
      </c>
      <c r="I2529" s="11">
        <v>2</v>
      </c>
      <c r="J2529" s="5" t="s">
        <v>5550</v>
      </c>
      <c r="K2529" s="10" t="s">
        <v>46</v>
      </c>
      <c r="L2529" s="5" t="s">
        <v>47</v>
      </c>
      <c r="M2529" s="5" t="s">
        <v>145</v>
      </c>
      <c r="N2529" s="5" t="s">
        <v>4905</v>
      </c>
      <c r="O2529" s="12"/>
      <c r="AC2529" s="10" t="s">
        <v>6008</v>
      </c>
      <c r="AD2529" s="5" t="s">
        <v>1225</v>
      </c>
      <c r="AE2529" s="5" t="s">
        <v>4713</v>
      </c>
      <c r="AF2529" s="5" t="s">
        <v>5901</v>
      </c>
      <c r="AG2529" s="5" t="s">
        <v>5550</v>
      </c>
    </row>
    <row r="2530" spans="1:33" ht="10" customHeight="1" x14ac:dyDescent="0.2">
      <c r="A2530" s="5" t="s">
        <v>5444</v>
      </c>
      <c r="B2530" s="5" t="s">
        <v>4709</v>
      </c>
      <c r="D2530" s="5" t="s">
        <v>6009</v>
      </c>
      <c r="E2530" s="10" t="s">
        <v>184</v>
      </c>
      <c r="I2530" s="11">
        <v>2</v>
      </c>
      <c r="J2530" s="5" t="s">
        <v>5550</v>
      </c>
      <c r="K2530" s="10" t="s">
        <v>46</v>
      </c>
      <c r="L2530" s="5" t="s">
        <v>47</v>
      </c>
      <c r="M2530" s="5" t="s">
        <v>65</v>
      </c>
      <c r="N2530" s="5" t="s">
        <v>66</v>
      </c>
      <c r="O2530" s="12"/>
      <c r="AC2530" s="10" t="s">
        <v>6010</v>
      </c>
      <c r="AD2530" s="5" t="s">
        <v>1225</v>
      </c>
      <c r="AE2530" s="5" t="s">
        <v>4713</v>
      </c>
      <c r="AF2530" s="5" t="s">
        <v>5901</v>
      </c>
      <c r="AG2530" s="5" t="s">
        <v>5550</v>
      </c>
    </row>
    <row r="2531" spans="1:33" ht="10" customHeight="1" x14ac:dyDescent="0.2">
      <c r="A2531" s="5" t="s">
        <v>5444</v>
      </c>
      <c r="B2531" s="5" t="s">
        <v>4709</v>
      </c>
      <c r="D2531" s="5" t="s">
        <v>6011</v>
      </c>
      <c r="E2531" s="10" t="s">
        <v>184</v>
      </c>
      <c r="I2531" s="11">
        <v>5</v>
      </c>
      <c r="J2531" s="5" t="s">
        <v>5550</v>
      </c>
      <c r="K2531" s="10" t="s">
        <v>46</v>
      </c>
      <c r="L2531" s="5" t="s">
        <v>47</v>
      </c>
      <c r="M2531" s="5" t="s">
        <v>48</v>
      </c>
      <c r="N2531" s="5" t="s">
        <v>4748</v>
      </c>
      <c r="O2531" s="12"/>
      <c r="AC2531" s="10" t="s">
        <v>6012</v>
      </c>
      <c r="AD2531" s="5" t="s">
        <v>1225</v>
      </c>
      <c r="AE2531" s="5" t="s">
        <v>4713</v>
      </c>
      <c r="AF2531" s="5" t="s">
        <v>5901</v>
      </c>
      <c r="AG2531" s="5" t="s">
        <v>5550</v>
      </c>
    </row>
    <row r="2532" spans="1:33" ht="10" customHeight="1" x14ac:dyDescent="0.2">
      <c r="A2532" s="5" t="s">
        <v>5444</v>
      </c>
      <c r="B2532" s="5" t="s">
        <v>4709</v>
      </c>
      <c r="D2532" s="5" t="s">
        <v>6013</v>
      </c>
      <c r="E2532" s="10" t="s">
        <v>184</v>
      </c>
      <c r="I2532" s="11">
        <v>2</v>
      </c>
      <c r="J2532" s="5" t="s">
        <v>5550</v>
      </c>
      <c r="K2532" s="10" t="s">
        <v>46</v>
      </c>
      <c r="L2532" s="5" t="s">
        <v>47</v>
      </c>
      <c r="M2532" s="5" t="s">
        <v>65</v>
      </c>
      <c r="N2532" s="5" t="s">
        <v>66</v>
      </c>
      <c r="O2532" s="12"/>
      <c r="AC2532" s="10" t="s">
        <v>6014</v>
      </c>
      <c r="AD2532" s="5" t="s">
        <v>1225</v>
      </c>
      <c r="AE2532" s="5" t="s">
        <v>4713</v>
      </c>
      <c r="AF2532" s="5" t="s">
        <v>5901</v>
      </c>
      <c r="AG2532" s="5" t="s">
        <v>5550</v>
      </c>
    </row>
    <row r="2533" spans="1:33" ht="10" customHeight="1" x14ac:dyDescent="0.2">
      <c r="A2533" s="5" t="s">
        <v>5444</v>
      </c>
      <c r="B2533" s="5" t="s">
        <v>4709</v>
      </c>
      <c r="D2533" s="5" t="s">
        <v>6015</v>
      </c>
      <c r="E2533" s="10" t="s">
        <v>184</v>
      </c>
      <c r="I2533" s="11">
        <v>2</v>
      </c>
      <c r="J2533" s="5" t="s">
        <v>5550</v>
      </c>
      <c r="K2533" s="10" t="s">
        <v>46</v>
      </c>
      <c r="L2533" s="5" t="s">
        <v>47</v>
      </c>
      <c r="M2533" s="5" t="s">
        <v>48</v>
      </c>
      <c r="N2533" s="5" t="s">
        <v>4748</v>
      </c>
      <c r="O2533" s="12"/>
      <c r="AC2533" s="10" t="s">
        <v>6016</v>
      </c>
      <c r="AD2533" s="5" t="s">
        <v>1225</v>
      </c>
      <c r="AE2533" s="5" t="s">
        <v>4713</v>
      </c>
      <c r="AF2533" s="5" t="s">
        <v>5901</v>
      </c>
      <c r="AG2533" s="5" t="s">
        <v>5550</v>
      </c>
    </row>
    <row r="2534" spans="1:33" ht="10" customHeight="1" x14ac:dyDescent="0.2">
      <c r="A2534" s="5" t="s">
        <v>5444</v>
      </c>
      <c r="B2534" s="5" t="s">
        <v>4709</v>
      </c>
      <c r="D2534" s="5" t="s">
        <v>6017</v>
      </c>
      <c r="E2534" s="10" t="s">
        <v>184</v>
      </c>
      <c r="I2534" s="11">
        <v>2</v>
      </c>
      <c r="J2534" s="5" t="s">
        <v>5550</v>
      </c>
      <c r="K2534" s="10" t="s">
        <v>46</v>
      </c>
      <c r="L2534" s="5" t="s">
        <v>47</v>
      </c>
      <c r="M2534" s="5" t="s">
        <v>65</v>
      </c>
      <c r="N2534" s="5" t="s">
        <v>66</v>
      </c>
      <c r="O2534" s="12"/>
      <c r="AC2534" s="10" t="s">
        <v>6018</v>
      </c>
      <c r="AD2534" s="5" t="s">
        <v>1225</v>
      </c>
      <c r="AE2534" s="5" t="s">
        <v>4713</v>
      </c>
      <c r="AF2534" s="5" t="s">
        <v>5901</v>
      </c>
      <c r="AG2534" s="5" t="s">
        <v>5550</v>
      </c>
    </row>
    <row r="2535" spans="1:33" ht="10" customHeight="1" x14ac:dyDescent="0.2">
      <c r="A2535" s="5" t="s">
        <v>5444</v>
      </c>
      <c r="B2535" s="5" t="s">
        <v>4709</v>
      </c>
      <c r="D2535" s="5" t="s">
        <v>6019</v>
      </c>
      <c r="E2535" s="10" t="s">
        <v>184</v>
      </c>
      <c r="I2535" s="11">
        <v>5</v>
      </c>
      <c r="J2535" s="5" t="s">
        <v>5550</v>
      </c>
      <c r="K2535" s="10" t="s">
        <v>46</v>
      </c>
      <c r="L2535" s="5" t="s">
        <v>47</v>
      </c>
      <c r="M2535" s="5" t="s">
        <v>48</v>
      </c>
      <c r="N2535" s="5" t="s">
        <v>84</v>
      </c>
      <c r="O2535" s="12"/>
      <c r="AC2535" s="10" t="s">
        <v>6020</v>
      </c>
      <c r="AD2535" s="5" t="s">
        <v>1225</v>
      </c>
      <c r="AE2535" s="5" t="s">
        <v>4713</v>
      </c>
      <c r="AF2535" s="5" t="s">
        <v>5901</v>
      </c>
      <c r="AG2535" s="5" t="s">
        <v>5550</v>
      </c>
    </row>
    <row r="2536" spans="1:33" ht="10" customHeight="1" x14ac:dyDescent="0.2">
      <c r="A2536" s="5" t="s">
        <v>5444</v>
      </c>
      <c r="B2536" s="5" t="s">
        <v>4709</v>
      </c>
      <c r="D2536" s="5" t="s">
        <v>5737</v>
      </c>
      <c r="E2536" s="10" t="s">
        <v>184</v>
      </c>
      <c r="I2536" s="11">
        <v>2</v>
      </c>
      <c r="J2536" s="5" t="s">
        <v>5550</v>
      </c>
      <c r="K2536" s="10" t="s">
        <v>46</v>
      </c>
      <c r="L2536" s="5" t="s">
        <v>47</v>
      </c>
      <c r="M2536" s="5" t="s">
        <v>65</v>
      </c>
      <c r="N2536" s="5" t="s">
        <v>66</v>
      </c>
      <c r="O2536" s="12"/>
      <c r="AC2536" s="10" t="s">
        <v>6021</v>
      </c>
      <c r="AD2536" s="5" t="s">
        <v>1225</v>
      </c>
      <c r="AE2536" s="5" t="s">
        <v>4713</v>
      </c>
      <c r="AF2536" s="5" t="s">
        <v>5901</v>
      </c>
      <c r="AG2536" s="5" t="s">
        <v>5550</v>
      </c>
    </row>
    <row r="2537" spans="1:33" ht="10" customHeight="1" x14ac:dyDescent="0.2">
      <c r="A2537" s="5" t="s">
        <v>5444</v>
      </c>
      <c r="B2537" s="5" t="s">
        <v>4709</v>
      </c>
      <c r="D2537" s="5" t="s">
        <v>6022</v>
      </c>
      <c r="E2537" s="10" t="s">
        <v>184</v>
      </c>
      <c r="I2537" s="11">
        <v>2</v>
      </c>
      <c r="J2537" s="5" t="s">
        <v>5550</v>
      </c>
      <c r="K2537" s="10" t="s">
        <v>46</v>
      </c>
      <c r="L2537" s="5" t="s">
        <v>47</v>
      </c>
      <c r="M2537" s="5" t="s">
        <v>65</v>
      </c>
      <c r="N2537" s="5" t="s">
        <v>66</v>
      </c>
      <c r="O2537" s="12"/>
      <c r="AC2537" s="10" t="s">
        <v>6023</v>
      </c>
      <c r="AD2537" s="5" t="s">
        <v>1225</v>
      </c>
      <c r="AE2537" s="5" t="s">
        <v>4713</v>
      </c>
      <c r="AF2537" s="5" t="s">
        <v>5901</v>
      </c>
      <c r="AG2537" s="5" t="s">
        <v>5550</v>
      </c>
    </row>
    <row r="2538" spans="1:33" ht="10" customHeight="1" x14ac:dyDescent="0.2">
      <c r="A2538" s="5" t="s">
        <v>5444</v>
      </c>
      <c r="B2538" s="5" t="s">
        <v>4709</v>
      </c>
      <c r="D2538" s="5" t="s">
        <v>6024</v>
      </c>
      <c r="E2538" s="10" t="s">
        <v>184</v>
      </c>
      <c r="I2538" s="11">
        <v>5</v>
      </c>
      <c r="J2538" s="5" t="s">
        <v>5550</v>
      </c>
      <c r="K2538" s="10" t="s">
        <v>46</v>
      </c>
      <c r="L2538" s="5" t="s">
        <v>47</v>
      </c>
      <c r="M2538" s="5" t="s">
        <v>48</v>
      </c>
      <c r="N2538" s="5" t="s">
        <v>4748</v>
      </c>
      <c r="O2538" s="12"/>
      <c r="AC2538" s="10" t="s">
        <v>6025</v>
      </c>
      <c r="AD2538" s="5" t="s">
        <v>1225</v>
      </c>
      <c r="AE2538" s="5" t="s">
        <v>4713</v>
      </c>
      <c r="AF2538" s="5" t="s">
        <v>5901</v>
      </c>
      <c r="AG2538" s="5" t="s">
        <v>5550</v>
      </c>
    </row>
    <row r="2539" spans="1:33" ht="10" customHeight="1" x14ac:dyDescent="0.2">
      <c r="A2539" s="5" t="s">
        <v>5444</v>
      </c>
      <c r="B2539" s="5" t="s">
        <v>4709</v>
      </c>
      <c r="D2539" s="5" t="s">
        <v>6026</v>
      </c>
      <c r="E2539" s="10" t="s">
        <v>184</v>
      </c>
      <c r="I2539" s="11">
        <v>2</v>
      </c>
      <c r="J2539" s="5" t="s">
        <v>5550</v>
      </c>
      <c r="K2539" s="10" t="s">
        <v>46</v>
      </c>
      <c r="L2539" s="5" t="s">
        <v>47</v>
      </c>
      <c r="M2539" s="5" t="s">
        <v>48</v>
      </c>
      <c r="N2539" s="5" t="s">
        <v>4748</v>
      </c>
      <c r="O2539" s="12"/>
      <c r="AC2539" s="10" t="s">
        <v>6027</v>
      </c>
      <c r="AD2539" s="5" t="s">
        <v>1225</v>
      </c>
      <c r="AE2539" s="5" t="s">
        <v>4713</v>
      </c>
      <c r="AF2539" s="5" t="s">
        <v>5901</v>
      </c>
      <c r="AG2539" s="5" t="s">
        <v>5550</v>
      </c>
    </row>
    <row r="2540" spans="1:33" ht="10" customHeight="1" x14ac:dyDescent="0.2">
      <c r="A2540" s="5" t="s">
        <v>5444</v>
      </c>
      <c r="B2540" s="5" t="s">
        <v>4709</v>
      </c>
      <c r="D2540" s="5" t="s">
        <v>6028</v>
      </c>
      <c r="E2540" s="10" t="s">
        <v>184</v>
      </c>
      <c r="I2540" s="11">
        <v>2</v>
      </c>
      <c r="J2540" s="5" t="s">
        <v>5550</v>
      </c>
      <c r="K2540" s="10" t="s">
        <v>46</v>
      </c>
      <c r="L2540" s="5" t="s">
        <v>47</v>
      </c>
      <c r="M2540" s="5" t="s">
        <v>48</v>
      </c>
      <c r="N2540" s="5" t="s">
        <v>84</v>
      </c>
      <c r="O2540" s="12"/>
      <c r="AC2540" s="10" t="s">
        <v>6029</v>
      </c>
      <c r="AD2540" s="5" t="s">
        <v>1225</v>
      </c>
      <c r="AE2540" s="5" t="s">
        <v>4713</v>
      </c>
      <c r="AF2540" s="5" t="s">
        <v>5901</v>
      </c>
      <c r="AG2540" s="5" t="s">
        <v>5550</v>
      </c>
    </row>
    <row r="2541" spans="1:33" ht="10" customHeight="1" x14ac:dyDescent="0.2">
      <c r="A2541" s="5" t="s">
        <v>5444</v>
      </c>
      <c r="B2541" s="5" t="s">
        <v>4709</v>
      </c>
      <c r="D2541" s="5" t="s">
        <v>6028</v>
      </c>
      <c r="E2541" s="10" t="s">
        <v>184</v>
      </c>
      <c r="I2541" s="11">
        <v>2</v>
      </c>
      <c r="J2541" s="5" t="s">
        <v>5550</v>
      </c>
      <c r="K2541" s="10" t="s">
        <v>46</v>
      </c>
      <c r="L2541" s="5" t="s">
        <v>47</v>
      </c>
      <c r="M2541" s="5" t="s">
        <v>48</v>
      </c>
      <c r="N2541" s="5" t="s">
        <v>84</v>
      </c>
      <c r="O2541" s="12"/>
      <c r="AC2541" s="10" t="s">
        <v>6029</v>
      </c>
      <c r="AD2541" s="5" t="s">
        <v>1225</v>
      </c>
      <c r="AE2541" s="5" t="s">
        <v>4713</v>
      </c>
      <c r="AF2541" s="5" t="s">
        <v>5901</v>
      </c>
      <c r="AG2541" s="5" t="s">
        <v>5550</v>
      </c>
    </row>
    <row r="2542" spans="1:33" ht="10" customHeight="1" x14ac:dyDescent="0.2">
      <c r="A2542" s="5" t="s">
        <v>5444</v>
      </c>
      <c r="B2542" s="5" t="s">
        <v>4709</v>
      </c>
      <c r="D2542" s="5" t="s">
        <v>6030</v>
      </c>
      <c r="E2542" s="10" t="s">
        <v>184</v>
      </c>
      <c r="I2542" s="11">
        <v>2</v>
      </c>
      <c r="J2542" s="5" t="s">
        <v>5550</v>
      </c>
      <c r="K2542" s="10" t="s">
        <v>46</v>
      </c>
      <c r="L2542" s="5" t="s">
        <v>47</v>
      </c>
      <c r="M2542" s="5" t="s">
        <v>65</v>
      </c>
      <c r="N2542" s="5" t="s">
        <v>66</v>
      </c>
      <c r="O2542" s="12"/>
      <c r="AC2542" s="10" t="s">
        <v>6031</v>
      </c>
      <c r="AD2542" s="5" t="s">
        <v>1225</v>
      </c>
      <c r="AE2542" s="5" t="s">
        <v>4713</v>
      </c>
      <c r="AF2542" s="5" t="s">
        <v>5901</v>
      </c>
      <c r="AG2542" s="5" t="s">
        <v>5550</v>
      </c>
    </row>
    <row r="2543" spans="1:33" ht="10" customHeight="1" x14ac:dyDescent="0.2">
      <c r="A2543" s="5" t="s">
        <v>5444</v>
      </c>
      <c r="B2543" s="5" t="s">
        <v>4709</v>
      </c>
      <c r="D2543" s="5" t="s">
        <v>6032</v>
      </c>
      <c r="E2543" s="10" t="s">
        <v>184</v>
      </c>
      <c r="I2543" s="11">
        <v>2</v>
      </c>
      <c r="J2543" s="5" t="s">
        <v>5550</v>
      </c>
      <c r="K2543" s="10" t="s">
        <v>46</v>
      </c>
      <c r="L2543" s="5" t="s">
        <v>47</v>
      </c>
      <c r="M2543" s="5" t="s">
        <v>65</v>
      </c>
      <c r="N2543" s="5" t="s">
        <v>66</v>
      </c>
      <c r="O2543" s="12"/>
      <c r="AC2543" s="10" t="s">
        <v>6033</v>
      </c>
      <c r="AD2543" s="5" t="s">
        <v>1225</v>
      </c>
      <c r="AE2543" s="5" t="s">
        <v>4713</v>
      </c>
      <c r="AF2543" s="5" t="s">
        <v>5901</v>
      </c>
      <c r="AG2543" s="5" t="s">
        <v>5550</v>
      </c>
    </row>
    <row r="2544" spans="1:33" ht="10" customHeight="1" x14ac:dyDescent="0.2">
      <c r="A2544" s="5" t="s">
        <v>5444</v>
      </c>
      <c r="B2544" s="5" t="s">
        <v>4709</v>
      </c>
      <c r="D2544" s="5" t="s">
        <v>6034</v>
      </c>
      <c r="E2544" s="12"/>
      <c r="I2544" s="11">
        <v>3</v>
      </c>
      <c r="K2544" s="10" t="s">
        <v>46</v>
      </c>
      <c r="L2544" s="5" t="s">
        <v>47</v>
      </c>
      <c r="M2544" s="5" t="s">
        <v>145</v>
      </c>
      <c r="O2544" s="12"/>
      <c r="P2544" s="13">
        <v>15037</v>
      </c>
      <c r="Q2544" s="13">
        <v>17188</v>
      </c>
      <c r="R2544" s="13">
        <v>17188</v>
      </c>
      <c r="AC2544" s="10" t="s">
        <v>6035</v>
      </c>
      <c r="AD2544" s="5" t="s">
        <v>1372</v>
      </c>
      <c r="AE2544" s="5" t="s">
        <v>4713</v>
      </c>
      <c r="AF2544" s="5" t="s">
        <v>6036</v>
      </c>
      <c r="AG2544" s="5" t="s">
        <v>6034</v>
      </c>
    </row>
    <row r="2545" spans="1:33" ht="10" customHeight="1" x14ac:dyDescent="0.2">
      <c r="A2545" s="5" t="s">
        <v>5444</v>
      </c>
      <c r="B2545" s="5" t="s">
        <v>4709</v>
      </c>
      <c r="D2545" s="5" t="s">
        <v>4955</v>
      </c>
      <c r="E2545" s="12"/>
      <c r="I2545" s="11">
        <v>3</v>
      </c>
      <c r="K2545" s="10" t="s">
        <v>46</v>
      </c>
      <c r="L2545" s="5" t="s">
        <v>47</v>
      </c>
      <c r="M2545" s="5" t="s">
        <v>115</v>
      </c>
      <c r="N2545" s="5" t="s">
        <v>4955</v>
      </c>
      <c r="O2545" s="12"/>
      <c r="P2545" s="13">
        <v>3066</v>
      </c>
      <c r="Q2545" s="13">
        <v>5200</v>
      </c>
      <c r="R2545" s="13">
        <v>5200</v>
      </c>
      <c r="S2545" s="13">
        <v>5969</v>
      </c>
      <c r="V2545" s="13">
        <v>5969</v>
      </c>
      <c r="AC2545" s="10" t="s">
        <v>6037</v>
      </c>
      <c r="AD2545" s="5" t="s">
        <v>1372</v>
      </c>
      <c r="AE2545" s="5" t="s">
        <v>4713</v>
      </c>
      <c r="AF2545" s="5" t="s">
        <v>6036</v>
      </c>
      <c r="AG2545" s="5" t="s">
        <v>4955</v>
      </c>
    </row>
    <row r="2546" spans="1:33" ht="10" customHeight="1" x14ac:dyDescent="0.2">
      <c r="A2546" s="5" t="s">
        <v>5444</v>
      </c>
      <c r="B2546" s="5" t="s">
        <v>4709</v>
      </c>
      <c r="D2546" s="5" t="s">
        <v>116</v>
      </c>
      <c r="E2546" s="12"/>
      <c r="I2546" s="11">
        <v>3</v>
      </c>
      <c r="K2546" s="10" t="s">
        <v>46</v>
      </c>
      <c r="L2546" s="5" t="s">
        <v>47</v>
      </c>
      <c r="M2546" s="5" t="s">
        <v>115</v>
      </c>
      <c r="N2546" s="5" t="s">
        <v>116</v>
      </c>
      <c r="O2546" s="12"/>
      <c r="P2546" s="13">
        <v>106432</v>
      </c>
      <c r="Q2546" s="13">
        <v>100690</v>
      </c>
      <c r="R2546" s="13">
        <v>100690</v>
      </c>
      <c r="S2546" s="13">
        <v>123497</v>
      </c>
      <c r="V2546" s="13">
        <v>123497</v>
      </c>
      <c r="AC2546" s="10" t="s">
        <v>6038</v>
      </c>
      <c r="AD2546" s="5" t="s">
        <v>1372</v>
      </c>
      <c r="AE2546" s="5" t="s">
        <v>4713</v>
      </c>
      <c r="AF2546" s="5" t="s">
        <v>6036</v>
      </c>
      <c r="AG2546" s="5" t="s">
        <v>116</v>
      </c>
    </row>
    <row r="2547" spans="1:33" ht="10" customHeight="1" x14ac:dyDescent="0.2">
      <c r="A2547" s="5" t="s">
        <v>5444</v>
      </c>
      <c r="B2547" s="5" t="s">
        <v>4709</v>
      </c>
      <c r="D2547" s="5" t="s">
        <v>114</v>
      </c>
      <c r="E2547" s="12"/>
      <c r="I2547" s="11">
        <v>3</v>
      </c>
      <c r="K2547" s="10" t="s">
        <v>46</v>
      </c>
      <c r="L2547" s="5" t="s">
        <v>47</v>
      </c>
      <c r="M2547" s="5" t="s">
        <v>115</v>
      </c>
      <c r="N2547" s="5" t="s">
        <v>116</v>
      </c>
      <c r="O2547" s="12"/>
      <c r="Q2547" s="13">
        <v>3950</v>
      </c>
      <c r="R2547" s="13">
        <v>3950</v>
      </c>
      <c r="S2547" s="13">
        <v>7645</v>
      </c>
      <c r="V2547" s="13">
        <v>7645</v>
      </c>
      <c r="AC2547" s="10" t="s">
        <v>6039</v>
      </c>
      <c r="AD2547" s="5" t="s">
        <v>1372</v>
      </c>
      <c r="AE2547" s="5" t="s">
        <v>4713</v>
      </c>
      <c r="AF2547" s="5" t="s">
        <v>6036</v>
      </c>
      <c r="AG2547" s="5" t="s">
        <v>114</v>
      </c>
    </row>
    <row r="2548" spans="1:33" ht="10" customHeight="1" x14ac:dyDescent="0.2">
      <c r="A2548" s="5" t="s">
        <v>5444</v>
      </c>
      <c r="B2548" s="5" t="s">
        <v>4709</v>
      </c>
      <c r="D2548" s="5" t="s">
        <v>283</v>
      </c>
      <c r="E2548" s="12"/>
      <c r="I2548" s="11">
        <v>3</v>
      </c>
      <c r="K2548" s="10" t="s">
        <v>46</v>
      </c>
      <c r="L2548" s="5" t="s">
        <v>235</v>
      </c>
      <c r="M2548" s="5" t="s">
        <v>236</v>
      </c>
      <c r="N2548" s="5" t="s">
        <v>283</v>
      </c>
      <c r="O2548" s="12"/>
      <c r="P2548" s="13">
        <v>9219</v>
      </c>
      <c r="Q2548" s="13">
        <v>7720</v>
      </c>
      <c r="R2548" s="13">
        <v>7720</v>
      </c>
      <c r="S2548" s="13">
        <v>7952</v>
      </c>
      <c r="V2548" s="13">
        <v>7952</v>
      </c>
      <c r="AC2548" s="10" t="s">
        <v>6040</v>
      </c>
      <c r="AD2548" s="5" t="s">
        <v>1372</v>
      </c>
      <c r="AE2548" s="5" t="s">
        <v>4713</v>
      </c>
      <c r="AF2548" s="5" t="s">
        <v>6036</v>
      </c>
      <c r="AG2548" s="5" t="s">
        <v>283</v>
      </c>
    </row>
    <row r="2549" spans="1:33" ht="10" customHeight="1" x14ac:dyDescent="0.2">
      <c r="A2549" s="5" t="s">
        <v>5444</v>
      </c>
      <c r="B2549" s="5" t="s">
        <v>4709</v>
      </c>
      <c r="D2549" s="5" t="s">
        <v>135</v>
      </c>
      <c r="E2549" s="12"/>
      <c r="I2549" s="11">
        <v>3</v>
      </c>
      <c r="K2549" s="10" t="s">
        <v>46</v>
      </c>
      <c r="L2549" s="5" t="s">
        <v>47</v>
      </c>
      <c r="M2549" s="5" t="s">
        <v>115</v>
      </c>
      <c r="N2549" s="5" t="s">
        <v>135</v>
      </c>
      <c r="O2549" s="12"/>
      <c r="P2549" s="13">
        <v>60812</v>
      </c>
      <c r="Q2549" s="13">
        <v>69375</v>
      </c>
      <c r="R2549" s="13">
        <v>69375</v>
      </c>
      <c r="S2549" s="13">
        <v>69759</v>
      </c>
      <c r="V2549" s="13">
        <v>69759</v>
      </c>
      <c r="AC2549" s="10" t="s">
        <v>6041</v>
      </c>
      <c r="AD2549" s="5" t="s">
        <v>1383</v>
      </c>
      <c r="AE2549" s="5" t="s">
        <v>4713</v>
      </c>
      <c r="AF2549" s="5" t="s">
        <v>6042</v>
      </c>
      <c r="AG2549" s="5" t="s">
        <v>135</v>
      </c>
    </row>
    <row r="2550" spans="1:33" ht="10" customHeight="1" x14ac:dyDescent="0.2">
      <c r="A2550" s="5" t="s">
        <v>5444</v>
      </c>
      <c r="B2550" s="5" t="s">
        <v>4709</v>
      </c>
      <c r="D2550" s="5" t="s">
        <v>6043</v>
      </c>
      <c r="E2550" s="12"/>
      <c r="I2550" s="11">
        <v>3</v>
      </c>
      <c r="K2550" s="10" t="s">
        <v>46</v>
      </c>
      <c r="L2550" s="5" t="s">
        <v>47</v>
      </c>
      <c r="M2550" s="5" t="s">
        <v>4680</v>
      </c>
      <c r="N2550" s="5" t="s">
        <v>4681</v>
      </c>
      <c r="O2550" s="12"/>
      <c r="P2550" s="13">
        <v>370</v>
      </c>
      <c r="Q2550" s="13">
        <v>1620</v>
      </c>
      <c r="R2550" s="13">
        <v>1620</v>
      </c>
      <c r="S2550" s="13">
        <v>1068</v>
      </c>
      <c r="V2550" s="13">
        <v>1068</v>
      </c>
      <c r="AC2550" s="10" t="s">
        <v>6044</v>
      </c>
      <c r="AD2550" s="5" t="s">
        <v>1383</v>
      </c>
      <c r="AE2550" s="5" t="s">
        <v>4713</v>
      </c>
      <c r="AF2550" s="5" t="s">
        <v>6036</v>
      </c>
      <c r="AG2550" s="5" t="s">
        <v>6043</v>
      </c>
    </row>
    <row r="2551" spans="1:33" ht="10" customHeight="1" x14ac:dyDescent="0.2">
      <c r="A2551" s="5" t="s">
        <v>5444</v>
      </c>
      <c r="B2551" s="5" t="s">
        <v>4709</v>
      </c>
      <c r="D2551" s="5" t="s">
        <v>6045</v>
      </c>
      <c r="E2551" s="12"/>
      <c r="I2551" s="11">
        <v>3</v>
      </c>
      <c r="K2551" s="12"/>
      <c r="O2551" s="12"/>
      <c r="P2551" s="13">
        <v>89976</v>
      </c>
      <c r="Q2551" s="13">
        <v>155923</v>
      </c>
      <c r="R2551" s="13">
        <v>155923</v>
      </c>
      <c r="S2551" s="13">
        <v>127665</v>
      </c>
      <c r="V2551" s="13">
        <v>127665</v>
      </c>
      <c r="AC2551" s="10" t="s">
        <v>6046</v>
      </c>
      <c r="AD2551" s="5" t="s">
        <v>1383</v>
      </c>
      <c r="AE2551" s="5" t="s">
        <v>4713</v>
      </c>
      <c r="AF2551" s="5" t="s">
        <v>6036</v>
      </c>
      <c r="AG2551" s="5" t="s">
        <v>2570</v>
      </c>
    </row>
    <row r="2552" spans="1:33" ht="10" customHeight="1" x14ac:dyDescent="0.2">
      <c r="A2552" s="5" t="s">
        <v>5444</v>
      </c>
      <c r="B2552" s="5" t="s">
        <v>4709</v>
      </c>
      <c r="D2552" s="5" t="s">
        <v>6047</v>
      </c>
      <c r="E2552" s="12"/>
      <c r="I2552" s="11">
        <v>2</v>
      </c>
      <c r="K2552" s="12"/>
      <c r="O2552" s="12"/>
      <c r="P2552" s="13">
        <v>27696</v>
      </c>
      <c r="Q2552" s="13">
        <v>3724</v>
      </c>
      <c r="R2552" s="13">
        <v>3830</v>
      </c>
      <c r="S2552" s="13">
        <v>4275</v>
      </c>
      <c r="V2552" s="13">
        <v>4244</v>
      </c>
      <c r="AC2552" s="10" t="s">
        <v>6048</v>
      </c>
      <c r="AD2552" s="5" t="s">
        <v>1383</v>
      </c>
      <c r="AE2552" s="5" t="s">
        <v>4713</v>
      </c>
      <c r="AF2552" s="5" t="s">
        <v>6049</v>
      </c>
      <c r="AG2552" s="5" t="s">
        <v>6047</v>
      </c>
    </row>
    <row r="2553" spans="1:33" ht="10" customHeight="1" x14ac:dyDescent="0.2">
      <c r="A2553" s="5" t="s">
        <v>5444</v>
      </c>
      <c r="B2553" s="5" t="s">
        <v>4709</v>
      </c>
      <c r="D2553" s="5" t="s">
        <v>6050</v>
      </c>
      <c r="E2553" s="12"/>
      <c r="I2553" s="11">
        <v>2</v>
      </c>
      <c r="K2553" s="12"/>
      <c r="O2553" s="12"/>
      <c r="P2553" s="13">
        <v>1904</v>
      </c>
      <c r="Q2553" s="13">
        <v>4231</v>
      </c>
      <c r="R2553" s="13">
        <v>4592</v>
      </c>
      <c r="S2553" s="13">
        <v>4015</v>
      </c>
      <c r="V2553" s="13">
        <v>4447</v>
      </c>
      <c r="AC2553" s="10" t="s">
        <v>6051</v>
      </c>
      <c r="AD2553" s="5" t="s">
        <v>1383</v>
      </c>
      <c r="AE2553" s="5" t="s">
        <v>4713</v>
      </c>
      <c r="AF2553" s="5" t="s">
        <v>6049</v>
      </c>
      <c r="AG2553" s="5" t="s">
        <v>6050</v>
      </c>
    </row>
    <row r="2554" spans="1:33" ht="10" customHeight="1" x14ac:dyDescent="0.2">
      <c r="A2554" s="5" t="s">
        <v>5444</v>
      </c>
      <c r="B2554" s="5" t="s">
        <v>4709</v>
      </c>
      <c r="D2554" s="5" t="s">
        <v>6052</v>
      </c>
      <c r="E2554" s="12"/>
      <c r="I2554" s="11">
        <v>2</v>
      </c>
      <c r="K2554" s="10" t="s">
        <v>46</v>
      </c>
      <c r="L2554" s="5" t="s">
        <v>47</v>
      </c>
      <c r="M2554" s="5" t="s">
        <v>4855</v>
      </c>
      <c r="N2554" s="5" t="s">
        <v>4856</v>
      </c>
      <c r="O2554" s="12"/>
      <c r="P2554" s="13">
        <v>11377</v>
      </c>
      <c r="Q2554" s="13">
        <v>14291</v>
      </c>
      <c r="R2554" s="13">
        <v>15325</v>
      </c>
      <c r="S2554" s="13">
        <v>15511</v>
      </c>
      <c r="V2554" s="13">
        <v>15683</v>
      </c>
      <c r="AC2554" s="10" t="s">
        <v>6053</v>
      </c>
      <c r="AD2554" s="5" t="s">
        <v>1383</v>
      </c>
      <c r="AE2554" s="5" t="s">
        <v>4713</v>
      </c>
      <c r="AF2554" s="5" t="s">
        <v>6049</v>
      </c>
      <c r="AG2554" s="5" t="s">
        <v>6052</v>
      </c>
    </row>
    <row r="2555" spans="1:33" ht="10" customHeight="1" x14ac:dyDescent="0.2">
      <c r="A2555" s="5" t="s">
        <v>5444</v>
      </c>
      <c r="B2555" s="5" t="s">
        <v>4709</v>
      </c>
      <c r="D2555" s="5" t="s">
        <v>6034</v>
      </c>
      <c r="E2555" s="12"/>
      <c r="I2555" s="11">
        <v>2</v>
      </c>
      <c r="K2555" s="10" t="s">
        <v>46</v>
      </c>
      <c r="L2555" s="5" t="s">
        <v>47</v>
      </c>
      <c r="M2555" s="5" t="s">
        <v>145</v>
      </c>
      <c r="N2555" s="5" t="s">
        <v>4905</v>
      </c>
      <c r="O2555" s="12"/>
      <c r="P2555" s="13">
        <v>199393</v>
      </c>
      <c r="Q2555" s="13">
        <v>196703</v>
      </c>
      <c r="R2555" s="13">
        <v>201922</v>
      </c>
      <c r="S2555" s="13">
        <v>112718</v>
      </c>
      <c r="V2555" s="13">
        <v>150945</v>
      </c>
      <c r="AC2555" s="10" t="s">
        <v>6054</v>
      </c>
      <c r="AD2555" s="5" t="s">
        <v>1383</v>
      </c>
      <c r="AE2555" s="5" t="s">
        <v>4713</v>
      </c>
      <c r="AF2555" s="5" t="s">
        <v>6049</v>
      </c>
      <c r="AG2555" s="5" t="s">
        <v>6034</v>
      </c>
    </row>
    <row r="2556" spans="1:33" ht="10" customHeight="1" x14ac:dyDescent="0.2">
      <c r="A2556" s="5" t="s">
        <v>5444</v>
      </c>
      <c r="B2556" s="5" t="s">
        <v>4709</v>
      </c>
      <c r="D2556" s="5" t="s">
        <v>6055</v>
      </c>
      <c r="E2556" s="12"/>
      <c r="I2556" s="11">
        <v>2</v>
      </c>
      <c r="K2556" s="12"/>
      <c r="O2556" s="12"/>
      <c r="P2556" s="13">
        <v>897</v>
      </c>
      <c r="Q2556" s="13">
        <v>5572</v>
      </c>
      <c r="R2556" s="13">
        <v>5628</v>
      </c>
      <c r="S2556" s="13">
        <v>2498</v>
      </c>
      <c r="V2556" s="13">
        <v>2580</v>
      </c>
      <c r="AC2556" s="10" t="s">
        <v>6056</v>
      </c>
      <c r="AD2556" s="5" t="s">
        <v>1383</v>
      </c>
      <c r="AE2556" s="5" t="s">
        <v>4713</v>
      </c>
      <c r="AF2556" s="5" t="s">
        <v>6049</v>
      </c>
      <c r="AG2556" s="5" t="s">
        <v>6055</v>
      </c>
    </row>
    <row r="2557" spans="1:33" ht="10" customHeight="1" x14ac:dyDescent="0.2">
      <c r="A2557" s="5" t="s">
        <v>5444</v>
      </c>
      <c r="B2557" s="5" t="s">
        <v>4709</v>
      </c>
      <c r="D2557" s="5" t="s">
        <v>6057</v>
      </c>
      <c r="E2557" s="12"/>
      <c r="I2557" s="11">
        <v>2</v>
      </c>
      <c r="K2557" s="12"/>
      <c r="O2557" s="12"/>
      <c r="P2557" s="13">
        <v>712</v>
      </c>
      <c r="Q2557" s="13">
        <v>1428</v>
      </c>
      <c r="R2557" s="13">
        <v>1435</v>
      </c>
      <c r="S2557" s="13">
        <v>1477</v>
      </c>
      <c r="V2557" s="13">
        <v>1488</v>
      </c>
      <c r="AC2557" s="10" t="s">
        <v>6058</v>
      </c>
      <c r="AD2557" s="5" t="s">
        <v>1383</v>
      </c>
      <c r="AE2557" s="5" t="s">
        <v>4713</v>
      </c>
      <c r="AF2557" s="5" t="s">
        <v>6049</v>
      </c>
      <c r="AG2557" s="5" t="s">
        <v>6057</v>
      </c>
    </row>
    <row r="2558" spans="1:33" ht="10" customHeight="1" x14ac:dyDescent="0.2">
      <c r="A2558" s="5" t="s">
        <v>5444</v>
      </c>
      <c r="B2558" s="5" t="s">
        <v>4709</v>
      </c>
      <c r="D2558" s="5" t="s">
        <v>4955</v>
      </c>
      <c r="E2558" s="12"/>
      <c r="I2558" s="11">
        <v>2</v>
      </c>
      <c r="K2558" s="10" t="s">
        <v>46</v>
      </c>
      <c r="L2558" s="5" t="s">
        <v>47</v>
      </c>
      <c r="M2558" s="5" t="s">
        <v>115</v>
      </c>
      <c r="N2558" s="5" t="s">
        <v>4955</v>
      </c>
      <c r="O2558" s="12"/>
      <c r="P2558" s="13">
        <v>69927</v>
      </c>
      <c r="Q2558" s="13">
        <v>83031</v>
      </c>
      <c r="R2558" s="13">
        <v>86340</v>
      </c>
      <c r="S2558" s="13">
        <v>75209</v>
      </c>
      <c r="V2558" s="13">
        <v>77398</v>
      </c>
      <c r="AC2558" s="10" t="s">
        <v>6059</v>
      </c>
      <c r="AD2558" s="5" t="s">
        <v>1383</v>
      </c>
      <c r="AE2558" s="5" t="s">
        <v>4713</v>
      </c>
      <c r="AF2558" s="5" t="s">
        <v>6049</v>
      </c>
      <c r="AG2558" s="5" t="s">
        <v>4955</v>
      </c>
    </row>
    <row r="2559" spans="1:33" ht="10" customHeight="1" x14ac:dyDescent="0.2">
      <c r="A2559" s="5" t="s">
        <v>5444</v>
      </c>
      <c r="B2559" s="5" t="s">
        <v>4709</v>
      </c>
      <c r="D2559" s="5" t="s">
        <v>6060</v>
      </c>
      <c r="E2559" s="12"/>
      <c r="I2559" s="11">
        <v>2</v>
      </c>
      <c r="K2559" s="12"/>
      <c r="O2559" s="12"/>
      <c r="P2559" s="13">
        <v>1527</v>
      </c>
      <c r="Q2559" s="13">
        <v>10512</v>
      </c>
      <c r="R2559" s="13">
        <v>10512</v>
      </c>
      <c r="S2559" s="13">
        <v>10193</v>
      </c>
      <c r="V2559" s="13">
        <v>10269</v>
      </c>
      <c r="AC2559" s="10" t="s">
        <v>6061</v>
      </c>
      <c r="AD2559" s="5" t="s">
        <v>1383</v>
      </c>
      <c r="AE2559" s="5" t="s">
        <v>4713</v>
      </c>
      <c r="AF2559" s="5" t="s">
        <v>6049</v>
      </c>
      <c r="AG2559" s="5" t="s">
        <v>6062</v>
      </c>
    </row>
    <row r="2560" spans="1:33" ht="10" customHeight="1" x14ac:dyDescent="0.2">
      <c r="A2560" s="5" t="s">
        <v>5444</v>
      </c>
      <c r="B2560" s="5" t="s">
        <v>4709</v>
      </c>
      <c r="D2560" s="5" t="s">
        <v>6063</v>
      </c>
      <c r="E2560" s="12"/>
      <c r="I2560" s="11">
        <v>2</v>
      </c>
      <c r="K2560" s="10" t="s">
        <v>46</v>
      </c>
      <c r="L2560" s="5" t="s">
        <v>47</v>
      </c>
      <c r="M2560" s="5" t="s">
        <v>65</v>
      </c>
      <c r="N2560" s="5" t="s">
        <v>66</v>
      </c>
      <c r="O2560" s="12"/>
      <c r="P2560" s="13">
        <v>193274</v>
      </c>
      <c r="Q2560" s="13">
        <v>97736</v>
      </c>
      <c r="R2560" s="13">
        <v>102481</v>
      </c>
      <c r="S2560" s="13">
        <v>364463</v>
      </c>
      <c r="V2560" s="13">
        <v>184318</v>
      </c>
      <c r="AC2560" s="10" t="s">
        <v>6064</v>
      </c>
      <c r="AD2560" s="5" t="s">
        <v>1383</v>
      </c>
      <c r="AE2560" s="5" t="s">
        <v>4713</v>
      </c>
      <c r="AF2560" s="5" t="s">
        <v>6049</v>
      </c>
      <c r="AG2560" s="5" t="s">
        <v>6063</v>
      </c>
    </row>
    <row r="2561" spans="1:33" ht="10" customHeight="1" x14ac:dyDescent="0.2">
      <c r="A2561" s="5" t="s">
        <v>5444</v>
      </c>
      <c r="B2561" s="5" t="s">
        <v>4709</v>
      </c>
      <c r="D2561" s="5" t="s">
        <v>116</v>
      </c>
      <c r="E2561" s="12"/>
      <c r="I2561" s="11">
        <v>2</v>
      </c>
      <c r="K2561" s="10" t="s">
        <v>46</v>
      </c>
      <c r="L2561" s="5" t="s">
        <v>47</v>
      </c>
      <c r="M2561" s="5" t="s">
        <v>115</v>
      </c>
      <c r="N2561" s="5" t="s">
        <v>116</v>
      </c>
      <c r="O2561" s="12"/>
      <c r="P2561" s="13">
        <v>429962</v>
      </c>
      <c r="Q2561" s="13">
        <v>353844</v>
      </c>
      <c r="R2561" s="13">
        <v>405744</v>
      </c>
      <c r="S2561" s="13">
        <v>426684</v>
      </c>
      <c r="V2561" s="13">
        <v>454399</v>
      </c>
      <c r="AC2561" s="10" t="s">
        <v>6065</v>
      </c>
      <c r="AD2561" s="5" t="s">
        <v>1383</v>
      </c>
      <c r="AE2561" s="5" t="s">
        <v>4713</v>
      </c>
      <c r="AF2561" s="5" t="s">
        <v>6066</v>
      </c>
      <c r="AG2561" s="5" t="s">
        <v>116</v>
      </c>
    </row>
    <row r="2562" spans="1:33" ht="10" customHeight="1" x14ac:dyDescent="0.2">
      <c r="A2562" s="5" t="s">
        <v>5444</v>
      </c>
      <c r="B2562" s="5" t="s">
        <v>4709</v>
      </c>
      <c r="D2562" s="5" t="s">
        <v>6067</v>
      </c>
      <c r="E2562" s="12"/>
      <c r="I2562" s="11">
        <v>2</v>
      </c>
      <c r="K2562" s="10" t="s">
        <v>46</v>
      </c>
      <c r="L2562" s="5" t="s">
        <v>47</v>
      </c>
      <c r="M2562" s="5" t="s">
        <v>115</v>
      </c>
      <c r="N2562" s="5" t="s">
        <v>116</v>
      </c>
      <c r="O2562" s="12"/>
      <c r="S2562" s="13">
        <v>1662</v>
      </c>
      <c r="V2562" s="13">
        <v>1790</v>
      </c>
      <c r="AC2562" s="10" t="s">
        <v>6068</v>
      </c>
      <c r="AD2562" s="5" t="s">
        <v>1383</v>
      </c>
      <c r="AE2562" s="5" t="s">
        <v>4713</v>
      </c>
      <c r="AF2562" s="5" t="s">
        <v>6049</v>
      </c>
      <c r="AG2562" s="5" t="s">
        <v>6067</v>
      </c>
    </row>
    <row r="2563" spans="1:33" ht="10" customHeight="1" x14ac:dyDescent="0.2">
      <c r="A2563" s="5" t="s">
        <v>5444</v>
      </c>
      <c r="B2563" s="5" t="s">
        <v>4709</v>
      </c>
      <c r="D2563" s="5" t="s">
        <v>6069</v>
      </c>
      <c r="E2563" s="12"/>
      <c r="I2563" s="11">
        <v>2</v>
      </c>
      <c r="K2563" s="10" t="s">
        <v>46</v>
      </c>
      <c r="L2563" s="5" t="s">
        <v>47</v>
      </c>
      <c r="M2563" s="5" t="s">
        <v>115</v>
      </c>
      <c r="N2563" s="5" t="s">
        <v>116</v>
      </c>
      <c r="O2563" s="12"/>
      <c r="P2563" s="13">
        <v>643</v>
      </c>
      <c r="AC2563" s="10" t="s">
        <v>6070</v>
      </c>
      <c r="AD2563" s="5" t="s">
        <v>1383</v>
      </c>
      <c r="AE2563" s="5" t="s">
        <v>4713</v>
      </c>
      <c r="AF2563" s="5" t="s">
        <v>6049</v>
      </c>
      <c r="AG2563" s="5" t="s">
        <v>6069</v>
      </c>
    </row>
    <row r="2564" spans="1:33" ht="10" customHeight="1" x14ac:dyDescent="0.2">
      <c r="A2564" s="5" t="s">
        <v>5444</v>
      </c>
      <c r="B2564" s="5" t="s">
        <v>4709</v>
      </c>
      <c r="D2564" s="5" t="s">
        <v>6071</v>
      </c>
      <c r="E2564" s="12"/>
      <c r="I2564" s="11">
        <v>2</v>
      </c>
      <c r="K2564" s="10" t="s">
        <v>46</v>
      </c>
      <c r="L2564" s="5" t="s">
        <v>47</v>
      </c>
      <c r="M2564" s="5" t="s">
        <v>178</v>
      </c>
      <c r="N2564" s="5" t="s">
        <v>6071</v>
      </c>
      <c r="O2564" s="12"/>
      <c r="P2564" s="13">
        <v>1224</v>
      </c>
      <c r="Q2564" s="13">
        <v>1454</v>
      </c>
      <c r="R2564" s="13">
        <v>1461</v>
      </c>
      <c r="S2564" s="13">
        <v>4007</v>
      </c>
      <c r="V2564" s="13">
        <v>4091</v>
      </c>
      <c r="AC2564" s="10" t="s">
        <v>6072</v>
      </c>
      <c r="AD2564" s="5" t="s">
        <v>1383</v>
      </c>
      <c r="AE2564" s="5" t="s">
        <v>4713</v>
      </c>
      <c r="AF2564" s="5" t="s">
        <v>6049</v>
      </c>
      <c r="AG2564" s="5" t="s">
        <v>6071</v>
      </c>
    </row>
    <row r="2565" spans="1:33" ht="10" customHeight="1" x14ac:dyDescent="0.2">
      <c r="A2565" s="5" t="s">
        <v>5444</v>
      </c>
      <c r="B2565" s="5" t="s">
        <v>4709</v>
      </c>
      <c r="D2565" s="5" t="s">
        <v>135</v>
      </c>
      <c r="E2565" s="12"/>
      <c r="I2565" s="11">
        <v>2</v>
      </c>
      <c r="K2565" s="10" t="s">
        <v>46</v>
      </c>
      <c r="L2565" s="5" t="s">
        <v>47</v>
      </c>
      <c r="M2565" s="5" t="s">
        <v>115</v>
      </c>
      <c r="N2565" s="5" t="s">
        <v>135</v>
      </c>
      <c r="O2565" s="12"/>
      <c r="P2565" s="13">
        <v>168387</v>
      </c>
      <c r="Q2565" s="13">
        <v>233021</v>
      </c>
      <c r="R2565" s="13">
        <v>279807</v>
      </c>
      <c r="S2565" s="13">
        <v>345600</v>
      </c>
      <c r="V2565" s="13">
        <v>372513</v>
      </c>
      <c r="AC2565" s="10" t="s">
        <v>6073</v>
      </c>
      <c r="AD2565" s="5" t="s">
        <v>1383</v>
      </c>
      <c r="AE2565" s="5" t="s">
        <v>4713</v>
      </c>
      <c r="AF2565" s="5" t="s">
        <v>6049</v>
      </c>
      <c r="AG2565" s="5" t="s">
        <v>135</v>
      </c>
    </row>
    <row r="2566" spans="1:33" ht="10" customHeight="1" x14ac:dyDescent="0.2">
      <c r="A2566" s="5" t="s">
        <v>5444</v>
      </c>
      <c r="B2566" s="5" t="s">
        <v>4709</v>
      </c>
      <c r="D2566" s="5" t="s">
        <v>237</v>
      </c>
      <c r="E2566" s="12"/>
      <c r="I2566" s="11">
        <v>2</v>
      </c>
      <c r="K2566" s="10" t="s">
        <v>46</v>
      </c>
      <c r="L2566" s="5" t="s">
        <v>235</v>
      </c>
      <c r="M2566" s="5" t="s">
        <v>236</v>
      </c>
      <c r="N2566" s="5" t="s">
        <v>237</v>
      </c>
      <c r="O2566" s="12"/>
      <c r="S2566" s="13">
        <v>1623</v>
      </c>
      <c r="V2566" s="13">
        <v>1662</v>
      </c>
      <c r="AC2566" s="10" t="s">
        <v>6074</v>
      </c>
      <c r="AD2566" s="5" t="s">
        <v>1383</v>
      </c>
      <c r="AE2566" s="5" t="s">
        <v>4713</v>
      </c>
      <c r="AF2566" s="5" t="s">
        <v>6049</v>
      </c>
      <c r="AG2566" s="5" t="s">
        <v>237</v>
      </c>
    </row>
    <row r="2567" spans="1:33" ht="10" customHeight="1" x14ac:dyDescent="0.2">
      <c r="A2567" s="5" t="s">
        <v>5444</v>
      </c>
      <c r="B2567" s="5" t="s">
        <v>4709</v>
      </c>
      <c r="D2567" s="5" t="s">
        <v>164</v>
      </c>
      <c r="E2567" s="12"/>
      <c r="I2567" s="11">
        <v>2</v>
      </c>
      <c r="K2567" s="10" t="s">
        <v>46</v>
      </c>
      <c r="L2567" s="5" t="s">
        <v>47</v>
      </c>
      <c r="M2567" s="5" t="s">
        <v>145</v>
      </c>
      <c r="N2567" s="5" t="s">
        <v>164</v>
      </c>
      <c r="O2567" s="12"/>
      <c r="S2567" s="13">
        <v>15896</v>
      </c>
      <c r="V2567" s="13">
        <v>16315</v>
      </c>
      <c r="AC2567" s="10" t="s">
        <v>6075</v>
      </c>
      <c r="AD2567" s="5" t="s">
        <v>1383</v>
      </c>
      <c r="AE2567" s="5" t="s">
        <v>4713</v>
      </c>
      <c r="AF2567" s="5" t="s">
        <v>6049</v>
      </c>
      <c r="AG2567" s="5" t="s">
        <v>164</v>
      </c>
    </row>
    <row r="2568" spans="1:33" ht="10" customHeight="1" x14ac:dyDescent="0.2">
      <c r="A2568" s="5" t="s">
        <v>5444</v>
      </c>
      <c r="B2568" s="5" t="s">
        <v>4709</v>
      </c>
      <c r="D2568" s="5" t="s">
        <v>4905</v>
      </c>
      <c r="E2568" s="12"/>
      <c r="I2568" s="11">
        <v>2</v>
      </c>
      <c r="K2568" s="10" t="s">
        <v>46</v>
      </c>
      <c r="L2568" s="5" t="s">
        <v>47</v>
      </c>
      <c r="M2568" s="5" t="s">
        <v>145</v>
      </c>
      <c r="N2568" s="5" t="s">
        <v>4905</v>
      </c>
      <c r="O2568" s="12"/>
      <c r="S2568" s="13">
        <v>16429</v>
      </c>
      <c r="V2568" s="13">
        <v>16573</v>
      </c>
      <c r="AC2568" s="10" t="s">
        <v>6076</v>
      </c>
      <c r="AD2568" s="5" t="s">
        <v>1383</v>
      </c>
      <c r="AE2568" s="5" t="s">
        <v>4713</v>
      </c>
      <c r="AF2568" s="5" t="s">
        <v>6049</v>
      </c>
      <c r="AG2568" s="5" t="s">
        <v>4905</v>
      </c>
    </row>
    <row r="2569" spans="1:33" ht="10" customHeight="1" x14ac:dyDescent="0.2">
      <c r="A2569" s="5" t="s">
        <v>5444</v>
      </c>
      <c r="B2569" s="5" t="s">
        <v>4709</v>
      </c>
      <c r="D2569" s="5" t="s">
        <v>146</v>
      </c>
      <c r="E2569" s="12"/>
      <c r="I2569" s="11">
        <v>2</v>
      </c>
      <c r="K2569" s="10" t="s">
        <v>46</v>
      </c>
      <c r="L2569" s="5" t="s">
        <v>47</v>
      </c>
      <c r="M2569" s="5" t="s">
        <v>145</v>
      </c>
      <c r="N2569" s="5" t="s">
        <v>146</v>
      </c>
      <c r="O2569" s="12"/>
      <c r="S2569" s="13">
        <v>44309</v>
      </c>
      <c r="V2569" s="13">
        <v>45312</v>
      </c>
      <c r="AC2569" s="10" t="s">
        <v>6077</v>
      </c>
      <c r="AD2569" s="5" t="s">
        <v>1383</v>
      </c>
      <c r="AE2569" s="5" t="s">
        <v>4713</v>
      </c>
      <c r="AF2569" s="5" t="s">
        <v>6049</v>
      </c>
      <c r="AG2569" s="5" t="s">
        <v>146</v>
      </c>
    </row>
    <row r="2570" spans="1:33" ht="10" customHeight="1" x14ac:dyDescent="0.2">
      <c r="A2570" s="5" t="s">
        <v>5444</v>
      </c>
      <c r="B2570" s="5" t="s">
        <v>4709</v>
      </c>
      <c r="D2570" s="5" t="s">
        <v>4899</v>
      </c>
      <c r="E2570" s="12"/>
      <c r="I2570" s="11">
        <v>2</v>
      </c>
      <c r="K2570" s="10" t="s">
        <v>46</v>
      </c>
      <c r="L2570" s="5" t="s">
        <v>47</v>
      </c>
      <c r="M2570" s="5" t="s">
        <v>145</v>
      </c>
      <c r="N2570" s="5" t="s">
        <v>4899</v>
      </c>
      <c r="O2570" s="12"/>
      <c r="S2570" s="13">
        <v>21075</v>
      </c>
      <c r="V2570" s="13">
        <v>21237</v>
      </c>
      <c r="AC2570" s="10" t="s">
        <v>6078</v>
      </c>
      <c r="AD2570" s="5" t="s">
        <v>1383</v>
      </c>
      <c r="AE2570" s="5" t="s">
        <v>4713</v>
      </c>
      <c r="AF2570" s="5" t="s">
        <v>6049</v>
      </c>
      <c r="AG2570" s="5" t="s">
        <v>4899</v>
      </c>
    </row>
    <row r="2571" spans="1:33" ht="10" customHeight="1" x14ac:dyDescent="0.2">
      <c r="A2571" s="5" t="s">
        <v>5444</v>
      </c>
      <c r="B2571" s="5" t="s">
        <v>4709</v>
      </c>
      <c r="D2571" s="5" t="s">
        <v>6079</v>
      </c>
      <c r="E2571" s="12"/>
      <c r="I2571" s="11">
        <v>2</v>
      </c>
      <c r="K2571" s="10" t="s">
        <v>46</v>
      </c>
      <c r="L2571" s="5" t="s">
        <v>47</v>
      </c>
      <c r="M2571" s="5" t="s">
        <v>4680</v>
      </c>
      <c r="N2571" s="5" t="s">
        <v>4681</v>
      </c>
      <c r="O2571" s="12"/>
      <c r="P2571" s="13">
        <v>26770</v>
      </c>
      <c r="Q2571" s="13">
        <v>24799</v>
      </c>
      <c r="R2571" s="13">
        <v>24900</v>
      </c>
      <c r="S2571" s="13">
        <v>12468</v>
      </c>
      <c r="V2571" s="13">
        <v>12585</v>
      </c>
      <c r="AC2571" s="10" t="s">
        <v>6080</v>
      </c>
      <c r="AD2571" s="5" t="s">
        <v>1383</v>
      </c>
      <c r="AE2571" s="5" t="s">
        <v>4713</v>
      </c>
      <c r="AF2571" s="5" t="s">
        <v>6049</v>
      </c>
      <c r="AG2571" s="5" t="s">
        <v>6079</v>
      </c>
    </row>
    <row r="2572" spans="1:33" ht="10" customHeight="1" x14ac:dyDescent="0.2">
      <c r="A2572" s="5" t="s">
        <v>5444</v>
      </c>
      <c r="B2572" s="5" t="s">
        <v>4709</v>
      </c>
      <c r="D2572" s="5" t="s">
        <v>6081</v>
      </c>
      <c r="E2572" s="12"/>
      <c r="I2572" s="11">
        <v>2</v>
      </c>
      <c r="K2572" s="12"/>
      <c r="O2572" s="12"/>
      <c r="P2572" s="13">
        <v>20</v>
      </c>
      <c r="Q2572" s="13">
        <v>202</v>
      </c>
      <c r="R2572" s="13">
        <v>202</v>
      </c>
      <c r="S2572" s="13">
        <v>244</v>
      </c>
      <c r="V2572" s="13">
        <v>244</v>
      </c>
      <c r="AC2572" s="10" t="s">
        <v>6082</v>
      </c>
      <c r="AD2572" s="5" t="s">
        <v>1383</v>
      </c>
      <c r="AE2572" s="5" t="s">
        <v>4713</v>
      </c>
      <c r="AF2572" s="5" t="s">
        <v>6049</v>
      </c>
      <c r="AG2572" s="5" t="s">
        <v>6083</v>
      </c>
    </row>
    <row r="2573" spans="1:33" ht="10" customHeight="1" x14ac:dyDescent="0.2">
      <c r="A2573" s="5" t="s">
        <v>5444</v>
      </c>
      <c r="B2573" s="5" t="s">
        <v>4709</v>
      </c>
      <c r="D2573" s="5" t="s">
        <v>6084</v>
      </c>
      <c r="E2573" s="12"/>
      <c r="I2573" s="11">
        <v>2</v>
      </c>
      <c r="K2573" s="10" t="s">
        <v>46</v>
      </c>
      <c r="L2573" s="5" t="s">
        <v>235</v>
      </c>
      <c r="M2573" s="5" t="s">
        <v>6085</v>
      </c>
      <c r="N2573" s="5" t="s">
        <v>6084</v>
      </c>
      <c r="O2573" s="12"/>
      <c r="P2573" s="13">
        <v>326</v>
      </c>
      <c r="Q2573" s="13">
        <v>6</v>
      </c>
      <c r="R2573" s="13">
        <v>6</v>
      </c>
      <c r="S2573" s="13">
        <v>9</v>
      </c>
      <c r="V2573" s="13">
        <v>9</v>
      </c>
      <c r="AC2573" s="10" t="s">
        <v>6086</v>
      </c>
      <c r="AD2573" s="5" t="s">
        <v>1383</v>
      </c>
      <c r="AE2573" s="5" t="s">
        <v>4713</v>
      </c>
      <c r="AF2573" s="5" t="s">
        <v>6087</v>
      </c>
      <c r="AG2573" s="5" t="s">
        <v>6084</v>
      </c>
    </row>
    <row r="2574" spans="1:33" ht="10" customHeight="1" x14ac:dyDescent="0.2">
      <c r="A2574" s="5" t="s">
        <v>5444</v>
      </c>
      <c r="B2574" s="5" t="s">
        <v>4709</v>
      </c>
      <c r="D2574" s="5" t="s">
        <v>6088</v>
      </c>
      <c r="E2574" s="12"/>
      <c r="I2574" s="11">
        <v>2</v>
      </c>
      <c r="K2574" s="12"/>
      <c r="O2574" s="12"/>
      <c r="P2574" s="13">
        <v>6878</v>
      </c>
      <c r="Q2574" s="13">
        <v>10815</v>
      </c>
      <c r="R2574" s="13">
        <v>11021</v>
      </c>
      <c r="S2574" s="13">
        <v>10691</v>
      </c>
      <c r="V2574" s="13">
        <v>11075</v>
      </c>
      <c r="AC2574" s="10" t="s">
        <v>6089</v>
      </c>
      <c r="AD2574" s="5" t="s">
        <v>1396</v>
      </c>
      <c r="AE2574" s="5" t="s">
        <v>4713</v>
      </c>
      <c r="AF2574" s="5" t="s">
        <v>6049</v>
      </c>
      <c r="AG2574" s="5" t="s">
        <v>6088</v>
      </c>
    </row>
    <row r="2575" spans="1:33" ht="10" customHeight="1" x14ac:dyDescent="0.2">
      <c r="A2575" s="5" t="s">
        <v>5444</v>
      </c>
      <c r="B2575" s="5" t="s">
        <v>4709</v>
      </c>
      <c r="D2575" s="5" t="s">
        <v>6090</v>
      </c>
      <c r="E2575" s="12"/>
      <c r="I2575" s="11">
        <v>2</v>
      </c>
      <c r="K2575" s="12"/>
      <c r="O2575" s="12"/>
      <c r="P2575" s="13">
        <v>295</v>
      </c>
      <c r="Q2575" s="13">
        <v>665</v>
      </c>
      <c r="R2575" s="13">
        <v>704</v>
      </c>
      <c r="S2575" s="13">
        <v>649</v>
      </c>
      <c r="V2575" s="13">
        <v>716</v>
      </c>
      <c r="AC2575" s="10" t="s">
        <v>6091</v>
      </c>
      <c r="AD2575" s="5" t="s">
        <v>1396</v>
      </c>
      <c r="AE2575" s="5" t="s">
        <v>4713</v>
      </c>
      <c r="AF2575" s="5" t="s">
        <v>6049</v>
      </c>
      <c r="AG2575" s="5" t="s">
        <v>6090</v>
      </c>
    </row>
    <row r="2576" spans="1:33" ht="10" customHeight="1" x14ac:dyDescent="0.2">
      <c r="A2576" s="5" t="s">
        <v>5444</v>
      </c>
      <c r="B2576" s="5" t="s">
        <v>4709</v>
      </c>
      <c r="D2576" s="5" t="s">
        <v>49</v>
      </c>
      <c r="E2576" s="12"/>
      <c r="I2576" s="11">
        <v>2</v>
      </c>
      <c r="K2576" s="10" t="s">
        <v>46</v>
      </c>
      <c r="L2576" s="5" t="s">
        <v>47</v>
      </c>
      <c r="M2576" s="5" t="s">
        <v>48</v>
      </c>
      <c r="N2576" s="5" t="s">
        <v>49</v>
      </c>
      <c r="O2576" s="12"/>
      <c r="P2576" s="13">
        <v>528266</v>
      </c>
      <c r="Q2576" s="13">
        <v>541600</v>
      </c>
      <c r="R2576" s="13">
        <v>550579</v>
      </c>
      <c r="S2576" s="13">
        <v>577323</v>
      </c>
      <c r="V2576" s="13">
        <v>604609</v>
      </c>
      <c r="AC2576" s="10" t="s">
        <v>6092</v>
      </c>
      <c r="AD2576" s="5" t="s">
        <v>1396</v>
      </c>
      <c r="AE2576" s="5" t="s">
        <v>4713</v>
      </c>
      <c r="AF2576" s="5" t="s">
        <v>6093</v>
      </c>
      <c r="AG2576" s="5" t="s">
        <v>49</v>
      </c>
    </row>
    <row r="2577" spans="1:33" ht="10" customHeight="1" x14ac:dyDescent="0.2">
      <c r="A2577" s="5" t="s">
        <v>5444</v>
      </c>
      <c r="B2577" s="5" t="s">
        <v>4709</v>
      </c>
      <c r="D2577" s="5" t="s">
        <v>6094</v>
      </c>
      <c r="E2577" s="12"/>
      <c r="I2577" s="11">
        <v>2</v>
      </c>
      <c r="K2577" s="10" t="s">
        <v>46</v>
      </c>
      <c r="L2577" s="5" t="s">
        <v>47</v>
      </c>
      <c r="M2577" s="5" t="s">
        <v>48</v>
      </c>
      <c r="N2577" s="5" t="s">
        <v>6094</v>
      </c>
      <c r="O2577" s="12"/>
      <c r="S2577" s="13">
        <v>157370</v>
      </c>
      <c r="V2577" s="13">
        <v>162292</v>
      </c>
      <c r="AC2577" s="10" t="s">
        <v>6095</v>
      </c>
      <c r="AD2577" s="5" t="s">
        <v>1396</v>
      </c>
      <c r="AE2577" s="5" t="s">
        <v>4713</v>
      </c>
      <c r="AF2577" s="5" t="s">
        <v>6049</v>
      </c>
      <c r="AG2577" s="5" t="s">
        <v>6094</v>
      </c>
    </row>
    <row r="2578" spans="1:33" ht="10" customHeight="1" x14ac:dyDescent="0.2">
      <c r="A2578" s="5" t="s">
        <v>5444</v>
      </c>
      <c r="B2578" s="5" t="s">
        <v>4709</v>
      </c>
      <c r="D2578" s="5" t="s">
        <v>84</v>
      </c>
      <c r="E2578" s="12"/>
      <c r="I2578" s="11">
        <v>2</v>
      </c>
      <c r="K2578" s="10" t="s">
        <v>46</v>
      </c>
      <c r="L2578" s="5" t="s">
        <v>47</v>
      </c>
      <c r="M2578" s="5" t="s">
        <v>48</v>
      </c>
      <c r="N2578" s="5" t="s">
        <v>84</v>
      </c>
      <c r="O2578" s="12"/>
      <c r="S2578" s="13">
        <v>75160</v>
      </c>
      <c r="V2578" s="13">
        <v>77571</v>
      </c>
      <c r="AC2578" s="10" t="s">
        <v>6096</v>
      </c>
      <c r="AD2578" s="5" t="s">
        <v>1396</v>
      </c>
      <c r="AE2578" s="5" t="s">
        <v>4713</v>
      </c>
      <c r="AF2578" s="5" t="s">
        <v>6049</v>
      </c>
      <c r="AG2578" s="5" t="s">
        <v>84</v>
      </c>
    </row>
    <row r="2579" spans="1:33" ht="10" customHeight="1" x14ac:dyDescent="0.2">
      <c r="A2579" s="5" t="s">
        <v>5444</v>
      </c>
      <c r="B2579" s="5" t="s">
        <v>4709</v>
      </c>
      <c r="D2579" s="5" t="s">
        <v>6097</v>
      </c>
      <c r="E2579" s="12"/>
      <c r="I2579" s="11">
        <v>2</v>
      </c>
      <c r="K2579" s="10" t="s">
        <v>46</v>
      </c>
      <c r="L2579" s="5" t="s">
        <v>47</v>
      </c>
      <c r="M2579" s="5" t="s">
        <v>48</v>
      </c>
      <c r="N2579" s="5" t="s">
        <v>84</v>
      </c>
      <c r="O2579" s="12"/>
      <c r="P2579" s="13">
        <v>356970</v>
      </c>
      <c r="Q2579" s="13">
        <v>233706</v>
      </c>
      <c r="R2579" s="13">
        <v>258466</v>
      </c>
      <c r="S2579" s="13">
        <v>259540</v>
      </c>
      <c r="V2579" s="13">
        <v>280442</v>
      </c>
      <c r="AC2579" s="10" t="s">
        <v>6098</v>
      </c>
      <c r="AD2579" s="5" t="s">
        <v>1396</v>
      </c>
      <c r="AE2579" s="5" t="s">
        <v>4713</v>
      </c>
      <c r="AF2579" s="5" t="s">
        <v>6049</v>
      </c>
      <c r="AG2579" s="5" t="s">
        <v>6097</v>
      </c>
    </row>
    <row r="2580" spans="1:33" ht="10" customHeight="1" x14ac:dyDescent="0.2">
      <c r="A2580" s="5" t="s">
        <v>5444</v>
      </c>
      <c r="B2580" s="5" t="s">
        <v>4709</v>
      </c>
      <c r="D2580" s="5" t="s">
        <v>6099</v>
      </c>
      <c r="E2580" s="12"/>
      <c r="I2580" s="11">
        <v>2</v>
      </c>
      <c r="K2580" s="10" t="s">
        <v>46</v>
      </c>
      <c r="L2580" s="5" t="s">
        <v>47</v>
      </c>
      <c r="M2580" s="5" t="s">
        <v>48</v>
      </c>
      <c r="N2580" s="5" t="s">
        <v>84</v>
      </c>
      <c r="O2580" s="12"/>
      <c r="P2580" s="13">
        <v>677440</v>
      </c>
      <c r="Q2580" s="13">
        <v>628771</v>
      </c>
      <c r="R2580" s="13">
        <v>660421</v>
      </c>
      <c r="S2580" s="13">
        <v>453013</v>
      </c>
      <c r="V2580" s="13">
        <v>477255</v>
      </c>
      <c r="AC2580" s="10" t="s">
        <v>6100</v>
      </c>
      <c r="AD2580" s="5" t="s">
        <v>1396</v>
      </c>
      <c r="AE2580" s="5" t="s">
        <v>4713</v>
      </c>
      <c r="AF2580" s="5" t="s">
        <v>6049</v>
      </c>
      <c r="AG2580" s="5" t="s">
        <v>6099</v>
      </c>
    </row>
    <row r="2581" spans="1:33" ht="10" customHeight="1" x14ac:dyDescent="0.2">
      <c r="A2581" s="5" t="s">
        <v>5444</v>
      </c>
      <c r="B2581" s="5" t="s">
        <v>4709</v>
      </c>
      <c r="D2581" s="5" t="s">
        <v>6101</v>
      </c>
      <c r="E2581" s="12"/>
      <c r="I2581" s="11">
        <v>2</v>
      </c>
      <c r="K2581" s="12"/>
      <c r="O2581" s="12"/>
      <c r="S2581" s="13">
        <v>1660</v>
      </c>
      <c r="V2581" s="13">
        <v>1660</v>
      </c>
      <c r="AC2581" s="10" t="s">
        <v>6102</v>
      </c>
      <c r="AD2581" s="5" t="s">
        <v>1396</v>
      </c>
      <c r="AE2581" s="5" t="s">
        <v>4713</v>
      </c>
      <c r="AF2581" s="5" t="s">
        <v>6049</v>
      </c>
      <c r="AG2581" s="5" t="s">
        <v>6101</v>
      </c>
    </row>
    <row r="2582" spans="1:33" ht="10" customHeight="1" x14ac:dyDescent="0.2">
      <c r="A2582" s="5" t="s">
        <v>5444</v>
      </c>
      <c r="B2582" s="5" t="s">
        <v>4709</v>
      </c>
      <c r="D2582" s="5" t="s">
        <v>6052</v>
      </c>
      <c r="E2582" s="12"/>
      <c r="I2582" s="11">
        <v>2</v>
      </c>
      <c r="K2582" s="10" t="s">
        <v>46</v>
      </c>
      <c r="L2582" s="5" t="s">
        <v>47</v>
      </c>
      <c r="M2582" s="5" t="s">
        <v>4855</v>
      </c>
      <c r="N2582" s="5" t="s">
        <v>4856</v>
      </c>
      <c r="O2582" s="12"/>
      <c r="P2582" s="13">
        <v>15372</v>
      </c>
      <c r="Q2582" s="13">
        <v>65480</v>
      </c>
      <c r="R2582" s="13">
        <v>65674</v>
      </c>
      <c r="S2582" s="13">
        <v>2762</v>
      </c>
      <c r="V2582" s="13">
        <v>3093</v>
      </c>
      <c r="AC2582" s="10" t="s">
        <v>6103</v>
      </c>
      <c r="AD2582" s="5" t="s">
        <v>1396</v>
      </c>
      <c r="AE2582" s="5" t="s">
        <v>4713</v>
      </c>
      <c r="AF2582" s="5" t="s">
        <v>6104</v>
      </c>
      <c r="AG2582" s="5" t="s">
        <v>6052</v>
      </c>
    </row>
    <row r="2583" spans="1:33" ht="10" customHeight="1" x14ac:dyDescent="0.2">
      <c r="A2583" s="5" t="s">
        <v>5444</v>
      </c>
      <c r="B2583" s="5" t="s">
        <v>4709</v>
      </c>
      <c r="D2583" s="5" t="s">
        <v>6034</v>
      </c>
      <c r="E2583" s="12"/>
      <c r="I2583" s="11">
        <v>2</v>
      </c>
      <c r="K2583" s="10" t="s">
        <v>46</v>
      </c>
      <c r="L2583" s="5" t="s">
        <v>47</v>
      </c>
      <c r="M2583" s="5" t="s">
        <v>145</v>
      </c>
      <c r="N2583" s="5" t="s">
        <v>4905</v>
      </c>
      <c r="O2583" s="12"/>
      <c r="P2583" s="13">
        <v>518125</v>
      </c>
      <c r="Q2583" s="13">
        <v>474175</v>
      </c>
      <c r="R2583" s="13">
        <v>499230</v>
      </c>
      <c r="S2583" s="13">
        <v>180719</v>
      </c>
      <c r="V2583" s="13">
        <v>223014</v>
      </c>
      <c r="AC2583" s="10" t="s">
        <v>6105</v>
      </c>
      <c r="AD2583" s="5" t="s">
        <v>1396</v>
      </c>
      <c r="AE2583" s="5" t="s">
        <v>4713</v>
      </c>
      <c r="AF2583" s="5" t="s">
        <v>6104</v>
      </c>
      <c r="AG2583" s="5" t="s">
        <v>6034</v>
      </c>
    </row>
    <row r="2584" spans="1:33" ht="10" customHeight="1" x14ac:dyDescent="0.2">
      <c r="A2584" s="5" t="s">
        <v>5444</v>
      </c>
      <c r="B2584" s="5" t="s">
        <v>4709</v>
      </c>
      <c r="D2584" s="5" t="s">
        <v>6055</v>
      </c>
      <c r="E2584" s="12"/>
      <c r="I2584" s="11">
        <v>2</v>
      </c>
      <c r="K2584" s="12"/>
      <c r="O2584" s="12"/>
      <c r="P2584" s="13">
        <v>1903</v>
      </c>
      <c r="Q2584" s="13">
        <v>89284</v>
      </c>
      <c r="R2584" s="13">
        <v>89284</v>
      </c>
      <c r="S2584" s="13">
        <v>24967</v>
      </c>
      <c r="V2584" s="13">
        <v>24967</v>
      </c>
      <c r="AC2584" s="10" t="s">
        <v>6106</v>
      </c>
      <c r="AD2584" s="5" t="s">
        <v>1396</v>
      </c>
      <c r="AE2584" s="5" t="s">
        <v>4713</v>
      </c>
      <c r="AF2584" s="5" t="s">
        <v>6104</v>
      </c>
      <c r="AG2584" s="5" t="s">
        <v>6055</v>
      </c>
    </row>
    <row r="2585" spans="1:33" ht="10" customHeight="1" x14ac:dyDescent="0.2">
      <c r="A2585" s="5" t="s">
        <v>5444</v>
      </c>
      <c r="B2585" s="5" t="s">
        <v>4709</v>
      </c>
      <c r="D2585" s="5" t="s">
        <v>6057</v>
      </c>
      <c r="E2585" s="12"/>
      <c r="I2585" s="11">
        <v>2</v>
      </c>
      <c r="K2585" s="12"/>
      <c r="O2585" s="12"/>
      <c r="P2585" s="13">
        <v>17244</v>
      </c>
      <c r="Q2585" s="13">
        <v>23306</v>
      </c>
      <c r="R2585" s="13">
        <v>23632</v>
      </c>
      <c r="S2585" s="13">
        <v>8400</v>
      </c>
      <c r="V2585" s="13">
        <v>8751</v>
      </c>
      <c r="AC2585" s="10" t="s">
        <v>6107</v>
      </c>
      <c r="AD2585" s="5" t="s">
        <v>1396</v>
      </c>
      <c r="AE2585" s="5" t="s">
        <v>4713</v>
      </c>
      <c r="AF2585" s="5" t="s">
        <v>6104</v>
      </c>
      <c r="AG2585" s="5" t="s">
        <v>6057</v>
      </c>
    </row>
    <row r="2586" spans="1:33" ht="10" customHeight="1" x14ac:dyDescent="0.2">
      <c r="A2586" s="5" t="s">
        <v>5444</v>
      </c>
      <c r="B2586" s="5" t="s">
        <v>4709</v>
      </c>
      <c r="D2586" s="5" t="s">
        <v>4955</v>
      </c>
      <c r="E2586" s="12"/>
      <c r="I2586" s="11">
        <v>2</v>
      </c>
      <c r="K2586" s="10" t="s">
        <v>46</v>
      </c>
      <c r="L2586" s="5" t="s">
        <v>47</v>
      </c>
      <c r="M2586" s="5" t="s">
        <v>115</v>
      </c>
      <c r="N2586" s="5" t="s">
        <v>4955</v>
      </c>
      <c r="O2586" s="12"/>
      <c r="P2586" s="13">
        <v>106091</v>
      </c>
      <c r="Q2586" s="13">
        <v>50328</v>
      </c>
      <c r="R2586" s="13">
        <v>51680</v>
      </c>
      <c r="S2586" s="13">
        <v>40292</v>
      </c>
      <c r="V2586" s="13">
        <v>42503</v>
      </c>
      <c r="AC2586" s="10" t="s">
        <v>6108</v>
      </c>
      <c r="AD2586" s="5" t="s">
        <v>1396</v>
      </c>
      <c r="AE2586" s="5" t="s">
        <v>4713</v>
      </c>
      <c r="AF2586" s="5" t="s">
        <v>6104</v>
      </c>
      <c r="AG2586" s="5" t="s">
        <v>4955</v>
      </c>
    </row>
    <row r="2587" spans="1:33" ht="10" customHeight="1" x14ac:dyDescent="0.2">
      <c r="A2587" s="5" t="s">
        <v>5444</v>
      </c>
      <c r="B2587" s="5" t="s">
        <v>4709</v>
      </c>
      <c r="D2587" s="5" t="s">
        <v>6063</v>
      </c>
      <c r="E2587" s="12"/>
      <c r="I2587" s="11">
        <v>2</v>
      </c>
      <c r="K2587" s="10" t="s">
        <v>46</v>
      </c>
      <c r="L2587" s="5" t="s">
        <v>47</v>
      </c>
      <c r="M2587" s="5" t="s">
        <v>65</v>
      </c>
      <c r="N2587" s="5" t="s">
        <v>66</v>
      </c>
      <c r="O2587" s="12"/>
      <c r="P2587" s="13">
        <v>1796346</v>
      </c>
      <c r="Q2587" s="13">
        <v>2748996</v>
      </c>
      <c r="R2587" s="13">
        <v>2897547</v>
      </c>
      <c r="S2587" s="13">
        <v>2720122</v>
      </c>
      <c r="V2587" s="13">
        <v>3030280</v>
      </c>
      <c r="AC2587" s="10" t="s">
        <v>6109</v>
      </c>
      <c r="AD2587" s="5" t="s">
        <v>1396</v>
      </c>
      <c r="AE2587" s="5" t="s">
        <v>4713</v>
      </c>
      <c r="AF2587" s="5" t="s">
        <v>6104</v>
      </c>
      <c r="AG2587" s="5" t="s">
        <v>6063</v>
      </c>
    </row>
    <row r="2588" spans="1:33" ht="10" customHeight="1" x14ac:dyDescent="0.2">
      <c r="A2588" s="5" t="s">
        <v>5444</v>
      </c>
      <c r="B2588" s="5" t="s">
        <v>4709</v>
      </c>
      <c r="D2588" s="5" t="s">
        <v>6110</v>
      </c>
      <c r="E2588" s="12"/>
      <c r="I2588" s="11">
        <v>2</v>
      </c>
      <c r="K2588" s="10" t="s">
        <v>46</v>
      </c>
      <c r="L2588" s="5" t="s">
        <v>47</v>
      </c>
      <c r="M2588" s="5" t="s">
        <v>65</v>
      </c>
      <c r="N2588" s="5" t="s">
        <v>66</v>
      </c>
      <c r="O2588" s="12"/>
      <c r="P2588" s="13">
        <v>278</v>
      </c>
      <c r="Q2588" s="13">
        <v>312</v>
      </c>
      <c r="R2588" s="13">
        <v>312</v>
      </c>
      <c r="S2588" s="13">
        <v>312</v>
      </c>
      <c r="V2588" s="13">
        <v>323</v>
      </c>
      <c r="AC2588" s="10" t="s">
        <v>6111</v>
      </c>
      <c r="AD2588" s="5" t="s">
        <v>1396</v>
      </c>
      <c r="AE2588" s="5" t="s">
        <v>4713</v>
      </c>
      <c r="AF2588" s="5" t="s">
        <v>6104</v>
      </c>
      <c r="AG2588" s="5" t="s">
        <v>6112</v>
      </c>
    </row>
    <row r="2589" spans="1:33" ht="10" customHeight="1" x14ac:dyDescent="0.2">
      <c r="A2589" s="5" t="s">
        <v>5444</v>
      </c>
      <c r="B2589" s="5" t="s">
        <v>4709</v>
      </c>
      <c r="D2589" s="5" t="s">
        <v>66</v>
      </c>
      <c r="E2589" s="12"/>
      <c r="I2589" s="11">
        <v>2</v>
      </c>
      <c r="K2589" s="10" t="s">
        <v>46</v>
      </c>
      <c r="L2589" s="5" t="s">
        <v>47</v>
      </c>
      <c r="M2589" s="5" t="s">
        <v>65</v>
      </c>
      <c r="N2589" s="5" t="s">
        <v>66</v>
      </c>
      <c r="O2589" s="12"/>
      <c r="S2589" s="13">
        <v>17657</v>
      </c>
      <c r="V2589" s="13">
        <v>18054</v>
      </c>
      <c r="AC2589" s="10" t="s">
        <v>6113</v>
      </c>
      <c r="AD2589" s="5" t="s">
        <v>1396</v>
      </c>
      <c r="AE2589" s="5" t="s">
        <v>4713</v>
      </c>
      <c r="AF2589" s="5" t="s">
        <v>6104</v>
      </c>
      <c r="AG2589" s="5" t="s">
        <v>66</v>
      </c>
    </row>
    <row r="2590" spans="1:33" ht="10" customHeight="1" x14ac:dyDescent="0.2">
      <c r="A2590" s="5" t="s">
        <v>5444</v>
      </c>
      <c r="B2590" s="5" t="s">
        <v>4709</v>
      </c>
      <c r="D2590" s="5" t="s">
        <v>116</v>
      </c>
      <c r="E2590" s="12"/>
      <c r="I2590" s="11">
        <v>2</v>
      </c>
      <c r="K2590" s="10" t="s">
        <v>46</v>
      </c>
      <c r="L2590" s="5" t="s">
        <v>47</v>
      </c>
      <c r="M2590" s="5" t="s">
        <v>115</v>
      </c>
      <c r="N2590" s="5" t="s">
        <v>116</v>
      </c>
      <c r="O2590" s="12"/>
      <c r="P2590" s="13">
        <v>732057</v>
      </c>
      <c r="Q2590" s="13">
        <v>563674</v>
      </c>
      <c r="R2590" s="13">
        <v>595584</v>
      </c>
      <c r="S2590" s="13">
        <v>525288</v>
      </c>
      <c r="V2590" s="13">
        <v>568246</v>
      </c>
      <c r="AC2590" s="10" t="s">
        <v>6114</v>
      </c>
      <c r="AD2590" s="5" t="s">
        <v>1396</v>
      </c>
      <c r="AE2590" s="5" t="s">
        <v>4713</v>
      </c>
      <c r="AF2590" s="5" t="s">
        <v>6115</v>
      </c>
      <c r="AG2590" s="5" t="s">
        <v>116</v>
      </c>
    </row>
    <row r="2591" spans="1:33" ht="10" customHeight="1" x14ac:dyDescent="0.2">
      <c r="A2591" s="5" t="s">
        <v>5444</v>
      </c>
      <c r="B2591" s="5" t="s">
        <v>4709</v>
      </c>
      <c r="D2591" s="5" t="s">
        <v>6067</v>
      </c>
      <c r="E2591" s="12"/>
      <c r="I2591" s="11">
        <v>2</v>
      </c>
      <c r="K2591" s="10" t="s">
        <v>46</v>
      </c>
      <c r="L2591" s="5" t="s">
        <v>47</v>
      </c>
      <c r="M2591" s="5" t="s">
        <v>115</v>
      </c>
      <c r="N2591" s="5" t="s">
        <v>116</v>
      </c>
      <c r="O2591" s="12"/>
      <c r="S2591" s="13">
        <v>6174</v>
      </c>
      <c r="V2591" s="13">
        <v>7358</v>
      </c>
      <c r="AC2591" s="10" t="s">
        <v>6116</v>
      </c>
      <c r="AD2591" s="5" t="s">
        <v>1396</v>
      </c>
      <c r="AE2591" s="5" t="s">
        <v>4713</v>
      </c>
      <c r="AF2591" s="5" t="s">
        <v>6104</v>
      </c>
      <c r="AG2591" s="5" t="s">
        <v>6067</v>
      </c>
    </row>
    <row r="2592" spans="1:33" ht="10" customHeight="1" x14ac:dyDescent="0.2">
      <c r="A2592" s="5" t="s">
        <v>5444</v>
      </c>
      <c r="B2592" s="5" t="s">
        <v>4709</v>
      </c>
      <c r="D2592" s="5" t="s">
        <v>6069</v>
      </c>
      <c r="E2592" s="12"/>
      <c r="I2592" s="11">
        <v>2</v>
      </c>
      <c r="K2592" s="10" t="s">
        <v>46</v>
      </c>
      <c r="L2592" s="5" t="s">
        <v>47</v>
      </c>
      <c r="M2592" s="5" t="s">
        <v>115</v>
      </c>
      <c r="N2592" s="5" t="s">
        <v>116</v>
      </c>
      <c r="O2592" s="12"/>
      <c r="P2592" s="13">
        <v>2130</v>
      </c>
      <c r="AC2592" s="10" t="s">
        <v>6117</v>
      </c>
      <c r="AD2592" s="5" t="s">
        <v>1396</v>
      </c>
      <c r="AE2592" s="5" t="s">
        <v>4713</v>
      </c>
      <c r="AF2592" s="5" t="s">
        <v>6104</v>
      </c>
      <c r="AG2592" s="5" t="s">
        <v>6069</v>
      </c>
    </row>
    <row r="2593" spans="1:33" ht="10" customHeight="1" x14ac:dyDescent="0.2">
      <c r="A2593" s="5" t="s">
        <v>5444</v>
      </c>
      <c r="B2593" s="5" t="s">
        <v>4709</v>
      </c>
      <c r="D2593" s="5" t="s">
        <v>6071</v>
      </c>
      <c r="E2593" s="12"/>
      <c r="I2593" s="11">
        <v>2</v>
      </c>
      <c r="K2593" s="10" t="s">
        <v>46</v>
      </c>
      <c r="L2593" s="5" t="s">
        <v>47</v>
      </c>
      <c r="M2593" s="5" t="s">
        <v>178</v>
      </c>
      <c r="N2593" s="5" t="s">
        <v>6071</v>
      </c>
      <c r="O2593" s="12"/>
      <c r="P2593" s="13">
        <v>6850</v>
      </c>
      <c r="Q2593" s="13">
        <v>20241</v>
      </c>
      <c r="R2593" s="13">
        <v>20629</v>
      </c>
      <c r="S2593" s="13">
        <v>19655</v>
      </c>
      <c r="V2593" s="13">
        <v>22134</v>
      </c>
      <c r="AC2593" s="10" t="s">
        <v>6118</v>
      </c>
      <c r="AD2593" s="5" t="s">
        <v>1396</v>
      </c>
      <c r="AE2593" s="5" t="s">
        <v>4713</v>
      </c>
      <c r="AF2593" s="5" t="s">
        <v>6104</v>
      </c>
      <c r="AG2593" s="5" t="s">
        <v>6071</v>
      </c>
    </row>
    <row r="2594" spans="1:33" ht="10" customHeight="1" x14ac:dyDescent="0.2">
      <c r="A2594" s="5" t="s">
        <v>5444</v>
      </c>
      <c r="B2594" s="5" t="s">
        <v>4709</v>
      </c>
      <c r="D2594" s="5" t="s">
        <v>4856</v>
      </c>
      <c r="E2594" s="12"/>
      <c r="I2594" s="11">
        <v>2</v>
      </c>
      <c r="K2594" s="10" t="s">
        <v>46</v>
      </c>
      <c r="L2594" s="5" t="s">
        <v>47</v>
      </c>
      <c r="M2594" s="5" t="s">
        <v>4855</v>
      </c>
      <c r="N2594" s="5" t="s">
        <v>4856</v>
      </c>
      <c r="O2594" s="12"/>
      <c r="P2594" s="13">
        <v>5496</v>
      </c>
      <c r="Q2594" s="13">
        <v>517</v>
      </c>
      <c r="R2594" s="13">
        <v>517</v>
      </c>
      <c r="S2594" s="13">
        <v>3899</v>
      </c>
      <c r="V2594" s="13">
        <v>57265</v>
      </c>
      <c r="AC2594" s="10" t="s">
        <v>6119</v>
      </c>
      <c r="AD2594" s="5" t="s">
        <v>1396</v>
      </c>
      <c r="AE2594" s="5" t="s">
        <v>4713</v>
      </c>
      <c r="AF2594" s="5" t="s">
        <v>6104</v>
      </c>
      <c r="AG2594" s="5" t="s">
        <v>4856</v>
      </c>
    </row>
    <row r="2595" spans="1:33" ht="10" customHeight="1" x14ac:dyDescent="0.2">
      <c r="A2595" s="5" t="s">
        <v>5444</v>
      </c>
      <c r="B2595" s="5" t="s">
        <v>4709</v>
      </c>
      <c r="D2595" s="5" t="s">
        <v>135</v>
      </c>
      <c r="E2595" s="12"/>
      <c r="I2595" s="11">
        <v>2</v>
      </c>
      <c r="K2595" s="10" t="s">
        <v>46</v>
      </c>
      <c r="L2595" s="5" t="s">
        <v>47</v>
      </c>
      <c r="M2595" s="5" t="s">
        <v>115</v>
      </c>
      <c r="N2595" s="5" t="s">
        <v>135</v>
      </c>
      <c r="O2595" s="12"/>
      <c r="P2595" s="13">
        <v>241434</v>
      </c>
      <c r="Q2595" s="13">
        <v>225747</v>
      </c>
      <c r="R2595" s="13">
        <v>237189</v>
      </c>
      <c r="S2595" s="13">
        <v>230789</v>
      </c>
      <c r="V2595" s="13">
        <v>346046</v>
      </c>
      <c r="AC2595" s="10" t="s">
        <v>6120</v>
      </c>
      <c r="AD2595" s="5" t="s">
        <v>1396</v>
      </c>
      <c r="AE2595" s="5" t="s">
        <v>4713</v>
      </c>
      <c r="AF2595" s="5" t="s">
        <v>6121</v>
      </c>
      <c r="AG2595" s="5" t="s">
        <v>135</v>
      </c>
    </row>
    <row r="2596" spans="1:33" ht="10" customHeight="1" x14ac:dyDescent="0.2">
      <c r="A2596" s="5" t="s">
        <v>5444</v>
      </c>
      <c r="B2596" s="5" t="s">
        <v>4709</v>
      </c>
      <c r="D2596" s="5" t="s">
        <v>164</v>
      </c>
      <c r="E2596" s="12"/>
      <c r="I2596" s="11">
        <v>2</v>
      </c>
      <c r="K2596" s="10" t="s">
        <v>46</v>
      </c>
      <c r="L2596" s="5" t="s">
        <v>47</v>
      </c>
      <c r="M2596" s="5" t="s">
        <v>145</v>
      </c>
      <c r="N2596" s="5" t="s">
        <v>164</v>
      </c>
      <c r="O2596" s="12"/>
      <c r="S2596" s="13">
        <v>29116</v>
      </c>
      <c r="V2596" s="13">
        <v>30946</v>
      </c>
      <c r="AC2596" s="10" t="s">
        <v>6122</v>
      </c>
      <c r="AD2596" s="5" t="s">
        <v>1396</v>
      </c>
      <c r="AE2596" s="5" t="s">
        <v>4713</v>
      </c>
      <c r="AF2596" s="5" t="s">
        <v>6104</v>
      </c>
      <c r="AG2596" s="5" t="s">
        <v>164</v>
      </c>
    </row>
    <row r="2597" spans="1:33" ht="10" customHeight="1" x14ac:dyDescent="0.2">
      <c r="A2597" s="5" t="s">
        <v>5444</v>
      </c>
      <c r="B2597" s="5" t="s">
        <v>4709</v>
      </c>
      <c r="D2597" s="5" t="s">
        <v>6123</v>
      </c>
      <c r="E2597" s="12"/>
      <c r="I2597" s="11">
        <v>2</v>
      </c>
      <c r="K2597" s="10" t="s">
        <v>46</v>
      </c>
      <c r="L2597" s="5" t="s">
        <v>47</v>
      </c>
      <c r="M2597" s="5" t="s">
        <v>145</v>
      </c>
      <c r="O2597" s="12"/>
      <c r="P2597" s="13">
        <v>5608</v>
      </c>
      <c r="Q2597" s="13">
        <v>10944</v>
      </c>
      <c r="R2597" s="13">
        <v>10944</v>
      </c>
      <c r="AC2597" s="10" t="s">
        <v>6124</v>
      </c>
      <c r="AD2597" s="5" t="s">
        <v>1396</v>
      </c>
      <c r="AE2597" s="5" t="s">
        <v>4713</v>
      </c>
      <c r="AF2597" s="5" t="s">
        <v>6104</v>
      </c>
      <c r="AG2597" s="5" t="s">
        <v>6123</v>
      </c>
    </row>
    <row r="2598" spans="1:33" ht="10" customHeight="1" x14ac:dyDescent="0.2">
      <c r="A2598" s="5" t="s">
        <v>5444</v>
      </c>
      <c r="B2598" s="5" t="s">
        <v>4709</v>
      </c>
      <c r="D2598" s="5" t="s">
        <v>4905</v>
      </c>
      <c r="E2598" s="12"/>
      <c r="I2598" s="11">
        <v>2</v>
      </c>
      <c r="K2598" s="10" t="s">
        <v>46</v>
      </c>
      <c r="L2598" s="5" t="s">
        <v>47</v>
      </c>
      <c r="M2598" s="5" t="s">
        <v>145</v>
      </c>
      <c r="N2598" s="5" t="s">
        <v>4905</v>
      </c>
      <c r="O2598" s="12"/>
      <c r="S2598" s="13">
        <v>36577</v>
      </c>
      <c r="V2598" s="13">
        <v>37210</v>
      </c>
      <c r="AC2598" s="10" t="s">
        <v>6125</v>
      </c>
      <c r="AD2598" s="5" t="s">
        <v>1396</v>
      </c>
      <c r="AE2598" s="5" t="s">
        <v>4713</v>
      </c>
      <c r="AF2598" s="5" t="s">
        <v>6104</v>
      </c>
      <c r="AG2598" s="5" t="s">
        <v>4905</v>
      </c>
    </row>
    <row r="2599" spans="1:33" ht="10" customHeight="1" x14ac:dyDescent="0.2">
      <c r="A2599" s="5" t="s">
        <v>5444</v>
      </c>
      <c r="B2599" s="5" t="s">
        <v>4709</v>
      </c>
      <c r="D2599" s="5" t="s">
        <v>146</v>
      </c>
      <c r="E2599" s="12"/>
      <c r="I2599" s="11">
        <v>2</v>
      </c>
      <c r="K2599" s="10" t="s">
        <v>46</v>
      </c>
      <c r="L2599" s="5" t="s">
        <v>47</v>
      </c>
      <c r="M2599" s="5" t="s">
        <v>145</v>
      </c>
      <c r="N2599" s="5" t="s">
        <v>146</v>
      </c>
      <c r="O2599" s="12"/>
      <c r="S2599" s="13">
        <v>105286</v>
      </c>
      <c r="V2599" s="13">
        <v>105354</v>
      </c>
      <c r="AC2599" s="10" t="s">
        <v>6126</v>
      </c>
      <c r="AD2599" s="5" t="s">
        <v>1408</v>
      </c>
      <c r="AE2599" s="5" t="s">
        <v>4713</v>
      </c>
      <c r="AF2599" s="5" t="s">
        <v>6104</v>
      </c>
      <c r="AG2599" s="5" t="s">
        <v>146</v>
      </c>
    </row>
    <row r="2600" spans="1:33" ht="10" customHeight="1" x14ac:dyDescent="0.2">
      <c r="A2600" s="5" t="s">
        <v>5444</v>
      </c>
      <c r="B2600" s="5" t="s">
        <v>4709</v>
      </c>
      <c r="D2600" s="5" t="s">
        <v>4899</v>
      </c>
      <c r="E2600" s="12"/>
      <c r="I2600" s="11">
        <v>2</v>
      </c>
      <c r="K2600" s="10" t="s">
        <v>46</v>
      </c>
      <c r="L2600" s="5" t="s">
        <v>47</v>
      </c>
      <c r="M2600" s="5" t="s">
        <v>145</v>
      </c>
      <c r="N2600" s="5" t="s">
        <v>4899</v>
      </c>
      <c r="O2600" s="12"/>
      <c r="S2600" s="13">
        <v>73346</v>
      </c>
      <c r="V2600" s="13">
        <v>97543</v>
      </c>
      <c r="AC2600" s="10" t="s">
        <v>6127</v>
      </c>
      <c r="AD2600" s="5" t="s">
        <v>1408</v>
      </c>
      <c r="AE2600" s="5" t="s">
        <v>4713</v>
      </c>
      <c r="AF2600" s="5" t="s">
        <v>6104</v>
      </c>
      <c r="AG2600" s="5" t="s">
        <v>4899</v>
      </c>
    </row>
    <row r="2601" spans="1:33" ht="10" customHeight="1" x14ac:dyDescent="0.2">
      <c r="A2601" s="5" t="s">
        <v>5444</v>
      </c>
      <c r="B2601" s="5" t="s">
        <v>4709</v>
      </c>
      <c r="D2601" s="5" t="s">
        <v>6079</v>
      </c>
      <c r="E2601" s="12"/>
      <c r="I2601" s="11">
        <v>2</v>
      </c>
      <c r="K2601" s="10" t="s">
        <v>46</v>
      </c>
      <c r="L2601" s="5" t="s">
        <v>47</v>
      </c>
      <c r="M2601" s="5" t="s">
        <v>4680</v>
      </c>
      <c r="N2601" s="5" t="s">
        <v>4681</v>
      </c>
      <c r="O2601" s="12"/>
      <c r="P2601" s="13">
        <v>55837</v>
      </c>
      <c r="Q2601" s="13">
        <v>46252</v>
      </c>
      <c r="R2601" s="13">
        <v>47028</v>
      </c>
      <c r="S2601" s="13">
        <v>10813</v>
      </c>
      <c r="V2601" s="13">
        <v>13189</v>
      </c>
      <c r="AC2601" s="10" t="s">
        <v>6128</v>
      </c>
      <c r="AD2601" s="5" t="s">
        <v>1408</v>
      </c>
      <c r="AE2601" s="5" t="s">
        <v>4713</v>
      </c>
      <c r="AF2601" s="5" t="s">
        <v>6104</v>
      </c>
      <c r="AG2601" s="5" t="s">
        <v>6079</v>
      </c>
    </row>
    <row r="2602" spans="1:33" ht="10" customHeight="1" x14ac:dyDescent="0.2">
      <c r="A2602" s="5" t="s">
        <v>5444</v>
      </c>
      <c r="B2602" s="5" t="s">
        <v>4709</v>
      </c>
      <c r="D2602" s="5" t="s">
        <v>6129</v>
      </c>
      <c r="E2602" s="12"/>
      <c r="I2602" s="11">
        <v>2</v>
      </c>
      <c r="K2602" s="12"/>
      <c r="O2602" s="12"/>
      <c r="Q2602" s="13">
        <v>20041</v>
      </c>
      <c r="R2602" s="13">
        <v>20041</v>
      </c>
      <c r="S2602" s="13">
        <v>964</v>
      </c>
      <c r="V2602" s="13">
        <v>27283</v>
      </c>
      <c r="AC2602" s="10" t="s">
        <v>6130</v>
      </c>
      <c r="AD2602" s="5" t="s">
        <v>1408</v>
      </c>
      <c r="AE2602" s="5" t="s">
        <v>4713</v>
      </c>
      <c r="AF2602" s="5" t="s">
        <v>6104</v>
      </c>
      <c r="AG2602" s="5" t="s">
        <v>6131</v>
      </c>
    </row>
    <row r="2603" spans="1:33" ht="10" customHeight="1" x14ac:dyDescent="0.2">
      <c r="A2603" s="5" t="s">
        <v>5444</v>
      </c>
      <c r="B2603" s="5" t="s">
        <v>4709</v>
      </c>
      <c r="D2603" s="5" t="s">
        <v>6084</v>
      </c>
      <c r="E2603" s="12"/>
      <c r="I2603" s="11">
        <v>2</v>
      </c>
      <c r="K2603" s="10" t="s">
        <v>46</v>
      </c>
      <c r="L2603" s="5" t="s">
        <v>235</v>
      </c>
      <c r="M2603" s="5" t="s">
        <v>6085</v>
      </c>
      <c r="N2603" s="5" t="s">
        <v>6084</v>
      </c>
      <c r="O2603" s="12"/>
      <c r="P2603" s="13">
        <v>31</v>
      </c>
      <c r="AC2603" s="10" t="s">
        <v>6132</v>
      </c>
      <c r="AD2603" s="5" t="s">
        <v>1408</v>
      </c>
      <c r="AE2603" s="5" t="s">
        <v>4713</v>
      </c>
      <c r="AF2603" s="5" t="s">
        <v>6133</v>
      </c>
      <c r="AG2603" s="5" t="s">
        <v>6084</v>
      </c>
    </row>
    <row r="2604" spans="1:33" ht="10" customHeight="1" x14ac:dyDescent="0.2">
      <c r="A2604" s="5" t="s">
        <v>5444</v>
      </c>
      <c r="B2604" s="5" t="s">
        <v>4709</v>
      </c>
      <c r="D2604" s="5" t="s">
        <v>6088</v>
      </c>
      <c r="E2604" s="12"/>
      <c r="I2604" s="11">
        <v>2</v>
      </c>
      <c r="K2604" s="12"/>
      <c r="O2604" s="12"/>
      <c r="P2604" s="13">
        <v>3608</v>
      </c>
      <c r="Q2604" s="13">
        <v>5651</v>
      </c>
      <c r="R2604" s="13">
        <v>5651</v>
      </c>
      <c r="S2604" s="13">
        <v>5569</v>
      </c>
      <c r="V2604" s="13">
        <v>5569</v>
      </c>
      <c r="AC2604" s="10" t="s">
        <v>6134</v>
      </c>
      <c r="AD2604" s="5" t="s">
        <v>1408</v>
      </c>
      <c r="AE2604" s="5" t="s">
        <v>4713</v>
      </c>
      <c r="AF2604" s="5" t="s">
        <v>6104</v>
      </c>
      <c r="AG2604" s="5" t="s">
        <v>6088</v>
      </c>
    </row>
    <row r="2605" spans="1:33" ht="10" customHeight="1" x14ac:dyDescent="0.2">
      <c r="A2605" s="5" t="s">
        <v>5444</v>
      </c>
      <c r="B2605" s="5" t="s">
        <v>4709</v>
      </c>
      <c r="D2605" s="5" t="s">
        <v>6090</v>
      </c>
      <c r="E2605" s="12"/>
      <c r="I2605" s="11">
        <v>2</v>
      </c>
      <c r="K2605" s="12"/>
      <c r="O2605" s="12"/>
      <c r="P2605" s="13">
        <v>628</v>
      </c>
      <c r="Q2605" s="13">
        <v>806</v>
      </c>
      <c r="R2605" s="13">
        <v>806</v>
      </c>
      <c r="S2605" s="13">
        <v>814</v>
      </c>
      <c r="V2605" s="13">
        <v>814</v>
      </c>
      <c r="AC2605" s="10" t="s">
        <v>6135</v>
      </c>
      <c r="AD2605" s="5" t="s">
        <v>1408</v>
      </c>
      <c r="AE2605" s="5" t="s">
        <v>4713</v>
      </c>
      <c r="AF2605" s="5" t="s">
        <v>6104</v>
      </c>
      <c r="AG2605" s="5" t="s">
        <v>6090</v>
      </c>
    </row>
    <row r="2606" spans="1:33" ht="10" customHeight="1" x14ac:dyDescent="0.2">
      <c r="A2606" s="5" t="s">
        <v>5444</v>
      </c>
      <c r="B2606" s="5" t="s">
        <v>4709</v>
      </c>
      <c r="D2606" s="5" t="s">
        <v>6136</v>
      </c>
      <c r="E2606" s="12"/>
      <c r="I2606" s="11">
        <v>2</v>
      </c>
      <c r="K2606" s="12"/>
      <c r="O2606" s="12"/>
      <c r="P2606" s="13">
        <v>13902</v>
      </c>
      <c r="Q2606" s="13">
        <v>27805</v>
      </c>
      <c r="R2606" s="13">
        <v>27805</v>
      </c>
      <c r="S2606" s="13">
        <v>27382</v>
      </c>
      <c r="V2606" s="13">
        <v>29120</v>
      </c>
      <c r="AC2606" s="10" t="s">
        <v>6137</v>
      </c>
      <c r="AD2606" s="5" t="s">
        <v>1408</v>
      </c>
      <c r="AE2606" s="5" t="s">
        <v>4713</v>
      </c>
      <c r="AF2606" s="5" t="s">
        <v>6104</v>
      </c>
      <c r="AG2606" s="5" t="s">
        <v>6138</v>
      </c>
    </row>
    <row r="2607" spans="1:33" ht="10" customHeight="1" x14ac:dyDescent="0.2">
      <c r="A2607" s="5" t="s">
        <v>5444</v>
      </c>
      <c r="B2607" s="5" t="s">
        <v>4709</v>
      </c>
      <c r="D2607" s="5" t="s">
        <v>49</v>
      </c>
      <c r="E2607" s="12"/>
      <c r="I2607" s="11">
        <v>2</v>
      </c>
      <c r="K2607" s="10" t="s">
        <v>46</v>
      </c>
      <c r="L2607" s="5" t="s">
        <v>47</v>
      </c>
      <c r="M2607" s="5" t="s">
        <v>48</v>
      </c>
      <c r="N2607" s="5" t="s">
        <v>49</v>
      </c>
      <c r="O2607" s="12"/>
      <c r="P2607" s="13">
        <v>424396</v>
      </c>
      <c r="Q2607" s="13">
        <v>276204</v>
      </c>
      <c r="R2607" s="13">
        <v>276424</v>
      </c>
      <c r="S2607" s="13">
        <v>301080</v>
      </c>
      <c r="V2607" s="13">
        <v>307425</v>
      </c>
      <c r="AC2607" s="10" t="s">
        <v>6139</v>
      </c>
      <c r="AD2607" s="5" t="s">
        <v>1408</v>
      </c>
      <c r="AE2607" s="5" t="s">
        <v>4713</v>
      </c>
      <c r="AF2607" s="5" t="s">
        <v>6140</v>
      </c>
      <c r="AG2607" s="5" t="s">
        <v>49</v>
      </c>
    </row>
    <row r="2608" spans="1:33" ht="10" customHeight="1" x14ac:dyDescent="0.2">
      <c r="A2608" s="5" t="s">
        <v>5444</v>
      </c>
      <c r="B2608" s="5" t="s">
        <v>4709</v>
      </c>
      <c r="D2608" s="5" t="s">
        <v>6094</v>
      </c>
      <c r="E2608" s="12"/>
      <c r="I2608" s="11">
        <v>2</v>
      </c>
      <c r="K2608" s="10" t="s">
        <v>46</v>
      </c>
      <c r="L2608" s="5" t="s">
        <v>47</v>
      </c>
      <c r="M2608" s="5" t="s">
        <v>48</v>
      </c>
      <c r="N2608" s="5" t="s">
        <v>6094</v>
      </c>
      <c r="O2608" s="12"/>
      <c r="S2608" s="13">
        <v>67781</v>
      </c>
      <c r="V2608" s="13">
        <v>67846</v>
      </c>
      <c r="AC2608" s="10" t="s">
        <v>6141</v>
      </c>
      <c r="AD2608" s="5" t="s">
        <v>1408</v>
      </c>
      <c r="AE2608" s="5" t="s">
        <v>4713</v>
      </c>
      <c r="AF2608" s="5" t="s">
        <v>6104</v>
      </c>
      <c r="AG2608" s="5" t="s">
        <v>6094</v>
      </c>
    </row>
    <row r="2609" spans="1:33" ht="10" customHeight="1" x14ac:dyDescent="0.2">
      <c r="A2609" s="5" t="s">
        <v>5444</v>
      </c>
      <c r="B2609" s="5" t="s">
        <v>4709</v>
      </c>
      <c r="D2609" s="5" t="s">
        <v>84</v>
      </c>
      <c r="E2609" s="12"/>
      <c r="I2609" s="11">
        <v>2</v>
      </c>
      <c r="K2609" s="10" t="s">
        <v>46</v>
      </c>
      <c r="L2609" s="5" t="s">
        <v>47</v>
      </c>
      <c r="M2609" s="5" t="s">
        <v>48</v>
      </c>
      <c r="N2609" s="5" t="s">
        <v>84</v>
      </c>
      <c r="O2609" s="12"/>
      <c r="P2609" s="13">
        <v>94867</v>
      </c>
      <c r="Q2609" s="13">
        <v>126352</v>
      </c>
      <c r="R2609" s="13">
        <v>126352</v>
      </c>
      <c r="S2609" s="13">
        <v>584293</v>
      </c>
      <c r="V2609" s="13">
        <v>592946</v>
      </c>
      <c r="AC2609" s="10" t="s">
        <v>6142</v>
      </c>
      <c r="AD2609" s="5" t="s">
        <v>1408</v>
      </c>
      <c r="AE2609" s="5" t="s">
        <v>4713</v>
      </c>
      <c r="AF2609" s="5" t="s">
        <v>6104</v>
      </c>
      <c r="AG2609" s="5" t="s">
        <v>84</v>
      </c>
    </row>
    <row r="2610" spans="1:33" ht="10" customHeight="1" x14ac:dyDescent="0.2">
      <c r="A2610" s="5" t="s">
        <v>5444</v>
      </c>
      <c r="B2610" s="5" t="s">
        <v>4709</v>
      </c>
      <c r="D2610" s="5" t="s">
        <v>6097</v>
      </c>
      <c r="E2610" s="12"/>
      <c r="I2610" s="11">
        <v>2</v>
      </c>
      <c r="K2610" s="10" t="s">
        <v>46</v>
      </c>
      <c r="L2610" s="5" t="s">
        <v>47</v>
      </c>
      <c r="M2610" s="5" t="s">
        <v>48</v>
      </c>
      <c r="N2610" s="5" t="s">
        <v>84</v>
      </c>
      <c r="O2610" s="12"/>
      <c r="P2610" s="13">
        <v>2524018</v>
      </c>
      <c r="Q2610" s="13">
        <v>2635557</v>
      </c>
      <c r="R2610" s="13">
        <v>2765819</v>
      </c>
      <c r="S2610" s="13">
        <v>2431863</v>
      </c>
      <c r="V2610" s="13">
        <v>2531177</v>
      </c>
      <c r="AC2610" s="10" t="s">
        <v>6143</v>
      </c>
      <c r="AD2610" s="5" t="s">
        <v>1408</v>
      </c>
      <c r="AE2610" s="5" t="s">
        <v>4713</v>
      </c>
      <c r="AF2610" s="5" t="s">
        <v>6104</v>
      </c>
      <c r="AG2610" s="5" t="s">
        <v>6097</v>
      </c>
    </row>
    <row r="2611" spans="1:33" ht="10" customHeight="1" x14ac:dyDescent="0.2">
      <c r="A2611" s="5" t="s">
        <v>5444</v>
      </c>
      <c r="B2611" s="5" t="s">
        <v>4709</v>
      </c>
      <c r="D2611" s="5" t="s">
        <v>6099</v>
      </c>
      <c r="E2611" s="12"/>
      <c r="I2611" s="11">
        <v>2</v>
      </c>
      <c r="K2611" s="10" t="s">
        <v>46</v>
      </c>
      <c r="L2611" s="5" t="s">
        <v>47</v>
      </c>
      <c r="M2611" s="5" t="s">
        <v>48</v>
      </c>
      <c r="N2611" s="5" t="s">
        <v>84</v>
      </c>
      <c r="O2611" s="12"/>
      <c r="P2611" s="13">
        <v>1964943</v>
      </c>
      <c r="Q2611" s="13">
        <v>1633867</v>
      </c>
      <c r="R2611" s="13">
        <v>1758233</v>
      </c>
      <c r="S2611" s="13">
        <v>1410798</v>
      </c>
      <c r="V2611" s="13">
        <v>1598434</v>
      </c>
      <c r="AC2611" s="10" t="s">
        <v>6144</v>
      </c>
      <c r="AD2611" s="5" t="s">
        <v>1408</v>
      </c>
      <c r="AE2611" s="5" t="s">
        <v>4713</v>
      </c>
      <c r="AF2611" s="5" t="s">
        <v>6104</v>
      </c>
      <c r="AG2611" s="5" t="s">
        <v>6099</v>
      </c>
    </row>
    <row r="2612" spans="1:33" ht="10" customHeight="1" x14ac:dyDescent="0.2">
      <c r="A2612" s="5" t="s">
        <v>5444</v>
      </c>
      <c r="B2612" s="5" t="s">
        <v>4709</v>
      </c>
      <c r="D2612" s="5" t="s">
        <v>6145</v>
      </c>
      <c r="E2612" s="10" t="s">
        <v>44</v>
      </c>
      <c r="F2612" s="5" t="s">
        <v>6146</v>
      </c>
      <c r="I2612" s="11">
        <v>2</v>
      </c>
      <c r="K2612" s="12"/>
      <c r="O2612" s="12"/>
      <c r="P2612" s="13">
        <v>16356426</v>
      </c>
      <c r="Q2612" s="13">
        <v>16652022</v>
      </c>
      <c r="R2612" s="13">
        <v>18573316</v>
      </c>
      <c r="S2612" s="13">
        <v>17526406</v>
      </c>
      <c r="V2612" s="13">
        <v>19702254</v>
      </c>
      <c r="AC2612" s="10" t="s">
        <v>6147</v>
      </c>
      <c r="AD2612" s="5" t="s">
        <v>1408</v>
      </c>
      <c r="AE2612" s="5" t="s">
        <v>4713</v>
      </c>
    </row>
    <row r="2613" spans="1:33" ht="10" customHeight="1" x14ac:dyDescent="0.2">
      <c r="A2613" s="5" t="s">
        <v>5444</v>
      </c>
      <c r="B2613" s="5" t="s">
        <v>4709</v>
      </c>
      <c r="D2613" s="5" t="s">
        <v>6148</v>
      </c>
      <c r="E2613" s="12"/>
      <c r="I2613" s="11">
        <v>4</v>
      </c>
      <c r="K2613" s="10" t="s">
        <v>46</v>
      </c>
      <c r="L2613" s="5" t="s">
        <v>47</v>
      </c>
      <c r="M2613" s="5" t="s">
        <v>48</v>
      </c>
      <c r="N2613" s="5" t="s">
        <v>84</v>
      </c>
      <c r="O2613" s="12"/>
      <c r="P2613" s="13">
        <v>7736</v>
      </c>
      <c r="Q2613" s="13">
        <v>7398</v>
      </c>
      <c r="R2613" s="13">
        <v>7398</v>
      </c>
      <c r="S2613" s="13">
        <v>7620</v>
      </c>
      <c r="V2613" s="13">
        <v>12047</v>
      </c>
      <c r="AC2613" s="10" t="s">
        <v>6149</v>
      </c>
      <c r="AD2613" s="5" t="s">
        <v>6150</v>
      </c>
      <c r="AE2613" s="5" t="s">
        <v>4713</v>
      </c>
      <c r="AF2613" s="5" t="s">
        <v>6151</v>
      </c>
      <c r="AG2613" s="5" t="s">
        <v>6148</v>
      </c>
    </row>
    <row r="2614" spans="1:33" ht="10" customHeight="1" x14ac:dyDescent="0.2">
      <c r="A2614" s="5" t="s">
        <v>5444</v>
      </c>
      <c r="B2614" s="5" t="s">
        <v>4709</v>
      </c>
      <c r="D2614" s="5" t="s">
        <v>66</v>
      </c>
      <c r="E2614" s="12"/>
      <c r="I2614" s="11">
        <v>4</v>
      </c>
      <c r="K2614" s="10" t="s">
        <v>46</v>
      </c>
      <c r="L2614" s="5" t="s">
        <v>47</v>
      </c>
      <c r="M2614" s="5" t="s">
        <v>65</v>
      </c>
      <c r="N2614" s="5" t="s">
        <v>66</v>
      </c>
      <c r="O2614" s="12"/>
      <c r="P2614" s="13">
        <v>13102</v>
      </c>
      <c r="Q2614" s="13">
        <v>54832</v>
      </c>
      <c r="R2614" s="13">
        <v>54832</v>
      </c>
      <c r="S2614" s="13">
        <v>63908</v>
      </c>
      <c r="V2614" s="13">
        <v>63908</v>
      </c>
      <c r="AC2614" s="10" t="s">
        <v>6152</v>
      </c>
      <c r="AD2614" s="5" t="s">
        <v>6150</v>
      </c>
      <c r="AE2614" s="5" t="s">
        <v>4713</v>
      </c>
      <c r="AF2614" s="5" t="s">
        <v>6153</v>
      </c>
      <c r="AG2614" s="5" t="s">
        <v>66</v>
      </c>
    </row>
    <row r="2615" spans="1:33" ht="10" customHeight="1" x14ac:dyDescent="0.2">
      <c r="A2615" s="5" t="s">
        <v>5444</v>
      </c>
      <c r="B2615" s="5" t="s">
        <v>4709</v>
      </c>
      <c r="D2615" s="5" t="s">
        <v>6154</v>
      </c>
      <c r="E2615" s="12"/>
      <c r="I2615" s="11">
        <v>4</v>
      </c>
      <c r="K2615" s="10" t="s">
        <v>46</v>
      </c>
      <c r="L2615" s="5" t="s">
        <v>47</v>
      </c>
      <c r="M2615" s="5" t="s">
        <v>48</v>
      </c>
      <c r="N2615" s="5" t="s">
        <v>49</v>
      </c>
      <c r="O2615" s="12"/>
      <c r="S2615" s="13">
        <v>2669</v>
      </c>
      <c r="V2615" s="13">
        <v>2669</v>
      </c>
      <c r="AC2615" s="10" t="s">
        <v>6155</v>
      </c>
      <c r="AD2615" s="5" t="s">
        <v>6150</v>
      </c>
      <c r="AE2615" s="5" t="s">
        <v>4713</v>
      </c>
      <c r="AF2615" s="5" t="s">
        <v>6153</v>
      </c>
      <c r="AG2615" s="5" t="s">
        <v>6154</v>
      </c>
    </row>
    <row r="2616" spans="1:33" ht="10" customHeight="1" x14ac:dyDescent="0.2">
      <c r="A2616" s="5" t="s">
        <v>5444</v>
      </c>
      <c r="B2616" s="5" t="s">
        <v>4709</v>
      </c>
      <c r="D2616" s="5" t="s">
        <v>84</v>
      </c>
      <c r="E2616" s="12"/>
      <c r="I2616" s="11">
        <v>4</v>
      </c>
      <c r="K2616" s="10" t="s">
        <v>46</v>
      </c>
      <c r="L2616" s="5" t="s">
        <v>47</v>
      </c>
      <c r="M2616" s="5" t="s">
        <v>48</v>
      </c>
      <c r="N2616" s="5" t="s">
        <v>84</v>
      </c>
      <c r="O2616" s="12"/>
      <c r="P2616" s="13">
        <v>73142</v>
      </c>
      <c r="Q2616" s="13">
        <v>2810</v>
      </c>
      <c r="R2616" s="13">
        <v>2810</v>
      </c>
      <c r="S2616" s="13">
        <v>53356</v>
      </c>
      <c r="V2616" s="13">
        <v>53356</v>
      </c>
      <c r="AC2616" s="10" t="s">
        <v>6156</v>
      </c>
      <c r="AD2616" s="5" t="s">
        <v>6150</v>
      </c>
      <c r="AE2616" s="5" t="s">
        <v>4713</v>
      </c>
      <c r="AF2616" s="5" t="s">
        <v>6157</v>
      </c>
      <c r="AG2616" s="5" t="s">
        <v>84</v>
      </c>
    </row>
    <row r="2617" spans="1:33" ht="10" customHeight="1" x14ac:dyDescent="0.2">
      <c r="A2617" s="5" t="s">
        <v>5444</v>
      </c>
      <c r="B2617" s="5" t="s">
        <v>4709</v>
      </c>
      <c r="D2617" s="5" t="s">
        <v>6034</v>
      </c>
      <c r="E2617" s="12"/>
      <c r="I2617" s="11">
        <v>4</v>
      </c>
      <c r="K2617" s="10" t="s">
        <v>46</v>
      </c>
      <c r="L2617" s="5" t="s">
        <v>47</v>
      </c>
      <c r="M2617" s="5" t="s">
        <v>145</v>
      </c>
      <c r="N2617" s="5" t="s">
        <v>4905</v>
      </c>
      <c r="O2617" s="12"/>
      <c r="P2617" s="13">
        <v>573902</v>
      </c>
      <c r="Q2617" s="13">
        <v>1097648</v>
      </c>
      <c r="R2617" s="13">
        <v>1354392</v>
      </c>
      <c r="S2617" s="13">
        <v>236773</v>
      </c>
      <c r="V2617" s="13">
        <v>393588</v>
      </c>
      <c r="AC2617" s="10" t="s">
        <v>6158</v>
      </c>
      <c r="AD2617" s="5" t="s">
        <v>6150</v>
      </c>
      <c r="AE2617" s="5" t="s">
        <v>4713</v>
      </c>
      <c r="AF2617" s="5" t="s">
        <v>6159</v>
      </c>
      <c r="AG2617" s="5" t="s">
        <v>6034</v>
      </c>
    </row>
    <row r="2618" spans="1:33" ht="10" customHeight="1" x14ac:dyDescent="0.2">
      <c r="A2618" s="5" t="s">
        <v>5444</v>
      </c>
      <c r="B2618" s="5" t="s">
        <v>4709</v>
      </c>
      <c r="D2618" s="5" t="s">
        <v>4955</v>
      </c>
      <c r="E2618" s="12"/>
      <c r="I2618" s="11">
        <v>4</v>
      </c>
      <c r="K2618" s="10" t="s">
        <v>46</v>
      </c>
      <c r="L2618" s="5" t="s">
        <v>47</v>
      </c>
      <c r="M2618" s="5" t="s">
        <v>115</v>
      </c>
      <c r="N2618" s="5" t="s">
        <v>4955</v>
      </c>
      <c r="O2618" s="12"/>
      <c r="S2618" s="13">
        <v>44940</v>
      </c>
      <c r="V2618" s="13">
        <v>44940</v>
      </c>
      <c r="AC2618" s="10" t="s">
        <v>6160</v>
      </c>
      <c r="AD2618" s="5" t="s">
        <v>6150</v>
      </c>
      <c r="AE2618" s="5" t="s">
        <v>4713</v>
      </c>
      <c r="AF2618" s="5" t="s">
        <v>6159</v>
      </c>
      <c r="AG2618" s="5" t="s">
        <v>4955</v>
      </c>
    </row>
    <row r="2619" spans="1:33" ht="10" customHeight="1" x14ac:dyDescent="0.2">
      <c r="A2619" s="5" t="s">
        <v>5444</v>
      </c>
      <c r="B2619" s="5" t="s">
        <v>4709</v>
      </c>
      <c r="D2619" s="5" t="s">
        <v>6063</v>
      </c>
      <c r="E2619" s="12"/>
      <c r="I2619" s="11">
        <v>4</v>
      </c>
      <c r="K2619" s="10" t="s">
        <v>46</v>
      </c>
      <c r="L2619" s="5" t="s">
        <v>47</v>
      </c>
      <c r="M2619" s="5" t="s">
        <v>65</v>
      </c>
      <c r="N2619" s="5" t="s">
        <v>66</v>
      </c>
      <c r="O2619" s="12"/>
      <c r="P2619" s="13">
        <v>268311</v>
      </c>
      <c r="AC2619" s="10" t="s">
        <v>6161</v>
      </c>
      <c r="AD2619" s="5" t="s">
        <v>6150</v>
      </c>
      <c r="AE2619" s="5" t="s">
        <v>4713</v>
      </c>
      <c r="AF2619" s="5" t="s">
        <v>6159</v>
      </c>
      <c r="AG2619" s="5" t="s">
        <v>6063</v>
      </c>
    </row>
    <row r="2620" spans="1:33" ht="10" customHeight="1" x14ac:dyDescent="0.2">
      <c r="A2620" s="5" t="s">
        <v>5444</v>
      </c>
      <c r="B2620" s="5" t="s">
        <v>4709</v>
      </c>
      <c r="D2620" s="5" t="s">
        <v>116</v>
      </c>
      <c r="E2620" s="12"/>
      <c r="I2620" s="11">
        <v>4</v>
      </c>
      <c r="K2620" s="10" t="s">
        <v>46</v>
      </c>
      <c r="L2620" s="5" t="s">
        <v>47</v>
      </c>
      <c r="M2620" s="5" t="s">
        <v>115</v>
      </c>
      <c r="N2620" s="5" t="s">
        <v>116</v>
      </c>
      <c r="O2620" s="12"/>
      <c r="P2620" s="13">
        <v>1676352</v>
      </c>
      <c r="Q2620" s="13">
        <v>732451</v>
      </c>
      <c r="R2620" s="13">
        <v>814455</v>
      </c>
      <c r="S2620" s="13">
        <v>1282612</v>
      </c>
      <c r="V2620" s="13">
        <v>1418118</v>
      </c>
      <c r="AC2620" s="10" t="s">
        <v>6162</v>
      </c>
      <c r="AD2620" s="5" t="s">
        <v>6150</v>
      </c>
      <c r="AE2620" s="5" t="s">
        <v>4713</v>
      </c>
      <c r="AF2620" s="5" t="s">
        <v>6163</v>
      </c>
      <c r="AG2620" s="5" t="s">
        <v>116</v>
      </c>
    </row>
    <row r="2621" spans="1:33" ht="10" customHeight="1" x14ac:dyDescent="0.2">
      <c r="A2621" s="5" t="s">
        <v>5444</v>
      </c>
      <c r="B2621" s="5" t="s">
        <v>4709</v>
      </c>
      <c r="D2621" s="5" t="s">
        <v>135</v>
      </c>
      <c r="E2621" s="12"/>
      <c r="I2621" s="11">
        <v>4</v>
      </c>
      <c r="K2621" s="10" t="s">
        <v>46</v>
      </c>
      <c r="L2621" s="5" t="s">
        <v>47</v>
      </c>
      <c r="M2621" s="5" t="s">
        <v>115</v>
      </c>
      <c r="N2621" s="5" t="s">
        <v>135</v>
      </c>
      <c r="O2621" s="12"/>
      <c r="P2621" s="13">
        <v>110171</v>
      </c>
      <c r="Q2621" s="13">
        <v>232091</v>
      </c>
      <c r="R2621" s="13">
        <v>232091</v>
      </c>
      <c r="S2621" s="13">
        <v>383361</v>
      </c>
      <c r="V2621" s="13">
        <v>383361</v>
      </c>
      <c r="AC2621" s="10" t="s">
        <v>6164</v>
      </c>
      <c r="AD2621" s="5" t="s">
        <v>6150</v>
      </c>
      <c r="AE2621" s="5" t="s">
        <v>4713</v>
      </c>
      <c r="AF2621" s="5" t="s">
        <v>6165</v>
      </c>
      <c r="AG2621" s="5" t="s">
        <v>135</v>
      </c>
    </row>
    <row r="2622" spans="1:33" ht="10" customHeight="1" x14ac:dyDescent="0.2">
      <c r="A2622" s="5" t="s">
        <v>5444</v>
      </c>
      <c r="B2622" s="5" t="s">
        <v>4709</v>
      </c>
      <c r="D2622" s="5" t="s">
        <v>164</v>
      </c>
      <c r="E2622" s="12"/>
      <c r="I2622" s="11">
        <v>4</v>
      </c>
      <c r="K2622" s="10" t="s">
        <v>46</v>
      </c>
      <c r="L2622" s="5" t="s">
        <v>47</v>
      </c>
      <c r="M2622" s="5" t="s">
        <v>145</v>
      </c>
      <c r="N2622" s="5" t="s">
        <v>164</v>
      </c>
      <c r="O2622" s="12"/>
      <c r="S2622" s="13">
        <v>12065</v>
      </c>
      <c r="V2622" s="13">
        <v>12065</v>
      </c>
      <c r="AC2622" s="10" t="s">
        <v>6166</v>
      </c>
      <c r="AD2622" s="5" t="s">
        <v>6150</v>
      </c>
      <c r="AE2622" s="5" t="s">
        <v>4713</v>
      </c>
      <c r="AF2622" s="5" t="s">
        <v>6159</v>
      </c>
      <c r="AG2622" s="5" t="s">
        <v>164</v>
      </c>
    </row>
    <row r="2623" spans="1:33" ht="10" customHeight="1" x14ac:dyDescent="0.2">
      <c r="A2623" s="5" t="s">
        <v>5444</v>
      </c>
      <c r="B2623" s="5" t="s">
        <v>4709</v>
      </c>
      <c r="D2623" s="5" t="s">
        <v>4905</v>
      </c>
      <c r="E2623" s="12"/>
      <c r="I2623" s="11">
        <v>4</v>
      </c>
      <c r="K2623" s="10" t="s">
        <v>46</v>
      </c>
      <c r="L2623" s="5" t="s">
        <v>47</v>
      </c>
      <c r="M2623" s="5" t="s">
        <v>145</v>
      </c>
      <c r="N2623" s="5" t="s">
        <v>4905</v>
      </c>
      <c r="O2623" s="12"/>
      <c r="S2623" s="13">
        <v>395086</v>
      </c>
      <c r="V2623" s="13">
        <v>395086</v>
      </c>
      <c r="AC2623" s="10" t="s">
        <v>6167</v>
      </c>
      <c r="AD2623" s="5" t="s">
        <v>6150</v>
      </c>
      <c r="AE2623" s="5" t="s">
        <v>4713</v>
      </c>
      <c r="AF2623" s="5" t="s">
        <v>6159</v>
      </c>
      <c r="AG2623" s="5" t="s">
        <v>4905</v>
      </c>
    </row>
    <row r="2624" spans="1:33" ht="10" customHeight="1" x14ac:dyDescent="0.2">
      <c r="A2624" s="5" t="s">
        <v>5444</v>
      </c>
      <c r="B2624" s="5" t="s">
        <v>4709</v>
      </c>
      <c r="D2624" s="5" t="s">
        <v>146</v>
      </c>
      <c r="E2624" s="12"/>
      <c r="I2624" s="11">
        <v>4</v>
      </c>
      <c r="K2624" s="10" t="s">
        <v>46</v>
      </c>
      <c r="L2624" s="5" t="s">
        <v>47</v>
      </c>
      <c r="M2624" s="5" t="s">
        <v>145</v>
      </c>
      <c r="N2624" s="5" t="s">
        <v>146</v>
      </c>
      <c r="O2624" s="12"/>
      <c r="S2624" s="13">
        <v>11852</v>
      </c>
      <c r="V2624" s="13">
        <v>11852</v>
      </c>
      <c r="AC2624" s="10" t="s">
        <v>6168</v>
      </c>
      <c r="AD2624" s="5" t="s">
        <v>6150</v>
      </c>
      <c r="AE2624" s="5" t="s">
        <v>4713</v>
      </c>
      <c r="AF2624" s="5" t="s">
        <v>6159</v>
      </c>
      <c r="AG2624" s="5" t="s">
        <v>146</v>
      </c>
    </row>
    <row r="2625" spans="1:33" ht="10" customHeight="1" x14ac:dyDescent="0.2">
      <c r="A2625" s="5" t="s">
        <v>5444</v>
      </c>
      <c r="B2625" s="5" t="s">
        <v>4709</v>
      </c>
      <c r="D2625" s="5" t="s">
        <v>4899</v>
      </c>
      <c r="E2625" s="12"/>
      <c r="I2625" s="11">
        <v>4</v>
      </c>
      <c r="K2625" s="10" t="s">
        <v>46</v>
      </c>
      <c r="L2625" s="5" t="s">
        <v>47</v>
      </c>
      <c r="M2625" s="5" t="s">
        <v>145</v>
      </c>
      <c r="N2625" s="5" t="s">
        <v>4899</v>
      </c>
      <c r="O2625" s="12"/>
      <c r="S2625" s="13">
        <v>25931</v>
      </c>
      <c r="V2625" s="13">
        <v>25931</v>
      </c>
      <c r="AC2625" s="10" t="s">
        <v>6169</v>
      </c>
      <c r="AD2625" s="5" t="s">
        <v>6150</v>
      </c>
      <c r="AE2625" s="5" t="s">
        <v>4713</v>
      </c>
      <c r="AF2625" s="5" t="s">
        <v>6159</v>
      </c>
      <c r="AG2625" s="5" t="s">
        <v>4899</v>
      </c>
    </row>
    <row r="2626" spans="1:33" ht="10" customHeight="1" x14ac:dyDescent="0.2">
      <c r="A2626" s="5" t="s">
        <v>5444</v>
      </c>
      <c r="B2626" s="5" t="s">
        <v>4709</v>
      </c>
      <c r="D2626" s="5" t="s">
        <v>6097</v>
      </c>
      <c r="E2626" s="12"/>
      <c r="I2626" s="11">
        <v>4</v>
      </c>
      <c r="K2626" s="10" t="s">
        <v>46</v>
      </c>
      <c r="L2626" s="5" t="s">
        <v>47</v>
      </c>
      <c r="M2626" s="5" t="s">
        <v>48</v>
      </c>
      <c r="O2626" s="12"/>
      <c r="P2626" s="13">
        <v>383868</v>
      </c>
      <c r="Q2626" s="13">
        <v>330000</v>
      </c>
      <c r="R2626" s="13">
        <v>330000</v>
      </c>
      <c r="AC2626" s="10" t="s">
        <v>6170</v>
      </c>
      <c r="AD2626" s="5" t="s">
        <v>6150</v>
      </c>
      <c r="AE2626" s="5" t="s">
        <v>4713</v>
      </c>
      <c r="AF2626" s="5" t="s">
        <v>6159</v>
      </c>
      <c r="AG2626" s="5" t="s">
        <v>6097</v>
      </c>
    </row>
    <row r="2627" spans="1:33" ht="10" customHeight="1" x14ac:dyDescent="0.2">
      <c r="A2627" s="5" t="s">
        <v>5444</v>
      </c>
      <c r="B2627" s="5" t="s">
        <v>4709</v>
      </c>
      <c r="D2627" s="5" t="s">
        <v>6171</v>
      </c>
      <c r="E2627" s="10" t="s">
        <v>44</v>
      </c>
      <c r="F2627" s="5" t="s">
        <v>6172</v>
      </c>
      <c r="I2627" s="11">
        <v>4</v>
      </c>
      <c r="K2627" s="12"/>
      <c r="O2627" s="12"/>
      <c r="P2627" s="13">
        <v>3109725</v>
      </c>
      <c r="Q2627" s="13">
        <v>2460434</v>
      </c>
      <c r="R2627" s="13">
        <v>2799182</v>
      </c>
      <c r="S2627" s="13">
        <v>2521564</v>
      </c>
      <c r="V2627" s="13">
        <v>2818312</v>
      </c>
      <c r="AC2627" s="10" t="s">
        <v>6173</v>
      </c>
      <c r="AD2627" s="5" t="s">
        <v>6150</v>
      </c>
      <c r="AE2627" s="5" t="s">
        <v>4713</v>
      </c>
    </row>
    <row r="2628" spans="1:33" ht="10" customHeight="1" x14ac:dyDescent="0.2">
      <c r="A2628" s="5" t="s">
        <v>5444</v>
      </c>
      <c r="B2628" s="5" t="s">
        <v>4709</v>
      </c>
      <c r="D2628" s="5" t="s">
        <v>6052</v>
      </c>
      <c r="E2628" s="10" t="s">
        <v>5131</v>
      </c>
      <c r="F2628" s="5" t="s">
        <v>6174</v>
      </c>
      <c r="I2628" s="11">
        <v>2</v>
      </c>
      <c r="K2628" s="10" t="s">
        <v>46</v>
      </c>
      <c r="L2628" s="5" t="s">
        <v>47</v>
      </c>
      <c r="M2628" s="5" t="s">
        <v>4855</v>
      </c>
      <c r="N2628" s="5" t="s">
        <v>4856</v>
      </c>
      <c r="O2628" s="12"/>
      <c r="V2628" s="13">
        <v>331</v>
      </c>
      <c r="AC2628" s="10" t="s">
        <v>6175</v>
      </c>
      <c r="AD2628" s="5" t="s">
        <v>1396</v>
      </c>
      <c r="AE2628" s="5" t="s">
        <v>4713</v>
      </c>
      <c r="AF2628" s="5" t="s">
        <v>6104</v>
      </c>
      <c r="AG2628" s="5" t="s">
        <v>6176</v>
      </c>
    </row>
    <row r="2629" spans="1:33" ht="10" customHeight="1" x14ac:dyDescent="0.2">
      <c r="A2629" s="5" t="s">
        <v>5444</v>
      </c>
      <c r="B2629" s="5" t="s">
        <v>4709</v>
      </c>
      <c r="D2629" s="5" t="s">
        <v>6034</v>
      </c>
      <c r="E2629" s="10" t="s">
        <v>5131</v>
      </c>
      <c r="F2629" s="5" t="s">
        <v>6177</v>
      </c>
      <c r="I2629" s="11">
        <v>2</v>
      </c>
      <c r="K2629" s="10" t="s">
        <v>46</v>
      </c>
      <c r="L2629" s="5" t="s">
        <v>47</v>
      </c>
      <c r="M2629" s="5" t="s">
        <v>145</v>
      </c>
      <c r="O2629" s="12"/>
      <c r="V2629" s="13">
        <v>42295</v>
      </c>
      <c r="AC2629" s="10" t="s">
        <v>6178</v>
      </c>
      <c r="AD2629" s="5" t="s">
        <v>1396</v>
      </c>
      <c r="AE2629" s="5" t="s">
        <v>4713</v>
      </c>
      <c r="AF2629" s="5" t="s">
        <v>6104</v>
      </c>
      <c r="AG2629" s="5" t="s">
        <v>6179</v>
      </c>
    </row>
    <row r="2630" spans="1:33" ht="10" customHeight="1" x14ac:dyDescent="0.2">
      <c r="A2630" s="5" t="s">
        <v>5444</v>
      </c>
      <c r="B2630" s="5" t="s">
        <v>4709</v>
      </c>
      <c r="D2630" s="5" t="s">
        <v>6057</v>
      </c>
      <c r="E2630" s="10" t="s">
        <v>5131</v>
      </c>
      <c r="F2630" s="5" t="s">
        <v>6180</v>
      </c>
      <c r="I2630" s="11">
        <v>2</v>
      </c>
      <c r="K2630" s="12"/>
      <c r="O2630" s="12"/>
      <c r="V2630" s="13">
        <v>351</v>
      </c>
      <c r="AC2630" s="10" t="s">
        <v>6181</v>
      </c>
      <c r="AD2630" s="5" t="s">
        <v>1396</v>
      </c>
      <c r="AE2630" s="5" t="s">
        <v>4713</v>
      </c>
      <c r="AF2630" s="5" t="s">
        <v>6104</v>
      </c>
      <c r="AG2630" s="5" t="s">
        <v>6182</v>
      </c>
    </row>
    <row r="2631" spans="1:33" ht="10" customHeight="1" x14ac:dyDescent="0.2">
      <c r="A2631" s="5" t="s">
        <v>5444</v>
      </c>
      <c r="B2631" s="5" t="s">
        <v>4709</v>
      </c>
      <c r="D2631" s="5" t="s">
        <v>4955</v>
      </c>
      <c r="E2631" s="10" t="s">
        <v>5131</v>
      </c>
      <c r="F2631" s="5" t="s">
        <v>6183</v>
      </c>
      <c r="I2631" s="11">
        <v>2</v>
      </c>
      <c r="K2631" s="10" t="s">
        <v>46</v>
      </c>
      <c r="L2631" s="5" t="s">
        <v>47</v>
      </c>
      <c r="M2631" s="5" t="s">
        <v>115</v>
      </c>
      <c r="N2631" s="5" t="s">
        <v>4955</v>
      </c>
      <c r="O2631" s="12"/>
      <c r="V2631" s="13">
        <v>2211</v>
      </c>
      <c r="AC2631" s="10" t="s">
        <v>6184</v>
      </c>
      <c r="AD2631" s="5" t="s">
        <v>1396</v>
      </c>
      <c r="AE2631" s="5" t="s">
        <v>4713</v>
      </c>
      <c r="AF2631" s="5" t="s">
        <v>6104</v>
      </c>
      <c r="AG2631" s="5" t="s">
        <v>6185</v>
      </c>
    </row>
    <row r="2632" spans="1:33" ht="10" customHeight="1" x14ac:dyDescent="0.2">
      <c r="A2632" s="5" t="s">
        <v>5444</v>
      </c>
      <c r="B2632" s="5" t="s">
        <v>4709</v>
      </c>
      <c r="D2632" s="5" t="s">
        <v>6063</v>
      </c>
      <c r="E2632" s="10" t="s">
        <v>5131</v>
      </c>
      <c r="F2632" s="5" t="s">
        <v>6186</v>
      </c>
      <c r="I2632" s="11">
        <v>2</v>
      </c>
      <c r="K2632" s="10" t="s">
        <v>46</v>
      </c>
      <c r="L2632" s="5" t="s">
        <v>47</v>
      </c>
      <c r="M2632" s="5" t="s">
        <v>65</v>
      </c>
      <c r="N2632" s="5" t="s">
        <v>66</v>
      </c>
      <c r="O2632" s="12"/>
      <c r="V2632" s="13">
        <v>310158</v>
      </c>
      <c r="AC2632" s="10" t="s">
        <v>6187</v>
      </c>
      <c r="AD2632" s="5" t="s">
        <v>1396</v>
      </c>
      <c r="AE2632" s="5" t="s">
        <v>4713</v>
      </c>
      <c r="AF2632" s="5" t="s">
        <v>6104</v>
      </c>
      <c r="AG2632" s="5" t="s">
        <v>6188</v>
      </c>
    </row>
    <row r="2633" spans="1:33" ht="10" customHeight="1" x14ac:dyDescent="0.2">
      <c r="A2633" s="5" t="s">
        <v>5444</v>
      </c>
      <c r="B2633" s="5" t="s">
        <v>4709</v>
      </c>
      <c r="D2633" s="5" t="s">
        <v>6110</v>
      </c>
      <c r="E2633" s="10" t="s">
        <v>5131</v>
      </c>
      <c r="F2633" s="5" t="s">
        <v>6189</v>
      </c>
      <c r="I2633" s="11">
        <v>2</v>
      </c>
      <c r="K2633" s="10" t="s">
        <v>46</v>
      </c>
      <c r="L2633" s="5" t="s">
        <v>47</v>
      </c>
      <c r="M2633" s="5" t="s">
        <v>65</v>
      </c>
      <c r="N2633" s="5" t="s">
        <v>66</v>
      </c>
      <c r="O2633" s="12"/>
      <c r="V2633" s="13">
        <v>11</v>
      </c>
      <c r="AC2633" s="10" t="s">
        <v>6190</v>
      </c>
      <c r="AD2633" s="5" t="s">
        <v>1396</v>
      </c>
      <c r="AE2633" s="5" t="s">
        <v>4713</v>
      </c>
      <c r="AF2633" s="5" t="s">
        <v>6104</v>
      </c>
      <c r="AG2633" s="5" t="s">
        <v>6191</v>
      </c>
    </row>
    <row r="2634" spans="1:33" ht="10" customHeight="1" x14ac:dyDescent="0.2">
      <c r="A2634" s="5" t="s">
        <v>5444</v>
      </c>
      <c r="B2634" s="5" t="s">
        <v>4709</v>
      </c>
      <c r="D2634" s="5" t="s">
        <v>66</v>
      </c>
      <c r="E2634" s="10" t="s">
        <v>5131</v>
      </c>
      <c r="F2634" s="5" t="s">
        <v>6192</v>
      </c>
      <c r="I2634" s="11">
        <v>2</v>
      </c>
      <c r="K2634" s="10" t="s">
        <v>46</v>
      </c>
      <c r="L2634" s="5" t="s">
        <v>47</v>
      </c>
      <c r="M2634" s="5" t="s">
        <v>65</v>
      </c>
      <c r="N2634" s="5" t="s">
        <v>66</v>
      </c>
      <c r="O2634" s="12"/>
      <c r="V2634" s="13">
        <v>397</v>
      </c>
      <c r="AC2634" s="10" t="s">
        <v>6193</v>
      </c>
      <c r="AD2634" s="5" t="s">
        <v>1396</v>
      </c>
      <c r="AE2634" s="5" t="s">
        <v>4713</v>
      </c>
      <c r="AF2634" s="5" t="s">
        <v>6104</v>
      </c>
      <c r="AG2634" s="5" t="s">
        <v>6194</v>
      </c>
    </row>
    <row r="2635" spans="1:33" ht="10" customHeight="1" x14ac:dyDescent="0.2">
      <c r="A2635" s="5" t="s">
        <v>5444</v>
      </c>
      <c r="B2635" s="5" t="s">
        <v>4709</v>
      </c>
      <c r="D2635" s="5" t="s">
        <v>116</v>
      </c>
      <c r="E2635" s="10" t="s">
        <v>5131</v>
      </c>
      <c r="F2635" s="5" t="s">
        <v>6195</v>
      </c>
      <c r="I2635" s="11">
        <v>2</v>
      </c>
      <c r="K2635" s="10" t="s">
        <v>46</v>
      </c>
      <c r="L2635" s="5" t="s">
        <v>47</v>
      </c>
      <c r="M2635" s="5" t="s">
        <v>115</v>
      </c>
      <c r="N2635" s="5" t="s">
        <v>116</v>
      </c>
      <c r="O2635" s="12"/>
      <c r="V2635" s="13">
        <v>42958</v>
      </c>
      <c r="AC2635" s="10" t="s">
        <v>6196</v>
      </c>
      <c r="AD2635" s="5" t="s">
        <v>1396</v>
      </c>
      <c r="AE2635" s="5" t="s">
        <v>4713</v>
      </c>
      <c r="AF2635" s="5" t="s">
        <v>6197</v>
      </c>
      <c r="AG2635" s="5" t="s">
        <v>6198</v>
      </c>
    </row>
    <row r="2636" spans="1:33" ht="10" customHeight="1" x14ac:dyDescent="0.2">
      <c r="A2636" s="5" t="s">
        <v>5444</v>
      </c>
      <c r="B2636" s="5" t="s">
        <v>4709</v>
      </c>
      <c r="D2636" s="5" t="s">
        <v>6067</v>
      </c>
      <c r="E2636" s="10" t="s">
        <v>5131</v>
      </c>
      <c r="F2636" s="5" t="s">
        <v>6199</v>
      </c>
      <c r="I2636" s="11">
        <v>2</v>
      </c>
      <c r="K2636" s="10" t="s">
        <v>46</v>
      </c>
      <c r="L2636" s="5" t="s">
        <v>47</v>
      </c>
      <c r="M2636" s="5" t="s">
        <v>115</v>
      </c>
      <c r="N2636" s="5" t="s">
        <v>116</v>
      </c>
      <c r="O2636" s="12"/>
      <c r="V2636" s="13">
        <v>1184</v>
      </c>
      <c r="AC2636" s="10" t="s">
        <v>6200</v>
      </c>
      <c r="AD2636" s="5" t="s">
        <v>1396</v>
      </c>
      <c r="AE2636" s="5" t="s">
        <v>4713</v>
      </c>
      <c r="AF2636" s="5" t="s">
        <v>6104</v>
      </c>
      <c r="AG2636" s="5" t="s">
        <v>6201</v>
      </c>
    </row>
    <row r="2637" spans="1:33" ht="10" customHeight="1" x14ac:dyDescent="0.2">
      <c r="A2637" s="5" t="s">
        <v>5444</v>
      </c>
      <c r="B2637" s="5" t="s">
        <v>4709</v>
      </c>
      <c r="D2637" s="5" t="s">
        <v>6071</v>
      </c>
      <c r="E2637" s="10" t="s">
        <v>5131</v>
      </c>
      <c r="F2637" s="5" t="s">
        <v>6202</v>
      </c>
      <c r="I2637" s="11">
        <v>2</v>
      </c>
      <c r="K2637" s="10" t="s">
        <v>46</v>
      </c>
      <c r="L2637" s="5" t="s">
        <v>47</v>
      </c>
      <c r="M2637" s="5" t="s">
        <v>178</v>
      </c>
      <c r="N2637" s="5" t="s">
        <v>6071</v>
      </c>
      <c r="O2637" s="12"/>
      <c r="V2637" s="13">
        <v>2479</v>
      </c>
      <c r="AC2637" s="10" t="s">
        <v>6203</v>
      </c>
      <c r="AD2637" s="5" t="s">
        <v>1396</v>
      </c>
      <c r="AE2637" s="5" t="s">
        <v>4713</v>
      </c>
      <c r="AF2637" s="5" t="s">
        <v>6104</v>
      </c>
      <c r="AG2637" s="5" t="s">
        <v>6204</v>
      </c>
    </row>
    <row r="2638" spans="1:33" ht="10" customHeight="1" x14ac:dyDescent="0.2">
      <c r="A2638" s="5" t="s">
        <v>5444</v>
      </c>
      <c r="B2638" s="5" t="s">
        <v>4709</v>
      </c>
      <c r="D2638" s="5" t="s">
        <v>4856</v>
      </c>
      <c r="E2638" s="10" t="s">
        <v>5131</v>
      </c>
      <c r="F2638" s="5" t="s">
        <v>6205</v>
      </c>
      <c r="I2638" s="11">
        <v>2</v>
      </c>
      <c r="K2638" s="10" t="s">
        <v>46</v>
      </c>
      <c r="L2638" s="5" t="s">
        <v>47</v>
      </c>
      <c r="M2638" s="5" t="s">
        <v>4855</v>
      </c>
      <c r="N2638" s="5" t="s">
        <v>4856</v>
      </c>
      <c r="O2638" s="12"/>
      <c r="V2638" s="13">
        <v>53366</v>
      </c>
      <c r="AC2638" s="10" t="s">
        <v>6206</v>
      </c>
      <c r="AD2638" s="5" t="s">
        <v>1396</v>
      </c>
      <c r="AE2638" s="5" t="s">
        <v>4713</v>
      </c>
      <c r="AF2638" s="5" t="s">
        <v>6207</v>
      </c>
      <c r="AG2638" s="5" t="s">
        <v>6208</v>
      </c>
    </row>
    <row r="2639" spans="1:33" ht="10" customHeight="1" x14ac:dyDescent="0.2">
      <c r="A2639" s="5" t="s">
        <v>5444</v>
      </c>
      <c r="B2639" s="5" t="s">
        <v>4709</v>
      </c>
      <c r="D2639" s="5" t="s">
        <v>135</v>
      </c>
      <c r="E2639" s="10" t="s">
        <v>5131</v>
      </c>
      <c r="F2639" s="5" t="s">
        <v>6209</v>
      </c>
      <c r="I2639" s="11">
        <v>2</v>
      </c>
      <c r="K2639" s="10" t="s">
        <v>46</v>
      </c>
      <c r="L2639" s="5" t="s">
        <v>47</v>
      </c>
      <c r="M2639" s="5" t="s">
        <v>115</v>
      </c>
      <c r="N2639" s="5" t="s">
        <v>135</v>
      </c>
      <c r="O2639" s="12"/>
      <c r="V2639" s="13">
        <v>115257</v>
      </c>
      <c r="AC2639" s="10" t="s">
        <v>6210</v>
      </c>
      <c r="AD2639" s="5" t="s">
        <v>1396</v>
      </c>
      <c r="AE2639" s="5" t="s">
        <v>4713</v>
      </c>
      <c r="AF2639" s="5" t="s">
        <v>6104</v>
      </c>
      <c r="AG2639" s="5" t="s">
        <v>6211</v>
      </c>
    </row>
    <row r="2640" spans="1:33" ht="10" customHeight="1" x14ac:dyDescent="0.2">
      <c r="A2640" s="5" t="s">
        <v>5444</v>
      </c>
      <c r="B2640" s="5" t="s">
        <v>4709</v>
      </c>
      <c r="D2640" s="5" t="s">
        <v>164</v>
      </c>
      <c r="E2640" s="10" t="s">
        <v>5131</v>
      </c>
      <c r="F2640" s="5" t="s">
        <v>6212</v>
      </c>
      <c r="I2640" s="11">
        <v>2</v>
      </c>
      <c r="K2640" s="10" t="s">
        <v>46</v>
      </c>
      <c r="L2640" s="5" t="s">
        <v>47</v>
      </c>
      <c r="M2640" s="5" t="s">
        <v>145</v>
      </c>
      <c r="N2640" s="5" t="s">
        <v>164</v>
      </c>
      <c r="O2640" s="12"/>
      <c r="V2640" s="13">
        <v>1830</v>
      </c>
      <c r="AC2640" s="10" t="s">
        <v>6213</v>
      </c>
      <c r="AD2640" s="5" t="s">
        <v>1396</v>
      </c>
      <c r="AE2640" s="5" t="s">
        <v>4713</v>
      </c>
      <c r="AF2640" s="5" t="s">
        <v>6104</v>
      </c>
      <c r="AG2640" s="5" t="s">
        <v>6214</v>
      </c>
    </row>
    <row r="2641" spans="1:33" ht="10" customHeight="1" x14ac:dyDescent="0.2">
      <c r="A2641" s="5" t="s">
        <v>5444</v>
      </c>
      <c r="B2641" s="5" t="s">
        <v>4709</v>
      </c>
      <c r="D2641" s="5" t="s">
        <v>4905</v>
      </c>
      <c r="E2641" s="10" t="s">
        <v>5131</v>
      </c>
      <c r="F2641" s="5" t="s">
        <v>6215</v>
      </c>
      <c r="I2641" s="11">
        <v>2</v>
      </c>
      <c r="K2641" s="10" t="s">
        <v>46</v>
      </c>
      <c r="L2641" s="5" t="s">
        <v>47</v>
      </c>
      <c r="M2641" s="5" t="s">
        <v>145</v>
      </c>
      <c r="N2641" s="5" t="s">
        <v>4905</v>
      </c>
      <c r="O2641" s="12"/>
      <c r="V2641" s="13">
        <v>633</v>
      </c>
      <c r="AC2641" s="10" t="s">
        <v>6216</v>
      </c>
      <c r="AD2641" s="5" t="s">
        <v>1396</v>
      </c>
      <c r="AE2641" s="5" t="s">
        <v>4713</v>
      </c>
      <c r="AF2641" s="5" t="s">
        <v>6104</v>
      </c>
      <c r="AG2641" s="5" t="s">
        <v>6217</v>
      </c>
    </row>
    <row r="2642" spans="1:33" ht="10" customHeight="1" x14ac:dyDescent="0.2">
      <c r="A2642" s="5" t="s">
        <v>5444</v>
      </c>
      <c r="B2642" s="5" t="s">
        <v>4709</v>
      </c>
      <c r="D2642" s="5" t="s">
        <v>146</v>
      </c>
      <c r="E2642" s="10" t="s">
        <v>5131</v>
      </c>
      <c r="F2642" s="5" t="s">
        <v>6218</v>
      </c>
      <c r="I2642" s="11">
        <v>2</v>
      </c>
      <c r="K2642" s="10" t="s">
        <v>46</v>
      </c>
      <c r="L2642" s="5" t="s">
        <v>47</v>
      </c>
      <c r="M2642" s="5" t="s">
        <v>145</v>
      </c>
      <c r="N2642" s="5" t="s">
        <v>146</v>
      </c>
      <c r="O2642" s="12"/>
      <c r="V2642" s="13">
        <v>68</v>
      </c>
      <c r="AC2642" s="10" t="s">
        <v>6219</v>
      </c>
      <c r="AD2642" s="5" t="s">
        <v>1408</v>
      </c>
      <c r="AE2642" s="5" t="s">
        <v>4713</v>
      </c>
      <c r="AF2642" s="5" t="s">
        <v>6104</v>
      </c>
      <c r="AG2642" s="5" t="s">
        <v>6220</v>
      </c>
    </row>
    <row r="2643" spans="1:33" ht="10" customHeight="1" x14ac:dyDescent="0.2">
      <c r="A2643" s="5" t="s">
        <v>5444</v>
      </c>
      <c r="B2643" s="5" t="s">
        <v>4709</v>
      </c>
      <c r="D2643" s="5" t="s">
        <v>4899</v>
      </c>
      <c r="E2643" s="10" t="s">
        <v>5131</v>
      </c>
      <c r="F2643" s="5" t="s">
        <v>6221</v>
      </c>
      <c r="I2643" s="11">
        <v>2</v>
      </c>
      <c r="K2643" s="10" t="s">
        <v>46</v>
      </c>
      <c r="L2643" s="5" t="s">
        <v>47</v>
      </c>
      <c r="M2643" s="5" t="s">
        <v>145</v>
      </c>
      <c r="N2643" s="5" t="s">
        <v>4899</v>
      </c>
      <c r="O2643" s="12"/>
      <c r="V2643" s="13">
        <v>24197</v>
      </c>
      <c r="AC2643" s="10" t="s">
        <v>6222</v>
      </c>
      <c r="AD2643" s="5" t="s">
        <v>1408</v>
      </c>
      <c r="AE2643" s="5" t="s">
        <v>4713</v>
      </c>
      <c r="AF2643" s="5" t="s">
        <v>6104</v>
      </c>
      <c r="AG2643" s="5" t="s">
        <v>6223</v>
      </c>
    </row>
    <row r="2644" spans="1:33" ht="10" customHeight="1" x14ac:dyDescent="0.2">
      <c r="A2644" s="5" t="s">
        <v>5444</v>
      </c>
      <c r="B2644" s="5" t="s">
        <v>4709</v>
      </c>
      <c r="D2644" s="5" t="s">
        <v>6079</v>
      </c>
      <c r="E2644" s="10" t="s">
        <v>5131</v>
      </c>
      <c r="F2644" s="5" t="s">
        <v>6224</v>
      </c>
      <c r="I2644" s="11">
        <v>2</v>
      </c>
      <c r="K2644" s="10" t="s">
        <v>46</v>
      </c>
      <c r="L2644" s="5" t="s">
        <v>47</v>
      </c>
      <c r="M2644" s="5" t="s">
        <v>4680</v>
      </c>
      <c r="N2644" s="5" t="s">
        <v>4681</v>
      </c>
      <c r="O2644" s="12"/>
      <c r="V2644" s="13">
        <v>2376</v>
      </c>
      <c r="AC2644" s="10" t="s">
        <v>6225</v>
      </c>
      <c r="AD2644" s="5" t="s">
        <v>1408</v>
      </c>
      <c r="AE2644" s="5" t="s">
        <v>4713</v>
      </c>
      <c r="AF2644" s="5" t="s">
        <v>6104</v>
      </c>
      <c r="AG2644" s="5" t="s">
        <v>6226</v>
      </c>
    </row>
    <row r="2645" spans="1:33" ht="10" customHeight="1" x14ac:dyDescent="0.2">
      <c r="A2645" s="5" t="s">
        <v>5444</v>
      </c>
      <c r="B2645" s="5" t="s">
        <v>4709</v>
      </c>
      <c r="D2645" s="5" t="s">
        <v>6129</v>
      </c>
      <c r="E2645" s="10" t="s">
        <v>5131</v>
      </c>
      <c r="F2645" s="5" t="s">
        <v>6227</v>
      </c>
      <c r="I2645" s="11">
        <v>2</v>
      </c>
      <c r="K2645" s="12"/>
      <c r="O2645" s="12"/>
      <c r="V2645" s="13">
        <v>26319</v>
      </c>
      <c r="AC2645" s="10" t="s">
        <v>6228</v>
      </c>
      <c r="AD2645" s="5" t="s">
        <v>1408</v>
      </c>
      <c r="AE2645" s="5" t="s">
        <v>4713</v>
      </c>
      <c r="AF2645" s="5" t="s">
        <v>6104</v>
      </c>
      <c r="AG2645" s="5" t="s">
        <v>6229</v>
      </c>
    </row>
    <row r="2646" spans="1:33" ht="10" customHeight="1" x14ac:dyDescent="0.2">
      <c r="A2646" s="5" t="s">
        <v>5444</v>
      </c>
      <c r="B2646" s="5" t="s">
        <v>4709</v>
      </c>
      <c r="D2646" s="5" t="s">
        <v>6136</v>
      </c>
      <c r="E2646" s="10" t="s">
        <v>5131</v>
      </c>
      <c r="F2646" s="5" t="s">
        <v>6230</v>
      </c>
      <c r="I2646" s="11">
        <v>2</v>
      </c>
      <c r="K2646" s="12"/>
      <c r="O2646" s="12"/>
      <c r="V2646" s="13">
        <v>1738</v>
      </c>
      <c r="AC2646" s="10" t="s">
        <v>6231</v>
      </c>
      <c r="AD2646" s="5" t="s">
        <v>1408</v>
      </c>
      <c r="AE2646" s="5" t="s">
        <v>4713</v>
      </c>
      <c r="AF2646" s="5" t="s">
        <v>6104</v>
      </c>
      <c r="AG2646" s="5" t="s">
        <v>6232</v>
      </c>
    </row>
    <row r="2647" spans="1:33" ht="10" customHeight="1" x14ac:dyDescent="0.2">
      <c r="A2647" s="5" t="s">
        <v>5444</v>
      </c>
      <c r="B2647" s="5" t="s">
        <v>4709</v>
      </c>
      <c r="D2647" s="5" t="s">
        <v>49</v>
      </c>
      <c r="E2647" s="10" t="s">
        <v>5131</v>
      </c>
      <c r="F2647" s="5" t="s">
        <v>6233</v>
      </c>
      <c r="I2647" s="11">
        <v>2</v>
      </c>
      <c r="K2647" s="10" t="s">
        <v>46</v>
      </c>
      <c r="L2647" s="5" t="s">
        <v>47</v>
      </c>
      <c r="M2647" s="5" t="s">
        <v>48</v>
      </c>
      <c r="N2647" s="5" t="s">
        <v>49</v>
      </c>
      <c r="O2647" s="12"/>
      <c r="V2647" s="13">
        <v>6345</v>
      </c>
      <c r="AC2647" s="10" t="s">
        <v>6234</v>
      </c>
      <c r="AD2647" s="5" t="s">
        <v>1408</v>
      </c>
      <c r="AE2647" s="5" t="s">
        <v>4713</v>
      </c>
      <c r="AF2647" s="5" t="s">
        <v>6104</v>
      </c>
      <c r="AG2647" s="5" t="s">
        <v>6235</v>
      </c>
    </row>
    <row r="2648" spans="1:33" ht="10" customHeight="1" x14ac:dyDescent="0.2">
      <c r="A2648" s="5" t="s">
        <v>5444</v>
      </c>
      <c r="B2648" s="5" t="s">
        <v>4709</v>
      </c>
      <c r="D2648" s="5" t="s">
        <v>6094</v>
      </c>
      <c r="E2648" s="10" t="s">
        <v>5131</v>
      </c>
      <c r="F2648" s="5" t="s">
        <v>6236</v>
      </c>
      <c r="I2648" s="11">
        <v>2</v>
      </c>
      <c r="K2648" s="10" t="s">
        <v>46</v>
      </c>
      <c r="L2648" s="5" t="s">
        <v>47</v>
      </c>
      <c r="M2648" s="5" t="s">
        <v>48</v>
      </c>
      <c r="N2648" s="5" t="s">
        <v>6094</v>
      </c>
      <c r="O2648" s="12"/>
      <c r="V2648" s="13">
        <v>65</v>
      </c>
      <c r="AC2648" s="10" t="s">
        <v>6237</v>
      </c>
      <c r="AD2648" s="5" t="s">
        <v>1408</v>
      </c>
      <c r="AE2648" s="5" t="s">
        <v>4713</v>
      </c>
      <c r="AF2648" s="5" t="s">
        <v>6104</v>
      </c>
      <c r="AG2648" s="5" t="s">
        <v>6238</v>
      </c>
    </row>
    <row r="2649" spans="1:33" ht="10" customHeight="1" x14ac:dyDescent="0.2">
      <c r="A2649" s="5" t="s">
        <v>5444</v>
      </c>
      <c r="B2649" s="5" t="s">
        <v>4709</v>
      </c>
      <c r="D2649" s="5" t="s">
        <v>84</v>
      </c>
      <c r="E2649" s="10" t="s">
        <v>5131</v>
      </c>
      <c r="F2649" s="5" t="s">
        <v>6239</v>
      </c>
      <c r="I2649" s="11">
        <v>2</v>
      </c>
      <c r="K2649" s="10" t="s">
        <v>46</v>
      </c>
      <c r="L2649" s="5" t="s">
        <v>47</v>
      </c>
      <c r="M2649" s="5" t="s">
        <v>48</v>
      </c>
      <c r="N2649" s="5" t="s">
        <v>84</v>
      </c>
      <c r="O2649" s="12"/>
      <c r="V2649" s="13">
        <v>8653</v>
      </c>
      <c r="AC2649" s="10" t="s">
        <v>6240</v>
      </c>
      <c r="AD2649" s="5" t="s">
        <v>1408</v>
      </c>
      <c r="AE2649" s="5" t="s">
        <v>4713</v>
      </c>
      <c r="AF2649" s="5" t="s">
        <v>6241</v>
      </c>
      <c r="AG2649" s="5" t="s">
        <v>6242</v>
      </c>
    </row>
    <row r="2650" spans="1:33" ht="10" customHeight="1" x14ac:dyDescent="0.2">
      <c r="A2650" s="5" t="s">
        <v>5444</v>
      </c>
      <c r="B2650" s="5" t="s">
        <v>4709</v>
      </c>
      <c r="D2650" s="5" t="s">
        <v>6097</v>
      </c>
      <c r="E2650" s="10" t="s">
        <v>5131</v>
      </c>
      <c r="F2650" s="5" t="s">
        <v>6243</v>
      </c>
      <c r="I2650" s="11">
        <v>2</v>
      </c>
      <c r="K2650" s="10" t="s">
        <v>46</v>
      </c>
      <c r="L2650" s="5" t="s">
        <v>47</v>
      </c>
      <c r="M2650" s="5" t="s">
        <v>48</v>
      </c>
      <c r="O2650" s="12"/>
      <c r="V2650" s="13">
        <v>99314</v>
      </c>
      <c r="AC2650" s="10" t="s">
        <v>6244</v>
      </c>
      <c r="AD2650" s="5" t="s">
        <v>1408</v>
      </c>
      <c r="AE2650" s="5" t="s">
        <v>4713</v>
      </c>
      <c r="AF2650" s="5" t="s">
        <v>6104</v>
      </c>
      <c r="AG2650" s="5" t="s">
        <v>6245</v>
      </c>
    </row>
    <row r="2651" spans="1:33" ht="10" customHeight="1" x14ac:dyDescent="0.2">
      <c r="A2651" s="5" t="s">
        <v>5444</v>
      </c>
      <c r="B2651" s="5" t="s">
        <v>4709</v>
      </c>
      <c r="D2651" s="5" t="s">
        <v>6099</v>
      </c>
      <c r="E2651" s="10" t="s">
        <v>5131</v>
      </c>
      <c r="F2651" s="5" t="s">
        <v>6246</v>
      </c>
      <c r="I2651" s="11">
        <v>2</v>
      </c>
      <c r="K2651" s="10" t="s">
        <v>46</v>
      </c>
      <c r="L2651" s="5" t="s">
        <v>47</v>
      </c>
      <c r="M2651" s="5" t="s">
        <v>48</v>
      </c>
      <c r="O2651" s="12"/>
      <c r="V2651" s="13">
        <v>187636</v>
      </c>
      <c r="AC2651" s="10" t="s">
        <v>6247</v>
      </c>
      <c r="AD2651" s="5" t="s">
        <v>1408</v>
      </c>
      <c r="AE2651" s="5" t="s">
        <v>4713</v>
      </c>
      <c r="AF2651" s="5" t="s">
        <v>6104</v>
      </c>
      <c r="AG2651" s="5" t="s">
        <v>6248</v>
      </c>
    </row>
    <row r="2652" spans="1:33" ht="10" customHeight="1" x14ac:dyDescent="0.2">
      <c r="A2652" s="5" t="s">
        <v>5444</v>
      </c>
      <c r="B2652" s="5" t="s">
        <v>4709</v>
      </c>
      <c r="D2652" s="5" t="s">
        <v>6034</v>
      </c>
      <c r="E2652" s="10" t="s">
        <v>5131</v>
      </c>
      <c r="F2652" s="5" t="s">
        <v>6249</v>
      </c>
      <c r="I2652" s="11">
        <v>4</v>
      </c>
      <c r="K2652" s="10" t="s">
        <v>46</v>
      </c>
      <c r="L2652" s="5" t="s">
        <v>47</v>
      </c>
      <c r="M2652" s="5" t="s">
        <v>145</v>
      </c>
      <c r="O2652" s="12"/>
      <c r="V2652" s="13">
        <v>156815</v>
      </c>
      <c r="AC2652" s="10" t="s">
        <v>6250</v>
      </c>
      <c r="AD2652" s="5" t="s">
        <v>6150</v>
      </c>
      <c r="AE2652" s="5" t="s">
        <v>4713</v>
      </c>
      <c r="AF2652" s="5" t="s">
        <v>6159</v>
      </c>
      <c r="AG2652" s="5" t="s">
        <v>6179</v>
      </c>
    </row>
    <row r="2653" spans="1:33" ht="10" customHeight="1" x14ac:dyDescent="0.2">
      <c r="A2653" s="5" t="s">
        <v>5444</v>
      </c>
      <c r="B2653" s="5" t="s">
        <v>4709</v>
      </c>
      <c r="D2653" s="5" t="s">
        <v>116</v>
      </c>
      <c r="E2653" s="10" t="s">
        <v>5131</v>
      </c>
      <c r="F2653" s="5" t="s">
        <v>6251</v>
      </c>
      <c r="I2653" s="11">
        <v>4</v>
      </c>
      <c r="K2653" s="10" t="s">
        <v>46</v>
      </c>
      <c r="L2653" s="5" t="s">
        <v>47</v>
      </c>
      <c r="M2653" s="5" t="s">
        <v>115</v>
      </c>
      <c r="N2653" s="5" t="s">
        <v>116</v>
      </c>
      <c r="O2653" s="12"/>
      <c r="V2653" s="13">
        <v>135506</v>
      </c>
      <c r="AC2653" s="10" t="s">
        <v>6252</v>
      </c>
      <c r="AD2653" s="5" t="s">
        <v>6150</v>
      </c>
      <c r="AE2653" s="5" t="s">
        <v>4713</v>
      </c>
      <c r="AF2653" s="5" t="s">
        <v>6253</v>
      </c>
      <c r="AG2653" s="5" t="s">
        <v>6198</v>
      </c>
    </row>
    <row r="2654" spans="1:33" ht="10" customHeight="1" x14ac:dyDescent="0.2">
      <c r="A2654" s="5" t="s">
        <v>6254</v>
      </c>
      <c r="B2654" s="5" t="s">
        <v>41</v>
      </c>
      <c r="C2654" s="5" t="s">
        <v>6255</v>
      </c>
      <c r="D2654" s="5" t="s">
        <v>6256</v>
      </c>
      <c r="E2654" s="12"/>
      <c r="I2654" s="11">
        <v>4</v>
      </c>
      <c r="K2654" s="12"/>
      <c r="O2654" s="12"/>
      <c r="P2654" s="13">
        <v>12855</v>
      </c>
      <c r="Q2654" s="13">
        <v>20840</v>
      </c>
      <c r="S2654" s="13">
        <v>9978</v>
      </c>
      <c r="T2654" s="13">
        <v>0</v>
      </c>
      <c r="U2654" s="13">
        <v>9978</v>
      </c>
      <c r="X2654" s="13">
        <v>9978</v>
      </c>
      <c r="Y2654" s="13">
        <v>9978</v>
      </c>
      <c r="Z2654" s="13">
        <v>22668</v>
      </c>
      <c r="AB2654" s="13">
        <v>22668</v>
      </c>
      <c r="AC2654" s="10" t="s">
        <v>6257</v>
      </c>
      <c r="AD2654" s="5" t="s">
        <v>660</v>
      </c>
      <c r="AE2654" s="5" t="s">
        <v>6258</v>
      </c>
    </row>
    <row r="2655" spans="1:33" ht="10" customHeight="1" x14ac:dyDescent="0.2">
      <c r="A2655" s="5" t="s">
        <v>6254</v>
      </c>
      <c r="B2655" s="5" t="s">
        <v>41</v>
      </c>
      <c r="C2655" s="5" t="s">
        <v>6259</v>
      </c>
      <c r="D2655" s="5" t="s">
        <v>6260</v>
      </c>
      <c r="E2655" s="12"/>
      <c r="I2655" s="11">
        <v>4</v>
      </c>
      <c r="K2655" s="12"/>
      <c r="O2655" s="12"/>
      <c r="P2655" s="13">
        <v>92449</v>
      </c>
      <c r="Q2655" s="13">
        <v>77592</v>
      </c>
      <c r="S2655" s="13">
        <v>62004</v>
      </c>
      <c r="T2655" s="13">
        <v>0</v>
      </c>
      <c r="U2655" s="13">
        <v>62004</v>
      </c>
      <c r="X2655" s="13">
        <v>62004</v>
      </c>
      <c r="Y2655" s="13">
        <v>62004</v>
      </c>
      <c r="Z2655" s="13">
        <v>103871</v>
      </c>
      <c r="AB2655" s="13">
        <v>103871</v>
      </c>
      <c r="AC2655" s="10" t="s">
        <v>6261</v>
      </c>
      <c r="AD2655" s="5" t="s">
        <v>840</v>
      </c>
      <c r="AE2655" s="5" t="s">
        <v>6262</v>
      </c>
    </row>
    <row r="2656" spans="1:33" ht="10" customHeight="1" x14ac:dyDescent="0.2">
      <c r="A2656" s="5" t="s">
        <v>6254</v>
      </c>
      <c r="B2656" s="5" t="s">
        <v>41</v>
      </c>
      <c r="C2656" s="5" t="s">
        <v>6263</v>
      </c>
      <c r="D2656" s="5" t="s">
        <v>6264</v>
      </c>
      <c r="E2656" s="12"/>
      <c r="I2656" s="11">
        <v>4</v>
      </c>
      <c r="K2656" s="12"/>
      <c r="O2656" s="12"/>
      <c r="P2656" s="13">
        <v>103852</v>
      </c>
      <c r="Q2656" s="13">
        <v>97206</v>
      </c>
      <c r="S2656" s="13">
        <v>96945</v>
      </c>
      <c r="T2656" s="13">
        <v>0</v>
      </c>
      <c r="U2656" s="13">
        <v>96945</v>
      </c>
      <c r="X2656" s="13">
        <v>96945</v>
      </c>
      <c r="Y2656" s="13">
        <v>96945</v>
      </c>
      <c r="Z2656" s="13">
        <v>83510</v>
      </c>
      <c r="AB2656" s="13">
        <v>83510</v>
      </c>
      <c r="AC2656" s="10" t="s">
        <v>6265</v>
      </c>
      <c r="AD2656" s="5" t="s">
        <v>1089</v>
      </c>
      <c r="AE2656" s="5" t="s">
        <v>1260</v>
      </c>
      <c r="AF2656" s="5" t="s">
        <v>6266</v>
      </c>
    </row>
    <row r="2657" spans="1:33" ht="10" customHeight="1" x14ac:dyDescent="0.2">
      <c r="A2657" s="5" t="s">
        <v>6254</v>
      </c>
      <c r="B2657" s="5" t="s">
        <v>41</v>
      </c>
      <c r="C2657" s="5" t="s">
        <v>6267</v>
      </c>
      <c r="D2657" s="5" t="s">
        <v>6268</v>
      </c>
      <c r="E2657" s="12"/>
      <c r="I2657" s="11">
        <v>4</v>
      </c>
      <c r="K2657" s="10" t="s">
        <v>46</v>
      </c>
      <c r="L2657" s="5" t="s">
        <v>47</v>
      </c>
      <c r="M2657" s="5" t="s">
        <v>48</v>
      </c>
      <c r="N2657" s="5" t="s">
        <v>84</v>
      </c>
      <c r="O2657" s="12"/>
      <c r="P2657" s="13">
        <v>272778</v>
      </c>
      <c r="Q2657" s="13">
        <v>290575</v>
      </c>
      <c r="S2657" s="13">
        <v>135863</v>
      </c>
      <c r="T2657" s="13">
        <v>141550</v>
      </c>
      <c r="U2657" s="13">
        <v>277413</v>
      </c>
      <c r="W2657" s="13">
        <v>0</v>
      </c>
      <c r="X2657" s="13">
        <v>204863</v>
      </c>
      <c r="Y2657" s="13">
        <v>204863</v>
      </c>
      <c r="Z2657" s="13">
        <v>344885</v>
      </c>
      <c r="AB2657" s="13">
        <v>344885</v>
      </c>
      <c r="AC2657" s="10" t="s">
        <v>6269</v>
      </c>
      <c r="AD2657" s="5" t="s">
        <v>4880</v>
      </c>
      <c r="AE2657" s="5" t="s">
        <v>6270</v>
      </c>
    </row>
    <row r="2658" spans="1:33" ht="10" customHeight="1" x14ac:dyDescent="0.2">
      <c r="A2658" s="5" t="s">
        <v>6254</v>
      </c>
      <c r="B2658" s="5" t="s">
        <v>41</v>
      </c>
      <c r="C2658" s="5" t="s">
        <v>6271</v>
      </c>
      <c r="D2658" s="5" t="s">
        <v>6272</v>
      </c>
      <c r="E2658" s="10" t="s">
        <v>44</v>
      </c>
      <c r="I2658" s="11">
        <v>4</v>
      </c>
      <c r="K2658" s="10" t="s">
        <v>46</v>
      </c>
      <c r="L2658" s="5" t="s">
        <v>47</v>
      </c>
      <c r="M2658" s="5" t="s">
        <v>115</v>
      </c>
      <c r="N2658" s="5" t="s">
        <v>116</v>
      </c>
      <c r="O2658" s="12"/>
      <c r="P2658" s="13">
        <v>641676</v>
      </c>
      <c r="Q2658" s="13">
        <v>861066</v>
      </c>
      <c r="S2658" s="13">
        <v>686787</v>
      </c>
      <c r="T2658" s="13">
        <v>310698</v>
      </c>
      <c r="U2658" s="13">
        <v>997485</v>
      </c>
      <c r="W2658" s="13">
        <v>0</v>
      </c>
      <c r="X2658" s="13">
        <v>878787</v>
      </c>
      <c r="Y2658" s="13">
        <v>878787</v>
      </c>
      <c r="Z2658" s="13">
        <v>1000278</v>
      </c>
      <c r="AB2658" s="13">
        <v>1000278</v>
      </c>
      <c r="AC2658" s="10" t="s">
        <v>6273</v>
      </c>
      <c r="AD2658" s="5" t="s">
        <v>2414</v>
      </c>
      <c r="AE2658" s="5" t="s">
        <v>6274</v>
      </c>
    </row>
    <row r="2659" spans="1:33" ht="10" customHeight="1" x14ac:dyDescent="0.2">
      <c r="A2659" s="5" t="s">
        <v>6254</v>
      </c>
      <c r="B2659" s="5" t="s">
        <v>41</v>
      </c>
      <c r="C2659" s="5" t="s">
        <v>6275</v>
      </c>
      <c r="D2659" s="5" t="s">
        <v>6276</v>
      </c>
      <c r="E2659" s="10" t="s">
        <v>53</v>
      </c>
      <c r="F2659" s="5" t="s">
        <v>6277</v>
      </c>
      <c r="I2659" s="11">
        <v>4</v>
      </c>
      <c r="K2659" s="10" t="s">
        <v>46</v>
      </c>
      <c r="L2659" s="5" t="s">
        <v>47</v>
      </c>
      <c r="M2659" s="5" t="s">
        <v>115</v>
      </c>
      <c r="N2659" s="5" t="s">
        <v>116</v>
      </c>
      <c r="O2659" s="12"/>
      <c r="S2659" s="13">
        <v>337068</v>
      </c>
      <c r="AC2659" s="10" t="s">
        <v>6278</v>
      </c>
      <c r="AD2659" s="5" t="s">
        <v>2414</v>
      </c>
      <c r="AE2659" s="5" t="s">
        <v>6274</v>
      </c>
      <c r="AF2659" s="5" t="s">
        <v>6279</v>
      </c>
      <c r="AG2659" s="5" t="s">
        <v>6280</v>
      </c>
    </row>
    <row r="2660" spans="1:33" ht="10" customHeight="1" x14ac:dyDescent="0.2">
      <c r="A2660" s="5" t="s">
        <v>6254</v>
      </c>
      <c r="B2660" s="5" t="s">
        <v>41</v>
      </c>
      <c r="C2660" s="5" t="s">
        <v>6281</v>
      </c>
      <c r="D2660" s="5" t="s">
        <v>6282</v>
      </c>
      <c r="E2660" s="10" t="s">
        <v>53</v>
      </c>
      <c r="F2660" s="5" t="s">
        <v>6277</v>
      </c>
      <c r="I2660" s="11">
        <v>4</v>
      </c>
      <c r="K2660" s="10" t="s">
        <v>46</v>
      </c>
      <c r="L2660" s="5" t="s">
        <v>47</v>
      </c>
      <c r="M2660" s="5" t="s">
        <v>115</v>
      </c>
      <c r="N2660" s="5" t="s">
        <v>116</v>
      </c>
      <c r="O2660" s="12"/>
      <c r="S2660" s="13">
        <v>168026</v>
      </c>
      <c r="AC2660" s="10" t="s">
        <v>6283</v>
      </c>
      <c r="AD2660" s="5" t="s">
        <v>2414</v>
      </c>
      <c r="AE2660" s="5" t="s">
        <v>6274</v>
      </c>
      <c r="AF2660" s="5" t="s">
        <v>6284</v>
      </c>
      <c r="AG2660" s="5" t="s">
        <v>6285</v>
      </c>
    </row>
    <row r="2661" spans="1:33" ht="10" customHeight="1" x14ac:dyDescent="0.2">
      <c r="A2661" s="5" t="s">
        <v>6254</v>
      </c>
      <c r="B2661" s="5" t="s">
        <v>41</v>
      </c>
      <c r="C2661" s="5" t="s">
        <v>6286</v>
      </c>
      <c r="D2661" s="5" t="s">
        <v>6287</v>
      </c>
      <c r="E2661" s="10" t="s">
        <v>53</v>
      </c>
      <c r="F2661" s="5" t="s">
        <v>6277</v>
      </c>
      <c r="I2661" s="11">
        <v>4</v>
      </c>
      <c r="K2661" s="10" t="s">
        <v>46</v>
      </c>
      <c r="L2661" s="5" t="s">
        <v>47</v>
      </c>
      <c r="M2661" s="5" t="s">
        <v>115</v>
      </c>
      <c r="N2661" s="5" t="s">
        <v>116</v>
      </c>
      <c r="O2661" s="12"/>
      <c r="S2661" s="13">
        <v>51902</v>
      </c>
      <c r="AC2661" s="10" t="s">
        <v>6288</v>
      </c>
      <c r="AD2661" s="5" t="s">
        <v>2414</v>
      </c>
      <c r="AE2661" s="5" t="s">
        <v>6274</v>
      </c>
      <c r="AF2661" s="5" t="s">
        <v>6289</v>
      </c>
      <c r="AG2661" s="5" t="s">
        <v>6290</v>
      </c>
    </row>
    <row r="2662" spans="1:33" ht="10" customHeight="1" x14ac:dyDescent="0.2">
      <c r="A2662" s="5" t="s">
        <v>6254</v>
      </c>
      <c r="B2662" s="5" t="s">
        <v>41</v>
      </c>
      <c r="C2662" s="5" t="s">
        <v>6291</v>
      </c>
      <c r="D2662" s="5" t="s">
        <v>6292</v>
      </c>
      <c r="E2662" s="10" t="s">
        <v>53</v>
      </c>
      <c r="F2662" s="5" t="s">
        <v>6277</v>
      </c>
      <c r="I2662" s="11">
        <v>4</v>
      </c>
      <c r="K2662" s="10" t="s">
        <v>46</v>
      </c>
      <c r="L2662" s="5" t="s">
        <v>47</v>
      </c>
      <c r="M2662" s="5" t="s">
        <v>115</v>
      </c>
      <c r="N2662" s="5" t="s">
        <v>116</v>
      </c>
      <c r="O2662" s="12"/>
      <c r="S2662" s="13">
        <v>79260</v>
      </c>
      <c r="AC2662" s="10" t="s">
        <v>6293</v>
      </c>
      <c r="AD2662" s="5" t="s">
        <v>2414</v>
      </c>
      <c r="AE2662" s="5" t="s">
        <v>6274</v>
      </c>
    </row>
    <row r="2663" spans="1:33" ht="10" customHeight="1" x14ac:dyDescent="0.2">
      <c r="A2663" s="5" t="s">
        <v>6254</v>
      </c>
      <c r="B2663" s="5" t="s">
        <v>41</v>
      </c>
      <c r="C2663" s="5" t="s">
        <v>6294</v>
      </c>
      <c r="D2663" s="5" t="s">
        <v>6295</v>
      </c>
      <c r="E2663" s="12"/>
      <c r="I2663" s="11">
        <v>4</v>
      </c>
      <c r="K2663" s="12"/>
      <c r="O2663" s="12"/>
      <c r="P2663" s="13">
        <v>33532</v>
      </c>
      <c r="Q2663" s="13">
        <v>38521</v>
      </c>
      <c r="S2663" s="13">
        <v>36488</v>
      </c>
      <c r="T2663" s="13">
        <v>0</v>
      </c>
      <c r="U2663" s="13">
        <v>36488</v>
      </c>
      <c r="X2663" s="13">
        <v>36488</v>
      </c>
      <c r="Y2663" s="13">
        <v>36488</v>
      </c>
      <c r="Z2663" s="13">
        <v>177708</v>
      </c>
      <c r="AB2663" s="13">
        <v>177708</v>
      </c>
      <c r="AC2663" s="10" t="s">
        <v>6296</v>
      </c>
      <c r="AD2663" s="5" t="s">
        <v>132</v>
      </c>
      <c r="AE2663" s="5" t="s">
        <v>6297</v>
      </c>
    </row>
    <row r="2664" spans="1:33" ht="10" customHeight="1" x14ac:dyDescent="0.2">
      <c r="A2664" s="5" t="s">
        <v>6254</v>
      </c>
      <c r="B2664" s="5" t="s">
        <v>41</v>
      </c>
      <c r="C2664" s="5" t="s">
        <v>6298</v>
      </c>
      <c r="D2664" s="5" t="s">
        <v>6299</v>
      </c>
      <c r="E2664" s="12"/>
      <c r="I2664" s="11">
        <v>4</v>
      </c>
      <c r="K2664" s="12"/>
      <c r="O2664" s="12"/>
      <c r="P2664" s="13">
        <v>2456</v>
      </c>
      <c r="Q2664" s="13">
        <v>2402</v>
      </c>
      <c r="S2664" s="13">
        <v>2417</v>
      </c>
      <c r="T2664" s="13">
        <v>0</v>
      </c>
      <c r="U2664" s="13">
        <v>2417</v>
      </c>
      <c r="X2664" s="13">
        <v>2417</v>
      </c>
      <c r="Y2664" s="13">
        <v>2417</v>
      </c>
      <c r="Z2664" s="13">
        <v>2259</v>
      </c>
      <c r="AB2664" s="13">
        <v>2259</v>
      </c>
      <c r="AC2664" s="10" t="s">
        <v>6300</v>
      </c>
      <c r="AD2664" s="5" t="s">
        <v>3286</v>
      </c>
      <c r="AE2664" s="5" t="s">
        <v>6301</v>
      </c>
    </row>
    <row r="2665" spans="1:33" ht="10" customHeight="1" x14ac:dyDescent="0.2">
      <c r="A2665" s="5" t="s">
        <v>6254</v>
      </c>
      <c r="B2665" s="5" t="s">
        <v>41</v>
      </c>
      <c r="C2665" s="5" t="s">
        <v>6302</v>
      </c>
      <c r="D2665" s="5" t="s">
        <v>6303</v>
      </c>
      <c r="E2665" s="12"/>
      <c r="I2665" s="11">
        <v>4</v>
      </c>
      <c r="K2665" s="10" t="s">
        <v>46</v>
      </c>
      <c r="L2665" s="5" t="s">
        <v>47</v>
      </c>
      <c r="M2665" s="5" t="s">
        <v>145</v>
      </c>
      <c r="N2665" s="5" t="s">
        <v>4905</v>
      </c>
      <c r="O2665" s="12"/>
      <c r="P2665" s="13">
        <v>102334</v>
      </c>
      <c r="Q2665" s="13">
        <v>81602</v>
      </c>
      <c r="S2665" s="13">
        <v>86884</v>
      </c>
      <c r="T2665" s="13">
        <v>36500</v>
      </c>
      <c r="U2665" s="13">
        <v>123384</v>
      </c>
      <c r="W2665" s="13">
        <v>62767</v>
      </c>
      <c r="X2665" s="13">
        <v>60617</v>
      </c>
      <c r="Y2665" s="13">
        <v>123384</v>
      </c>
      <c r="Z2665" s="13">
        <v>131315</v>
      </c>
      <c r="AB2665" s="13">
        <v>131315</v>
      </c>
      <c r="AC2665" s="10" t="s">
        <v>6304</v>
      </c>
      <c r="AD2665" s="5" t="s">
        <v>3342</v>
      </c>
      <c r="AE2665" s="5" t="s">
        <v>2741</v>
      </c>
    </row>
    <row r="2666" spans="1:33" ht="10" customHeight="1" x14ac:dyDescent="0.2">
      <c r="A2666" s="5" t="s">
        <v>6254</v>
      </c>
      <c r="B2666" s="5" t="s">
        <v>41</v>
      </c>
      <c r="C2666" s="5" t="s">
        <v>6305</v>
      </c>
      <c r="D2666" s="5" t="s">
        <v>6306</v>
      </c>
      <c r="E2666" s="12"/>
      <c r="I2666" s="11">
        <v>5</v>
      </c>
      <c r="K2666" s="10" t="s">
        <v>46</v>
      </c>
      <c r="L2666" s="5" t="s">
        <v>47</v>
      </c>
      <c r="M2666" s="5" t="s">
        <v>4855</v>
      </c>
      <c r="N2666" s="5" t="s">
        <v>4856</v>
      </c>
      <c r="O2666" s="12"/>
      <c r="P2666" s="13">
        <v>10522</v>
      </c>
      <c r="Q2666" s="13">
        <v>7352</v>
      </c>
      <c r="S2666" s="13">
        <v>19276</v>
      </c>
      <c r="T2666" s="13">
        <v>0</v>
      </c>
      <c r="U2666" s="13">
        <v>19276</v>
      </c>
      <c r="X2666" s="13">
        <v>19276</v>
      </c>
      <c r="Y2666" s="13">
        <v>19276</v>
      </c>
      <c r="Z2666" s="13">
        <v>766</v>
      </c>
      <c r="AB2666" s="13">
        <v>766</v>
      </c>
      <c r="AC2666" s="10" t="s">
        <v>6307</v>
      </c>
      <c r="AD2666" s="5" t="s">
        <v>3864</v>
      </c>
      <c r="AE2666" s="5" t="s">
        <v>6308</v>
      </c>
    </row>
    <row r="2667" spans="1:33" ht="10" customHeight="1" x14ac:dyDescent="0.2">
      <c r="A2667" s="5" t="s">
        <v>6254</v>
      </c>
      <c r="B2667" s="5" t="s">
        <v>41</v>
      </c>
      <c r="C2667" s="5" t="s">
        <v>6309</v>
      </c>
      <c r="D2667" s="5" t="s">
        <v>6310</v>
      </c>
      <c r="E2667" s="12"/>
      <c r="I2667" s="11">
        <v>4</v>
      </c>
      <c r="K2667" s="12"/>
      <c r="O2667" s="12"/>
      <c r="P2667" s="13">
        <v>22757</v>
      </c>
      <c r="Q2667" s="13">
        <v>23440</v>
      </c>
      <c r="S2667" s="13">
        <v>22477</v>
      </c>
      <c r="T2667" s="13">
        <v>0</v>
      </c>
      <c r="U2667" s="13">
        <v>22477</v>
      </c>
      <c r="X2667" s="13">
        <v>22477</v>
      </c>
      <c r="Y2667" s="13">
        <v>22477</v>
      </c>
      <c r="Z2667" s="13">
        <v>22506</v>
      </c>
      <c r="AB2667" s="13">
        <v>22506</v>
      </c>
      <c r="AC2667" s="10" t="s">
        <v>6311</v>
      </c>
      <c r="AD2667" s="5" t="s">
        <v>3983</v>
      </c>
      <c r="AE2667" s="5" t="s">
        <v>6312</v>
      </c>
    </row>
    <row r="2668" spans="1:33" ht="10" customHeight="1" x14ac:dyDescent="0.2">
      <c r="A2668" s="5" t="s">
        <v>6254</v>
      </c>
      <c r="B2668" s="5" t="s">
        <v>41</v>
      </c>
      <c r="C2668" s="5" t="s">
        <v>6313</v>
      </c>
      <c r="D2668" s="5" t="s">
        <v>6314</v>
      </c>
      <c r="E2668" s="12"/>
      <c r="I2668" s="11">
        <v>4</v>
      </c>
      <c r="K2668" s="10" t="s">
        <v>46</v>
      </c>
      <c r="L2668" s="5" t="s">
        <v>47</v>
      </c>
      <c r="M2668" s="5" t="s">
        <v>48</v>
      </c>
      <c r="N2668" s="5" t="s">
        <v>84</v>
      </c>
      <c r="O2668" s="12"/>
      <c r="P2668" s="13">
        <v>210652</v>
      </c>
      <c r="Q2668" s="13">
        <v>293766</v>
      </c>
      <c r="S2668" s="13">
        <v>383062</v>
      </c>
      <c r="T2668" s="13">
        <v>0</v>
      </c>
      <c r="U2668" s="13">
        <v>383062</v>
      </c>
      <c r="X2668" s="13">
        <v>383062</v>
      </c>
      <c r="Y2668" s="13">
        <v>383062</v>
      </c>
      <c r="Z2668" s="13">
        <v>330951</v>
      </c>
      <c r="AB2668" s="13">
        <v>330951</v>
      </c>
      <c r="AC2668" s="10" t="s">
        <v>6315</v>
      </c>
      <c r="AD2668" s="5" t="s">
        <v>4094</v>
      </c>
      <c r="AE2668" s="5" t="s">
        <v>6316</v>
      </c>
    </row>
    <row r="2669" spans="1:33" ht="10" customHeight="1" x14ac:dyDescent="0.2">
      <c r="A2669" s="5" t="s">
        <v>6254</v>
      </c>
      <c r="B2669" s="5" t="s">
        <v>41</v>
      </c>
      <c r="C2669" s="5" t="s">
        <v>56</v>
      </c>
      <c r="D2669" s="5" t="s">
        <v>6317</v>
      </c>
      <c r="E2669" s="12"/>
      <c r="I2669" s="11">
        <v>4</v>
      </c>
      <c r="K2669" s="10" t="s">
        <v>46</v>
      </c>
      <c r="L2669" s="5" t="s">
        <v>47</v>
      </c>
      <c r="M2669" s="5" t="s">
        <v>48</v>
      </c>
      <c r="N2669" s="5" t="s">
        <v>84</v>
      </c>
      <c r="O2669" s="12"/>
      <c r="P2669" s="13">
        <v>32055</v>
      </c>
      <c r="Q2669" s="13">
        <v>43565</v>
      </c>
      <c r="S2669" s="13">
        <v>52039</v>
      </c>
      <c r="T2669" s="13">
        <v>0</v>
      </c>
      <c r="U2669" s="13">
        <v>52039</v>
      </c>
      <c r="X2669" s="13">
        <v>52039</v>
      </c>
      <c r="Y2669" s="13">
        <v>52039</v>
      </c>
      <c r="Z2669" s="13">
        <v>83297</v>
      </c>
      <c r="AB2669" s="13">
        <v>83297</v>
      </c>
      <c r="AC2669" s="10" t="s">
        <v>6318</v>
      </c>
      <c r="AD2669" s="5" t="s">
        <v>225</v>
      </c>
      <c r="AE2669" s="5" t="s">
        <v>6319</v>
      </c>
    </row>
    <row r="2670" spans="1:33" ht="10" customHeight="1" x14ac:dyDescent="0.2">
      <c r="A2670" s="5" t="s">
        <v>6254</v>
      </c>
      <c r="B2670" s="5" t="s">
        <v>41</v>
      </c>
      <c r="C2670" s="5" t="s">
        <v>6320</v>
      </c>
      <c r="D2670" s="5" t="s">
        <v>6321</v>
      </c>
      <c r="E2670" s="12"/>
      <c r="I2670" s="11">
        <v>6</v>
      </c>
      <c r="K2670" s="10" t="s">
        <v>46</v>
      </c>
      <c r="L2670" s="5" t="s">
        <v>47</v>
      </c>
      <c r="M2670" s="5" t="s">
        <v>115</v>
      </c>
      <c r="N2670" s="5" t="s">
        <v>135</v>
      </c>
      <c r="O2670" s="12"/>
      <c r="P2670" s="13">
        <v>17816</v>
      </c>
      <c r="Q2670" s="13">
        <v>7318</v>
      </c>
      <c r="S2670" s="13">
        <v>2551</v>
      </c>
      <c r="T2670" s="13">
        <v>0</v>
      </c>
      <c r="U2670" s="13">
        <v>2551</v>
      </c>
      <c r="X2670" s="13">
        <v>2551</v>
      </c>
      <c r="Y2670" s="13">
        <v>2551</v>
      </c>
      <c r="Z2670" s="13">
        <v>15815</v>
      </c>
      <c r="AB2670" s="13">
        <v>15815</v>
      </c>
      <c r="AC2670" s="10" t="s">
        <v>6322</v>
      </c>
      <c r="AD2670" s="5" t="s">
        <v>239</v>
      </c>
      <c r="AE2670" s="5" t="s">
        <v>6323</v>
      </c>
    </row>
    <row r="2671" spans="1:33" ht="10" customHeight="1" x14ac:dyDescent="0.2">
      <c r="A2671" s="5" t="s">
        <v>6254</v>
      </c>
      <c r="B2671" s="5" t="s">
        <v>41</v>
      </c>
      <c r="C2671" s="5" t="s">
        <v>90</v>
      </c>
      <c r="D2671" s="5" t="s">
        <v>6324</v>
      </c>
      <c r="E2671" s="12"/>
      <c r="I2671" s="11">
        <v>6</v>
      </c>
      <c r="K2671" s="10" t="s">
        <v>46</v>
      </c>
      <c r="L2671" s="5" t="s">
        <v>47</v>
      </c>
      <c r="M2671" s="5" t="s">
        <v>48</v>
      </c>
      <c r="N2671" s="5" t="s">
        <v>84</v>
      </c>
      <c r="O2671" s="12"/>
      <c r="P2671" s="13">
        <v>31202</v>
      </c>
      <c r="Q2671" s="13">
        <v>30470</v>
      </c>
      <c r="S2671" s="13">
        <v>28169</v>
      </c>
      <c r="T2671" s="13">
        <v>0</v>
      </c>
      <c r="U2671" s="13">
        <v>28169</v>
      </c>
      <c r="X2671" s="13">
        <v>28169</v>
      </c>
      <c r="Y2671" s="13">
        <v>28169</v>
      </c>
      <c r="Z2671" s="13">
        <v>26211</v>
      </c>
      <c r="AB2671" s="13">
        <v>26211</v>
      </c>
      <c r="AC2671" s="10" t="s">
        <v>6325</v>
      </c>
      <c r="AD2671" s="5" t="s">
        <v>248</v>
      </c>
      <c r="AE2671" s="5" t="s">
        <v>6326</v>
      </c>
    </row>
    <row r="2672" spans="1:33" ht="10" customHeight="1" x14ac:dyDescent="0.2">
      <c r="A2672" s="5" t="s">
        <v>6254</v>
      </c>
      <c r="B2672" s="5" t="s">
        <v>41</v>
      </c>
      <c r="C2672" s="5" t="s">
        <v>72</v>
      </c>
      <c r="D2672" s="5" t="s">
        <v>6327</v>
      </c>
      <c r="E2672" s="12"/>
      <c r="I2672" s="11">
        <v>4</v>
      </c>
      <c r="K2672" s="10" t="s">
        <v>46</v>
      </c>
      <c r="L2672" s="5" t="s">
        <v>47</v>
      </c>
      <c r="M2672" s="5" t="s">
        <v>145</v>
      </c>
      <c r="N2672" s="5" t="s">
        <v>146</v>
      </c>
      <c r="O2672" s="12"/>
      <c r="P2672" s="13">
        <v>80933</v>
      </c>
      <c r="Q2672" s="13">
        <v>38115</v>
      </c>
      <c r="S2672" s="13">
        <v>101042</v>
      </c>
      <c r="T2672" s="13">
        <v>24500</v>
      </c>
      <c r="U2672" s="13">
        <v>125542</v>
      </c>
      <c r="W2672" s="13">
        <v>29000</v>
      </c>
      <c r="X2672" s="13">
        <v>96542</v>
      </c>
      <c r="Y2672" s="13">
        <v>125542</v>
      </c>
      <c r="Z2672" s="13">
        <v>213723</v>
      </c>
      <c r="AB2672" s="13">
        <v>213723</v>
      </c>
      <c r="AC2672" s="10" t="s">
        <v>6328</v>
      </c>
      <c r="AD2672" s="5" t="s">
        <v>6329</v>
      </c>
      <c r="AE2672" s="5" t="s">
        <v>6330</v>
      </c>
    </row>
    <row r="2673" spans="1:33" ht="10" customHeight="1" x14ac:dyDescent="0.2">
      <c r="A2673" s="5" t="s">
        <v>6254</v>
      </c>
      <c r="B2673" s="5" t="s">
        <v>41</v>
      </c>
      <c r="C2673" s="5" t="s">
        <v>6331</v>
      </c>
      <c r="D2673" s="5" t="s">
        <v>6332</v>
      </c>
      <c r="E2673" s="10" t="s">
        <v>44</v>
      </c>
      <c r="I2673" s="11">
        <v>4</v>
      </c>
      <c r="K2673" s="10" t="s">
        <v>46</v>
      </c>
      <c r="L2673" s="5" t="s">
        <v>47</v>
      </c>
      <c r="M2673" s="5" t="s">
        <v>115</v>
      </c>
      <c r="N2673" s="5" t="s">
        <v>116</v>
      </c>
      <c r="O2673" s="12"/>
      <c r="P2673" s="13">
        <v>220771</v>
      </c>
      <c r="Q2673" s="13">
        <v>340668</v>
      </c>
      <c r="S2673" s="13">
        <v>115267</v>
      </c>
      <c r="T2673" s="13">
        <v>0</v>
      </c>
      <c r="U2673" s="13">
        <v>115267</v>
      </c>
      <c r="X2673" s="13">
        <v>115267</v>
      </c>
      <c r="Y2673" s="13">
        <v>115267</v>
      </c>
      <c r="Z2673" s="13">
        <v>58284</v>
      </c>
      <c r="AB2673" s="13">
        <v>58284</v>
      </c>
      <c r="AC2673" s="10" t="s">
        <v>6333</v>
      </c>
      <c r="AD2673" s="5" t="s">
        <v>6334</v>
      </c>
      <c r="AE2673" s="5" t="s">
        <v>6335</v>
      </c>
      <c r="AF2673" s="5" t="s">
        <v>6336</v>
      </c>
    </row>
    <row r="2674" spans="1:33" ht="10" customHeight="1" x14ac:dyDescent="0.2">
      <c r="A2674" s="5" t="s">
        <v>6254</v>
      </c>
      <c r="B2674" s="5" t="s">
        <v>41</v>
      </c>
      <c r="C2674" s="5" t="s">
        <v>6337</v>
      </c>
      <c r="D2674" s="5" t="s">
        <v>6338</v>
      </c>
      <c r="E2674" s="10" t="s">
        <v>53</v>
      </c>
      <c r="F2674" s="5" t="s">
        <v>6339</v>
      </c>
      <c r="I2674" s="11">
        <v>4</v>
      </c>
      <c r="K2674" s="10" t="s">
        <v>46</v>
      </c>
      <c r="L2674" s="5" t="s">
        <v>47</v>
      </c>
      <c r="M2674" s="5" t="s">
        <v>115</v>
      </c>
      <c r="N2674" s="5" t="s">
        <v>116</v>
      </c>
      <c r="O2674" s="12"/>
      <c r="S2674" s="13">
        <v>98145</v>
      </c>
      <c r="AC2674" s="10" t="s">
        <v>6340</v>
      </c>
      <c r="AD2674" s="5" t="s">
        <v>6334</v>
      </c>
      <c r="AE2674" s="5" t="s">
        <v>6335</v>
      </c>
      <c r="AG2674" s="5" t="s">
        <v>6341</v>
      </c>
    </row>
    <row r="2675" spans="1:33" ht="10" customHeight="1" x14ac:dyDescent="0.2">
      <c r="A2675" s="5" t="s">
        <v>6254</v>
      </c>
      <c r="B2675" s="5" t="s">
        <v>41</v>
      </c>
      <c r="C2675" s="5" t="s">
        <v>6342</v>
      </c>
      <c r="D2675" s="5" t="s">
        <v>6343</v>
      </c>
      <c r="E2675" s="12"/>
      <c r="I2675" s="11">
        <v>6</v>
      </c>
      <c r="K2675" s="10" t="s">
        <v>46</v>
      </c>
      <c r="L2675" s="5" t="s">
        <v>47</v>
      </c>
      <c r="M2675" s="5" t="s">
        <v>48</v>
      </c>
      <c r="N2675" s="5" t="s">
        <v>49</v>
      </c>
      <c r="O2675" s="12"/>
      <c r="P2675" s="13">
        <v>23756</v>
      </c>
      <c r="Q2675" s="13">
        <v>53931</v>
      </c>
      <c r="S2675" s="13">
        <v>38039</v>
      </c>
      <c r="T2675" s="13">
        <v>15701</v>
      </c>
      <c r="U2675" s="13">
        <v>53740</v>
      </c>
      <c r="W2675" s="13">
        <v>0</v>
      </c>
      <c r="X2675" s="13">
        <v>38039</v>
      </c>
      <c r="Y2675" s="13">
        <v>38039</v>
      </c>
      <c r="Z2675" s="13">
        <v>72163</v>
      </c>
      <c r="AB2675" s="13">
        <v>72163</v>
      </c>
      <c r="AC2675" s="10" t="s">
        <v>6344</v>
      </c>
      <c r="AD2675" s="5" t="s">
        <v>6345</v>
      </c>
      <c r="AE2675" s="5" t="s">
        <v>6346</v>
      </c>
    </row>
    <row r="2676" spans="1:33" ht="10" customHeight="1" x14ac:dyDescent="0.2">
      <c r="A2676" s="5" t="s">
        <v>6254</v>
      </c>
      <c r="B2676" s="5" t="s">
        <v>41</v>
      </c>
      <c r="C2676" s="5" t="s">
        <v>205</v>
      </c>
      <c r="D2676" s="5" t="s">
        <v>6347</v>
      </c>
      <c r="E2676" s="12"/>
      <c r="I2676" s="11">
        <v>6</v>
      </c>
      <c r="K2676" s="10" t="s">
        <v>46</v>
      </c>
      <c r="L2676" s="5" t="s">
        <v>47</v>
      </c>
      <c r="M2676" s="5" t="s">
        <v>48</v>
      </c>
      <c r="N2676" s="5" t="s">
        <v>84</v>
      </c>
      <c r="O2676" s="12"/>
      <c r="P2676" s="13">
        <v>4620</v>
      </c>
      <c r="Q2676" s="13">
        <v>4586</v>
      </c>
      <c r="S2676" s="13">
        <v>5849</v>
      </c>
      <c r="T2676" s="13">
        <v>0</v>
      </c>
      <c r="U2676" s="13">
        <v>5849</v>
      </c>
      <c r="X2676" s="13">
        <v>5849</v>
      </c>
      <c r="Y2676" s="13">
        <v>5849</v>
      </c>
      <c r="Z2676" s="13">
        <v>7440</v>
      </c>
      <c r="AB2676" s="13">
        <v>7440</v>
      </c>
      <c r="AC2676" s="10" t="s">
        <v>6348</v>
      </c>
      <c r="AD2676" s="5" t="s">
        <v>6349</v>
      </c>
      <c r="AE2676" s="5" t="s">
        <v>6350</v>
      </c>
      <c r="AF2676" s="5" t="s">
        <v>6351</v>
      </c>
    </row>
    <row r="2677" spans="1:33" ht="10" customHeight="1" x14ac:dyDescent="0.2">
      <c r="A2677" s="5" t="s">
        <v>6254</v>
      </c>
      <c r="B2677" s="5" t="s">
        <v>41</v>
      </c>
      <c r="C2677" s="5" t="s">
        <v>219</v>
      </c>
      <c r="D2677" s="5" t="s">
        <v>6352</v>
      </c>
      <c r="E2677" s="12"/>
      <c r="I2677" s="11">
        <v>4</v>
      </c>
      <c r="K2677" s="10" t="s">
        <v>46</v>
      </c>
      <c r="L2677" s="5" t="s">
        <v>47</v>
      </c>
      <c r="M2677" s="5" t="s">
        <v>115</v>
      </c>
      <c r="N2677" s="5" t="s">
        <v>4955</v>
      </c>
      <c r="O2677" s="12"/>
      <c r="P2677" s="13">
        <v>30000</v>
      </c>
      <c r="Q2677" s="13">
        <v>0</v>
      </c>
      <c r="S2677" s="13">
        <v>0</v>
      </c>
      <c r="T2677" s="13">
        <v>0</v>
      </c>
      <c r="U2677" s="13">
        <v>0</v>
      </c>
      <c r="AC2677" s="10" t="s">
        <v>6353</v>
      </c>
      <c r="AD2677" s="5" t="s">
        <v>6354</v>
      </c>
      <c r="AE2677" s="5" t="s">
        <v>6355</v>
      </c>
    </row>
    <row r="2678" spans="1:33" ht="10" customHeight="1" x14ac:dyDescent="0.2">
      <c r="A2678" s="5" t="s">
        <v>6254</v>
      </c>
      <c r="B2678" s="5" t="s">
        <v>41</v>
      </c>
      <c r="C2678" s="5" t="s">
        <v>5246</v>
      </c>
      <c r="D2678" s="5" t="s">
        <v>283</v>
      </c>
      <c r="E2678" s="12"/>
      <c r="I2678" s="11">
        <v>4</v>
      </c>
      <c r="K2678" s="10" t="s">
        <v>46</v>
      </c>
      <c r="L2678" s="5" t="s">
        <v>235</v>
      </c>
      <c r="M2678" s="5" t="s">
        <v>236</v>
      </c>
      <c r="N2678" s="5" t="s">
        <v>283</v>
      </c>
      <c r="O2678" s="12"/>
      <c r="P2678" s="13">
        <v>10239</v>
      </c>
      <c r="Q2678" s="13">
        <v>11013</v>
      </c>
      <c r="S2678" s="13">
        <v>0</v>
      </c>
      <c r="T2678" s="13">
        <v>20321</v>
      </c>
      <c r="U2678" s="13">
        <v>20321</v>
      </c>
      <c r="W2678" s="13">
        <v>20321</v>
      </c>
      <c r="X2678" s="13">
        <v>0</v>
      </c>
      <c r="Y2678" s="13">
        <v>20321</v>
      </c>
      <c r="Z2678" s="13">
        <v>22515</v>
      </c>
      <c r="AB2678" s="13">
        <v>22515</v>
      </c>
      <c r="AC2678" s="10" t="s">
        <v>6356</v>
      </c>
      <c r="AD2678" s="5" t="s">
        <v>6357</v>
      </c>
      <c r="AE2678" s="5" t="s">
        <v>6358</v>
      </c>
      <c r="AF2678" s="5" t="s">
        <v>283</v>
      </c>
    </row>
    <row r="2679" spans="1:33" ht="10" customHeight="1" x14ac:dyDescent="0.2">
      <c r="A2679" s="5" t="s">
        <v>6254</v>
      </c>
      <c r="B2679" s="5" t="s">
        <v>41</v>
      </c>
      <c r="C2679" s="5" t="s">
        <v>5255</v>
      </c>
      <c r="D2679" s="5" t="s">
        <v>6359</v>
      </c>
      <c r="E2679" s="12"/>
      <c r="I2679" s="11">
        <v>4</v>
      </c>
      <c r="K2679" s="12"/>
      <c r="O2679" s="12"/>
      <c r="P2679" s="13">
        <v>19536</v>
      </c>
      <c r="Q2679" s="13">
        <v>16650</v>
      </c>
      <c r="S2679" s="13">
        <v>22355</v>
      </c>
      <c r="T2679" s="13">
        <v>0</v>
      </c>
      <c r="U2679" s="13">
        <v>22355</v>
      </c>
      <c r="X2679" s="13">
        <v>22355</v>
      </c>
      <c r="Y2679" s="13">
        <v>22355</v>
      </c>
      <c r="Z2679" s="13">
        <v>20575</v>
      </c>
      <c r="AB2679" s="13">
        <v>20575</v>
      </c>
      <c r="AC2679" s="10" t="s">
        <v>6360</v>
      </c>
      <c r="AD2679" s="5" t="s">
        <v>6361</v>
      </c>
      <c r="AE2679" s="5" t="s">
        <v>6362</v>
      </c>
      <c r="AF2679" s="5" t="s">
        <v>6363</v>
      </c>
    </row>
    <row r="2680" spans="1:33" ht="10" customHeight="1" x14ac:dyDescent="0.2">
      <c r="A2680" s="5" t="s">
        <v>6254</v>
      </c>
      <c r="B2680" s="5" t="s">
        <v>41</v>
      </c>
      <c r="C2680" s="5" t="s">
        <v>6364</v>
      </c>
      <c r="D2680" s="5" t="s">
        <v>6365</v>
      </c>
      <c r="E2680" s="12"/>
      <c r="I2680" s="11">
        <v>4</v>
      </c>
      <c r="K2680" s="12"/>
      <c r="O2680" s="12"/>
      <c r="P2680" s="13">
        <v>85944</v>
      </c>
      <c r="Q2680" s="13">
        <v>66351</v>
      </c>
      <c r="S2680" s="13">
        <v>11691</v>
      </c>
      <c r="T2680" s="13">
        <v>75203</v>
      </c>
      <c r="U2680" s="13">
        <v>86894</v>
      </c>
      <c r="W2680" s="13">
        <v>7400</v>
      </c>
      <c r="X2680" s="13">
        <v>12691</v>
      </c>
      <c r="Y2680" s="13">
        <v>20091</v>
      </c>
      <c r="Z2680" s="13">
        <v>69425</v>
      </c>
      <c r="AB2680" s="13">
        <v>69425</v>
      </c>
      <c r="AC2680" s="10" t="s">
        <v>6366</v>
      </c>
      <c r="AD2680" s="5" t="s">
        <v>6367</v>
      </c>
      <c r="AE2680" s="5" t="s">
        <v>6368</v>
      </c>
    </row>
    <row r="2681" spans="1:33" ht="10" customHeight="1" x14ac:dyDescent="0.2">
      <c r="A2681" s="5" t="s">
        <v>6254</v>
      </c>
      <c r="B2681" s="5" t="s">
        <v>41</v>
      </c>
      <c r="C2681" s="5" t="s">
        <v>5336</v>
      </c>
      <c r="D2681" s="5" t="s">
        <v>3558</v>
      </c>
      <c r="E2681" s="12"/>
      <c r="I2681" s="11">
        <v>4</v>
      </c>
      <c r="K2681" s="12"/>
      <c r="O2681" s="12"/>
      <c r="P2681" s="13">
        <v>3286</v>
      </c>
      <c r="Q2681" s="13">
        <v>3254</v>
      </c>
      <c r="S2681" s="13">
        <v>2607</v>
      </c>
      <c r="T2681" s="13">
        <v>12</v>
      </c>
      <c r="U2681" s="13">
        <v>2619</v>
      </c>
      <c r="W2681" s="13">
        <v>0</v>
      </c>
      <c r="X2681" s="13">
        <v>2607</v>
      </c>
      <c r="Y2681" s="13">
        <v>2607</v>
      </c>
      <c r="Z2681" s="13">
        <v>2425</v>
      </c>
      <c r="AB2681" s="13">
        <v>2425</v>
      </c>
      <c r="AC2681" s="10" t="s">
        <v>6369</v>
      </c>
      <c r="AD2681" s="5" t="s">
        <v>6370</v>
      </c>
      <c r="AE2681" s="5" t="s">
        <v>6371</v>
      </c>
      <c r="AF2681" s="5" t="s">
        <v>6372</v>
      </c>
    </row>
    <row r="2682" spans="1:33" ht="10" customHeight="1" x14ac:dyDescent="0.2">
      <c r="A2682" s="5" t="s">
        <v>6254</v>
      </c>
      <c r="B2682" s="5" t="s">
        <v>41</v>
      </c>
      <c r="C2682" s="5" t="s">
        <v>6373</v>
      </c>
      <c r="D2682" s="5" t="s">
        <v>6374</v>
      </c>
      <c r="E2682" s="10" t="s">
        <v>44</v>
      </c>
      <c r="I2682" s="11" t="s">
        <v>6375</v>
      </c>
      <c r="K2682" s="12"/>
      <c r="O2682" s="12"/>
      <c r="P2682" s="13">
        <v>2839179</v>
      </c>
      <c r="Q2682" s="13">
        <v>2392190</v>
      </c>
      <c r="S2682" s="13">
        <v>2392620</v>
      </c>
      <c r="T2682" s="13">
        <v>0</v>
      </c>
      <c r="U2682" s="13">
        <v>2392620</v>
      </c>
      <c r="X2682" s="13">
        <v>2392620</v>
      </c>
      <c r="Y2682" s="13">
        <v>2392620</v>
      </c>
      <c r="Z2682" s="13">
        <v>2737140</v>
      </c>
      <c r="AB2682" s="13">
        <v>2737140</v>
      </c>
      <c r="AC2682" s="10" t="s">
        <v>6376</v>
      </c>
      <c r="AD2682" s="5" t="s">
        <v>6377</v>
      </c>
      <c r="AE2682" s="5" t="s">
        <v>6378</v>
      </c>
      <c r="AF2682" s="5" t="s">
        <v>6379</v>
      </c>
    </row>
    <row r="2683" spans="1:33" ht="10" customHeight="1" x14ac:dyDescent="0.2">
      <c r="A2683" s="5" t="s">
        <v>6254</v>
      </c>
      <c r="B2683" s="5" t="s">
        <v>41</v>
      </c>
      <c r="C2683" s="5" t="s">
        <v>6380</v>
      </c>
      <c r="D2683" s="5" t="s">
        <v>6381</v>
      </c>
      <c r="E2683" s="10" t="s">
        <v>53</v>
      </c>
      <c r="F2683" s="5" t="s">
        <v>6382</v>
      </c>
      <c r="I2683" s="11" t="s">
        <v>6375</v>
      </c>
      <c r="K2683" s="12"/>
      <c r="O2683" s="12"/>
      <c r="P2683" s="13">
        <v>1208571</v>
      </c>
      <c r="Q2683" s="13">
        <v>1168393</v>
      </c>
      <c r="S2683" s="13">
        <v>1306538</v>
      </c>
      <c r="AC2683" s="10" t="s">
        <v>6383</v>
      </c>
      <c r="AD2683" s="5" t="s">
        <v>6377</v>
      </c>
      <c r="AE2683" s="5" t="s">
        <v>6378</v>
      </c>
      <c r="AF2683" s="5" t="s">
        <v>6379</v>
      </c>
    </row>
    <row r="2684" spans="1:33" ht="10" customHeight="1" x14ac:dyDescent="0.2">
      <c r="A2684" s="5" t="s">
        <v>6254</v>
      </c>
      <c r="B2684" s="5" t="s">
        <v>41</v>
      </c>
      <c r="C2684" s="5" t="s">
        <v>6384</v>
      </c>
      <c r="D2684" s="5" t="s">
        <v>6385</v>
      </c>
      <c r="E2684" s="10" t="s">
        <v>53</v>
      </c>
      <c r="F2684" s="5" t="s">
        <v>6382</v>
      </c>
      <c r="I2684" s="11" t="s">
        <v>6375</v>
      </c>
      <c r="K2684" s="12"/>
      <c r="O2684" s="12"/>
      <c r="P2684" s="13">
        <v>1630608</v>
      </c>
      <c r="Q2684" s="13">
        <v>1223797</v>
      </c>
      <c r="S2684" s="13">
        <v>1086082</v>
      </c>
      <c r="AC2684" s="10" t="s">
        <v>6386</v>
      </c>
      <c r="AD2684" s="5" t="s">
        <v>6377</v>
      </c>
      <c r="AE2684" s="5" t="s">
        <v>6378</v>
      </c>
      <c r="AF2684" s="5" t="s">
        <v>6379</v>
      </c>
    </row>
    <row r="2685" spans="1:33" ht="10" customHeight="1" x14ac:dyDescent="0.2">
      <c r="A2685" s="5" t="s">
        <v>6254</v>
      </c>
      <c r="B2685" s="5" t="s">
        <v>41</v>
      </c>
      <c r="C2685" s="5" t="s">
        <v>6387</v>
      </c>
      <c r="D2685" s="5" t="s">
        <v>6388</v>
      </c>
      <c r="E2685" s="12"/>
      <c r="I2685" s="11">
        <v>6</v>
      </c>
      <c r="K2685" s="12"/>
      <c r="O2685" s="12"/>
      <c r="P2685" s="13">
        <v>2016</v>
      </c>
      <c r="Q2685" s="13">
        <v>0</v>
      </c>
      <c r="S2685" s="13">
        <v>0</v>
      </c>
      <c r="T2685" s="13">
        <v>0</v>
      </c>
      <c r="U2685" s="13">
        <v>0</v>
      </c>
      <c r="AC2685" s="10" t="s">
        <v>6389</v>
      </c>
      <c r="AD2685" s="5" t="s">
        <v>6390</v>
      </c>
      <c r="AE2685" s="5" t="s">
        <v>6391</v>
      </c>
      <c r="AF2685" s="5" t="s">
        <v>6388</v>
      </c>
    </row>
    <row r="2686" spans="1:33" ht="10" customHeight="1" x14ac:dyDescent="0.2">
      <c r="A2686" s="5" t="s">
        <v>6254</v>
      </c>
      <c r="B2686" s="5" t="s">
        <v>41</v>
      </c>
      <c r="C2686" s="5" t="s">
        <v>6392</v>
      </c>
      <c r="D2686" s="5" t="s">
        <v>6393</v>
      </c>
      <c r="E2686" s="12"/>
      <c r="I2686" s="11">
        <v>6</v>
      </c>
      <c r="K2686" s="12"/>
      <c r="O2686" s="12"/>
      <c r="P2686" s="13">
        <v>389890</v>
      </c>
      <c r="Q2686" s="13">
        <v>445974</v>
      </c>
      <c r="S2686" s="13">
        <v>399603</v>
      </c>
      <c r="T2686" s="13">
        <v>0</v>
      </c>
      <c r="U2686" s="13">
        <v>399603</v>
      </c>
      <c r="X2686" s="13">
        <v>474806</v>
      </c>
      <c r="Y2686" s="13">
        <v>474806</v>
      </c>
      <c r="Z2686" s="13">
        <v>519821</v>
      </c>
      <c r="AB2686" s="13">
        <v>519821</v>
      </c>
      <c r="AC2686" s="10" t="s">
        <v>6394</v>
      </c>
      <c r="AD2686" s="5" t="s">
        <v>6395</v>
      </c>
      <c r="AE2686" s="5" t="s">
        <v>6396</v>
      </c>
      <c r="AF2686" s="5" t="s">
        <v>6393</v>
      </c>
    </row>
    <row r="2687" spans="1:33" ht="10" customHeight="1" x14ac:dyDescent="0.2">
      <c r="A2687" s="5" t="s">
        <v>6254</v>
      </c>
      <c r="B2687" s="5" t="s">
        <v>41</v>
      </c>
      <c r="C2687" s="5" t="s">
        <v>6397</v>
      </c>
      <c r="D2687" s="5" t="s">
        <v>6398</v>
      </c>
      <c r="E2687" s="12"/>
      <c r="I2687" s="11">
        <v>7</v>
      </c>
      <c r="K2687" s="12"/>
      <c r="O2687" s="12"/>
      <c r="P2687" s="13">
        <v>17754</v>
      </c>
      <c r="Q2687" s="13">
        <v>17499</v>
      </c>
      <c r="S2687" s="13">
        <v>7842</v>
      </c>
      <c r="T2687" s="13">
        <v>5387</v>
      </c>
      <c r="U2687" s="13">
        <v>13229</v>
      </c>
      <c r="W2687" s="13">
        <v>0</v>
      </c>
      <c r="X2687" s="13">
        <v>7842</v>
      </c>
      <c r="Y2687" s="13">
        <v>7842</v>
      </c>
      <c r="Z2687" s="13">
        <v>33013</v>
      </c>
      <c r="AB2687" s="13">
        <v>33013</v>
      </c>
      <c r="AC2687" s="10" t="s">
        <v>6399</v>
      </c>
      <c r="AD2687" s="5" t="s">
        <v>6400</v>
      </c>
      <c r="AE2687" s="5" t="s">
        <v>6401</v>
      </c>
    </row>
    <row r="2688" spans="1:33" ht="10" customHeight="1" x14ac:dyDescent="0.2">
      <c r="A2688" s="5" t="s">
        <v>6254</v>
      </c>
      <c r="B2688" s="5" t="s">
        <v>41</v>
      </c>
      <c r="C2688" s="5" t="s">
        <v>5166</v>
      </c>
      <c r="D2688" s="5" t="s">
        <v>6402</v>
      </c>
      <c r="E2688" s="12"/>
      <c r="I2688" s="11">
        <v>1</v>
      </c>
      <c r="J2688" s="5" t="s">
        <v>6403</v>
      </c>
      <c r="K2688" s="10" t="s">
        <v>46</v>
      </c>
      <c r="L2688" s="5" t="s">
        <v>4671</v>
      </c>
      <c r="M2688" s="5" t="s">
        <v>5412</v>
      </c>
      <c r="N2688" s="5" t="s">
        <v>5413</v>
      </c>
      <c r="O2688" s="12"/>
      <c r="P2688" s="13">
        <v>0</v>
      </c>
      <c r="Q2688" s="13">
        <v>0</v>
      </c>
      <c r="S2688" s="13">
        <v>0</v>
      </c>
      <c r="T2688" s="13">
        <v>1094000</v>
      </c>
      <c r="U2688" s="13">
        <v>1094000</v>
      </c>
      <c r="W2688" s="13">
        <v>1325714</v>
      </c>
      <c r="X2688" s="13">
        <v>0</v>
      </c>
      <c r="Y2688" s="13">
        <v>1325714</v>
      </c>
      <c r="Z2688" s="13">
        <v>121130</v>
      </c>
      <c r="AA2688" s="13">
        <v>50000</v>
      </c>
      <c r="AB2688" s="13">
        <v>171130</v>
      </c>
      <c r="AC2688" s="10" t="s">
        <v>6404</v>
      </c>
    </row>
    <row r="2689" spans="1:33" ht="10" customHeight="1" x14ac:dyDescent="0.2">
      <c r="A2689" s="5" t="s">
        <v>6254</v>
      </c>
      <c r="B2689" s="5" t="s">
        <v>41</v>
      </c>
      <c r="C2689" s="5" t="s">
        <v>51</v>
      </c>
      <c r="D2689" s="5" t="s">
        <v>6405</v>
      </c>
      <c r="E2689" s="10" t="s">
        <v>44</v>
      </c>
      <c r="I2689" s="11">
        <v>1</v>
      </c>
      <c r="J2689" s="5" t="s">
        <v>6403</v>
      </c>
      <c r="K2689" s="12"/>
      <c r="O2689" s="12"/>
      <c r="P2689" s="13">
        <v>223529</v>
      </c>
      <c r="Q2689" s="13">
        <v>422832</v>
      </c>
      <c r="S2689" s="13">
        <v>51546</v>
      </c>
      <c r="T2689" s="13">
        <v>814969</v>
      </c>
      <c r="U2689" s="13">
        <v>866515</v>
      </c>
      <c r="W2689" s="13">
        <v>0</v>
      </c>
      <c r="X2689" s="13">
        <v>82086</v>
      </c>
      <c r="Y2689" s="13">
        <v>82086</v>
      </c>
      <c r="Z2689" s="13">
        <v>97746</v>
      </c>
      <c r="AB2689" s="13">
        <v>97746</v>
      </c>
      <c r="AC2689" s="10" t="s">
        <v>6406</v>
      </c>
      <c r="AD2689" s="5" t="s">
        <v>6407</v>
      </c>
      <c r="AE2689" s="5" t="s">
        <v>6408</v>
      </c>
    </row>
    <row r="2690" spans="1:33" ht="10" customHeight="1" x14ac:dyDescent="0.2">
      <c r="A2690" s="5" t="s">
        <v>6254</v>
      </c>
      <c r="B2690" s="5" t="s">
        <v>41</v>
      </c>
      <c r="C2690" s="5" t="s">
        <v>6409</v>
      </c>
      <c r="D2690" s="5" t="s">
        <v>6410</v>
      </c>
      <c r="E2690" s="10" t="s">
        <v>53</v>
      </c>
      <c r="F2690" s="5" t="s">
        <v>6411</v>
      </c>
      <c r="I2690" s="11">
        <v>1</v>
      </c>
      <c r="J2690" s="5" t="s">
        <v>6403</v>
      </c>
      <c r="K2690" s="12"/>
      <c r="O2690" s="12"/>
      <c r="P2690" s="13">
        <v>12032</v>
      </c>
      <c r="Q2690" s="13">
        <v>13618</v>
      </c>
      <c r="S2690" s="13">
        <v>14006</v>
      </c>
      <c r="AC2690" s="10" t="s">
        <v>6412</v>
      </c>
      <c r="AD2690" s="5" t="s">
        <v>6407</v>
      </c>
      <c r="AE2690" s="5" t="s">
        <v>6408</v>
      </c>
      <c r="AF2690" s="5" t="s">
        <v>6413</v>
      </c>
    </row>
    <row r="2691" spans="1:33" ht="10" customHeight="1" x14ac:dyDescent="0.2">
      <c r="A2691" s="5" t="s">
        <v>6254</v>
      </c>
      <c r="B2691" s="5" t="s">
        <v>41</v>
      </c>
      <c r="C2691" s="5" t="s">
        <v>6414</v>
      </c>
      <c r="D2691" s="5" t="s">
        <v>6415</v>
      </c>
      <c r="E2691" s="10" t="s">
        <v>53</v>
      </c>
      <c r="F2691" s="5" t="s">
        <v>6411</v>
      </c>
      <c r="I2691" s="11">
        <v>1</v>
      </c>
      <c r="J2691" s="5" t="s">
        <v>6403</v>
      </c>
      <c r="K2691" s="10" t="s">
        <v>46</v>
      </c>
      <c r="L2691" s="5" t="s">
        <v>235</v>
      </c>
      <c r="M2691" s="5" t="s">
        <v>6416</v>
      </c>
      <c r="O2691" s="12"/>
      <c r="P2691" s="13">
        <v>10078</v>
      </c>
      <c r="Q2691" s="13">
        <v>17407</v>
      </c>
      <c r="S2691" s="13">
        <v>7277</v>
      </c>
      <c r="AC2691" s="10" t="s">
        <v>6417</v>
      </c>
      <c r="AD2691" s="5" t="s">
        <v>6407</v>
      </c>
      <c r="AE2691" s="5" t="s">
        <v>6408</v>
      </c>
      <c r="AF2691" s="5" t="s">
        <v>6418</v>
      </c>
    </row>
    <row r="2692" spans="1:33" ht="10" customHeight="1" x14ac:dyDescent="0.2">
      <c r="A2692" s="5" t="s">
        <v>6254</v>
      </c>
      <c r="B2692" s="5" t="s">
        <v>41</v>
      </c>
      <c r="C2692" s="5" t="s">
        <v>6419</v>
      </c>
      <c r="D2692" s="5" t="s">
        <v>6420</v>
      </c>
      <c r="E2692" s="12"/>
      <c r="I2692" s="11">
        <v>7</v>
      </c>
      <c r="K2692" s="12"/>
      <c r="O2692" s="12"/>
      <c r="P2692" s="13">
        <v>210764</v>
      </c>
      <c r="Q2692" s="13">
        <v>222304</v>
      </c>
      <c r="S2692" s="13">
        <v>208998</v>
      </c>
      <c r="T2692" s="13">
        <v>0</v>
      </c>
      <c r="U2692" s="13">
        <v>208998</v>
      </c>
      <c r="X2692" s="13">
        <v>394998</v>
      </c>
      <c r="Y2692" s="13">
        <v>394998</v>
      </c>
      <c r="Z2692" s="13">
        <v>492100</v>
      </c>
      <c r="AB2692" s="13">
        <v>492100</v>
      </c>
      <c r="AC2692" s="10" t="s">
        <v>6421</v>
      </c>
      <c r="AD2692" s="5" t="s">
        <v>6422</v>
      </c>
      <c r="AE2692" s="5" t="s">
        <v>6423</v>
      </c>
    </row>
    <row r="2693" spans="1:33" ht="10" customHeight="1" x14ac:dyDescent="0.2">
      <c r="A2693" s="5" t="s">
        <v>6254</v>
      </c>
      <c r="B2693" s="5" t="s">
        <v>41</v>
      </c>
      <c r="C2693" s="5" t="s">
        <v>4780</v>
      </c>
      <c r="D2693" s="5" t="s">
        <v>6424</v>
      </c>
      <c r="E2693" s="12"/>
      <c r="I2693" s="11">
        <v>4</v>
      </c>
      <c r="K2693" s="10" t="s">
        <v>46</v>
      </c>
      <c r="L2693" s="5" t="s">
        <v>47</v>
      </c>
      <c r="M2693" s="5" t="s">
        <v>115</v>
      </c>
      <c r="N2693" s="5" t="s">
        <v>135</v>
      </c>
      <c r="O2693" s="12"/>
      <c r="P2693" s="13">
        <v>49028</v>
      </c>
      <c r="Q2693" s="13">
        <v>56105</v>
      </c>
      <c r="S2693" s="13">
        <v>38880</v>
      </c>
      <c r="T2693" s="13">
        <v>0</v>
      </c>
      <c r="U2693" s="13">
        <v>38880</v>
      </c>
      <c r="X2693" s="13">
        <v>38880</v>
      </c>
      <c r="Y2693" s="13">
        <v>38880</v>
      </c>
      <c r="Z2693" s="13">
        <v>30565</v>
      </c>
      <c r="AB2693" s="13">
        <v>30565</v>
      </c>
      <c r="AC2693" s="10" t="s">
        <v>6425</v>
      </c>
      <c r="AD2693" s="5" t="s">
        <v>6426</v>
      </c>
      <c r="AE2693" s="5" t="s">
        <v>6427</v>
      </c>
    </row>
    <row r="2694" spans="1:33" ht="10" customHeight="1" x14ac:dyDescent="0.2">
      <c r="A2694" s="5" t="s">
        <v>6254</v>
      </c>
      <c r="B2694" s="5" t="s">
        <v>41</v>
      </c>
      <c r="C2694" s="5" t="s">
        <v>6428</v>
      </c>
      <c r="D2694" s="5" t="s">
        <v>6429</v>
      </c>
      <c r="E2694" s="12"/>
      <c r="I2694" s="11">
        <v>4</v>
      </c>
      <c r="K2694" s="10" t="s">
        <v>46</v>
      </c>
      <c r="L2694" s="5" t="s">
        <v>47</v>
      </c>
      <c r="M2694" s="5" t="s">
        <v>115</v>
      </c>
      <c r="N2694" s="5" t="s">
        <v>135</v>
      </c>
      <c r="O2694" s="12"/>
      <c r="P2694" s="13">
        <v>87828</v>
      </c>
      <c r="Q2694" s="13">
        <v>118247</v>
      </c>
      <c r="S2694" s="13">
        <v>91372</v>
      </c>
      <c r="T2694" s="13">
        <v>0</v>
      </c>
      <c r="U2694" s="13">
        <v>91372</v>
      </c>
      <c r="X2694" s="13">
        <v>91372</v>
      </c>
      <c r="Y2694" s="13">
        <v>91372</v>
      </c>
      <c r="Z2694" s="13">
        <v>65113</v>
      </c>
      <c r="AB2694" s="13">
        <v>65113</v>
      </c>
      <c r="AC2694" s="10" t="s">
        <v>6430</v>
      </c>
      <c r="AD2694" s="5" t="s">
        <v>6431</v>
      </c>
      <c r="AE2694" s="5" t="s">
        <v>6432</v>
      </c>
      <c r="AF2694" s="5" t="s">
        <v>6433</v>
      </c>
    </row>
    <row r="2695" spans="1:33" ht="10" customHeight="1" x14ac:dyDescent="0.2">
      <c r="A2695" s="5" t="s">
        <v>6254</v>
      </c>
      <c r="B2695" s="5" t="s">
        <v>41</v>
      </c>
      <c r="C2695" s="5" t="s">
        <v>6434</v>
      </c>
      <c r="D2695" s="5" t="s">
        <v>6435</v>
      </c>
      <c r="E2695" s="12"/>
      <c r="I2695" s="11">
        <v>4</v>
      </c>
      <c r="K2695" s="10" t="s">
        <v>46</v>
      </c>
      <c r="L2695" s="5" t="s">
        <v>47</v>
      </c>
      <c r="M2695" s="5" t="s">
        <v>115</v>
      </c>
      <c r="N2695" s="5" t="s">
        <v>135</v>
      </c>
      <c r="O2695" s="12"/>
      <c r="P2695" s="13">
        <v>12094</v>
      </c>
      <c r="Q2695" s="13">
        <v>11101</v>
      </c>
      <c r="S2695" s="13">
        <v>3790</v>
      </c>
      <c r="T2695" s="13">
        <v>0</v>
      </c>
      <c r="U2695" s="13">
        <v>3790</v>
      </c>
      <c r="X2695" s="13">
        <v>3790</v>
      </c>
      <c r="Y2695" s="13">
        <v>3790</v>
      </c>
      <c r="Z2695" s="13">
        <v>1719</v>
      </c>
      <c r="AB2695" s="13">
        <v>1719</v>
      </c>
      <c r="AC2695" s="10" t="s">
        <v>6436</v>
      </c>
      <c r="AD2695" s="5" t="s">
        <v>6437</v>
      </c>
      <c r="AE2695" s="5" t="s">
        <v>6438</v>
      </c>
    </row>
    <row r="2696" spans="1:33" ht="10" customHeight="1" x14ac:dyDescent="0.2">
      <c r="A2696" s="5" t="s">
        <v>6254</v>
      </c>
      <c r="B2696" s="5" t="s">
        <v>41</v>
      </c>
      <c r="C2696" s="5" t="s">
        <v>6439</v>
      </c>
      <c r="D2696" s="5" t="s">
        <v>6440</v>
      </c>
      <c r="E2696" s="12"/>
      <c r="I2696" s="11">
        <v>4</v>
      </c>
      <c r="K2696" s="10" t="s">
        <v>46</v>
      </c>
      <c r="L2696" s="5" t="s">
        <v>47</v>
      </c>
      <c r="M2696" s="5" t="s">
        <v>115</v>
      </c>
      <c r="N2696" s="5" t="s">
        <v>135</v>
      </c>
      <c r="O2696" s="12"/>
      <c r="P2696" s="13">
        <v>154561</v>
      </c>
      <c r="Q2696" s="13">
        <v>188254</v>
      </c>
      <c r="S2696" s="13">
        <v>203442</v>
      </c>
      <c r="T2696" s="13">
        <v>34286</v>
      </c>
      <c r="U2696" s="13">
        <v>237728</v>
      </c>
      <c r="W2696" s="13">
        <v>0</v>
      </c>
      <c r="X2696" s="13">
        <v>189458</v>
      </c>
      <c r="Y2696" s="13">
        <v>189458</v>
      </c>
      <c r="Z2696" s="13">
        <v>315272</v>
      </c>
      <c r="AB2696" s="13">
        <v>315272</v>
      </c>
      <c r="AC2696" s="10" t="s">
        <v>6441</v>
      </c>
      <c r="AD2696" s="5" t="s">
        <v>6442</v>
      </c>
      <c r="AE2696" s="5" t="s">
        <v>6443</v>
      </c>
      <c r="AF2696" s="5" t="s">
        <v>6444</v>
      </c>
    </row>
    <row r="2697" spans="1:33" ht="10" customHeight="1" x14ac:dyDescent="0.2">
      <c r="A2697" s="5" t="s">
        <v>6254</v>
      </c>
      <c r="B2697" s="5" t="s">
        <v>41</v>
      </c>
      <c r="C2697" s="5" t="s">
        <v>375</v>
      </c>
      <c r="D2697" s="5" t="s">
        <v>6445</v>
      </c>
      <c r="E2697" s="12"/>
      <c r="I2697" s="11">
        <v>1</v>
      </c>
      <c r="J2697" s="5" t="s">
        <v>6403</v>
      </c>
      <c r="K2697" s="10" t="s">
        <v>46</v>
      </c>
      <c r="L2697" s="5" t="s">
        <v>4671</v>
      </c>
      <c r="M2697" s="5" t="s">
        <v>4672</v>
      </c>
      <c r="N2697" s="5" t="s">
        <v>6446</v>
      </c>
      <c r="O2697" s="12"/>
      <c r="P2697" s="13">
        <v>56815</v>
      </c>
      <c r="Q2697" s="13">
        <v>48780</v>
      </c>
      <c r="S2697" s="13">
        <v>54854</v>
      </c>
      <c r="T2697" s="13">
        <v>66421</v>
      </c>
      <c r="U2697" s="13">
        <v>121275</v>
      </c>
      <c r="W2697" s="13">
        <v>198921</v>
      </c>
      <c r="X2697" s="13">
        <v>7000</v>
      </c>
      <c r="Y2697" s="13">
        <v>205921</v>
      </c>
      <c r="Z2697" s="13">
        <v>110955</v>
      </c>
      <c r="AB2697" s="13">
        <v>110955</v>
      </c>
      <c r="AC2697" s="10" t="s">
        <v>6447</v>
      </c>
      <c r="AD2697" s="5" t="s">
        <v>6448</v>
      </c>
      <c r="AE2697" s="5" t="s">
        <v>6449</v>
      </c>
      <c r="AF2697" s="5" t="s">
        <v>6445</v>
      </c>
    </row>
    <row r="2698" spans="1:33" ht="10" customHeight="1" x14ac:dyDescent="0.2">
      <c r="A2698" s="5" t="s">
        <v>6254</v>
      </c>
      <c r="B2698" s="5" t="s">
        <v>41</v>
      </c>
      <c r="C2698" s="5" t="s">
        <v>421</v>
      </c>
      <c r="D2698" s="5" t="s">
        <v>6450</v>
      </c>
      <c r="E2698" s="12"/>
      <c r="I2698" s="11">
        <v>1</v>
      </c>
      <c r="J2698" s="5" t="s">
        <v>6403</v>
      </c>
      <c r="K2698" s="10" t="s">
        <v>46</v>
      </c>
      <c r="L2698" s="5" t="s">
        <v>4671</v>
      </c>
      <c r="M2698" s="5" t="s">
        <v>4672</v>
      </c>
      <c r="N2698" s="5" t="s">
        <v>6446</v>
      </c>
      <c r="O2698" s="12"/>
      <c r="P2698" s="13">
        <v>0</v>
      </c>
      <c r="Q2698" s="13">
        <v>0</v>
      </c>
      <c r="S2698" s="13">
        <v>0</v>
      </c>
      <c r="T2698" s="13">
        <v>3313</v>
      </c>
      <c r="U2698" s="13">
        <v>3313</v>
      </c>
      <c r="W2698" s="13">
        <v>3313</v>
      </c>
      <c r="X2698" s="13">
        <v>0</v>
      </c>
      <c r="Y2698" s="13">
        <v>3313</v>
      </c>
      <c r="Z2698" s="13">
        <v>135802</v>
      </c>
      <c r="AB2698" s="13">
        <v>135802</v>
      </c>
      <c r="AC2698" s="10" t="s">
        <v>6451</v>
      </c>
    </row>
    <row r="2699" spans="1:33" ht="10" customHeight="1" x14ac:dyDescent="0.2">
      <c r="A2699" s="5" t="s">
        <v>6254</v>
      </c>
      <c r="B2699" s="5" t="s">
        <v>41</v>
      </c>
      <c r="C2699" s="5" t="s">
        <v>440</v>
      </c>
      <c r="D2699" s="5" t="s">
        <v>6452</v>
      </c>
      <c r="E2699" s="12"/>
      <c r="I2699" s="11">
        <v>4</v>
      </c>
      <c r="K2699" s="10" t="s">
        <v>46</v>
      </c>
      <c r="L2699" s="5" t="s">
        <v>47</v>
      </c>
      <c r="M2699" s="5" t="s">
        <v>145</v>
      </c>
      <c r="N2699" s="5" t="s">
        <v>4899</v>
      </c>
      <c r="O2699" s="12"/>
      <c r="P2699" s="13">
        <v>3989</v>
      </c>
      <c r="Q2699" s="13">
        <v>56667</v>
      </c>
      <c r="S2699" s="13">
        <v>4079</v>
      </c>
      <c r="T2699" s="13">
        <v>0</v>
      </c>
      <c r="U2699" s="13">
        <v>4079</v>
      </c>
      <c r="X2699" s="13">
        <v>4079</v>
      </c>
      <c r="Y2699" s="13">
        <v>4079</v>
      </c>
      <c r="Z2699" s="13">
        <v>240</v>
      </c>
      <c r="AB2699" s="13">
        <v>240</v>
      </c>
      <c r="AC2699" s="10" t="s">
        <v>6453</v>
      </c>
      <c r="AD2699" s="5" t="s">
        <v>6454</v>
      </c>
      <c r="AE2699" s="5" t="s">
        <v>6455</v>
      </c>
      <c r="AF2699" s="5" t="s">
        <v>6456</v>
      </c>
    </row>
    <row r="2700" spans="1:33" ht="10" customHeight="1" x14ac:dyDescent="0.2">
      <c r="A2700" s="5" t="s">
        <v>6457</v>
      </c>
      <c r="B2700" s="5" t="s">
        <v>41</v>
      </c>
      <c r="D2700" s="5" t="s">
        <v>6458</v>
      </c>
      <c r="E2700" s="10" t="s">
        <v>345</v>
      </c>
      <c r="K2700" s="12"/>
      <c r="O2700" s="12"/>
      <c r="P2700" s="13">
        <v>4152244</v>
      </c>
      <c r="Q2700" s="13">
        <v>3927280</v>
      </c>
      <c r="S2700" s="13">
        <v>4508845</v>
      </c>
      <c r="T2700" s="13">
        <v>11000</v>
      </c>
      <c r="U2700" s="13">
        <v>4519845</v>
      </c>
      <c r="AC2700" s="10" t="s">
        <v>6459</v>
      </c>
      <c r="AD2700" s="5" t="s">
        <v>6320</v>
      </c>
    </row>
    <row r="2701" spans="1:33" ht="10" customHeight="1" x14ac:dyDescent="0.2">
      <c r="A2701" s="5" t="s">
        <v>6457</v>
      </c>
      <c r="B2701" s="5" t="s">
        <v>41</v>
      </c>
      <c r="C2701" s="5" t="s">
        <v>6460</v>
      </c>
      <c r="D2701" s="5" t="s">
        <v>2905</v>
      </c>
      <c r="E2701" s="10" t="s">
        <v>345</v>
      </c>
      <c r="F2701" s="5" t="s">
        <v>6461</v>
      </c>
      <c r="I2701" s="11">
        <v>4</v>
      </c>
      <c r="K2701" s="12"/>
      <c r="O2701" s="12"/>
      <c r="P2701" s="13">
        <v>7262</v>
      </c>
      <c r="Q2701" s="13">
        <v>7402</v>
      </c>
      <c r="S2701" s="13">
        <v>0</v>
      </c>
      <c r="T2701" s="13">
        <v>0</v>
      </c>
      <c r="U2701" s="13">
        <v>0</v>
      </c>
      <c r="AC2701" s="10" t="s">
        <v>6462</v>
      </c>
      <c r="AD2701" s="5" t="s">
        <v>763</v>
      </c>
      <c r="AE2701" s="5" t="s">
        <v>6460</v>
      </c>
      <c r="AF2701" s="5" t="s">
        <v>6463</v>
      </c>
    </row>
    <row r="2702" spans="1:33" ht="10" customHeight="1" x14ac:dyDescent="0.2">
      <c r="A2702" s="5" t="s">
        <v>6457</v>
      </c>
      <c r="B2702" s="5" t="s">
        <v>41</v>
      </c>
      <c r="D2702" s="5" t="s">
        <v>6464</v>
      </c>
      <c r="E2702" s="10" t="s">
        <v>53</v>
      </c>
      <c r="F2702" s="5" t="s">
        <v>6465</v>
      </c>
      <c r="I2702" s="11">
        <v>4</v>
      </c>
      <c r="K2702" s="12"/>
      <c r="O2702" s="12"/>
      <c r="S2702" s="13">
        <v>0</v>
      </c>
      <c r="T2702" s="13">
        <v>0</v>
      </c>
      <c r="U2702" s="13">
        <v>0</v>
      </c>
      <c r="AC2702" s="10" t="s">
        <v>6466</v>
      </c>
      <c r="AD2702" s="5" t="s">
        <v>830</v>
      </c>
      <c r="AE2702" s="5" t="s">
        <v>6460</v>
      </c>
      <c r="AF2702" s="5" t="s">
        <v>6463</v>
      </c>
      <c r="AG2702" s="5" t="s">
        <v>6467</v>
      </c>
    </row>
    <row r="2703" spans="1:33" ht="10" customHeight="1" x14ac:dyDescent="0.2">
      <c r="A2703" s="5" t="s">
        <v>6457</v>
      </c>
      <c r="B2703" s="5" t="s">
        <v>41</v>
      </c>
      <c r="C2703" s="5" t="s">
        <v>6468</v>
      </c>
      <c r="D2703" s="5" t="s">
        <v>6469</v>
      </c>
      <c r="E2703" s="10" t="s">
        <v>44</v>
      </c>
      <c r="I2703" s="11">
        <v>4</v>
      </c>
      <c r="K2703" s="12"/>
      <c r="O2703" s="12"/>
      <c r="P2703" s="13">
        <v>133803</v>
      </c>
      <c r="Q2703" s="13">
        <v>134637</v>
      </c>
      <c r="S2703" s="13">
        <v>144425</v>
      </c>
      <c r="T2703" s="13">
        <v>0</v>
      </c>
      <c r="U2703" s="13">
        <v>144425</v>
      </c>
      <c r="Z2703" s="13">
        <v>142355</v>
      </c>
      <c r="AB2703" s="13">
        <v>142355</v>
      </c>
      <c r="AC2703" s="10" t="s">
        <v>6470</v>
      </c>
      <c r="AD2703" s="5" t="s">
        <v>6471</v>
      </c>
      <c r="AE2703" s="5" t="s">
        <v>6468</v>
      </c>
    </row>
    <row r="2704" spans="1:33" ht="10" customHeight="1" x14ac:dyDescent="0.2">
      <c r="A2704" s="5" t="s">
        <v>6457</v>
      </c>
      <c r="B2704" s="5" t="s">
        <v>41</v>
      </c>
      <c r="D2704" s="5" t="s">
        <v>6472</v>
      </c>
      <c r="E2704" s="10" t="s">
        <v>53</v>
      </c>
      <c r="F2704" s="5" t="s">
        <v>6473</v>
      </c>
      <c r="I2704" s="11">
        <v>4</v>
      </c>
      <c r="K2704" s="10" t="s">
        <v>46</v>
      </c>
      <c r="L2704" s="5" t="s">
        <v>47</v>
      </c>
      <c r="M2704" s="5" t="s">
        <v>115</v>
      </c>
      <c r="O2704" s="12"/>
      <c r="P2704" s="13">
        <v>26111</v>
      </c>
      <c r="Q2704" s="13">
        <v>33862</v>
      </c>
      <c r="S2704" s="13">
        <v>51809</v>
      </c>
      <c r="AC2704" s="10" t="s">
        <v>6474</v>
      </c>
      <c r="AD2704" s="5" t="s">
        <v>942</v>
      </c>
      <c r="AE2704" s="5" t="s">
        <v>6468</v>
      </c>
    </row>
    <row r="2705" spans="1:33" ht="10" customHeight="1" x14ac:dyDescent="0.2">
      <c r="A2705" s="5" t="s">
        <v>6457</v>
      </c>
      <c r="B2705" s="5" t="s">
        <v>41</v>
      </c>
      <c r="D2705" s="5" t="s">
        <v>6475</v>
      </c>
      <c r="E2705" s="10" t="s">
        <v>53</v>
      </c>
      <c r="F2705" s="5" t="s">
        <v>6473</v>
      </c>
      <c r="I2705" s="11">
        <v>4</v>
      </c>
      <c r="K2705" s="10" t="s">
        <v>46</v>
      </c>
      <c r="L2705" s="5" t="s">
        <v>47</v>
      </c>
      <c r="M2705" s="5" t="s">
        <v>115</v>
      </c>
      <c r="N2705" s="5" t="s">
        <v>116</v>
      </c>
      <c r="O2705" s="12"/>
      <c r="Q2705" s="13">
        <v>0</v>
      </c>
      <c r="S2705" s="13">
        <v>0</v>
      </c>
      <c r="T2705" s="13">
        <v>0</v>
      </c>
      <c r="U2705" s="13">
        <v>0</v>
      </c>
      <c r="AC2705" s="10" t="s">
        <v>6476</v>
      </c>
      <c r="AD2705" s="5" t="s">
        <v>1089</v>
      </c>
      <c r="AE2705" s="5" t="s">
        <v>6468</v>
      </c>
      <c r="AG2705" s="5" t="s">
        <v>6477</v>
      </c>
    </row>
    <row r="2706" spans="1:33" ht="10" customHeight="1" x14ac:dyDescent="0.2">
      <c r="A2706" s="5" t="s">
        <v>6457</v>
      </c>
      <c r="B2706" s="5" t="s">
        <v>41</v>
      </c>
      <c r="D2706" s="5" t="s">
        <v>6478</v>
      </c>
      <c r="E2706" s="10" t="s">
        <v>53</v>
      </c>
      <c r="F2706" s="5" t="s">
        <v>6473</v>
      </c>
      <c r="I2706" s="11">
        <v>4</v>
      </c>
      <c r="K2706" s="10" t="s">
        <v>46</v>
      </c>
      <c r="L2706" s="5" t="s">
        <v>47</v>
      </c>
      <c r="M2706" s="5" t="s">
        <v>115</v>
      </c>
      <c r="N2706" s="5" t="s">
        <v>116</v>
      </c>
      <c r="O2706" s="12"/>
      <c r="Q2706" s="13">
        <v>11092</v>
      </c>
      <c r="S2706" s="13">
        <v>9093</v>
      </c>
      <c r="T2706" s="13">
        <v>0</v>
      </c>
      <c r="U2706" s="13">
        <v>0</v>
      </c>
      <c r="AC2706" s="10" t="s">
        <v>6479</v>
      </c>
      <c r="AD2706" s="5" t="s">
        <v>1129</v>
      </c>
      <c r="AE2706" s="5" t="s">
        <v>6468</v>
      </c>
      <c r="AG2706" s="5" t="s">
        <v>6480</v>
      </c>
    </row>
    <row r="2707" spans="1:33" ht="10" customHeight="1" x14ac:dyDescent="0.2">
      <c r="A2707" s="5" t="s">
        <v>6457</v>
      </c>
      <c r="B2707" s="5" t="s">
        <v>41</v>
      </c>
      <c r="D2707" s="5" t="s">
        <v>6481</v>
      </c>
      <c r="E2707" s="10" t="s">
        <v>53</v>
      </c>
      <c r="F2707" s="5" t="s">
        <v>6473</v>
      </c>
      <c r="I2707" s="11">
        <v>4</v>
      </c>
      <c r="K2707" s="10" t="s">
        <v>46</v>
      </c>
      <c r="L2707" s="5" t="s">
        <v>47</v>
      </c>
      <c r="M2707" s="5" t="s">
        <v>115</v>
      </c>
      <c r="N2707" s="5" t="s">
        <v>116</v>
      </c>
      <c r="O2707" s="12"/>
      <c r="Q2707" s="13">
        <v>17326</v>
      </c>
      <c r="S2707" s="13">
        <v>4127</v>
      </c>
      <c r="T2707" s="13">
        <v>3704</v>
      </c>
      <c r="U2707" s="13">
        <v>0</v>
      </c>
      <c r="AC2707" s="10" t="s">
        <v>6482</v>
      </c>
      <c r="AD2707" s="5" t="s">
        <v>1166</v>
      </c>
      <c r="AE2707" s="5" t="s">
        <v>6468</v>
      </c>
      <c r="AG2707" s="5" t="s">
        <v>6483</v>
      </c>
    </row>
    <row r="2708" spans="1:33" ht="10" customHeight="1" x14ac:dyDescent="0.2">
      <c r="A2708" s="5" t="s">
        <v>6457</v>
      </c>
      <c r="B2708" s="5" t="s">
        <v>41</v>
      </c>
      <c r="D2708" s="5" t="s">
        <v>6484</v>
      </c>
      <c r="E2708" s="10" t="s">
        <v>53</v>
      </c>
      <c r="F2708" s="5" t="s">
        <v>6473</v>
      </c>
      <c r="I2708" s="11">
        <v>4</v>
      </c>
      <c r="K2708" s="10" t="s">
        <v>46</v>
      </c>
      <c r="L2708" s="5" t="s">
        <v>47</v>
      </c>
      <c r="M2708" s="5" t="s">
        <v>115</v>
      </c>
      <c r="N2708" s="5" t="s">
        <v>116</v>
      </c>
      <c r="O2708" s="12"/>
      <c r="Q2708" s="13">
        <v>17366</v>
      </c>
      <c r="S2708" s="13">
        <v>21419</v>
      </c>
      <c r="T2708" s="13">
        <v>10713</v>
      </c>
      <c r="U2708" s="13">
        <v>0</v>
      </c>
      <c r="AC2708" s="10" t="s">
        <v>6485</v>
      </c>
      <c r="AD2708" s="5" t="s">
        <v>1203</v>
      </c>
      <c r="AE2708" s="5" t="s">
        <v>6468</v>
      </c>
      <c r="AG2708" s="5" t="s">
        <v>6486</v>
      </c>
    </row>
    <row r="2709" spans="1:33" ht="10" customHeight="1" x14ac:dyDescent="0.2">
      <c r="A2709" s="5" t="s">
        <v>6457</v>
      </c>
      <c r="B2709" s="5" t="s">
        <v>41</v>
      </c>
      <c r="D2709" s="5" t="s">
        <v>6487</v>
      </c>
      <c r="E2709" s="10" t="s">
        <v>53</v>
      </c>
      <c r="F2709" s="5" t="s">
        <v>6473</v>
      </c>
      <c r="I2709" s="11">
        <v>4</v>
      </c>
      <c r="K2709" s="10" t="s">
        <v>46</v>
      </c>
      <c r="L2709" s="5" t="s">
        <v>47</v>
      </c>
      <c r="M2709" s="5" t="s">
        <v>115</v>
      </c>
      <c r="N2709" s="5" t="s">
        <v>116</v>
      </c>
      <c r="O2709" s="12"/>
      <c r="Q2709" s="13">
        <v>61908</v>
      </c>
      <c r="S2709" s="13">
        <v>66136</v>
      </c>
      <c r="T2709" s="13">
        <v>78199</v>
      </c>
      <c r="U2709" s="13">
        <v>0</v>
      </c>
      <c r="AC2709" s="10" t="s">
        <v>6488</v>
      </c>
      <c r="AD2709" s="5" t="s">
        <v>1239</v>
      </c>
      <c r="AE2709" s="5" t="s">
        <v>6468</v>
      </c>
      <c r="AG2709" s="5" t="s">
        <v>6489</v>
      </c>
    </row>
    <row r="2710" spans="1:33" ht="10" customHeight="1" x14ac:dyDescent="0.2">
      <c r="A2710" s="5" t="s">
        <v>6457</v>
      </c>
      <c r="B2710" s="5" t="s">
        <v>41</v>
      </c>
      <c r="C2710" s="5" t="s">
        <v>6490</v>
      </c>
      <c r="D2710" s="5" t="s">
        <v>6491</v>
      </c>
      <c r="E2710" s="10" t="s">
        <v>44</v>
      </c>
      <c r="I2710" s="11">
        <v>4</v>
      </c>
      <c r="K2710" s="10" t="s">
        <v>46</v>
      </c>
      <c r="L2710" s="5" t="s">
        <v>47</v>
      </c>
      <c r="M2710" s="5" t="s">
        <v>48</v>
      </c>
      <c r="N2710" s="5" t="s">
        <v>84</v>
      </c>
      <c r="O2710" s="12"/>
      <c r="P2710" s="13">
        <v>519272</v>
      </c>
      <c r="Q2710" s="13">
        <v>465824</v>
      </c>
      <c r="S2710" s="13">
        <v>498597</v>
      </c>
      <c r="T2710" s="13">
        <v>0</v>
      </c>
      <c r="U2710" s="13">
        <v>498597</v>
      </c>
      <c r="Z2710" s="13">
        <v>454161</v>
      </c>
      <c r="AB2710" s="13">
        <v>454161</v>
      </c>
      <c r="AC2710" s="10" t="s">
        <v>6492</v>
      </c>
      <c r="AD2710" s="5" t="s">
        <v>1286</v>
      </c>
      <c r="AE2710" s="5" t="s">
        <v>6490</v>
      </c>
      <c r="AF2710" s="5" t="s">
        <v>6493</v>
      </c>
    </row>
    <row r="2711" spans="1:33" ht="10" customHeight="1" x14ac:dyDescent="0.2">
      <c r="A2711" s="5" t="s">
        <v>6457</v>
      </c>
      <c r="B2711" s="5" t="s">
        <v>41</v>
      </c>
      <c r="D2711" s="5" t="s">
        <v>6494</v>
      </c>
      <c r="E2711" s="10" t="s">
        <v>53</v>
      </c>
      <c r="F2711" s="5" t="s">
        <v>6495</v>
      </c>
      <c r="I2711" s="11">
        <v>4</v>
      </c>
      <c r="K2711" s="10" t="s">
        <v>46</v>
      </c>
      <c r="L2711" s="5" t="s">
        <v>47</v>
      </c>
      <c r="M2711" s="5" t="s">
        <v>48</v>
      </c>
      <c r="N2711" s="5" t="s">
        <v>84</v>
      </c>
      <c r="O2711" s="12"/>
      <c r="P2711" s="13">
        <v>12313</v>
      </c>
      <c r="Q2711" s="13">
        <v>12559</v>
      </c>
      <c r="S2711" s="13">
        <v>12813</v>
      </c>
      <c r="AC2711" s="10" t="s">
        <v>6496</v>
      </c>
      <c r="AD2711" s="5" t="s">
        <v>1383</v>
      </c>
      <c r="AE2711" s="5" t="s">
        <v>6490</v>
      </c>
    </row>
    <row r="2712" spans="1:33" ht="10" customHeight="1" x14ac:dyDescent="0.2">
      <c r="A2712" s="5" t="s">
        <v>6457</v>
      </c>
      <c r="B2712" s="5" t="s">
        <v>41</v>
      </c>
      <c r="D2712" s="5" t="s">
        <v>6497</v>
      </c>
      <c r="E2712" s="10" t="s">
        <v>53</v>
      </c>
      <c r="F2712" s="5" t="s">
        <v>6495</v>
      </c>
      <c r="I2712" s="11">
        <v>4</v>
      </c>
      <c r="K2712" s="10" t="s">
        <v>46</v>
      </c>
      <c r="L2712" s="5" t="s">
        <v>47</v>
      </c>
      <c r="M2712" s="5" t="s">
        <v>48</v>
      </c>
      <c r="N2712" s="5" t="s">
        <v>4748</v>
      </c>
      <c r="O2712" s="12"/>
      <c r="P2712" s="13">
        <v>5250</v>
      </c>
      <c r="Q2712" s="13">
        <v>0</v>
      </c>
      <c r="S2712" s="13">
        <v>0</v>
      </c>
      <c r="AC2712" s="10" t="s">
        <v>6498</v>
      </c>
      <c r="AD2712" s="5" t="s">
        <v>1417</v>
      </c>
      <c r="AE2712" s="5" t="s">
        <v>6490</v>
      </c>
    </row>
    <row r="2713" spans="1:33" ht="10" customHeight="1" x14ac:dyDescent="0.2">
      <c r="A2713" s="5" t="s">
        <v>6457</v>
      </c>
      <c r="B2713" s="5" t="s">
        <v>41</v>
      </c>
      <c r="D2713" s="5" t="s">
        <v>6499</v>
      </c>
      <c r="E2713" s="10" t="s">
        <v>53</v>
      </c>
      <c r="F2713" s="5" t="s">
        <v>6495</v>
      </c>
      <c r="I2713" s="11">
        <v>4</v>
      </c>
      <c r="K2713" s="10" t="s">
        <v>46</v>
      </c>
      <c r="L2713" s="5" t="s">
        <v>47</v>
      </c>
      <c r="M2713" s="5" t="s">
        <v>48</v>
      </c>
      <c r="O2713" s="12"/>
      <c r="P2713" s="13">
        <v>24387</v>
      </c>
      <c r="Q2713" s="13">
        <v>22486</v>
      </c>
      <c r="S2713" s="13">
        <v>19193</v>
      </c>
      <c r="AC2713" s="10" t="s">
        <v>6500</v>
      </c>
      <c r="AD2713" s="5" t="s">
        <v>77</v>
      </c>
      <c r="AE2713" s="5" t="s">
        <v>6490</v>
      </c>
    </row>
    <row r="2714" spans="1:33" ht="10" customHeight="1" x14ac:dyDescent="0.2">
      <c r="A2714" s="5" t="s">
        <v>6457</v>
      </c>
      <c r="B2714" s="5" t="s">
        <v>41</v>
      </c>
      <c r="D2714" s="5" t="s">
        <v>6501</v>
      </c>
      <c r="E2714" s="10" t="s">
        <v>53</v>
      </c>
      <c r="F2714" s="5" t="s">
        <v>6495</v>
      </c>
      <c r="I2714" s="11">
        <v>4</v>
      </c>
      <c r="K2714" s="10" t="s">
        <v>46</v>
      </c>
      <c r="L2714" s="5" t="s">
        <v>47</v>
      </c>
      <c r="M2714" s="5" t="s">
        <v>48</v>
      </c>
      <c r="O2714" s="12"/>
      <c r="P2714" s="13">
        <v>4549</v>
      </c>
      <c r="Q2714" s="13">
        <v>7266</v>
      </c>
      <c r="S2714" s="13">
        <v>4732</v>
      </c>
      <c r="AC2714" s="10" t="s">
        <v>6502</v>
      </c>
      <c r="AD2714" s="5" t="s">
        <v>6150</v>
      </c>
      <c r="AE2714" s="5" t="s">
        <v>6490</v>
      </c>
    </row>
    <row r="2715" spans="1:33" ht="10" customHeight="1" x14ac:dyDescent="0.2">
      <c r="A2715" s="5" t="s">
        <v>6457</v>
      </c>
      <c r="B2715" s="5" t="s">
        <v>41</v>
      </c>
      <c r="D2715" s="5" t="s">
        <v>6503</v>
      </c>
      <c r="E2715" s="10" t="s">
        <v>53</v>
      </c>
      <c r="F2715" s="5" t="s">
        <v>6495</v>
      </c>
      <c r="I2715" s="11">
        <v>4</v>
      </c>
      <c r="K2715" s="10" t="s">
        <v>46</v>
      </c>
      <c r="L2715" s="5" t="s">
        <v>47</v>
      </c>
      <c r="M2715" s="5" t="s">
        <v>48</v>
      </c>
      <c r="N2715" s="5" t="s">
        <v>4748</v>
      </c>
      <c r="O2715" s="12"/>
      <c r="P2715" s="13">
        <v>20453</v>
      </c>
      <c r="Q2715" s="13">
        <v>41245</v>
      </c>
      <c r="S2715" s="13">
        <v>42070</v>
      </c>
      <c r="AC2715" s="10" t="s">
        <v>6504</v>
      </c>
      <c r="AD2715" s="5" t="s">
        <v>1466</v>
      </c>
      <c r="AE2715" s="5" t="s">
        <v>6490</v>
      </c>
    </row>
    <row r="2716" spans="1:33" ht="10" customHeight="1" x14ac:dyDescent="0.2">
      <c r="A2716" s="5" t="s">
        <v>6457</v>
      </c>
      <c r="B2716" s="5" t="s">
        <v>41</v>
      </c>
      <c r="D2716" s="5" t="s">
        <v>6505</v>
      </c>
      <c r="E2716" s="10" t="s">
        <v>53</v>
      </c>
      <c r="F2716" s="5" t="s">
        <v>6495</v>
      </c>
      <c r="I2716" s="11">
        <v>4</v>
      </c>
      <c r="K2716" s="10" t="s">
        <v>46</v>
      </c>
      <c r="L2716" s="5" t="s">
        <v>47</v>
      </c>
      <c r="M2716" s="5" t="s">
        <v>48</v>
      </c>
      <c r="N2716" s="5" t="s">
        <v>84</v>
      </c>
      <c r="O2716" s="12"/>
      <c r="P2716" s="13">
        <v>67683</v>
      </c>
      <c r="Q2716" s="13">
        <v>22124</v>
      </c>
      <c r="S2716" s="13">
        <v>71424</v>
      </c>
      <c r="AC2716" s="10" t="s">
        <v>6506</v>
      </c>
      <c r="AD2716" s="5" t="s">
        <v>1578</v>
      </c>
      <c r="AE2716" s="5" t="s">
        <v>6490</v>
      </c>
    </row>
    <row r="2717" spans="1:33" ht="10" customHeight="1" x14ac:dyDescent="0.2">
      <c r="A2717" s="5" t="s">
        <v>6457</v>
      </c>
      <c r="B2717" s="5" t="s">
        <v>41</v>
      </c>
      <c r="D2717" s="5" t="s">
        <v>6507</v>
      </c>
      <c r="E2717" s="10" t="s">
        <v>53</v>
      </c>
      <c r="F2717" s="5" t="s">
        <v>6495</v>
      </c>
      <c r="I2717" s="11">
        <v>4</v>
      </c>
      <c r="K2717" s="10" t="s">
        <v>46</v>
      </c>
      <c r="L2717" s="5" t="s">
        <v>47</v>
      </c>
      <c r="M2717" s="5" t="s">
        <v>48</v>
      </c>
      <c r="N2717" s="5" t="s">
        <v>84</v>
      </c>
      <c r="O2717" s="12"/>
      <c r="P2717" s="13">
        <v>26767</v>
      </c>
      <c r="Q2717" s="13">
        <v>2592</v>
      </c>
      <c r="S2717" s="13">
        <v>0</v>
      </c>
      <c r="AC2717" s="10" t="s">
        <v>6508</v>
      </c>
      <c r="AD2717" s="5" t="s">
        <v>1649</v>
      </c>
      <c r="AE2717" s="5" t="s">
        <v>6490</v>
      </c>
    </row>
    <row r="2718" spans="1:33" ht="10" customHeight="1" x14ac:dyDescent="0.2">
      <c r="A2718" s="5" t="s">
        <v>6457</v>
      </c>
      <c r="B2718" s="5" t="s">
        <v>41</v>
      </c>
      <c r="D2718" s="5" t="s">
        <v>6509</v>
      </c>
      <c r="E2718" s="10" t="s">
        <v>53</v>
      </c>
      <c r="F2718" s="5" t="s">
        <v>6495</v>
      </c>
      <c r="I2718" s="11">
        <v>4</v>
      </c>
      <c r="K2718" s="10" t="s">
        <v>46</v>
      </c>
      <c r="L2718" s="5" t="s">
        <v>47</v>
      </c>
      <c r="M2718" s="5" t="s">
        <v>48</v>
      </c>
      <c r="N2718" s="5" t="s">
        <v>84</v>
      </c>
      <c r="O2718" s="12"/>
      <c r="P2718" s="13">
        <v>13826</v>
      </c>
      <c r="Q2718" s="13">
        <v>3845</v>
      </c>
      <c r="S2718" s="13">
        <v>0</v>
      </c>
      <c r="AC2718" s="10" t="s">
        <v>6510</v>
      </c>
      <c r="AD2718" s="5" t="s">
        <v>1686</v>
      </c>
      <c r="AE2718" s="5" t="s">
        <v>6490</v>
      </c>
    </row>
    <row r="2719" spans="1:33" ht="10" customHeight="1" x14ac:dyDescent="0.2">
      <c r="A2719" s="5" t="s">
        <v>6457</v>
      </c>
      <c r="B2719" s="5" t="s">
        <v>41</v>
      </c>
      <c r="D2719" s="5" t="s">
        <v>6511</v>
      </c>
      <c r="E2719" s="10" t="s">
        <v>53</v>
      </c>
      <c r="F2719" s="5" t="s">
        <v>6495</v>
      </c>
      <c r="I2719" s="11">
        <v>4</v>
      </c>
      <c r="K2719" s="10" t="s">
        <v>46</v>
      </c>
      <c r="L2719" s="5" t="s">
        <v>47</v>
      </c>
      <c r="M2719" s="5" t="s">
        <v>48</v>
      </c>
      <c r="N2719" s="5" t="s">
        <v>84</v>
      </c>
      <c r="O2719" s="12"/>
      <c r="P2719" s="13">
        <v>60338</v>
      </c>
      <c r="Q2719" s="13">
        <v>75975</v>
      </c>
      <c r="S2719" s="13">
        <v>69171</v>
      </c>
      <c r="AC2719" s="10" t="s">
        <v>6512</v>
      </c>
      <c r="AD2719" s="5" t="s">
        <v>1722</v>
      </c>
      <c r="AE2719" s="5" t="s">
        <v>6490</v>
      </c>
    </row>
    <row r="2720" spans="1:33" ht="10" customHeight="1" x14ac:dyDescent="0.2">
      <c r="A2720" s="5" t="s">
        <v>6457</v>
      </c>
      <c r="B2720" s="5" t="s">
        <v>41</v>
      </c>
      <c r="D2720" s="5" t="s">
        <v>6513</v>
      </c>
      <c r="E2720" s="10" t="s">
        <v>53</v>
      </c>
      <c r="F2720" s="5" t="s">
        <v>6495</v>
      </c>
      <c r="I2720" s="11">
        <v>4</v>
      </c>
      <c r="K2720" s="10" t="s">
        <v>46</v>
      </c>
      <c r="L2720" s="5" t="s">
        <v>47</v>
      </c>
      <c r="M2720" s="5" t="s">
        <v>48</v>
      </c>
      <c r="N2720" s="5" t="s">
        <v>4748</v>
      </c>
      <c r="O2720" s="12"/>
      <c r="P2720" s="13">
        <v>22872</v>
      </c>
      <c r="Q2720" s="13">
        <v>35389</v>
      </c>
      <c r="S2720" s="13">
        <v>46823</v>
      </c>
      <c r="AC2720" s="10" t="s">
        <v>6514</v>
      </c>
      <c r="AD2720" s="5" t="s">
        <v>1769</v>
      </c>
      <c r="AE2720" s="5" t="s">
        <v>6490</v>
      </c>
    </row>
    <row r="2721" spans="1:32" ht="10" customHeight="1" x14ac:dyDescent="0.2">
      <c r="A2721" s="5" t="s">
        <v>6457</v>
      </c>
      <c r="B2721" s="5" t="s">
        <v>41</v>
      </c>
      <c r="D2721" s="5" t="s">
        <v>6515</v>
      </c>
      <c r="E2721" s="10" t="s">
        <v>53</v>
      </c>
      <c r="F2721" s="5" t="s">
        <v>6495</v>
      </c>
      <c r="I2721" s="11">
        <v>4</v>
      </c>
      <c r="K2721" s="10" t="s">
        <v>46</v>
      </c>
      <c r="L2721" s="5" t="s">
        <v>47</v>
      </c>
      <c r="M2721" s="5" t="s">
        <v>48</v>
      </c>
      <c r="N2721" s="5" t="s">
        <v>84</v>
      </c>
      <c r="O2721" s="12"/>
      <c r="P2721" s="13">
        <v>8419</v>
      </c>
      <c r="Q2721" s="13">
        <v>7896</v>
      </c>
      <c r="S2721" s="13">
        <v>10296</v>
      </c>
      <c r="AC2721" s="10" t="s">
        <v>6516</v>
      </c>
      <c r="AD2721" s="5" t="s">
        <v>5133</v>
      </c>
      <c r="AE2721" s="5" t="s">
        <v>6490</v>
      </c>
    </row>
    <row r="2722" spans="1:32" ht="10" customHeight="1" x14ac:dyDescent="0.2">
      <c r="A2722" s="5" t="s">
        <v>6457</v>
      </c>
      <c r="B2722" s="5" t="s">
        <v>41</v>
      </c>
      <c r="C2722" s="5" t="s">
        <v>6517</v>
      </c>
      <c r="D2722" s="5" t="s">
        <v>6518</v>
      </c>
      <c r="E2722" s="10" t="s">
        <v>345</v>
      </c>
      <c r="F2722" s="5" t="s">
        <v>6519</v>
      </c>
      <c r="I2722" s="11">
        <v>4</v>
      </c>
      <c r="K2722" s="12"/>
      <c r="O2722" s="12"/>
      <c r="P2722" s="13">
        <v>23436</v>
      </c>
      <c r="Q2722" s="13">
        <v>14247</v>
      </c>
      <c r="S2722" s="13">
        <v>0</v>
      </c>
      <c r="T2722" s="13">
        <v>0</v>
      </c>
      <c r="U2722" s="13">
        <v>0</v>
      </c>
      <c r="AC2722" s="10" t="s">
        <v>6520</v>
      </c>
      <c r="AD2722" s="5" t="s">
        <v>1816</v>
      </c>
      <c r="AE2722" s="5" t="s">
        <v>6517</v>
      </c>
    </row>
    <row r="2723" spans="1:32" ht="10" customHeight="1" x14ac:dyDescent="0.2">
      <c r="A2723" s="5" t="s">
        <v>6457</v>
      </c>
      <c r="B2723" s="5" t="s">
        <v>41</v>
      </c>
      <c r="C2723" s="5" t="s">
        <v>6521</v>
      </c>
      <c r="D2723" s="5" t="s">
        <v>6522</v>
      </c>
      <c r="E2723" s="12"/>
      <c r="I2723" s="11">
        <v>4</v>
      </c>
      <c r="K2723" s="10" t="s">
        <v>46</v>
      </c>
      <c r="L2723" s="5" t="s">
        <v>47</v>
      </c>
      <c r="M2723" s="5" t="s">
        <v>48</v>
      </c>
      <c r="N2723" s="5" t="s">
        <v>84</v>
      </c>
      <c r="O2723" s="12"/>
      <c r="P2723" s="13">
        <v>41695</v>
      </c>
      <c r="Q2723" s="13">
        <v>51514</v>
      </c>
      <c r="S2723" s="13">
        <v>56482</v>
      </c>
      <c r="T2723" s="13">
        <v>0</v>
      </c>
      <c r="U2723" s="13">
        <v>56482</v>
      </c>
      <c r="Z2723" s="13">
        <v>68881</v>
      </c>
      <c r="AB2723" s="13">
        <v>68881</v>
      </c>
      <c r="AC2723" s="10" t="s">
        <v>6523</v>
      </c>
      <c r="AD2723" s="5" t="s">
        <v>1912</v>
      </c>
      <c r="AE2723" s="5" t="s">
        <v>6521</v>
      </c>
    </row>
    <row r="2724" spans="1:32" ht="10" customHeight="1" x14ac:dyDescent="0.2">
      <c r="A2724" s="5" t="s">
        <v>6457</v>
      </c>
      <c r="B2724" s="5" t="s">
        <v>41</v>
      </c>
      <c r="C2724" s="5" t="s">
        <v>6524</v>
      </c>
      <c r="D2724" s="5" t="s">
        <v>6525</v>
      </c>
      <c r="E2724" s="12"/>
      <c r="I2724" s="11">
        <v>4</v>
      </c>
      <c r="K2724" s="10" t="s">
        <v>46</v>
      </c>
      <c r="L2724" s="5" t="s">
        <v>47</v>
      </c>
      <c r="M2724" s="5" t="s">
        <v>115</v>
      </c>
      <c r="N2724" s="5" t="s">
        <v>116</v>
      </c>
      <c r="O2724" s="12"/>
      <c r="P2724" s="13">
        <v>14550</v>
      </c>
      <c r="Q2724" s="13">
        <v>9647</v>
      </c>
      <c r="S2724" s="13">
        <v>14915</v>
      </c>
      <c r="T2724" s="13">
        <v>0</v>
      </c>
      <c r="U2724" s="13">
        <v>14915</v>
      </c>
      <c r="Z2724" s="13">
        <v>14857</v>
      </c>
      <c r="AB2724" s="13">
        <v>14857</v>
      </c>
      <c r="AC2724" s="10" t="s">
        <v>6526</v>
      </c>
      <c r="AD2724" s="5" t="s">
        <v>4802</v>
      </c>
      <c r="AE2724" s="5" t="s">
        <v>6524</v>
      </c>
    </row>
    <row r="2725" spans="1:32" ht="10" customHeight="1" x14ac:dyDescent="0.2">
      <c r="A2725" s="5" t="s">
        <v>6457</v>
      </c>
      <c r="B2725" s="5" t="s">
        <v>41</v>
      </c>
      <c r="C2725" s="5" t="s">
        <v>6527</v>
      </c>
      <c r="D2725" s="5" t="s">
        <v>6528</v>
      </c>
      <c r="E2725" s="12"/>
      <c r="I2725" s="11">
        <v>4</v>
      </c>
      <c r="K2725" s="12"/>
      <c r="O2725" s="12"/>
      <c r="P2725" s="13">
        <v>536796</v>
      </c>
      <c r="Q2725" s="13">
        <v>405854</v>
      </c>
      <c r="S2725" s="13">
        <v>352312</v>
      </c>
      <c r="T2725" s="13">
        <v>11000</v>
      </c>
      <c r="U2725" s="13">
        <v>363312</v>
      </c>
      <c r="W2725" s="13">
        <v>11000</v>
      </c>
      <c r="X2725" s="13">
        <v>352312</v>
      </c>
      <c r="Y2725" s="13">
        <v>363312</v>
      </c>
      <c r="Z2725" s="13">
        <v>490548</v>
      </c>
      <c r="AB2725" s="13">
        <v>490548</v>
      </c>
      <c r="AC2725" s="10" t="s">
        <v>6529</v>
      </c>
      <c r="AD2725" s="5" t="s">
        <v>2302</v>
      </c>
      <c r="AE2725" s="5" t="s">
        <v>6527</v>
      </c>
      <c r="AF2725" s="5" t="s">
        <v>6530</v>
      </c>
    </row>
    <row r="2726" spans="1:32" ht="10" customHeight="1" x14ac:dyDescent="0.2">
      <c r="A2726" s="5" t="s">
        <v>6457</v>
      </c>
      <c r="B2726" s="5" t="s">
        <v>41</v>
      </c>
      <c r="C2726" s="5" t="s">
        <v>6531</v>
      </c>
      <c r="D2726" s="5" t="s">
        <v>6532</v>
      </c>
      <c r="E2726" s="10" t="s">
        <v>44</v>
      </c>
      <c r="I2726" s="11">
        <v>4</v>
      </c>
      <c r="K2726" s="10" t="s">
        <v>186</v>
      </c>
      <c r="L2726" s="5" t="s">
        <v>47</v>
      </c>
      <c r="M2726" s="5" t="s">
        <v>210</v>
      </c>
      <c r="N2726" s="5" t="s">
        <v>211</v>
      </c>
      <c r="O2726" s="12"/>
      <c r="P2726" s="13">
        <v>33887</v>
      </c>
      <c r="Q2726" s="13">
        <v>45975</v>
      </c>
      <c r="S2726" s="13">
        <v>31169</v>
      </c>
      <c r="T2726" s="13">
        <v>0</v>
      </c>
      <c r="U2726" s="13">
        <v>31169</v>
      </c>
      <c r="Z2726" s="13">
        <v>72190</v>
      </c>
      <c r="AB2726" s="13">
        <v>72190</v>
      </c>
      <c r="AC2726" s="10" t="s">
        <v>6533</v>
      </c>
      <c r="AD2726" s="5" t="s">
        <v>2346</v>
      </c>
      <c r="AE2726" s="5" t="s">
        <v>6531</v>
      </c>
      <c r="AF2726" s="5" t="s">
        <v>6532</v>
      </c>
    </row>
    <row r="2727" spans="1:32" ht="10" customHeight="1" x14ac:dyDescent="0.2">
      <c r="A2727" s="5" t="s">
        <v>6457</v>
      </c>
      <c r="B2727" s="5" t="s">
        <v>41</v>
      </c>
      <c r="D2727" s="5" t="s">
        <v>6534</v>
      </c>
      <c r="E2727" s="10" t="s">
        <v>53</v>
      </c>
      <c r="F2727" s="5" t="s">
        <v>6535</v>
      </c>
      <c r="I2727" s="11">
        <v>4</v>
      </c>
      <c r="K2727" s="10" t="s">
        <v>186</v>
      </c>
      <c r="L2727" s="5" t="s">
        <v>47</v>
      </c>
      <c r="M2727" s="5" t="s">
        <v>210</v>
      </c>
      <c r="N2727" s="5" t="s">
        <v>211</v>
      </c>
      <c r="O2727" s="12"/>
      <c r="P2727" s="13">
        <v>15712</v>
      </c>
      <c r="Q2727" s="13">
        <v>17262</v>
      </c>
      <c r="S2727" s="13">
        <v>12516</v>
      </c>
      <c r="AC2727" s="10" t="s">
        <v>6536</v>
      </c>
      <c r="AD2727" s="5" t="s">
        <v>2392</v>
      </c>
      <c r="AE2727" s="5" t="s">
        <v>6531</v>
      </c>
    </row>
    <row r="2728" spans="1:32" ht="10" customHeight="1" x14ac:dyDescent="0.2">
      <c r="A2728" s="5" t="s">
        <v>6457</v>
      </c>
      <c r="B2728" s="5" t="s">
        <v>41</v>
      </c>
      <c r="D2728" s="5" t="s">
        <v>6537</v>
      </c>
      <c r="E2728" s="10" t="s">
        <v>53</v>
      </c>
      <c r="F2728" s="5" t="s">
        <v>6535</v>
      </c>
      <c r="I2728" s="11">
        <v>4</v>
      </c>
      <c r="K2728" s="10" t="s">
        <v>186</v>
      </c>
      <c r="L2728" s="5" t="s">
        <v>47</v>
      </c>
      <c r="M2728" s="5" t="s">
        <v>210</v>
      </c>
      <c r="N2728" s="5" t="s">
        <v>211</v>
      </c>
      <c r="O2728" s="12"/>
      <c r="P2728" s="13">
        <v>2000</v>
      </c>
      <c r="Q2728" s="13">
        <v>2085</v>
      </c>
      <c r="S2728" s="13">
        <v>2092</v>
      </c>
      <c r="AC2728" s="10" t="s">
        <v>6538</v>
      </c>
      <c r="AD2728" s="5" t="s">
        <v>2436</v>
      </c>
      <c r="AE2728" s="5" t="s">
        <v>6531</v>
      </c>
    </row>
    <row r="2729" spans="1:32" ht="10" customHeight="1" x14ac:dyDescent="0.2">
      <c r="A2729" s="5" t="s">
        <v>6457</v>
      </c>
      <c r="B2729" s="5" t="s">
        <v>41</v>
      </c>
      <c r="D2729" s="5" t="s">
        <v>6539</v>
      </c>
      <c r="E2729" s="10" t="s">
        <v>53</v>
      </c>
      <c r="F2729" s="5" t="s">
        <v>6535</v>
      </c>
      <c r="I2729" s="11">
        <v>4</v>
      </c>
      <c r="K2729" s="10" t="s">
        <v>186</v>
      </c>
      <c r="L2729" s="5" t="s">
        <v>47</v>
      </c>
      <c r="M2729" s="5" t="s">
        <v>210</v>
      </c>
      <c r="N2729" s="5" t="s">
        <v>211</v>
      </c>
      <c r="O2729" s="12"/>
      <c r="P2729" s="13">
        <v>9107</v>
      </c>
      <c r="Q2729" s="13">
        <v>21963</v>
      </c>
      <c r="S2729" s="13">
        <v>0</v>
      </c>
      <c r="AC2729" s="10" t="s">
        <v>6540</v>
      </c>
      <c r="AD2729" s="5" t="s">
        <v>6541</v>
      </c>
      <c r="AE2729" s="5" t="s">
        <v>6531</v>
      </c>
    </row>
    <row r="2730" spans="1:32" ht="10" customHeight="1" x14ac:dyDescent="0.2">
      <c r="A2730" s="5" t="s">
        <v>6457</v>
      </c>
      <c r="B2730" s="5" t="s">
        <v>41</v>
      </c>
      <c r="C2730" s="5" t="s">
        <v>6542</v>
      </c>
      <c r="D2730" s="5" t="s">
        <v>6543</v>
      </c>
      <c r="E2730" s="10" t="s">
        <v>44</v>
      </c>
      <c r="I2730" s="11">
        <v>4</v>
      </c>
      <c r="K2730" s="12"/>
      <c r="O2730" s="12"/>
      <c r="P2730" s="13">
        <v>325996</v>
      </c>
      <c r="Q2730" s="13">
        <v>182011</v>
      </c>
      <c r="S2730" s="13">
        <v>461380</v>
      </c>
      <c r="T2730" s="13">
        <v>0</v>
      </c>
      <c r="U2730" s="13">
        <v>461380</v>
      </c>
      <c r="Z2730" s="13">
        <v>653483</v>
      </c>
      <c r="AB2730" s="13">
        <v>653483</v>
      </c>
      <c r="AC2730" s="10" t="s">
        <v>6544</v>
      </c>
      <c r="AD2730" s="5" t="s">
        <v>6545</v>
      </c>
      <c r="AE2730" s="5" t="s">
        <v>6542</v>
      </c>
    </row>
    <row r="2731" spans="1:32" ht="10" customHeight="1" x14ac:dyDescent="0.2">
      <c r="A2731" s="5" t="s">
        <v>6457</v>
      </c>
      <c r="B2731" s="5" t="s">
        <v>41</v>
      </c>
      <c r="D2731" s="5" t="s">
        <v>6546</v>
      </c>
      <c r="E2731" s="10" t="s">
        <v>53</v>
      </c>
      <c r="F2731" s="5" t="s">
        <v>6547</v>
      </c>
      <c r="I2731" s="11">
        <v>4</v>
      </c>
      <c r="K2731" s="12"/>
      <c r="O2731" s="12"/>
      <c r="P2731" s="13">
        <v>191</v>
      </c>
      <c r="Q2731" s="13">
        <v>588</v>
      </c>
      <c r="S2731" s="13">
        <v>928</v>
      </c>
      <c r="AC2731" s="10" t="s">
        <v>6548</v>
      </c>
      <c r="AD2731" s="5" t="s">
        <v>2708</v>
      </c>
      <c r="AE2731" s="5" t="s">
        <v>6542</v>
      </c>
    </row>
    <row r="2732" spans="1:32" ht="10" customHeight="1" x14ac:dyDescent="0.2">
      <c r="A2732" s="5" t="s">
        <v>6457</v>
      </c>
      <c r="B2732" s="5" t="s">
        <v>41</v>
      </c>
      <c r="D2732" s="5" t="s">
        <v>6549</v>
      </c>
      <c r="E2732" s="10" t="s">
        <v>53</v>
      </c>
      <c r="F2732" s="5" t="s">
        <v>6547</v>
      </c>
      <c r="I2732" s="11">
        <v>4</v>
      </c>
      <c r="K2732" s="12"/>
      <c r="O2732" s="12"/>
      <c r="P2732" s="13">
        <v>3230</v>
      </c>
      <c r="Q2732" s="13">
        <v>4320</v>
      </c>
      <c r="S2732" s="13">
        <v>13051</v>
      </c>
      <c r="AC2732" s="10" t="s">
        <v>6550</v>
      </c>
      <c r="AD2732" s="5" t="s">
        <v>2736</v>
      </c>
      <c r="AE2732" s="5" t="s">
        <v>6542</v>
      </c>
    </row>
    <row r="2733" spans="1:32" ht="10" customHeight="1" x14ac:dyDescent="0.2">
      <c r="A2733" s="5" t="s">
        <v>6457</v>
      </c>
      <c r="B2733" s="5" t="s">
        <v>41</v>
      </c>
      <c r="D2733" s="5" t="s">
        <v>6551</v>
      </c>
      <c r="E2733" s="10" t="s">
        <v>53</v>
      </c>
      <c r="F2733" s="5" t="s">
        <v>6547</v>
      </c>
      <c r="I2733" s="11">
        <v>4</v>
      </c>
      <c r="K2733" s="12"/>
      <c r="O2733" s="12"/>
      <c r="P2733" s="13">
        <v>21439</v>
      </c>
      <c r="Q2733" s="13">
        <v>22576</v>
      </c>
      <c r="S2733" s="13">
        <v>64386</v>
      </c>
      <c r="AC2733" s="10" t="s">
        <v>6552</v>
      </c>
      <c r="AD2733" s="5" t="s">
        <v>2767</v>
      </c>
      <c r="AE2733" s="5" t="s">
        <v>6542</v>
      </c>
    </row>
    <row r="2734" spans="1:32" ht="10" customHeight="1" x14ac:dyDescent="0.2">
      <c r="A2734" s="5" t="s">
        <v>6457</v>
      </c>
      <c r="B2734" s="5" t="s">
        <v>41</v>
      </c>
      <c r="D2734" s="5" t="s">
        <v>6553</v>
      </c>
      <c r="E2734" s="10" t="s">
        <v>53</v>
      </c>
      <c r="F2734" s="5" t="s">
        <v>6547</v>
      </c>
      <c r="I2734" s="11">
        <v>4</v>
      </c>
      <c r="K2734" s="12"/>
      <c r="O2734" s="12"/>
      <c r="P2734" s="13">
        <v>247393</v>
      </c>
      <c r="Q2734" s="13">
        <v>77570</v>
      </c>
      <c r="S2734" s="13">
        <v>165894</v>
      </c>
      <c r="AC2734" s="10" t="s">
        <v>6554</v>
      </c>
      <c r="AD2734" s="5" t="s">
        <v>6555</v>
      </c>
      <c r="AE2734" s="5" t="s">
        <v>6542</v>
      </c>
      <c r="AF2734" s="5" t="s">
        <v>6556</v>
      </c>
    </row>
    <row r="2735" spans="1:32" ht="10" customHeight="1" x14ac:dyDescent="0.2">
      <c r="A2735" s="5" t="s">
        <v>6457</v>
      </c>
      <c r="B2735" s="5" t="s">
        <v>41</v>
      </c>
      <c r="D2735" s="5" t="s">
        <v>6557</v>
      </c>
      <c r="E2735" s="10" t="s">
        <v>53</v>
      </c>
      <c r="F2735" s="5" t="s">
        <v>6547</v>
      </c>
      <c r="I2735" s="11">
        <v>4</v>
      </c>
      <c r="K2735" s="10" t="s">
        <v>46</v>
      </c>
      <c r="L2735" s="5" t="s">
        <v>47</v>
      </c>
      <c r="M2735" s="5" t="s">
        <v>115</v>
      </c>
      <c r="O2735" s="12"/>
      <c r="P2735" s="13">
        <v>0</v>
      </c>
      <c r="Q2735" s="13">
        <v>0</v>
      </c>
      <c r="S2735" s="13">
        <v>44552</v>
      </c>
      <c r="AC2735" s="10" t="s">
        <v>6558</v>
      </c>
      <c r="AD2735" s="5" t="s">
        <v>2948</v>
      </c>
      <c r="AE2735" s="5" t="s">
        <v>6542</v>
      </c>
      <c r="AF2735" s="5" t="s">
        <v>6556</v>
      </c>
    </row>
    <row r="2736" spans="1:32" ht="10" customHeight="1" x14ac:dyDescent="0.2">
      <c r="A2736" s="5" t="s">
        <v>6457</v>
      </c>
      <c r="B2736" s="5" t="s">
        <v>41</v>
      </c>
      <c r="C2736" s="5" t="s">
        <v>6559</v>
      </c>
      <c r="D2736" s="5" t="s">
        <v>6560</v>
      </c>
      <c r="E2736" s="10" t="s">
        <v>44</v>
      </c>
      <c r="I2736" s="11">
        <v>4</v>
      </c>
      <c r="K2736" s="12"/>
      <c r="O2736" s="12"/>
      <c r="P2736" s="13">
        <v>367452</v>
      </c>
      <c r="Q2736" s="13">
        <v>362099</v>
      </c>
      <c r="S2736" s="13">
        <v>379908</v>
      </c>
      <c r="T2736" s="13">
        <v>0</v>
      </c>
      <c r="U2736" s="13">
        <v>379908</v>
      </c>
      <c r="Z2736" s="13">
        <v>701667</v>
      </c>
      <c r="AB2736" s="13">
        <v>701667</v>
      </c>
      <c r="AC2736" s="10" t="s">
        <v>6561</v>
      </c>
      <c r="AD2736" s="5" t="s">
        <v>2997</v>
      </c>
      <c r="AE2736" s="5" t="s">
        <v>6559</v>
      </c>
      <c r="AF2736" s="5" t="s">
        <v>6560</v>
      </c>
    </row>
    <row r="2737" spans="1:32" ht="10" customHeight="1" x14ac:dyDescent="0.2">
      <c r="A2737" s="5" t="s">
        <v>6457</v>
      </c>
      <c r="B2737" s="5" t="s">
        <v>41</v>
      </c>
      <c r="D2737" s="5" t="s">
        <v>6562</v>
      </c>
      <c r="E2737" s="10" t="s">
        <v>53</v>
      </c>
      <c r="F2737" s="5" t="s">
        <v>6563</v>
      </c>
      <c r="I2737" s="11">
        <v>4</v>
      </c>
      <c r="K2737" s="12"/>
      <c r="O2737" s="12"/>
      <c r="P2737" s="13">
        <v>143451</v>
      </c>
      <c r="Q2737" s="13">
        <v>72055</v>
      </c>
      <c r="S2737" s="13">
        <v>61161</v>
      </c>
      <c r="AC2737" s="10" t="s">
        <v>6564</v>
      </c>
      <c r="AD2737" s="5" t="s">
        <v>6565</v>
      </c>
      <c r="AE2737" s="5" t="s">
        <v>6559</v>
      </c>
    </row>
    <row r="2738" spans="1:32" ht="10" customHeight="1" x14ac:dyDescent="0.2">
      <c r="A2738" s="5" t="s">
        <v>6457</v>
      </c>
      <c r="B2738" s="5" t="s">
        <v>41</v>
      </c>
      <c r="D2738" s="5" t="s">
        <v>6566</v>
      </c>
      <c r="E2738" s="10" t="s">
        <v>53</v>
      </c>
      <c r="F2738" s="5" t="s">
        <v>6563</v>
      </c>
      <c r="I2738" s="11">
        <v>4</v>
      </c>
      <c r="K2738" s="12"/>
      <c r="O2738" s="12"/>
      <c r="P2738" s="13">
        <v>12109</v>
      </c>
      <c r="Q2738" s="13">
        <v>8831</v>
      </c>
      <c r="S2738" s="13">
        <v>9918</v>
      </c>
      <c r="AC2738" s="10" t="s">
        <v>6567</v>
      </c>
      <c r="AD2738" s="5" t="s">
        <v>6568</v>
      </c>
      <c r="AE2738" s="5" t="s">
        <v>6559</v>
      </c>
      <c r="AF2738" s="5" t="s">
        <v>6569</v>
      </c>
    </row>
    <row r="2739" spans="1:32" ht="10" customHeight="1" x14ac:dyDescent="0.2">
      <c r="A2739" s="5" t="s">
        <v>6457</v>
      </c>
      <c r="B2739" s="5" t="s">
        <v>41</v>
      </c>
      <c r="D2739" s="5" t="s">
        <v>6570</v>
      </c>
      <c r="E2739" s="10" t="s">
        <v>53</v>
      </c>
      <c r="F2739" s="5" t="s">
        <v>6563</v>
      </c>
      <c r="I2739" s="11">
        <v>4</v>
      </c>
      <c r="K2739" s="12"/>
      <c r="O2739" s="12"/>
      <c r="P2739" s="13">
        <v>0</v>
      </c>
      <c r="Q2739" s="13">
        <v>159913</v>
      </c>
      <c r="S2739" s="13">
        <v>164055</v>
      </c>
      <c r="AC2739" s="10" t="s">
        <v>6571</v>
      </c>
      <c r="AD2739" s="5" t="s">
        <v>3360</v>
      </c>
      <c r="AE2739" s="5" t="s">
        <v>6559</v>
      </c>
      <c r="AF2739" s="5" t="s">
        <v>1486</v>
      </c>
    </row>
    <row r="2740" spans="1:32" ht="10" customHeight="1" x14ac:dyDescent="0.2">
      <c r="A2740" s="5" t="s">
        <v>6457</v>
      </c>
      <c r="B2740" s="5" t="s">
        <v>41</v>
      </c>
      <c r="D2740" s="5" t="s">
        <v>6572</v>
      </c>
      <c r="E2740" s="10" t="s">
        <v>53</v>
      </c>
      <c r="F2740" s="5" t="s">
        <v>6563</v>
      </c>
      <c r="I2740" s="11">
        <v>4</v>
      </c>
      <c r="K2740" s="12"/>
      <c r="O2740" s="12"/>
      <c r="AC2740" s="10" t="s">
        <v>6573</v>
      </c>
      <c r="AD2740" s="5" t="s">
        <v>3009</v>
      </c>
      <c r="AE2740" s="5" t="s">
        <v>6559</v>
      </c>
    </row>
    <row r="2741" spans="1:32" ht="10" customHeight="1" x14ac:dyDescent="0.2">
      <c r="A2741" s="5" t="s">
        <v>6457</v>
      </c>
      <c r="B2741" s="5" t="s">
        <v>41</v>
      </c>
      <c r="C2741" s="5" t="s">
        <v>6574</v>
      </c>
      <c r="D2741" s="5" t="s">
        <v>6575</v>
      </c>
      <c r="E2741" s="12"/>
      <c r="I2741" s="11">
        <v>4</v>
      </c>
      <c r="K2741" s="12"/>
      <c r="O2741" s="12"/>
      <c r="P2741" s="13">
        <v>4079</v>
      </c>
      <c r="Q2741" s="13">
        <v>4680</v>
      </c>
      <c r="S2741" s="13">
        <v>13008</v>
      </c>
      <c r="T2741" s="13">
        <v>0</v>
      </c>
      <c r="U2741" s="13">
        <v>13008</v>
      </c>
      <c r="Z2741" s="13">
        <v>8652</v>
      </c>
      <c r="AB2741" s="13">
        <v>8652</v>
      </c>
      <c r="AC2741" s="10" t="s">
        <v>6576</v>
      </c>
      <c r="AD2741" s="5" t="s">
        <v>3442</v>
      </c>
      <c r="AE2741" s="5" t="s">
        <v>6574</v>
      </c>
      <c r="AF2741" s="5" t="s">
        <v>6577</v>
      </c>
    </row>
    <row r="2742" spans="1:32" ht="10" customHeight="1" x14ac:dyDescent="0.2">
      <c r="A2742" s="5" t="s">
        <v>6457</v>
      </c>
      <c r="B2742" s="5" t="s">
        <v>41</v>
      </c>
      <c r="C2742" s="5" t="s">
        <v>6578</v>
      </c>
      <c r="D2742" s="5" t="s">
        <v>6579</v>
      </c>
      <c r="E2742" s="10" t="s">
        <v>44</v>
      </c>
      <c r="I2742" s="11">
        <v>4</v>
      </c>
      <c r="K2742" s="12"/>
      <c r="O2742" s="12"/>
      <c r="P2742" s="13">
        <v>37652</v>
      </c>
      <c r="Q2742" s="13">
        <v>26644</v>
      </c>
      <c r="S2742" s="13">
        <v>26648</v>
      </c>
      <c r="T2742" s="13">
        <v>0</v>
      </c>
      <c r="U2742" s="13">
        <v>26648</v>
      </c>
      <c r="Z2742" s="13">
        <v>33932</v>
      </c>
      <c r="AB2742" s="13">
        <v>33932</v>
      </c>
      <c r="AC2742" s="10" t="s">
        <v>6580</v>
      </c>
      <c r="AD2742" s="5" t="s">
        <v>148</v>
      </c>
      <c r="AE2742" s="5" t="s">
        <v>6578</v>
      </c>
    </row>
    <row r="2743" spans="1:32" ht="10" customHeight="1" x14ac:dyDescent="0.2">
      <c r="A2743" s="5" t="s">
        <v>6457</v>
      </c>
      <c r="B2743" s="5" t="s">
        <v>41</v>
      </c>
      <c r="C2743" s="5" t="s">
        <v>6581</v>
      </c>
      <c r="D2743" s="5" t="s">
        <v>6582</v>
      </c>
      <c r="E2743" s="12"/>
      <c r="I2743" s="11">
        <v>6</v>
      </c>
      <c r="K2743" s="12"/>
      <c r="O2743" s="12"/>
      <c r="P2743" s="13">
        <v>14105</v>
      </c>
      <c r="Q2743" s="13">
        <v>13614</v>
      </c>
      <c r="S2743" s="13">
        <v>7972</v>
      </c>
      <c r="T2743" s="13">
        <v>0</v>
      </c>
      <c r="U2743" s="13">
        <v>7972</v>
      </c>
      <c r="Z2743" s="13">
        <v>10108</v>
      </c>
      <c r="AB2743" s="13">
        <v>10108</v>
      </c>
      <c r="AC2743" s="10" t="s">
        <v>6583</v>
      </c>
      <c r="AD2743" s="5" t="s">
        <v>3679</v>
      </c>
      <c r="AE2743" s="5" t="s">
        <v>6581</v>
      </c>
    </row>
    <row r="2744" spans="1:32" ht="10" customHeight="1" x14ac:dyDescent="0.2">
      <c r="A2744" s="5" t="s">
        <v>6457</v>
      </c>
      <c r="B2744" s="5" t="s">
        <v>41</v>
      </c>
      <c r="C2744" s="5" t="s">
        <v>6584</v>
      </c>
      <c r="D2744" s="5" t="s">
        <v>6585</v>
      </c>
      <c r="E2744" s="12"/>
      <c r="I2744" s="11">
        <v>4</v>
      </c>
      <c r="K2744" s="12"/>
      <c r="O2744" s="12"/>
      <c r="P2744" s="13">
        <v>50115</v>
      </c>
      <c r="Q2744" s="13">
        <v>68458</v>
      </c>
      <c r="S2744" s="13">
        <v>58739</v>
      </c>
      <c r="T2744" s="13">
        <v>0</v>
      </c>
      <c r="U2744" s="13">
        <v>58739</v>
      </c>
      <c r="Z2744" s="13">
        <v>52758</v>
      </c>
      <c r="AB2744" s="13">
        <v>52758</v>
      </c>
      <c r="AC2744" s="10" t="s">
        <v>6586</v>
      </c>
      <c r="AD2744" s="5" t="s">
        <v>3915</v>
      </c>
      <c r="AE2744" s="5" t="s">
        <v>6584</v>
      </c>
      <c r="AF2744" s="5" t="s">
        <v>6587</v>
      </c>
    </row>
    <row r="2745" spans="1:32" ht="10" customHeight="1" x14ac:dyDescent="0.2">
      <c r="A2745" s="5" t="s">
        <v>6457</v>
      </c>
      <c r="B2745" s="5" t="s">
        <v>41</v>
      </c>
      <c r="C2745" s="5" t="s">
        <v>6588</v>
      </c>
      <c r="D2745" s="5" t="s">
        <v>6589</v>
      </c>
      <c r="E2745" s="12"/>
      <c r="I2745" s="11">
        <v>4</v>
      </c>
      <c r="K2745" s="12"/>
      <c r="O2745" s="12"/>
      <c r="P2745" s="13">
        <v>3915</v>
      </c>
      <c r="Q2745" s="13">
        <v>3645</v>
      </c>
      <c r="S2745" s="13">
        <v>3489</v>
      </c>
      <c r="T2745" s="13">
        <v>0</v>
      </c>
      <c r="U2745" s="13">
        <v>3489</v>
      </c>
      <c r="Z2745" s="13">
        <v>16167</v>
      </c>
      <c r="AB2745" s="13">
        <v>16167</v>
      </c>
      <c r="AC2745" s="10" t="s">
        <v>6590</v>
      </c>
      <c r="AD2745" s="5" t="s">
        <v>174</v>
      </c>
      <c r="AE2745" s="5" t="s">
        <v>6588</v>
      </c>
      <c r="AF2745" s="5" t="s">
        <v>6589</v>
      </c>
    </row>
    <row r="2746" spans="1:32" ht="10" customHeight="1" x14ac:dyDescent="0.2">
      <c r="A2746" s="5" t="s">
        <v>6457</v>
      </c>
      <c r="B2746" s="5" t="s">
        <v>41</v>
      </c>
      <c r="C2746" s="5" t="s">
        <v>6591</v>
      </c>
      <c r="D2746" s="5" t="s">
        <v>6592</v>
      </c>
      <c r="E2746" s="12"/>
      <c r="I2746" s="11">
        <v>4</v>
      </c>
      <c r="K2746" s="12"/>
      <c r="O2746" s="12"/>
      <c r="P2746" s="13">
        <v>16803</v>
      </c>
      <c r="Q2746" s="13">
        <v>16812</v>
      </c>
      <c r="S2746" s="13">
        <v>16426</v>
      </c>
      <c r="T2746" s="13">
        <v>0</v>
      </c>
      <c r="U2746" s="13">
        <v>16426</v>
      </c>
      <c r="Z2746" s="13">
        <v>14879</v>
      </c>
      <c r="AB2746" s="13">
        <v>14879</v>
      </c>
      <c r="AC2746" s="10" t="s">
        <v>6593</v>
      </c>
      <c r="AD2746" s="5" t="s">
        <v>4082</v>
      </c>
      <c r="AE2746" s="5" t="s">
        <v>6591</v>
      </c>
      <c r="AF2746" s="5" t="s">
        <v>6594</v>
      </c>
    </row>
    <row r="2747" spans="1:32" ht="10" customHeight="1" x14ac:dyDescent="0.2">
      <c r="A2747" s="5" t="s">
        <v>6457</v>
      </c>
      <c r="B2747" s="5" t="s">
        <v>41</v>
      </c>
      <c r="C2747" s="5" t="s">
        <v>6595</v>
      </c>
      <c r="D2747" s="5" t="s">
        <v>6596</v>
      </c>
      <c r="E2747" s="12"/>
      <c r="I2747" s="11">
        <v>4</v>
      </c>
      <c r="K2747" s="12"/>
      <c r="O2747" s="12"/>
      <c r="P2747" s="13">
        <v>37294</v>
      </c>
      <c r="Q2747" s="13">
        <v>37964</v>
      </c>
      <c r="S2747" s="13">
        <v>45701</v>
      </c>
      <c r="T2747" s="13">
        <v>0</v>
      </c>
      <c r="U2747" s="13">
        <v>45701</v>
      </c>
      <c r="Z2747" s="13">
        <v>43097</v>
      </c>
      <c r="AB2747" s="13">
        <v>43097</v>
      </c>
      <c r="AC2747" s="10" t="s">
        <v>6597</v>
      </c>
      <c r="AD2747" s="5" t="s">
        <v>4094</v>
      </c>
      <c r="AE2747" s="5" t="s">
        <v>6595</v>
      </c>
      <c r="AF2747" s="5" t="s">
        <v>6596</v>
      </c>
    </row>
    <row r="2748" spans="1:32" ht="10" customHeight="1" x14ac:dyDescent="0.2">
      <c r="A2748" s="5" t="s">
        <v>6457</v>
      </c>
      <c r="B2748" s="5" t="s">
        <v>41</v>
      </c>
      <c r="C2748" s="5" t="s">
        <v>6598</v>
      </c>
      <c r="D2748" s="5" t="s">
        <v>6599</v>
      </c>
      <c r="E2748" s="12"/>
      <c r="I2748" s="11">
        <v>4</v>
      </c>
      <c r="K2748" s="12"/>
      <c r="O2748" s="12"/>
      <c r="P2748" s="13">
        <v>2748</v>
      </c>
      <c r="Q2748" s="13">
        <v>3803</v>
      </c>
      <c r="S2748" s="13">
        <v>304</v>
      </c>
      <c r="T2748" s="13">
        <v>0</v>
      </c>
      <c r="U2748" s="13">
        <v>304</v>
      </c>
      <c r="Z2748" s="13">
        <v>289</v>
      </c>
      <c r="AB2748" s="13">
        <v>289</v>
      </c>
      <c r="AC2748" s="10" t="s">
        <v>6600</v>
      </c>
      <c r="AD2748" s="5" t="s">
        <v>4190</v>
      </c>
      <c r="AE2748" s="5" t="s">
        <v>6598</v>
      </c>
      <c r="AF2748" s="5" t="s">
        <v>6599</v>
      </c>
    </row>
    <row r="2749" spans="1:32" ht="10" customHeight="1" x14ac:dyDescent="0.2">
      <c r="A2749" s="5" t="s">
        <v>6457</v>
      </c>
      <c r="B2749" s="5" t="s">
        <v>41</v>
      </c>
      <c r="C2749" s="5" t="s">
        <v>6601</v>
      </c>
      <c r="D2749" s="5" t="s">
        <v>6343</v>
      </c>
      <c r="E2749" s="10" t="s">
        <v>345</v>
      </c>
      <c r="F2749" s="5" t="s">
        <v>6602</v>
      </c>
      <c r="I2749" s="11">
        <v>4</v>
      </c>
      <c r="K2749" s="10" t="s">
        <v>46</v>
      </c>
      <c r="L2749" s="5" t="s">
        <v>47</v>
      </c>
      <c r="M2749" s="5" t="s">
        <v>48</v>
      </c>
      <c r="N2749" s="5" t="s">
        <v>4748</v>
      </c>
      <c r="O2749" s="12"/>
      <c r="P2749" s="13">
        <v>6433</v>
      </c>
      <c r="Q2749" s="13">
        <v>0</v>
      </c>
      <c r="S2749" s="13">
        <v>0</v>
      </c>
      <c r="T2749" s="13">
        <v>0</v>
      </c>
      <c r="U2749" s="13">
        <v>0</v>
      </c>
      <c r="AC2749" s="10" t="s">
        <v>6603</v>
      </c>
      <c r="AD2749" s="5" t="s">
        <v>225</v>
      </c>
      <c r="AE2749" s="5" t="s">
        <v>6601</v>
      </c>
      <c r="AF2749" s="5" t="s">
        <v>6604</v>
      </c>
    </row>
    <row r="2750" spans="1:32" ht="10" customHeight="1" x14ac:dyDescent="0.2">
      <c r="A2750" s="5" t="s">
        <v>6457</v>
      </c>
      <c r="B2750" s="5" t="s">
        <v>41</v>
      </c>
      <c r="C2750" s="5" t="s">
        <v>6605</v>
      </c>
      <c r="D2750" s="5" t="s">
        <v>6606</v>
      </c>
      <c r="E2750" s="12"/>
      <c r="I2750" s="11">
        <v>4</v>
      </c>
      <c r="K2750" s="12"/>
      <c r="O2750" s="12"/>
      <c r="P2750" s="13">
        <v>88114</v>
      </c>
      <c r="Q2750" s="13">
        <v>90586</v>
      </c>
      <c r="S2750" s="13">
        <v>97262</v>
      </c>
      <c r="T2750" s="13">
        <v>0</v>
      </c>
      <c r="U2750" s="13">
        <v>97262</v>
      </c>
      <c r="Z2750" s="13">
        <v>83057</v>
      </c>
      <c r="AB2750" s="13">
        <v>83057</v>
      </c>
      <c r="AC2750" s="10" t="s">
        <v>6607</v>
      </c>
      <c r="AD2750" s="5" t="s">
        <v>232</v>
      </c>
      <c r="AE2750" s="5" t="s">
        <v>6605</v>
      </c>
    </row>
    <row r="2751" spans="1:32" ht="10" customHeight="1" x14ac:dyDescent="0.2">
      <c r="A2751" s="5" t="s">
        <v>6457</v>
      </c>
      <c r="B2751" s="5" t="s">
        <v>41</v>
      </c>
      <c r="C2751" s="5" t="s">
        <v>6608</v>
      </c>
      <c r="D2751" s="5" t="s">
        <v>6609</v>
      </c>
      <c r="E2751" s="10" t="s">
        <v>44</v>
      </c>
      <c r="I2751" s="11">
        <v>4</v>
      </c>
      <c r="K2751" s="12"/>
      <c r="O2751" s="12"/>
      <c r="P2751" s="13">
        <v>88309</v>
      </c>
      <c r="Q2751" s="13">
        <v>75508</v>
      </c>
      <c r="S2751" s="13">
        <v>72104</v>
      </c>
      <c r="T2751" s="13">
        <v>0</v>
      </c>
      <c r="U2751" s="13">
        <v>72104</v>
      </c>
      <c r="Z2751" s="13">
        <v>62581</v>
      </c>
      <c r="AB2751" s="13">
        <v>62581</v>
      </c>
      <c r="AC2751" s="10" t="s">
        <v>6610</v>
      </c>
      <c r="AD2751" s="5" t="s">
        <v>6611</v>
      </c>
      <c r="AE2751" s="5" t="s">
        <v>6608</v>
      </c>
    </row>
    <row r="2752" spans="1:32" ht="10" customHeight="1" x14ac:dyDescent="0.2">
      <c r="A2752" s="5" t="s">
        <v>6457</v>
      </c>
      <c r="B2752" s="5" t="s">
        <v>41</v>
      </c>
      <c r="D2752" s="5" t="s">
        <v>6612</v>
      </c>
      <c r="E2752" s="10" t="s">
        <v>53</v>
      </c>
      <c r="F2752" s="5" t="s">
        <v>6613</v>
      </c>
      <c r="I2752" s="11">
        <v>4</v>
      </c>
      <c r="K2752" s="12"/>
      <c r="O2752" s="12"/>
      <c r="P2752" s="13">
        <v>55806</v>
      </c>
      <c r="Q2752" s="13">
        <v>58751</v>
      </c>
      <c r="S2752" s="13">
        <v>44281</v>
      </c>
      <c r="AC2752" s="10" t="s">
        <v>6614</v>
      </c>
      <c r="AD2752" s="5" t="s">
        <v>6615</v>
      </c>
      <c r="AE2752" s="5" t="s">
        <v>6608</v>
      </c>
    </row>
    <row r="2753" spans="1:32" ht="10" customHeight="1" x14ac:dyDescent="0.2">
      <c r="A2753" s="5" t="s">
        <v>6457</v>
      </c>
      <c r="B2753" s="5" t="s">
        <v>41</v>
      </c>
      <c r="D2753" s="5" t="s">
        <v>6616</v>
      </c>
      <c r="E2753" s="10" t="s">
        <v>53</v>
      </c>
      <c r="F2753" s="5" t="s">
        <v>6613</v>
      </c>
      <c r="I2753" s="11">
        <v>4</v>
      </c>
      <c r="K2753" s="12"/>
      <c r="O2753" s="12"/>
      <c r="P2753" s="13">
        <v>12095</v>
      </c>
      <c r="Q2753" s="13">
        <v>1856</v>
      </c>
      <c r="S2753" s="13">
        <v>952</v>
      </c>
      <c r="AC2753" s="10" t="s">
        <v>6617</v>
      </c>
      <c r="AD2753" s="5" t="s">
        <v>6354</v>
      </c>
      <c r="AE2753" s="5" t="s">
        <v>6608</v>
      </c>
    </row>
    <row r="2754" spans="1:32" ht="10" customHeight="1" x14ac:dyDescent="0.2">
      <c r="A2754" s="5" t="s">
        <v>6457</v>
      </c>
      <c r="B2754" s="5" t="s">
        <v>41</v>
      </c>
      <c r="C2754" s="5" t="s">
        <v>6618</v>
      </c>
      <c r="D2754" s="5" t="s">
        <v>6619</v>
      </c>
      <c r="E2754" s="10" t="s">
        <v>44</v>
      </c>
      <c r="I2754" s="11">
        <v>4</v>
      </c>
      <c r="K2754" s="12"/>
      <c r="O2754" s="12"/>
      <c r="P2754" s="13">
        <v>59195</v>
      </c>
      <c r="Q2754" s="13">
        <v>59602</v>
      </c>
      <c r="S2754" s="13">
        <v>52171</v>
      </c>
      <c r="T2754" s="13">
        <v>0</v>
      </c>
      <c r="U2754" s="13">
        <v>52171</v>
      </c>
      <c r="Z2754" s="13">
        <v>35620</v>
      </c>
      <c r="AB2754" s="13">
        <v>35620</v>
      </c>
      <c r="AC2754" s="10" t="s">
        <v>6620</v>
      </c>
      <c r="AD2754" s="5" t="s">
        <v>6361</v>
      </c>
      <c r="AE2754" s="5" t="s">
        <v>6618</v>
      </c>
    </row>
    <row r="2755" spans="1:32" ht="10" customHeight="1" x14ac:dyDescent="0.2">
      <c r="A2755" s="5" t="s">
        <v>6457</v>
      </c>
      <c r="B2755" s="5" t="s">
        <v>41</v>
      </c>
      <c r="D2755" s="5" t="s">
        <v>6621</v>
      </c>
      <c r="E2755" s="10" t="s">
        <v>53</v>
      </c>
      <c r="F2755" s="5" t="s">
        <v>6622</v>
      </c>
      <c r="I2755" s="11">
        <v>4</v>
      </c>
      <c r="K2755" s="12"/>
      <c r="O2755" s="12"/>
      <c r="P2755" s="13">
        <v>631</v>
      </c>
      <c r="Q2755" s="13">
        <v>781</v>
      </c>
      <c r="S2755" s="13">
        <v>0</v>
      </c>
      <c r="AC2755" s="10" t="s">
        <v>6623</v>
      </c>
      <c r="AD2755" s="5" t="s">
        <v>6624</v>
      </c>
      <c r="AE2755" s="5" t="s">
        <v>6618</v>
      </c>
      <c r="AF2755" s="5" t="s">
        <v>6625</v>
      </c>
    </row>
    <row r="2756" spans="1:32" ht="10" customHeight="1" x14ac:dyDescent="0.2">
      <c r="A2756" s="5" t="s">
        <v>6457</v>
      </c>
      <c r="B2756" s="5" t="s">
        <v>41</v>
      </c>
      <c r="D2756" s="5" t="s">
        <v>6626</v>
      </c>
      <c r="E2756" s="10" t="s">
        <v>53</v>
      </c>
      <c r="F2756" s="5" t="s">
        <v>6622</v>
      </c>
      <c r="I2756" s="11">
        <v>4</v>
      </c>
      <c r="K2756" s="10" t="s">
        <v>46</v>
      </c>
      <c r="L2756" s="5" t="s">
        <v>47</v>
      </c>
      <c r="M2756" s="5" t="s">
        <v>115</v>
      </c>
      <c r="N2756" s="5" t="s">
        <v>4955</v>
      </c>
      <c r="O2756" s="12"/>
      <c r="P2756" s="13">
        <v>5111</v>
      </c>
      <c r="Q2756" s="13">
        <v>3336</v>
      </c>
      <c r="S2756" s="13">
        <v>3761</v>
      </c>
      <c r="AC2756" s="10" t="s">
        <v>6627</v>
      </c>
      <c r="AD2756" s="5" t="s">
        <v>6367</v>
      </c>
      <c r="AE2756" s="5" t="s">
        <v>6618</v>
      </c>
      <c r="AF2756" s="5" t="s">
        <v>6628</v>
      </c>
    </row>
    <row r="2757" spans="1:32" ht="10" customHeight="1" x14ac:dyDescent="0.2">
      <c r="A2757" s="5" t="s">
        <v>6457</v>
      </c>
      <c r="B2757" s="5" t="s">
        <v>41</v>
      </c>
      <c r="D2757" s="5" t="s">
        <v>6629</v>
      </c>
      <c r="E2757" s="10" t="s">
        <v>53</v>
      </c>
      <c r="F2757" s="5" t="s">
        <v>6622</v>
      </c>
      <c r="I2757" s="11">
        <v>4</v>
      </c>
      <c r="K2757" s="10" t="s">
        <v>46</v>
      </c>
      <c r="L2757" s="5" t="s">
        <v>47</v>
      </c>
      <c r="M2757" s="5" t="s">
        <v>115</v>
      </c>
      <c r="N2757" s="5" t="s">
        <v>116</v>
      </c>
      <c r="O2757" s="12"/>
      <c r="P2757" s="13">
        <v>700</v>
      </c>
      <c r="Q2757" s="13">
        <v>800</v>
      </c>
      <c r="S2757" s="13">
        <v>380</v>
      </c>
      <c r="AC2757" s="10" t="s">
        <v>6630</v>
      </c>
      <c r="AD2757" s="5" t="s">
        <v>6631</v>
      </c>
      <c r="AE2757" s="5" t="s">
        <v>6618</v>
      </c>
    </row>
    <row r="2758" spans="1:32" ht="10" customHeight="1" x14ac:dyDescent="0.2">
      <c r="A2758" s="5" t="s">
        <v>6457</v>
      </c>
      <c r="B2758" s="5" t="s">
        <v>41</v>
      </c>
      <c r="C2758" s="5" t="s">
        <v>6632</v>
      </c>
      <c r="D2758" s="5" t="s">
        <v>6633</v>
      </c>
      <c r="E2758" s="12"/>
      <c r="I2758" s="11">
        <v>4</v>
      </c>
      <c r="K2758" s="12"/>
      <c r="O2758" s="12"/>
      <c r="P2758" s="13">
        <v>3341</v>
      </c>
      <c r="Q2758" s="13">
        <v>7287</v>
      </c>
      <c r="S2758" s="13">
        <v>5105</v>
      </c>
      <c r="T2758" s="13">
        <v>0</v>
      </c>
      <c r="U2758" s="13">
        <v>5105</v>
      </c>
      <c r="Z2758" s="13">
        <v>2976</v>
      </c>
      <c r="AB2758" s="13">
        <v>2976</v>
      </c>
      <c r="AC2758" s="10" t="s">
        <v>6634</v>
      </c>
      <c r="AD2758" s="5" t="s">
        <v>6635</v>
      </c>
      <c r="AE2758" s="5" t="s">
        <v>6632</v>
      </c>
      <c r="AF2758" s="5" t="s">
        <v>6636</v>
      </c>
    </row>
    <row r="2759" spans="1:32" ht="10" customHeight="1" x14ac:dyDescent="0.2">
      <c r="A2759" s="5" t="s">
        <v>6457</v>
      </c>
      <c r="B2759" s="5" t="s">
        <v>41</v>
      </c>
      <c r="C2759" s="5" t="s">
        <v>6637</v>
      </c>
      <c r="D2759" s="5" t="s">
        <v>6638</v>
      </c>
      <c r="E2759" s="12"/>
      <c r="I2759" s="11">
        <v>4</v>
      </c>
      <c r="K2759" s="12"/>
      <c r="O2759" s="12"/>
      <c r="P2759" s="13">
        <v>34724</v>
      </c>
      <c r="Q2759" s="13">
        <v>42326</v>
      </c>
      <c r="S2759" s="13">
        <v>60058</v>
      </c>
      <c r="T2759" s="13">
        <v>0</v>
      </c>
      <c r="U2759" s="13">
        <v>60058</v>
      </c>
      <c r="Z2759" s="13">
        <v>54487</v>
      </c>
      <c r="AB2759" s="13">
        <v>54487</v>
      </c>
      <c r="AC2759" s="10" t="s">
        <v>6639</v>
      </c>
      <c r="AD2759" s="5" t="s">
        <v>6640</v>
      </c>
      <c r="AE2759" s="5" t="s">
        <v>6637</v>
      </c>
      <c r="AF2759" s="5" t="s">
        <v>6638</v>
      </c>
    </row>
    <row r="2760" spans="1:32" ht="10" customHeight="1" x14ac:dyDescent="0.2">
      <c r="A2760" s="5" t="s">
        <v>6457</v>
      </c>
      <c r="B2760" s="5" t="s">
        <v>41</v>
      </c>
      <c r="C2760" s="5" t="s">
        <v>6641</v>
      </c>
      <c r="D2760" s="5" t="s">
        <v>6642</v>
      </c>
      <c r="E2760" s="10" t="s">
        <v>345</v>
      </c>
      <c r="F2760" s="5" t="s">
        <v>6643</v>
      </c>
      <c r="I2760" s="11">
        <v>4</v>
      </c>
      <c r="K2760" s="12"/>
      <c r="O2760" s="12"/>
      <c r="P2760" s="13">
        <v>7905</v>
      </c>
      <c r="Q2760" s="13">
        <v>7809</v>
      </c>
      <c r="S2760" s="13">
        <v>0</v>
      </c>
      <c r="T2760" s="13">
        <v>0</v>
      </c>
      <c r="U2760" s="13">
        <v>0</v>
      </c>
      <c r="AC2760" s="10" t="s">
        <v>6644</v>
      </c>
      <c r="AD2760" s="5" t="s">
        <v>6645</v>
      </c>
      <c r="AE2760" s="5" t="s">
        <v>6641</v>
      </c>
      <c r="AF2760" s="5" t="s">
        <v>6646</v>
      </c>
    </row>
    <row r="2761" spans="1:32" ht="10" customHeight="1" x14ac:dyDescent="0.2">
      <c r="A2761" s="5" t="s">
        <v>6457</v>
      </c>
      <c r="B2761" s="5" t="s">
        <v>41</v>
      </c>
      <c r="C2761" s="5" t="s">
        <v>6647</v>
      </c>
      <c r="D2761" s="5" t="s">
        <v>6648</v>
      </c>
      <c r="E2761" s="12"/>
      <c r="I2761" s="11">
        <v>4</v>
      </c>
      <c r="K2761" s="12"/>
      <c r="O2761" s="12"/>
      <c r="P2761" s="13">
        <v>51415</v>
      </c>
      <c r="Q2761" s="13">
        <v>65113</v>
      </c>
      <c r="S2761" s="13">
        <v>64901</v>
      </c>
      <c r="T2761" s="13">
        <v>0</v>
      </c>
      <c r="U2761" s="13">
        <v>64901</v>
      </c>
      <c r="Z2761" s="13">
        <v>48262</v>
      </c>
      <c r="AB2761" s="13">
        <v>48262</v>
      </c>
      <c r="AC2761" s="10" t="s">
        <v>6649</v>
      </c>
      <c r="AD2761" s="5" t="s">
        <v>6650</v>
      </c>
      <c r="AE2761" s="5" t="s">
        <v>6647</v>
      </c>
      <c r="AF2761" s="5" t="s">
        <v>6651</v>
      </c>
    </row>
    <row r="2762" spans="1:32" ht="10" customHeight="1" x14ac:dyDescent="0.2">
      <c r="A2762" s="5" t="s">
        <v>6457</v>
      </c>
      <c r="B2762" s="5" t="s">
        <v>41</v>
      </c>
      <c r="C2762" s="5" t="s">
        <v>6652</v>
      </c>
      <c r="D2762" s="5" t="s">
        <v>6653</v>
      </c>
      <c r="E2762" s="12"/>
      <c r="I2762" s="11">
        <v>4</v>
      </c>
      <c r="K2762" s="12"/>
      <c r="O2762" s="12"/>
      <c r="P2762" s="13">
        <v>16317</v>
      </c>
      <c r="Q2762" s="13">
        <v>16946</v>
      </c>
      <c r="S2762" s="13">
        <v>12112</v>
      </c>
      <c r="T2762" s="13">
        <v>0</v>
      </c>
      <c r="U2762" s="13">
        <v>12112</v>
      </c>
      <c r="Z2762" s="13">
        <v>11824</v>
      </c>
      <c r="AB2762" s="13">
        <v>11824</v>
      </c>
      <c r="AC2762" s="10" t="s">
        <v>6654</v>
      </c>
      <c r="AD2762" s="5" t="s">
        <v>6395</v>
      </c>
      <c r="AE2762" s="5" t="s">
        <v>6652</v>
      </c>
    </row>
    <row r="2763" spans="1:32" ht="10" customHeight="1" x14ac:dyDescent="0.2">
      <c r="A2763" s="5" t="s">
        <v>6457</v>
      </c>
      <c r="B2763" s="5" t="s">
        <v>41</v>
      </c>
      <c r="C2763" s="5" t="s">
        <v>6655</v>
      </c>
      <c r="D2763" s="5" t="s">
        <v>382</v>
      </c>
      <c r="E2763" s="10" t="s">
        <v>44</v>
      </c>
      <c r="I2763" s="11">
        <v>4</v>
      </c>
      <c r="K2763" s="12"/>
      <c r="O2763" s="12"/>
      <c r="P2763" s="13">
        <v>467278</v>
      </c>
      <c r="Q2763" s="13">
        <v>440207</v>
      </c>
      <c r="S2763" s="13">
        <v>534324</v>
      </c>
      <c r="T2763" s="13">
        <v>0</v>
      </c>
      <c r="U2763" s="13">
        <v>534324</v>
      </c>
      <c r="Z2763" s="13">
        <v>493046</v>
      </c>
      <c r="AB2763" s="13">
        <v>493046</v>
      </c>
      <c r="AC2763" s="10" t="s">
        <v>6656</v>
      </c>
      <c r="AD2763" s="5" t="s">
        <v>6657</v>
      </c>
      <c r="AE2763" s="5" t="s">
        <v>6655</v>
      </c>
    </row>
    <row r="2764" spans="1:32" ht="10" customHeight="1" x14ac:dyDescent="0.2">
      <c r="A2764" s="5" t="s">
        <v>6457</v>
      </c>
      <c r="B2764" s="5" t="s">
        <v>41</v>
      </c>
      <c r="C2764" s="5" t="s">
        <v>6658</v>
      </c>
      <c r="D2764" s="5" t="s">
        <v>3533</v>
      </c>
      <c r="E2764" s="12"/>
      <c r="I2764" s="11">
        <v>6</v>
      </c>
      <c r="K2764" s="12"/>
      <c r="O2764" s="12"/>
      <c r="P2764" s="13">
        <v>15903</v>
      </c>
      <c r="Q2764" s="13">
        <v>38688</v>
      </c>
      <c r="S2764" s="13">
        <v>31289</v>
      </c>
      <c r="T2764" s="13">
        <v>0</v>
      </c>
      <c r="U2764" s="13">
        <v>31289</v>
      </c>
      <c r="Z2764" s="13">
        <v>38000</v>
      </c>
      <c r="AB2764" s="13">
        <v>38000</v>
      </c>
      <c r="AC2764" s="10" t="s">
        <v>6659</v>
      </c>
      <c r="AD2764" s="5" t="s">
        <v>6407</v>
      </c>
      <c r="AE2764" s="5" t="s">
        <v>6658</v>
      </c>
    </row>
    <row r="2765" spans="1:32" ht="10" customHeight="1" x14ac:dyDescent="0.2">
      <c r="A2765" s="5" t="s">
        <v>6457</v>
      </c>
      <c r="B2765" s="5" t="s">
        <v>41</v>
      </c>
      <c r="C2765" s="5" t="s">
        <v>6660</v>
      </c>
      <c r="D2765" s="5" t="s">
        <v>6661</v>
      </c>
      <c r="E2765" s="12"/>
      <c r="I2765" s="11">
        <v>4</v>
      </c>
      <c r="K2765" s="12"/>
      <c r="O2765" s="12"/>
      <c r="P2765" s="13">
        <v>48175</v>
      </c>
      <c r="Q2765" s="13">
        <v>50654</v>
      </c>
      <c r="S2765" s="13">
        <v>46281</v>
      </c>
      <c r="T2765" s="13">
        <v>0</v>
      </c>
      <c r="U2765" s="13">
        <v>46281</v>
      </c>
      <c r="Z2765" s="13">
        <v>43028</v>
      </c>
      <c r="AB2765" s="13">
        <v>43028</v>
      </c>
      <c r="AC2765" s="10" t="s">
        <v>6662</v>
      </c>
      <c r="AD2765" s="5" t="s">
        <v>6663</v>
      </c>
      <c r="AE2765" s="5" t="s">
        <v>6660</v>
      </c>
      <c r="AF2765" s="5" t="s">
        <v>6661</v>
      </c>
    </row>
    <row r="2766" spans="1:32" ht="10" customHeight="1" x14ac:dyDescent="0.2">
      <c r="A2766" s="5" t="s">
        <v>6457</v>
      </c>
      <c r="B2766" s="5" t="s">
        <v>41</v>
      </c>
      <c r="C2766" s="5" t="s">
        <v>6664</v>
      </c>
      <c r="D2766" s="5" t="s">
        <v>6665</v>
      </c>
      <c r="E2766" s="12"/>
      <c r="I2766" s="11">
        <v>6</v>
      </c>
      <c r="K2766" s="12"/>
      <c r="O2766" s="12"/>
      <c r="P2766" s="13">
        <v>25744</v>
      </c>
      <c r="Q2766" s="13">
        <v>32005</v>
      </c>
      <c r="S2766" s="13">
        <v>33395</v>
      </c>
      <c r="T2766" s="13">
        <v>0</v>
      </c>
      <c r="U2766" s="13">
        <v>33395</v>
      </c>
      <c r="Z2766" s="13">
        <v>31462</v>
      </c>
      <c r="AB2766" s="13">
        <v>31462</v>
      </c>
      <c r="AC2766" s="10" t="s">
        <v>6666</v>
      </c>
      <c r="AD2766" s="5" t="s">
        <v>6667</v>
      </c>
      <c r="AE2766" s="5" t="s">
        <v>6664</v>
      </c>
    </row>
    <row r="2767" spans="1:32" ht="10" customHeight="1" x14ac:dyDescent="0.2">
      <c r="A2767" s="5" t="s">
        <v>6457</v>
      </c>
      <c r="B2767" s="5" t="s">
        <v>41</v>
      </c>
      <c r="C2767" s="5" t="s">
        <v>6668</v>
      </c>
      <c r="D2767" s="5" t="s">
        <v>6669</v>
      </c>
      <c r="E2767" s="12"/>
      <c r="I2767" s="11">
        <v>4</v>
      </c>
      <c r="K2767" s="12"/>
      <c r="O2767" s="12"/>
      <c r="P2767" s="13">
        <v>19757</v>
      </c>
      <c r="Q2767" s="13">
        <v>24361</v>
      </c>
      <c r="S2767" s="13">
        <v>13205</v>
      </c>
      <c r="T2767" s="13">
        <v>0</v>
      </c>
      <c r="U2767" s="13">
        <v>13205</v>
      </c>
      <c r="Z2767" s="13">
        <v>5822</v>
      </c>
      <c r="AB2767" s="13">
        <v>5822</v>
      </c>
      <c r="AC2767" s="10" t="s">
        <v>6670</v>
      </c>
      <c r="AD2767" s="5" t="s">
        <v>6671</v>
      </c>
      <c r="AE2767" s="5" t="s">
        <v>6668</v>
      </c>
      <c r="AF2767" s="5" t="s">
        <v>6672</v>
      </c>
    </row>
    <row r="2768" spans="1:32" ht="10" customHeight="1" x14ac:dyDescent="0.2">
      <c r="A2768" s="5" t="s">
        <v>6457</v>
      </c>
      <c r="B2768" s="5" t="s">
        <v>41</v>
      </c>
      <c r="C2768" s="5" t="s">
        <v>6673</v>
      </c>
      <c r="D2768" s="5" t="s">
        <v>6674</v>
      </c>
      <c r="E2768" s="12"/>
      <c r="I2768" s="11">
        <v>6</v>
      </c>
      <c r="K2768" s="12"/>
      <c r="O2768" s="12"/>
      <c r="P2768" s="13">
        <v>6641</v>
      </c>
      <c r="Q2768" s="13">
        <v>6709</v>
      </c>
      <c r="S2768" s="13">
        <v>11493</v>
      </c>
      <c r="T2768" s="13">
        <v>0</v>
      </c>
      <c r="U2768" s="13">
        <v>11493</v>
      </c>
      <c r="Z2768" s="13">
        <v>6454</v>
      </c>
      <c r="AB2768" s="13">
        <v>6454</v>
      </c>
      <c r="AC2768" s="10" t="s">
        <v>6675</v>
      </c>
      <c r="AD2768" s="5" t="s">
        <v>4814</v>
      </c>
      <c r="AE2768" s="5" t="s">
        <v>6673</v>
      </c>
    </row>
    <row r="2769" spans="1:32" ht="10" customHeight="1" x14ac:dyDescent="0.2">
      <c r="A2769" s="5" t="s">
        <v>6457</v>
      </c>
      <c r="B2769" s="5" t="s">
        <v>41</v>
      </c>
      <c r="C2769" s="5" t="s">
        <v>6676</v>
      </c>
      <c r="D2769" s="5" t="s">
        <v>6677</v>
      </c>
      <c r="E2769" s="12"/>
      <c r="I2769" s="11">
        <v>6</v>
      </c>
      <c r="K2769" s="12"/>
      <c r="O2769" s="12"/>
      <c r="P2769" s="13">
        <v>4279</v>
      </c>
      <c r="Q2769" s="13">
        <v>4081</v>
      </c>
      <c r="S2769" s="13">
        <v>3687</v>
      </c>
      <c r="T2769" s="13">
        <v>0</v>
      </c>
      <c r="U2769" s="13">
        <v>3687</v>
      </c>
      <c r="Z2769" s="13">
        <v>3435</v>
      </c>
      <c r="AB2769" s="13">
        <v>3435</v>
      </c>
      <c r="AC2769" s="10" t="s">
        <v>6678</v>
      </c>
      <c r="AD2769" s="5" t="s">
        <v>6679</v>
      </c>
      <c r="AE2769" s="5" t="s">
        <v>6676</v>
      </c>
      <c r="AF2769" s="5" t="s">
        <v>6680</v>
      </c>
    </row>
    <row r="2770" spans="1:32" ht="10" customHeight="1" x14ac:dyDescent="0.2">
      <c r="A2770" s="5" t="s">
        <v>6457</v>
      </c>
      <c r="B2770" s="5" t="s">
        <v>41</v>
      </c>
      <c r="C2770" s="5" t="s">
        <v>6681</v>
      </c>
      <c r="D2770" s="5" t="s">
        <v>6682</v>
      </c>
      <c r="E2770" s="10" t="s">
        <v>44</v>
      </c>
      <c r="I2770" s="11">
        <v>4</v>
      </c>
      <c r="K2770" s="12"/>
      <c r="O2770" s="12"/>
      <c r="P2770" s="13">
        <v>279545</v>
      </c>
      <c r="Q2770" s="13">
        <v>222607</v>
      </c>
      <c r="S2770" s="13">
        <v>249656</v>
      </c>
      <c r="T2770" s="13">
        <v>0</v>
      </c>
      <c r="U2770" s="13">
        <v>249656</v>
      </c>
      <c r="Z2770" s="13">
        <v>338946</v>
      </c>
      <c r="AB2770" s="13">
        <v>338946</v>
      </c>
      <c r="AC2770" s="10" t="s">
        <v>6683</v>
      </c>
      <c r="AD2770" s="5" t="s">
        <v>6684</v>
      </c>
      <c r="AE2770" s="5" t="s">
        <v>6681</v>
      </c>
    </row>
    <row r="2771" spans="1:32" ht="10" customHeight="1" x14ac:dyDescent="0.2">
      <c r="A2771" s="5" t="s">
        <v>6457</v>
      </c>
      <c r="B2771" s="5" t="s">
        <v>41</v>
      </c>
      <c r="D2771" s="5" t="s">
        <v>6685</v>
      </c>
      <c r="E2771" s="10" t="s">
        <v>53</v>
      </c>
      <c r="F2771" s="5" t="s">
        <v>6686</v>
      </c>
      <c r="I2771" s="11">
        <v>4</v>
      </c>
      <c r="K2771" s="12"/>
      <c r="O2771" s="12"/>
      <c r="P2771" s="13">
        <v>110652</v>
      </c>
      <c r="Q2771" s="13">
        <v>61816</v>
      </c>
      <c r="S2771" s="13">
        <v>43181</v>
      </c>
      <c r="AC2771" s="10" t="s">
        <v>6687</v>
      </c>
      <c r="AD2771" s="5" t="s">
        <v>6688</v>
      </c>
      <c r="AE2771" s="5" t="s">
        <v>6681</v>
      </c>
    </row>
    <row r="2772" spans="1:32" ht="10" customHeight="1" x14ac:dyDescent="0.2">
      <c r="A2772" s="5" t="s">
        <v>6457</v>
      </c>
      <c r="B2772" s="5" t="s">
        <v>41</v>
      </c>
      <c r="D2772" s="5" t="s">
        <v>6689</v>
      </c>
      <c r="E2772" s="10" t="s">
        <v>53</v>
      </c>
      <c r="F2772" s="5" t="s">
        <v>6686</v>
      </c>
      <c r="I2772" s="11">
        <v>4</v>
      </c>
      <c r="K2772" s="12"/>
      <c r="O2772" s="12"/>
      <c r="P2772" s="13">
        <v>1016</v>
      </c>
      <c r="Q2772" s="13">
        <v>3135</v>
      </c>
      <c r="S2772" s="13">
        <v>947</v>
      </c>
      <c r="AC2772" s="10" t="s">
        <v>6690</v>
      </c>
      <c r="AD2772" s="5" t="s">
        <v>6691</v>
      </c>
      <c r="AE2772" s="5" t="s">
        <v>6681</v>
      </c>
    </row>
    <row r="2773" spans="1:32" ht="10" customHeight="1" x14ac:dyDescent="0.2">
      <c r="A2773" s="5" t="s">
        <v>6457</v>
      </c>
      <c r="B2773" s="5" t="s">
        <v>41</v>
      </c>
      <c r="D2773" s="5" t="s">
        <v>6692</v>
      </c>
      <c r="E2773" s="10" t="s">
        <v>53</v>
      </c>
      <c r="F2773" s="5" t="s">
        <v>6686</v>
      </c>
      <c r="I2773" s="11">
        <v>4</v>
      </c>
      <c r="K2773" s="10" t="s">
        <v>46</v>
      </c>
      <c r="L2773" s="5" t="s">
        <v>47</v>
      </c>
      <c r="M2773" s="5" t="s">
        <v>115</v>
      </c>
      <c r="O2773" s="12"/>
      <c r="P2773" s="13">
        <v>43886</v>
      </c>
      <c r="Q2773" s="13">
        <v>33315</v>
      </c>
      <c r="S2773" s="13">
        <v>33517</v>
      </c>
      <c r="AC2773" s="10" t="s">
        <v>6693</v>
      </c>
      <c r="AD2773" s="5" t="s">
        <v>6694</v>
      </c>
      <c r="AE2773" s="5" t="s">
        <v>6681</v>
      </c>
    </row>
    <row r="2774" spans="1:32" ht="10" customHeight="1" x14ac:dyDescent="0.2">
      <c r="A2774" s="5" t="s">
        <v>6457</v>
      </c>
      <c r="B2774" s="5" t="s">
        <v>41</v>
      </c>
      <c r="D2774" s="5" t="s">
        <v>6695</v>
      </c>
      <c r="E2774" s="10" t="s">
        <v>53</v>
      </c>
      <c r="F2774" s="5" t="s">
        <v>6686</v>
      </c>
      <c r="I2774" s="11">
        <v>4</v>
      </c>
      <c r="K2774" s="10" t="s">
        <v>46</v>
      </c>
      <c r="L2774" s="5" t="s">
        <v>47</v>
      </c>
      <c r="M2774" s="5" t="s">
        <v>115</v>
      </c>
      <c r="N2774" s="5" t="s">
        <v>116</v>
      </c>
      <c r="O2774" s="12"/>
      <c r="P2774" s="13">
        <v>35312</v>
      </c>
      <c r="Q2774" s="13">
        <v>39629</v>
      </c>
      <c r="S2774" s="13">
        <v>82765</v>
      </c>
      <c r="AC2774" s="10" t="s">
        <v>6696</v>
      </c>
      <c r="AD2774" s="5" t="s">
        <v>6697</v>
      </c>
      <c r="AE2774" s="5" t="s">
        <v>6681</v>
      </c>
      <c r="AF2774" s="5" t="s">
        <v>6698</v>
      </c>
    </row>
    <row r="2775" spans="1:32" ht="10" customHeight="1" x14ac:dyDescent="0.2">
      <c r="A2775" s="5" t="s">
        <v>6457</v>
      </c>
      <c r="B2775" s="5" t="s">
        <v>41</v>
      </c>
      <c r="D2775" s="5" t="s">
        <v>6699</v>
      </c>
      <c r="E2775" s="10" t="s">
        <v>53</v>
      </c>
      <c r="F2775" s="5" t="s">
        <v>6686</v>
      </c>
      <c r="I2775" s="11">
        <v>4</v>
      </c>
      <c r="K2775" s="10" t="s">
        <v>46</v>
      </c>
      <c r="L2775" s="5" t="s">
        <v>47</v>
      </c>
      <c r="M2775" s="5" t="s">
        <v>115</v>
      </c>
      <c r="O2775" s="12"/>
      <c r="P2775" s="13">
        <v>16970</v>
      </c>
      <c r="Q2775" s="13">
        <v>27420</v>
      </c>
      <c r="S2775" s="13">
        <v>26631</v>
      </c>
      <c r="AC2775" s="10" t="s">
        <v>6700</v>
      </c>
      <c r="AD2775" s="5" t="s">
        <v>6701</v>
      </c>
      <c r="AE2775" s="5" t="s">
        <v>6681</v>
      </c>
    </row>
    <row r="2776" spans="1:32" ht="10" customHeight="1" x14ac:dyDescent="0.2">
      <c r="A2776" s="5" t="s">
        <v>6457</v>
      </c>
      <c r="B2776" s="5" t="s">
        <v>41</v>
      </c>
      <c r="C2776" s="5" t="s">
        <v>6702</v>
      </c>
      <c r="D2776" s="5" t="s">
        <v>6703</v>
      </c>
      <c r="E2776" s="12"/>
      <c r="I2776" s="11">
        <v>4</v>
      </c>
      <c r="K2776" s="12"/>
      <c r="O2776" s="12"/>
      <c r="P2776" s="13">
        <v>68327</v>
      </c>
      <c r="Q2776" s="13">
        <v>104119</v>
      </c>
      <c r="S2776" s="13">
        <v>106583</v>
      </c>
      <c r="T2776" s="13">
        <v>0</v>
      </c>
      <c r="U2776" s="13">
        <v>106583</v>
      </c>
      <c r="Z2776" s="13">
        <v>125661</v>
      </c>
      <c r="AB2776" s="13">
        <v>125661</v>
      </c>
      <c r="AC2776" s="10" t="s">
        <v>6704</v>
      </c>
      <c r="AD2776" s="5" t="s">
        <v>6705</v>
      </c>
      <c r="AE2776" s="5" t="s">
        <v>6702</v>
      </c>
      <c r="AF2776" s="5" t="s">
        <v>6706</v>
      </c>
    </row>
    <row r="2777" spans="1:32" ht="10" customHeight="1" x14ac:dyDescent="0.2">
      <c r="A2777" s="5" t="s">
        <v>6457</v>
      </c>
      <c r="B2777" s="5" t="s">
        <v>41</v>
      </c>
      <c r="C2777" s="5" t="s">
        <v>143</v>
      </c>
      <c r="D2777" s="5" t="s">
        <v>6707</v>
      </c>
      <c r="E2777" s="12"/>
      <c r="I2777" s="11">
        <v>4</v>
      </c>
      <c r="K2777" s="12"/>
      <c r="O2777" s="12"/>
      <c r="P2777" s="13">
        <v>28574</v>
      </c>
      <c r="Q2777" s="13">
        <v>24602</v>
      </c>
      <c r="S2777" s="13">
        <v>20900</v>
      </c>
      <c r="T2777" s="13">
        <v>0</v>
      </c>
      <c r="U2777" s="13">
        <v>20900</v>
      </c>
      <c r="Z2777" s="13">
        <v>50350</v>
      </c>
      <c r="AB2777" s="13">
        <v>50350</v>
      </c>
      <c r="AC2777" s="10" t="s">
        <v>6708</v>
      </c>
      <c r="AD2777" s="5" t="s">
        <v>6709</v>
      </c>
      <c r="AE2777" s="5" t="s">
        <v>143</v>
      </c>
    </row>
    <row r="2778" spans="1:32" ht="10" customHeight="1" x14ac:dyDescent="0.2">
      <c r="A2778" s="5" t="s">
        <v>6457</v>
      </c>
      <c r="B2778" s="5" t="s">
        <v>41</v>
      </c>
      <c r="C2778" s="5" t="s">
        <v>176</v>
      </c>
      <c r="D2778" s="5" t="s">
        <v>6710</v>
      </c>
      <c r="E2778" s="10" t="s">
        <v>44</v>
      </c>
      <c r="I2778" s="11">
        <v>4</v>
      </c>
      <c r="K2778" s="12"/>
      <c r="O2778" s="12"/>
      <c r="P2778" s="13">
        <v>103352</v>
      </c>
      <c r="Q2778" s="13">
        <v>103546</v>
      </c>
      <c r="S2778" s="13">
        <v>162075</v>
      </c>
      <c r="T2778" s="13">
        <v>0</v>
      </c>
      <c r="U2778" s="13">
        <v>162075</v>
      </c>
      <c r="Z2778" s="13">
        <v>156605</v>
      </c>
      <c r="AB2778" s="13">
        <v>156605</v>
      </c>
      <c r="AC2778" s="10" t="s">
        <v>6711</v>
      </c>
      <c r="AD2778" s="5" t="s">
        <v>6712</v>
      </c>
      <c r="AE2778" s="5" t="s">
        <v>176</v>
      </c>
      <c r="AF2778" s="5" t="s">
        <v>6710</v>
      </c>
    </row>
    <row r="2779" spans="1:32" ht="10" customHeight="1" x14ac:dyDescent="0.2">
      <c r="A2779" s="5" t="s">
        <v>6457</v>
      </c>
      <c r="B2779" s="5" t="s">
        <v>41</v>
      </c>
      <c r="D2779" s="5" t="s">
        <v>6713</v>
      </c>
      <c r="E2779" s="10" t="s">
        <v>53</v>
      </c>
      <c r="F2779" s="5" t="s">
        <v>6714</v>
      </c>
      <c r="I2779" s="11">
        <v>4</v>
      </c>
      <c r="K2779" s="12"/>
      <c r="O2779" s="12"/>
      <c r="P2779" s="13">
        <v>58940</v>
      </c>
      <c r="Q2779" s="13">
        <v>59583</v>
      </c>
      <c r="S2779" s="13">
        <v>113571</v>
      </c>
      <c r="AC2779" s="10" t="s">
        <v>6715</v>
      </c>
      <c r="AD2779" s="5" t="s">
        <v>6716</v>
      </c>
      <c r="AE2779" s="5" t="s">
        <v>176</v>
      </c>
    </row>
    <row r="2780" spans="1:32" ht="10" customHeight="1" x14ac:dyDescent="0.2">
      <c r="A2780" s="5" t="s">
        <v>6457</v>
      </c>
      <c r="B2780" s="5" t="s">
        <v>41</v>
      </c>
      <c r="D2780" s="5" t="s">
        <v>6717</v>
      </c>
      <c r="E2780" s="10" t="s">
        <v>53</v>
      </c>
      <c r="F2780" s="5" t="s">
        <v>6714</v>
      </c>
      <c r="I2780" s="11">
        <v>4</v>
      </c>
      <c r="K2780" s="12"/>
      <c r="O2780" s="12"/>
      <c r="P2780" s="13">
        <v>28396</v>
      </c>
      <c r="Q2780" s="13">
        <v>29859</v>
      </c>
      <c r="S2780" s="13">
        <v>37232</v>
      </c>
      <c r="AC2780" s="10" t="s">
        <v>6718</v>
      </c>
      <c r="AD2780" s="5" t="s">
        <v>6719</v>
      </c>
      <c r="AE2780" s="5" t="s">
        <v>176</v>
      </c>
      <c r="AF2780" s="5" t="s">
        <v>6720</v>
      </c>
    </row>
    <row r="2781" spans="1:32" ht="10" customHeight="1" x14ac:dyDescent="0.2">
      <c r="A2781" s="5" t="s">
        <v>6457</v>
      </c>
      <c r="B2781" s="5" t="s">
        <v>41</v>
      </c>
      <c r="D2781" s="5" t="s">
        <v>6721</v>
      </c>
      <c r="E2781" s="10" t="s">
        <v>53</v>
      </c>
      <c r="F2781" s="5" t="s">
        <v>6714</v>
      </c>
      <c r="I2781" s="11">
        <v>4</v>
      </c>
      <c r="K2781" s="12"/>
      <c r="O2781" s="12"/>
      <c r="P2781" s="13">
        <v>9031</v>
      </c>
      <c r="Q2781" s="13">
        <v>7382</v>
      </c>
      <c r="S2781" s="13">
        <v>4847</v>
      </c>
      <c r="AC2781" s="10" t="s">
        <v>6722</v>
      </c>
      <c r="AD2781" s="5" t="s">
        <v>6723</v>
      </c>
      <c r="AE2781" s="5" t="s">
        <v>176</v>
      </c>
      <c r="AF2781" s="5" t="s">
        <v>6724</v>
      </c>
    </row>
    <row r="2782" spans="1:32" ht="10" customHeight="1" x14ac:dyDescent="0.2">
      <c r="A2782" s="5" t="s">
        <v>6457</v>
      </c>
      <c r="B2782" s="5" t="s">
        <v>41</v>
      </c>
      <c r="D2782" s="5" t="s">
        <v>6725</v>
      </c>
      <c r="E2782" s="10" t="s">
        <v>53</v>
      </c>
      <c r="F2782" s="5" t="s">
        <v>6714</v>
      </c>
      <c r="I2782" s="11">
        <v>4</v>
      </c>
      <c r="K2782" s="10" t="s">
        <v>46</v>
      </c>
      <c r="L2782" s="5" t="s">
        <v>47</v>
      </c>
      <c r="M2782" s="5" t="s">
        <v>145</v>
      </c>
      <c r="O2782" s="12"/>
      <c r="P2782" s="13">
        <v>3536</v>
      </c>
      <c r="Q2782" s="13">
        <v>2961</v>
      </c>
      <c r="S2782" s="13">
        <v>6534</v>
      </c>
      <c r="AC2782" s="10" t="s">
        <v>6726</v>
      </c>
      <c r="AD2782" s="5" t="s">
        <v>6727</v>
      </c>
      <c r="AE2782" s="5" t="s">
        <v>176</v>
      </c>
    </row>
    <row r="2783" spans="1:32" ht="10" customHeight="1" x14ac:dyDescent="0.2">
      <c r="A2783" s="5" t="s">
        <v>6457</v>
      </c>
      <c r="B2783" s="5" t="s">
        <v>41</v>
      </c>
      <c r="C2783" s="5" t="s">
        <v>6728</v>
      </c>
      <c r="D2783" s="5" t="s">
        <v>6729</v>
      </c>
      <c r="E2783" s="12"/>
      <c r="I2783" s="11">
        <v>4</v>
      </c>
      <c r="K2783" s="12"/>
      <c r="O2783" s="12"/>
      <c r="P2783" s="13">
        <v>14299</v>
      </c>
      <c r="Q2783" s="13">
        <v>9209</v>
      </c>
      <c r="S2783" s="13">
        <v>11138</v>
      </c>
      <c r="T2783" s="13">
        <v>0</v>
      </c>
      <c r="U2783" s="13">
        <v>11138</v>
      </c>
      <c r="Z2783" s="13">
        <v>15097</v>
      </c>
      <c r="AB2783" s="13">
        <v>15097</v>
      </c>
      <c r="AC2783" s="10" t="s">
        <v>6730</v>
      </c>
      <c r="AD2783" s="5" t="s">
        <v>6727</v>
      </c>
      <c r="AE2783" s="5" t="s">
        <v>6728</v>
      </c>
      <c r="AF2783" s="5" t="s">
        <v>6729</v>
      </c>
    </row>
    <row r="2784" spans="1:32" ht="10" customHeight="1" x14ac:dyDescent="0.2">
      <c r="A2784" s="5" t="s">
        <v>6457</v>
      </c>
      <c r="B2784" s="5" t="s">
        <v>41</v>
      </c>
      <c r="C2784" s="5" t="s">
        <v>6731</v>
      </c>
      <c r="D2784" s="5" t="s">
        <v>6732</v>
      </c>
      <c r="E2784" s="12"/>
      <c r="I2784" s="11">
        <v>4</v>
      </c>
      <c r="K2784" s="10" t="s">
        <v>46</v>
      </c>
      <c r="L2784" s="5" t="s">
        <v>47</v>
      </c>
      <c r="M2784" s="5" t="s">
        <v>48</v>
      </c>
      <c r="N2784" s="5" t="s">
        <v>84</v>
      </c>
      <c r="O2784" s="12"/>
      <c r="P2784" s="13">
        <v>71070</v>
      </c>
      <c r="Q2784" s="13">
        <v>129467</v>
      </c>
      <c r="S2784" s="13">
        <v>113115</v>
      </c>
      <c r="T2784" s="13">
        <v>0</v>
      </c>
      <c r="U2784" s="13">
        <v>113115</v>
      </c>
      <c r="Z2784" s="13">
        <v>173069</v>
      </c>
      <c r="AB2784" s="13">
        <v>173069</v>
      </c>
      <c r="AC2784" s="10" t="s">
        <v>6733</v>
      </c>
      <c r="AD2784" s="5" t="s">
        <v>6734</v>
      </c>
      <c r="AE2784" s="5" t="s">
        <v>6731</v>
      </c>
      <c r="AF2784" s="5" t="s">
        <v>6732</v>
      </c>
    </row>
    <row r="2785" spans="1:32" ht="10" customHeight="1" x14ac:dyDescent="0.2">
      <c r="A2785" s="5" t="s">
        <v>6457</v>
      </c>
      <c r="B2785" s="5" t="s">
        <v>41</v>
      </c>
      <c r="C2785" s="5" t="s">
        <v>6735</v>
      </c>
      <c r="D2785" s="5" t="s">
        <v>6736</v>
      </c>
      <c r="E2785" s="12"/>
      <c r="I2785" s="11">
        <v>4</v>
      </c>
      <c r="K2785" s="10" t="s">
        <v>46</v>
      </c>
      <c r="L2785" s="5" t="s">
        <v>47</v>
      </c>
      <c r="M2785" s="5" t="s">
        <v>48</v>
      </c>
      <c r="N2785" s="5" t="s">
        <v>84</v>
      </c>
      <c r="O2785" s="12"/>
      <c r="P2785" s="13">
        <v>82595</v>
      </c>
      <c r="Q2785" s="13">
        <v>68334</v>
      </c>
      <c r="S2785" s="13">
        <v>84584</v>
      </c>
      <c r="T2785" s="13">
        <v>0</v>
      </c>
      <c r="U2785" s="13">
        <v>84584</v>
      </c>
      <c r="Z2785" s="13">
        <v>88071</v>
      </c>
      <c r="AB2785" s="13">
        <v>88071</v>
      </c>
      <c r="AC2785" s="10" t="s">
        <v>6737</v>
      </c>
      <c r="AD2785" s="5" t="s">
        <v>6738</v>
      </c>
      <c r="AE2785" s="5" t="s">
        <v>6735</v>
      </c>
      <c r="AF2785" s="5" t="s">
        <v>6736</v>
      </c>
    </row>
    <row r="2786" spans="1:32" ht="10" customHeight="1" x14ac:dyDescent="0.2">
      <c r="A2786" s="5" t="s">
        <v>6457</v>
      </c>
      <c r="B2786" s="5" t="s">
        <v>41</v>
      </c>
      <c r="C2786" s="5" t="s">
        <v>6739</v>
      </c>
      <c r="D2786" s="5" t="s">
        <v>6740</v>
      </c>
      <c r="E2786" s="10" t="s">
        <v>44</v>
      </c>
      <c r="I2786" s="11">
        <v>4</v>
      </c>
      <c r="K2786" s="12"/>
      <c r="O2786" s="12"/>
      <c r="P2786" s="13">
        <v>69855</v>
      </c>
      <c r="Q2786" s="13">
        <v>59745</v>
      </c>
      <c r="S2786" s="13">
        <v>62943</v>
      </c>
      <c r="T2786" s="13">
        <v>0</v>
      </c>
      <c r="U2786" s="13">
        <v>62943</v>
      </c>
      <c r="Z2786" s="13">
        <v>57961</v>
      </c>
      <c r="AB2786" s="13">
        <v>57961</v>
      </c>
      <c r="AC2786" s="10" t="s">
        <v>6741</v>
      </c>
      <c r="AD2786" s="5" t="s">
        <v>6742</v>
      </c>
      <c r="AE2786" s="5" t="s">
        <v>6739</v>
      </c>
      <c r="AF2786" s="5" t="s">
        <v>6740</v>
      </c>
    </row>
    <row r="2787" spans="1:32" ht="10" customHeight="1" x14ac:dyDescent="0.2">
      <c r="A2787" s="5" t="s">
        <v>6457</v>
      </c>
      <c r="B2787" s="5" t="s">
        <v>41</v>
      </c>
      <c r="D2787" s="5" t="s">
        <v>6743</v>
      </c>
      <c r="E2787" s="10" t="s">
        <v>53</v>
      </c>
      <c r="F2787" s="5" t="s">
        <v>6744</v>
      </c>
      <c r="I2787" s="11">
        <v>4</v>
      </c>
      <c r="K2787" s="12"/>
      <c r="O2787" s="12"/>
      <c r="P2787" s="13">
        <v>8798</v>
      </c>
      <c r="Q2787" s="13">
        <v>8295</v>
      </c>
      <c r="S2787" s="13">
        <v>7840</v>
      </c>
      <c r="AC2787" s="10" t="s">
        <v>6745</v>
      </c>
      <c r="AD2787" s="5" t="s">
        <v>6746</v>
      </c>
      <c r="AE2787" s="5" t="s">
        <v>6739</v>
      </c>
    </row>
    <row r="2788" spans="1:32" ht="10" customHeight="1" x14ac:dyDescent="0.2">
      <c r="A2788" s="5" t="s">
        <v>6457</v>
      </c>
      <c r="B2788" s="5" t="s">
        <v>41</v>
      </c>
      <c r="D2788" s="5" t="s">
        <v>4130</v>
      </c>
      <c r="E2788" s="10" t="s">
        <v>53</v>
      </c>
      <c r="F2788" s="5" t="s">
        <v>6744</v>
      </c>
      <c r="I2788" s="11">
        <v>4</v>
      </c>
      <c r="K2788" s="12"/>
      <c r="O2788" s="12"/>
      <c r="P2788" s="13">
        <v>52424</v>
      </c>
      <c r="Q2788" s="13">
        <v>40044</v>
      </c>
      <c r="S2788" s="13">
        <v>41062</v>
      </c>
      <c r="AC2788" s="10" t="s">
        <v>6747</v>
      </c>
      <c r="AD2788" s="5" t="s">
        <v>6748</v>
      </c>
      <c r="AE2788" s="5" t="s">
        <v>6739</v>
      </c>
      <c r="AF2788" s="5" t="s">
        <v>6749</v>
      </c>
    </row>
    <row r="2789" spans="1:32" ht="10" customHeight="1" x14ac:dyDescent="0.2">
      <c r="A2789" s="5" t="s">
        <v>6457</v>
      </c>
      <c r="B2789" s="5" t="s">
        <v>41</v>
      </c>
      <c r="D2789" s="5" t="s">
        <v>6750</v>
      </c>
      <c r="E2789" s="10" t="s">
        <v>53</v>
      </c>
      <c r="F2789" s="5" t="s">
        <v>6744</v>
      </c>
      <c r="I2789" s="11">
        <v>4</v>
      </c>
      <c r="K2789" s="12"/>
      <c r="O2789" s="12"/>
      <c r="P2789" s="13">
        <v>255</v>
      </c>
      <c r="Q2789" s="13">
        <v>11406</v>
      </c>
      <c r="S2789" s="13">
        <v>14041</v>
      </c>
      <c r="AC2789" s="10" t="s">
        <v>6751</v>
      </c>
      <c r="AD2789" s="5" t="s">
        <v>6752</v>
      </c>
      <c r="AE2789" s="5" t="s">
        <v>6739</v>
      </c>
      <c r="AF2789" s="5" t="s">
        <v>6753</v>
      </c>
    </row>
    <row r="2790" spans="1:32" ht="10" customHeight="1" x14ac:dyDescent="0.2">
      <c r="A2790" s="5" t="s">
        <v>6457</v>
      </c>
      <c r="B2790" s="5" t="s">
        <v>41</v>
      </c>
      <c r="C2790" s="5" t="s">
        <v>6754</v>
      </c>
      <c r="D2790" s="5" t="s">
        <v>6755</v>
      </c>
      <c r="E2790" s="10" t="s">
        <v>44</v>
      </c>
      <c r="I2790" s="11">
        <v>4</v>
      </c>
      <c r="K2790" s="12"/>
      <c r="O2790" s="12"/>
      <c r="P2790" s="13">
        <v>37896</v>
      </c>
      <c r="Q2790" s="13">
        <v>163071</v>
      </c>
      <c r="S2790" s="13">
        <v>63433</v>
      </c>
      <c r="T2790" s="13">
        <v>0</v>
      </c>
      <c r="U2790" s="13">
        <v>63433</v>
      </c>
      <c r="Z2790" s="13">
        <v>57768</v>
      </c>
      <c r="AB2790" s="13">
        <v>57768</v>
      </c>
      <c r="AC2790" s="10" t="s">
        <v>6756</v>
      </c>
      <c r="AD2790" s="5" t="s">
        <v>6757</v>
      </c>
      <c r="AE2790" s="5" t="s">
        <v>6754</v>
      </c>
      <c r="AF2790" s="5" t="s">
        <v>6755</v>
      </c>
    </row>
    <row r="2791" spans="1:32" ht="10" customHeight="1" x14ac:dyDescent="0.2">
      <c r="A2791" s="5" t="s">
        <v>6457</v>
      </c>
      <c r="B2791" s="5" t="s">
        <v>41</v>
      </c>
      <c r="D2791" s="5" t="s">
        <v>6758</v>
      </c>
      <c r="E2791" s="10" t="s">
        <v>53</v>
      </c>
      <c r="F2791" s="5" t="s">
        <v>6759</v>
      </c>
      <c r="I2791" s="11">
        <v>4</v>
      </c>
      <c r="K2791" s="12"/>
      <c r="O2791" s="12"/>
      <c r="P2791" s="13">
        <v>21436</v>
      </c>
      <c r="Q2791" s="13">
        <v>26944</v>
      </c>
      <c r="S2791" s="13">
        <v>18953</v>
      </c>
      <c r="AC2791" s="10" t="s">
        <v>6760</v>
      </c>
      <c r="AD2791" s="5" t="s">
        <v>6761</v>
      </c>
      <c r="AE2791" s="5" t="s">
        <v>6754</v>
      </c>
    </row>
    <row r="2792" spans="1:32" ht="10" customHeight="1" x14ac:dyDescent="0.2">
      <c r="A2792" s="5" t="s">
        <v>6457</v>
      </c>
      <c r="B2792" s="5" t="s">
        <v>41</v>
      </c>
      <c r="C2792" s="5" t="s">
        <v>6762</v>
      </c>
      <c r="D2792" s="5" t="s">
        <v>6763</v>
      </c>
      <c r="E2792" s="12"/>
      <c r="I2792" s="11">
        <v>4</v>
      </c>
      <c r="K2792" s="12"/>
      <c r="O2792" s="12"/>
      <c r="S2792" s="13">
        <v>220453</v>
      </c>
      <c r="T2792" s="13">
        <v>0</v>
      </c>
      <c r="U2792" s="13">
        <v>220453</v>
      </c>
      <c r="Z2792" s="13">
        <v>202305</v>
      </c>
      <c r="AB2792" s="13">
        <v>202305</v>
      </c>
      <c r="AC2792" s="10" t="s">
        <v>6764</v>
      </c>
      <c r="AD2792" s="5" t="s">
        <v>6765</v>
      </c>
      <c r="AE2792" s="5" t="s">
        <v>6762</v>
      </c>
      <c r="AF2792" s="5" t="s">
        <v>6763</v>
      </c>
    </row>
    <row r="2793" spans="1:32" ht="10" customHeight="1" x14ac:dyDescent="0.2">
      <c r="A2793" s="5" t="s">
        <v>6457</v>
      </c>
      <c r="B2793" s="5" t="s">
        <v>41</v>
      </c>
      <c r="C2793" s="5" t="s">
        <v>6766</v>
      </c>
      <c r="D2793" s="5" t="s">
        <v>6767</v>
      </c>
      <c r="E2793" s="12"/>
      <c r="I2793" s="11">
        <v>4</v>
      </c>
      <c r="K2793" s="12"/>
      <c r="O2793" s="12"/>
      <c r="P2793" s="13">
        <v>3473</v>
      </c>
      <c r="Q2793" s="13">
        <v>4551</v>
      </c>
      <c r="S2793" s="13">
        <v>3389</v>
      </c>
      <c r="T2793" s="13">
        <v>0</v>
      </c>
      <c r="U2793" s="13">
        <v>3389</v>
      </c>
      <c r="AC2793" s="10" t="s">
        <v>6768</v>
      </c>
      <c r="AD2793" s="5" t="s">
        <v>6769</v>
      </c>
      <c r="AE2793" s="5" t="s">
        <v>6766</v>
      </c>
      <c r="AF2793" s="5" t="s">
        <v>6770</v>
      </c>
    </row>
    <row r="2794" spans="1:32" ht="10" customHeight="1" x14ac:dyDescent="0.2">
      <c r="A2794" s="5" t="s">
        <v>6457</v>
      </c>
      <c r="B2794" s="5" t="s">
        <v>41</v>
      </c>
      <c r="C2794" s="5" t="s">
        <v>6771</v>
      </c>
      <c r="D2794" s="5" t="s">
        <v>6772</v>
      </c>
      <c r="E2794" s="10" t="s">
        <v>44</v>
      </c>
      <c r="I2794" s="11">
        <v>4</v>
      </c>
      <c r="K2794" s="12"/>
      <c r="O2794" s="12"/>
      <c r="P2794" s="13">
        <v>153614</v>
      </c>
      <c r="Q2794" s="13">
        <v>155188</v>
      </c>
      <c r="S2794" s="13">
        <v>191239</v>
      </c>
      <c r="T2794" s="13">
        <v>0</v>
      </c>
      <c r="U2794" s="13">
        <v>191239</v>
      </c>
      <c r="Z2794" s="13">
        <v>349099</v>
      </c>
      <c r="AB2794" s="13">
        <v>349099</v>
      </c>
      <c r="AC2794" s="10" t="s">
        <v>6773</v>
      </c>
      <c r="AD2794" s="5" t="s">
        <v>6774</v>
      </c>
      <c r="AE2794" s="5" t="s">
        <v>6771</v>
      </c>
      <c r="AF2794" s="5" t="s">
        <v>6772</v>
      </c>
    </row>
    <row r="2795" spans="1:32" ht="10" customHeight="1" x14ac:dyDescent="0.2">
      <c r="A2795" s="5" t="s">
        <v>6457</v>
      </c>
      <c r="B2795" s="5" t="s">
        <v>41</v>
      </c>
      <c r="D2795" s="5" t="s">
        <v>6775</v>
      </c>
      <c r="E2795" s="10" t="s">
        <v>53</v>
      </c>
      <c r="F2795" s="5" t="s">
        <v>6776</v>
      </c>
      <c r="I2795" s="11">
        <v>4</v>
      </c>
      <c r="K2795" s="12"/>
      <c r="O2795" s="12"/>
      <c r="P2795" s="13">
        <v>29831</v>
      </c>
      <c r="Q2795" s="13">
        <v>27717</v>
      </c>
      <c r="S2795" s="13">
        <v>27688</v>
      </c>
      <c r="AC2795" s="10" t="s">
        <v>6777</v>
      </c>
      <c r="AD2795" s="5" t="s">
        <v>6778</v>
      </c>
      <c r="AE2795" s="5" t="s">
        <v>6771</v>
      </c>
    </row>
    <row r="2796" spans="1:32" ht="10" customHeight="1" x14ac:dyDescent="0.2">
      <c r="A2796" s="5" t="s">
        <v>6457</v>
      </c>
      <c r="B2796" s="5" t="s">
        <v>41</v>
      </c>
      <c r="D2796" s="5" t="s">
        <v>6779</v>
      </c>
      <c r="E2796" s="10" t="s">
        <v>53</v>
      </c>
      <c r="F2796" s="5" t="s">
        <v>6776</v>
      </c>
      <c r="I2796" s="11">
        <v>4</v>
      </c>
      <c r="K2796" s="12"/>
      <c r="O2796" s="12"/>
      <c r="P2796" s="13">
        <v>29311</v>
      </c>
      <c r="Q2796" s="13">
        <v>41876</v>
      </c>
      <c r="S2796" s="13">
        <v>58188</v>
      </c>
      <c r="AC2796" s="10" t="s">
        <v>6780</v>
      </c>
      <c r="AD2796" s="5" t="s">
        <v>6781</v>
      </c>
      <c r="AE2796" s="5" t="s">
        <v>6771</v>
      </c>
      <c r="AF2796" s="5" t="s">
        <v>6782</v>
      </c>
    </row>
    <row r="2797" spans="1:32" ht="10" customHeight="1" x14ac:dyDescent="0.2">
      <c r="A2797" s="5" t="s">
        <v>6457</v>
      </c>
      <c r="B2797" s="5" t="s">
        <v>41</v>
      </c>
      <c r="D2797" s="5" t="s">
        <v>6783</v>
      </c>
      <c r="E2797" s="10" t="s">
        <v>53</v>
      </c>
      <c r="F2797" s="5" t="s">
        <v>6776</v>
      </c>
      <c r="I2797" s="11">
        <v>4</v>
      </c>
      <c r="K2797" s="12"/>
      <c r="O2797" s="12"/>
      <c r="P2797" s="13">
        <v>8158</v>
      </c>
      <c r="Q2797" s="13">
        <v>7447</v>
      </c>
      <c r="S2797" s="13">
        <v>7140</v>
      </c>
      <c r="AC2797" s="10" t="s">
        <v>6784</v>
      </c>
      <c r="AD2797" s="5" t="s">
        <v>6785</v>
      </c>
      <c r="AE2797" s="5" t="s">
        <v>6771</v>
      </c>
      <c r="AF2797" s="5" t="s">
        <v>6786</v>
      </c>
    </row>
    <row r="2798" spans="1:32" ht="10" customHeight="1" x14ac:dyDescent="0.2">
      <c r="A2798" s="5" t="s">
        <v>6457</v>
      </c>
      <c r="B2798" s="5" t="s">
        <v>41</v>
      </c>
      <c r="D2798" s="5" t="s">
        <v>6787</v>
      </c>
      <c r="E2798" s="10" t="s">
        <v>53</v>
      </c>
      <c r="F2798" s="5" t="s">
        <v>6776</v>
      </c>
      <c r="I2798" s="11">
        <v>4</v>
      </c>
      <c r="K2798" s="12"/>
      <c r="O2798" s="12"/>
      <c r="P2798" s="13">
        <v>2948</v>
      </c>
      <c r="Q2798" s="13">
        <v>13319</v>
      </c>
      <c r="S2798" s="13">
        <v>14571</v>
      </c>
      <c r="AC2798" s="10" t="s">
        <v>6788</v>
      </c>
      <c r="AD2798" s="5" t="s">
        <v>6789</v>
      </c>
      <c r="AE2798" s="5" t="s">
        <v>6771</v>
      </c>
    </row>
    <row r="2799" spans="1:32" ht="10" customHeight="1" x14ac:dyDescent="0.2">
      <c r="A2799" s="5" t="s">
        <v>6457</v>
      </c>
      <c r="B2799" s="5" t="s">
        <v>41</v>
      </c>
      <c r="C2799" s="5" t="s">
        <v>6790</v>
      </c>
      <c r="D2799" s="5" t="s">
        <v>6791</v>
      </c>
      <c r="E2799" s="12"/>
      <c r="I2799" s="11">
        <v>4</v>
      </c>
      <c r="K2799" s="12"/>
      <c r="O2799" s="12"/>
      <c r="P2799" s="13">
        <v>1078</v>
      </c>
      <c r="Q2799" s="13">
        <v>1100</v>
      </c>
      <c r="S2799" s="13">
        <v>1122</v>
      </c>
      <c r="T2799" s="13">
        <v>0</v>
      </c>
      <c r="U2799" s="13">
        <v>1122</v>
      </c>
      <c r="Z2799" s="13">
        <v>1063</v>
      </c>
      <c r="AB2799" s="13">
        <v>1063</v>
      </c>
      <c r="AC2799" s="10" t="s">
        <v>6792</v>
      </c>
      <c r="AD2799" s="5" t="s">
        <v>6793</v>
      </c>
      <c r="AE2799" s="5" t="s">
        <v>6790</v>
      </c>
      <c r="AF2799" s="5" t="s">
        <v>6794</v>
      </c>
    </row>
    <row r="2800" spans="1:32" ht="10" customHeight="1" x14ac:dyDescent="0.2">
      <c r="A2800" s="5" t="s">
        <v>6457</v>
      </c>
      <c r="B2800" s="5" t="s">
        <v>41</v>
      </c>
      <c r="C2800" s="5" t="s">
        <v>6795</v>
      </c>
      <c r="D2800" s="5" t="s">
        <v>6796</v>
      </c>
      <c r="E2800" s="12"/>
      <c r="I2800" s="11">
        <v>4</v>
      </c>
      <c r="K2800" s="12"/>
      <c r="O2800" s="12"/>
      <c r="P2800" s="13">
        <v>17071</v>
      </c>
      <c r="Q2800" s="13">
        <v>15506</v>
      </c>
      <c r="S2800" s="13">
        <v>7841</v>
      </c>
      <c r="T2800" s="13">
        <v>0</v>
      </c>
      <c r="U2800" s="13">
        <v>7841</v>
      </c>
      <c r="Z2800" s="13">
        <v>7419</v>
      </c>
      <c r="AB2800" s="13">
        <v>7419</v>
      </c>
      <c r="AC2800" s="10" t="s">
        <v>6797</v>
      </c>
      <c r="AD2800" s="5" t="s">
        <v>6798</v>
      </c>
      <c r="AE2800" s="5" t="s">
        <v>6795</v>
      </c>
      <c r="AF2800" s="5" t="s">
        <v>6796</v>
      </c>
    </row>
    <row r="2801" spans="1:33" ht="10" customHeight="1" x14ac:dyDescent="0.2">
      <c r="A2801" s="5" t="s">
        <v>6457</v>
      </c>
      <c r="B2801" s="5" t="s">
        <v>41</v>
      </c>
      <c r="C2801" s="5" t="s">
        <v>6799</v>
      </c>
      <c r="D2801" s="5" t="s">
        <v>6800</v>
      </c>
      <c r="E2801" s="10" t="s">
        <v>44</v>
      </c>
      <c r="I2801" s="11">
        <v>4</v>
      </c>
      <c r="K2801" s="12"/>
      <c r="O2801" s="12"/>
      <c r="P2801" s="13">
        <v>70678</v>
      </c>
      <c r="Q2801" s="13">
        <v>49523</v>
      </c>
      <c r="S2801" s="13">
        <v>61512</v>
      </c>
      <c r="T2801" s="13">
        <v>0</v>
      </c>
      <c r="U2801" s="13">
        <v>61512</v>
      </c>
      <c r="Z2801" s="13">
        <v>67106</v>
      </c>
      <c r="AB2801" s="13">
        <v>67106</v>
      </c>
      <c r="AC2801" s="10" t="s">
        <v>6801</v>
      </c>
      <c r="AD2801" s="5" t="s">
        <v>6802</v>
      </c>
      <c r="AE2801" s="5" t="s">
        <v>6799</v>
      </c>
    </row>
    <row r="2802" spans="1:33" ht="10" customHeight="1" x14ac:dyDescent="0.2">
      <c r="A2802" s="5" t="s">
        <v>6457</v>
      </c>
      <c r="B2802" s="5" t="s">
        <v>41</v>
      </c>
      <c r="D2802" s="5" t="s">
        <v>6803</v>
      </c>
      <c r="E2802" s="10" t="s">
        <v>53</v>
      </c>
      <c r="F2802" s="5" t="s">
        <v>6804</v>
      </c>
      <c r="I2802" s="11">
        <v>4</v>
      </c>
      <c r="K2802" s="10" t="s">
        <v>6805</v>
      </c>
      <c r="L2802" s="5" t="s">
        <v>6806</v>
      </c>
      <c r="M2802" s="5" t="s">
        <v>6807</v>
      </c>
      <c r="N2802" s="5" t="s">
        <v>6808</v>
      </c>
      <c r="O2802" s="12"/>
      <c r="P2802" s="13">
        <v>569</v>
      </c>
      <c r="Q2802" s="13">
        <v>587</v>
      </c>
      <c r="S2802" s="13">
        <v>603</v>
      </c>
      <c r="AC2802" s="10" t="s">
        <v>6809</v>
      </c>
      <c r="AD2802" s="5" t="s">
        <v>6802</v>
      </c>
      <c r="AE2802" s="5" t="s">
        <v>6799</v>
      </c>
      <c r="AF2802" s="5" t="s">
        <v>6803</v>
      </c>
      <c r="AG2802" s="5" t="s">
        <v>6810</v>
      </c>
    </row>
    <row r="2803" spans="1:33" ht="10" customHeight="1" x14ac:dyDescent="0.2">
      <c r="A2803" s="5" t="s">
        <v>6457</v>
      </c>
      <c r="B2803" s="5" t="s">
        <v>41</v>
      </c>
      <c r="D2803" s="5" t="s">
        <v>6811</v>
      </c>
      <c r="E2803" s="10" t="s">
        <v>53</v>
      </c>
      <c r="F2803" s="5" t="s">
        <v>6804</v>
      </c>
      <c r="I2803" s="11">
        <v>4</v>
      </c>
      <c r="K2803" s="12"/>
      <c r="O2803" s="12"/>
      <c r="P2803" s="13">
        <v>3477</v>
      </c>
      <c r="Q2803" s="13">
        <v>2323</v>
      </c>
      <c r="S2803" s="13">
        <v>3784</v>
      </c>
      <c r="AC2803" s="10" t="s">
        <v>6812</v>
      </c>
      <c r="AD2803" s="5" t="s">
        <v>6802</v>
      </c>
      <c r="AE2803" s="5" t="s">
        <v>6799</v>
      </c>
      <c r="AF2803" s="5" t="s">
        <v>6811</v>
      </c>
      <c r="AG2803" s="5" t="s">
        <v>6813</v>
      </c>
    </row>
    <row r="2804" spans="1:33" ht="10" customHeight="1" x14ac:dyDescent="0.2">
      <c r="A2804" s="5" t="s">
        <v>6457</v>
      </c>
      <c r="B2804" s="5" t="s">
        <v>41</v>
      </c>
      <c r="D2804" s="5" t="s">
        <v>6814</v>
      </c>
      <c r="E2804" s="10" t="s">
        <v>53</v>
      </c>
      <c r="F2804" s="5" t="s">
        <v>6804</v>
      </c>
      <c r="I2804" s="11">
        <v>4</v>
      </c>
      <c r="K2804" s="12"/>
      <c r="O2804" s="12"/>
      <c r="P2804" s="13">
        <v>2190</v>
      </c>
      <c r="Q2804" s="13">
        <v>598</v>
      </c>
      <c r="S2804" s="13">
        <v>1969</v>
      </c>
      <c r="AC2804" s="10" t="s">
        <v>6815</v>
      </c>
      <c r="AD2804" s="5" t="s">
        <v>6802</v>
      </c>
      <c r="AE2804" s="5" t="s">
        <v>6799</v>
      </c>
      <c r="AF2804" s="5" t="s">
        <v>6814</v>
      </c>
      <c r="AG2804" s="5" t="s">
        <v>6816</v>
      </c>
    </row>
    <row r="2805" spans="1:33" ht="10" customHeight="1" x14ac:dyDescent="0.2">
      <c r="A2805" s="5" t="s">
        <v>6457</v>
      </c>
      <c r="B2805" s="5" t="s">
        <v>41</v>
      </c>
      <c r="D2805" s="5" t="s">
        <v>6817</v>
      </c>
      <c r="E2805" s="10" t="s">
        <v>53</v>
      </c>
      <c r="F2805" s="5" t="s">
        <v>6804</v>
      </c>
      <c r="I2805" s="11">
        <v>4</v>
      </c>
      <c r="K2805" s="10" t="s">
        <v>6805</v>
      </c>
      <c r="L2805" s="5" t="s">
        <v>6806</v>
      </c>
      <c r="M2805" s="5" t="s">
        <v>6807</v>
      </c>
      <c r="N2805" s="5" t="s">
        <v>6808</v>
      </c>
      <c r="O2805" s="12"/>
      <c r="P2805" s="13">
        <v>0</v>
      </c>
      <c r="Q2805" s="13">
        <v>0</v>
      </c>
      <c r="S2805" s="13">
        <v>0</v>
      </c>
      <c r="AC2805" s="10" t="s">
        <v>6818</v>
      </c>
      <c r="AD2805" s="5" t="s">
        <v>6802</v>
      </c>
      <c r="AE2805" s="5" t="s">
        <v>6799</v>
      </c>
      <c r="AG2805" s="5" t="s">
        <v>6819</v>
      </c>
    </row>
    <row r="2806" spans="1:33" ht="10" customHeight="1" x14ac:dyDescent="0.2">
      <c r="A2806" s="5" t="s">
        <v>6457</v>
      </c>
      <c r="B2806" s="5" t="s">
        <v>41</v>
      </c>
      <c r="D2806" s="5" t="s">
        <v>6820</v>
      </c>
      <c r="E2806" s="10" t="s">
        <v>53</v>
      </c>
      <c r="F2806" s="5" t="s">
        <v>6804</v>
      </c>
      <c r="I2806" s="11">
        <v>4</v>
      </c>
      <c r="K2806" s="12"/>
      <c r="O2806" s="12"/>
      <c r="P2806" s="13">
        <v>16222</v>
      </c>
      <c r="Q2806" s="13">
        <v>16597</v>
      </c>
      <c r="S2806" s="13">
        <v>19859</v>
      </c>
      <c r="AC2806" s="10" t="s">
        <v>6821</v>
      </c>
      <c r="AD2806" s="5" t="s">
        <v>6822</v>
      </c>
      <c r="AE2806" s="5" t="s">
        <v>6799</v>
      </c>
      <c r="AF2806" s="5" t="s">
        <v>6820</v>
      </c>
      <c r="AG2806" s="5" t="s">
        <v>6823</v>
      </c>
    </row>
    <row r="2807" spans="1:33" ht="10" customHeight="1" x14ac:dyDescent="0.2">
      <c r="A2807" s="5" t="s">
        <v>6457</v>
      </c>
      <c r="B2807" s="5" t="s">
        <v>41</v>
      </c>
      <c r="D2807" s="5" t="s">
        <v>6824</v>
      </c>
      <c r="E2807" s="10" t="s">
        <v>53</v>
      </c>
      <c r="F2807" s="5" t="s">
        <v>6804</v>
      </c>
      <c r="I2807" s="11">
        <v>4</v>
      </c>
      <c r="K2807" s="12"/>
      <c r="O2807" s="12"/>
      <c r="P2807" s="13">
        <v>17420</v>
      </c>
      <c r="Q2807" s="13">
        <v>15112</v>
      </c>
      <c r="S2807" s="13">
        <v>17741</v>
      </c>
      <c r="AC2807" s="10" t="s">
        <v>6825</v>
      </c>
      <c r="AD2807" s="5" t="s">
        <v>6822</v>
      </c>
      <c r="AE2807" s="5" t="s">
        <v>6799</v>
      </c>
      <c r="AF2807" s="5" t="s">
        <v>6824</v>
      </c>
      <c r="AG2807" s="5" t="s">
        <v>6826</v>
      </c>
    </row>
    <row r="2808" spans="1:33" ht="10" customHeight="1" x14ac:dyDescent="0.2">
      <c r="A2808" s="5" t="s">
        <v>6457</v>
      </c>
      <c r="B2808" s="5" t="s">
        <v>41</v>
      </c>
      <c r="D2808" s="5" t="s">
        <v>6827</v>
      </c>
      <c r="E2808" s="10" t="s">
        <v>53</v>
      </c>
      <c r="F2808" s="5" t="s">
        <v>6804</v>
      </c>
      <c r="I2808" s="11">
        <v>4</v>
      </c>
      <c r="K2808" s="12"/>
      <c r="O2808" s="12"/>
      <c r="P2808" s="13">
        <v>19143</v>
      </c>
      <c r="Q2808" s="13">
        <v>5974</v>
      </c>
      <c r="S2808" s="13">
        <v>4951</v>
      </c>
      <c r="AC2808" s="10" t="s">
        <v>6828</v>
      </c>
      <c r="AD2808" s="5" t="s">
        <v>6822</v>
      </c>
      <c r="AE2808" s="5" t="s">
        <v>6799</v>
      </c>
      <c r="AF2808" s="5" t="s">
        <v>6827</v>
      </c>
    </row>
    <row r="2809" spans="1:33" ht="10" customHeight="1" x14ac:dyDescent="0.2">
      <c r="A2809" s="5" t="s">
        <v>6457</v>
      </c>
      <c r="B2809" s="5" t="s">
        <v>41</v>
      </c>
      <c r="D2809" s="5" t="s">
        <v>6829</v>
      </c>
      <c r="E2809" s="10" t="s">
        <v>53</v>
      </c>
      <c r="F2809" s="5" t="s">
        <v>6804</v>
      </c>
      <c r="I2809" s="11">
        <v>4</v>
      </c>
      <c r="K2809" s="12"/>
      <c r="O2809" s="12"/>
      <c r="P2809" s="13">
        <v>5776</v>
      </c>
      <c r="Q2809" s="13">
        <v>5616</v>
      </c>
      <c r="S2809" s="13">
        <v>7020</v>
      </c>
      <c r="AC2809" s="10" t="s">
        <v>6830</v>
      </c>
      <c r="AD2809" s="5" t="s">
        <v>6822</v>
      </c>
      <c r="AE2809" s="5" t="s">
        <v>6799</v>
      </c>
      <c r="AF2809" s="5" t="s">
        <v>6829</v>
      </c>
      <c r="AG2809" s="5" t="s">
        <v>6831</v>
      </c>
    </row>
    <row r="2810" spans="1:33" ht="10" customHeight="1" x14ac:dyDescent="0.2">
      <c r="A2810" s="5" t="s">
        <v>6832</v>
      </c>
      <c r="B2810" s="5" t="s">
        <v>41</v>
      </c>
      <c r="C2810" s="5" t="s">
        <v>1417</v>
      </c>
      <c r="D2810" s="5" t="s">
        <v>6833</v>
      </c>
      <c r="E2810" s="10" t="s">
        <v>44</v>
      </c>
      <c r="I2810" s="11">
        <v>6</v>
      </c>
      <c r="K2810" s="12"/>
      <c r="O2810" s="12"/>
      <c r="P2810" s="13">
        <v>310972</v>
      </c>
      <c r="Q2810" s="13">
        <v>353441</v>
      </c>
      <c r="S2810" s="13">
        <v>249908</v>
      </c>
      <c r="T2810" s="13">
        <v>80000</v>
      </c>
      <c r="U2810" s="13">
        <v>329908</v>
      </c>
      <c r="W2810" s="13">
        <v>80000</v>
      </c>
      <c r="X2810" s="13">
        <v>289908</v>
      </c>
      <c r="Y2810" s="13">
        <v>369908</v>
      </c>
      <c r="Z2810" s="13">
        <v>300151</v>
      </c>
      <c r="AB2810" s="13">
        <v>300151</v>
      </c>
      <c r="AC2810" s="10" t="s">
        <v>6834</v>
      </c>
      <c r="AD2810" s="5" t="s">
        <v>62</v>
      </c>
      <c r="AE2810" s="5" t="s">
        <v>6835</v>
      </c>
      <c r="AF2810" s="5" t="s">
        <v>6836</v>
      </c>
    </row>
    <row r="2811" spans="1:33" ht="10" customHeight="1" x14ac:dyDescent="0.2">
      <c r="A2811" s="5" t="s">
        <v>6832</v>
      </c>
      <c r="B2811" s="5" t="s">
        <v>41</v>
      </c>
      <c r="D2811" s="5" t="s">
        <v>6837</v>
      </c>
      <c r="E2811" s="10" t="s">
        <v>53</v>
      </c>
      <c r="F2811" s="5" t="s">
        <v>6838</v>
      </c>
      <c r="I2811" s="11">
        <v>6</v>
      </c>
      <c r="K2811" s="12"/>
      <c r="O2811" s="12"/>
      <c r="P2811" s="13">
        <v>2396</v>
      </c>
      <c r="Q2811" s="13">
        <v>4004</v>
      </c>
      <c r="S2811" s="13">
        <v>1590</v>
      </c>
      <c r="U2811" s="13">
        <v>1590</v>
      </c>
      <c r="AC2811" s="10" t="s">
        <v>6839</v>
      </c>
      <c r="AD2811" s="5" t="s">
        <v>711</v>
      </c>
      <c r="AE2811" s="5" t="s">
        <v>6835</v>
      </c>
      <c r="AF2811" s="5" t="s">
        <v>6836</v>
      </c>
      <c r="AG2811" s="5" t="s">
        <v>6840</v>
      </c>
    </row>
    <row r="2812" spans="1:33" ht="10" customHeight="1" x14ac:dyDescent="0.2">
      <c r="A2812" s="5" t="s">
        <v>6832</v>
      </c>
      <c r="B2812" s="5" t="s">
        <v>41</v>
      </c>
      <c r="D2812" s="5" t="s">
        <v>6841</v>
      </c>
      <c r="E2812" s="10" t="s">
        <v>53</v>
      </c>
      <c r="F2812" s="5" t="s">
        <v>6838</v>
      </c>
      <c r="I2812" s="11">
        <v>6</v>
      </c>
      <c r="K2812" s="12"/>
      <c r="O2812" s="12"/>
      <c r="P2812" s="13">
        <v>133532</v>
      </c>
      <c r="Q2812" s="13">
        <v>176356</v>
      </c>
      <c r="S2812" s="13">
        <v>124802</v>
      </c>
      <c r="U2812" s="13">
        <v>124802</v>
      </c>
      <c r="AC2812" s="10" t="s">
        <v>6839</v>
      </c>
      <c r="AD2812" s="5" t="s">
        <v>711</v>
      </c>
      <c r="AE2812" s="5" t="s">
        <v>6835</v>
      </c>
      <c r="AF2812" s="5" t="s">
        <v>6836</v>
      </c>
      <c r="AG2812" s="5" t="s">
        <v>6842</v>
      </c>
    </row>
    <row r="2813" spans="1:33" ht="10" customHeight="1" x14ac:dyDescent="0.2">
      <c r="A2813" s="5" t="s">
        <v>6832</v>
      </c>
      <c r="B2813" s="5" t="s">
        <v>41</v>
      </c>
      <c r="D2813" s="5" t="s">
        <v>6843</v>
      </c>
      <c r="E2813" s="10" t="s">
        <v>53</v>
      </c>
      <c r="F2813" s="5" t="s">
        <v>6838</v>
      </c>
      <c r="I2813" s="11">
        <v>6</v>
      </c>
      <c r="K2813" s="12"/>
      <c r="O2813" s="12"/>
      <c r="P2813" s="13">
        <v>46840</v>
      </c>
      <c r="Q2813" s="13">
        <v>53014</v>
      </c>
      <c r="S2813" s="13">
        <v>27347</v>
      </c>
      <c r="U2813" s="13">
        <v>27347</v>
      </c>
      <c r="AC2813" s="10" t="s">
        <v>6839</v>
      </c>
      <c r="AD2813" s="5" t="s">
        <v>711</v>
      </c>
      <c r="AE2813" s="5" t="s">
        <v>6835</v>
      </c>
      <c r="AF2813" s="5" t="s">
        <v>6836</v>
      </c>
      <c r="AG2813" s="5" t="s">
        <v>6844</v>
      </c>
    </row>
    <row r="2814" spans="1:33" ht="10" customHeight="1" x14ac:dyDescent="0.2">
      <c r="A2814" s="5" t="s">
        <v>6832</v>
      </c>
      <c r="B2814" s="5" t="s">
        <v>41</v>
      </c>
      <c r="D2814" s="5" t="s">
        <v>6845</v>
      </c>
      <c r="E2814" s="10" t="s">
        <v>53</v>
      </c>
      <c r="F2814" s="5" t="s">
        <v>6838</v>
      </c>
      <c r="I2814" s="11">
        <v>6</v>
      </c>
      <c r="K2814" s="12"/>
      <c r="O2814" s="12"/>
      <c r="P2814" s="13">
        <v>2719</v>
      </c>
      <c r="Q2814" s="13">
        <v>11212</v>
      </c>
      <c r="S2814" s="13">
        <v>18624</v>
      </c>
      <c r="U2814" s="13">
        <v>18624</v>
      </c>
      <c r="AC2814" s="10" t="s">
        <v>6846</v>
      </c>
      <c r="AD2814" s="5" t="s">
        <v>711</v>
      </c>
      <c r="AE2814" s="5" t="s">
        <v>6835</v>
      </c>
      <c r="AF2814" s="5" t="s">
        <v>6836</v>
      </c>
      <c r="AG2814" s="5" t="s">
        <v>6847</v>
      </c>
    </row>
    <row r="2815" spans="1:33" ht="10" customHeight="1" x14ac:dyDescent="0.2">
      <c r="A2815" s="5" t="s">
        <v>6832</v>
      </c>
      <c r="B2815" s="5" t="s">
        <v>41</v>
      </c>
      <c r="D2815" s="5" t="s">
        <v>6848</v>
      </c>
      <c r="E2815" s="10" t="s">
        <v>53</v>
      </c>
      <c r="F2815" s="5" t="s">
        <v>6838</v>
      </c>
      <c r="I2815" s="11">
        <v>6</v>
      </c>
      <c r="K2815" s="12"/>
      <c r="O2815" s="12"/>
      <c r="P2815" s="13">
        <v>113128</v>
      </c>
      <c r="Q2815" s="13">
        <v>66404</v>
      </c>
      <c r="AC2815" s="10" t="s">
        <v>6846</v>
      </c>
      <c r="AD2815" s="5" t="s">
        <v>711</v>
      </c>
      <c r="AE2815" s="5" t="s">
        <v>6835</v>
      </c>
      <c r="AF2815" s="5" t="s">
        <v>6836</v>
      </c>
      <c r="AG2815" s="5" t="s">
        <v>6849</v>
      </c>
    </row>
    <row r="2816" spans="1:33" ht="10" customHeight="1" x14ac:dyDescent="0.2">
      <c r="A2816" s="5" t="s">
        <v>6832</v>
      </c>
      <c r="B2816" s="5" t="s">
        <v>41</v>
      </c>
      <c r="D2816" s="5" t="s">
        <v>6850</v>
      </c>
      <c r="E2816" s="10" t="s">
        <v>53</v>
      </c>
      <c r="F2816" s="5" t="s">
        <v>6838</v>
      </c>
      <c r="I2816" s="11">
        <v>6</v>
      </c>
      <c r="K2816" s="12"/>
      <c r="O2816" s="12"/>
      <c r="Q2816" s="13">
        <v>29991</v>
      </c>
      <c r="S2816" s="13">
        <v>64766</v>
      </c>
      <c r="U2816" s="13">
        <v>64766</v>
      </c>
      <c r="AC2816" s="10" t="s">
        <v>6846</v>
      </c>
      <c r="AD2816" s="5" t="s">
        <v>763</v>
      </c>
      <c r="AE2816" s="5" t="s">
        <v>6835</v>
      </c>
      <c r="AF2816" s="5" t="s">
        <v>6836</v>
      </c>
    </row>
    <row r="2817" spans="1:33" ht="10" customHeight="1" x14ac:dyDescent="0.2">
      <c r="A2817" s="5" t="s">
        <v>6832</v>
      </c>
      <c r="B2817" s="5" t="s">
        <v>41</v>
      </c>
      <c r="D2817" s="5" t="s">
        <v>6851</v>
      </c>
      <c r="E2817" s="10" t="s">
        <v>53</v>
      </c>
      <c r="F2817" s="5" t="s">
        <v>6838</v>
      </c>
      <c r="I2817" s="11">
        <v>6</v>
      </c>
      <c r="K2817" s="12"/>
      <c r="O2817" s="12"/>
      <c r="AC2817" s="10" t="s">
        <v>6852</v>
      </c>
      <c r="AD2817" s="5" t="s">
        <v>763</v>
      </c>
      <c r="AE2817" s="5" t="s">
        <v>6835</v>
      </c>
      <c r="AF2817" s="5" t="s">
        <v>6836</v>
      </c>
      <c r="AG2817" s="5" t="s">
        <v>6853</v>
      </c>
    </row>
    <row r="2818" spans="1:33" ht="10" customHeight="1" x14ac:dyDescent="0.2">
      <c r="A2818" s="5" t="s">
        <v>6832</v>
      </c>
      <c r="B2818" s="5" t="s">
        <v>41</v>
      </c>
      <c r="D2818" s="5" t="s">
        <v>6854</v>
      </c>
      <c r="E2818" s="10" t="s">
        <v>53</v>
      </c>
      <c r="F2818" s="5" t="s">
        <v>6838</v>
      </c>
      <c r="I2818" s="11">
        <v>6</v>
      </c>
      <c r="K2818" s="12"/>
      <c r="O2818" s="12"/>
      <c r="P2818" s="13">
        <v>3444</v>
      </c>
      <c r="Q2818" s="13">
        <v>3379</v>
      </c>
      <c r="S2818" s="13">
        <v>3474</v>
      </c>
      <c r="U2818" s="13">
        <v>3474</v>
      </c>
      <c r="AC2818" s="10" t="s">
        <v>6855</v>
      </c>
      <c r="AD2818" s="5" t="s">
        <v>763</v>
      </c>
      <c r="AE2818" s="5" t="s">
        <v>6835</v>
      </c>
      <c r="AF2818" s="5" t="s">
        <v>6836</v>
      </c>
      <c r="AG2818" s="5" t="s">
        <v>6856</v>
      </c>
    </row>
    <row r="2819" spans="1:33" ht="10" customHeight="1" x14ac:dyDescent="0.2">
      <c r="A2819" s="5" t="s">
        <v>6832</v>
      </c>
      <c r="B2819" s="5" t="s">
        <v>41</v>
      </c>
      <c r="D2819" s="5" t="s">
        <v>6857</v>
      </c>
      <c r="E2819" s="10" t="s">
        <v>53</v>
      </c>
      <c r="F2819" s="5" t="s">
        <v>6838</v>
      </c>
      <c r="I2819" s="11">
        <v>6</v>
      </c>
      <c r="K2819" s="12"/>
      <c r="O2819" s="12"/>
      <c r="P2819" s="13">
        <v>3803</v>
      </c>
      <c r="Q2819" s="13">
        <v>3962</v>
      </c>
      <c r="S2819" s="13">
        <v>4041</v>
      </c>
      <c r="U2819" s="13">
        <v>4041</v>
      </c>
      <c r="AC2819" s="10" t="s">
        <v>6855</v>
      </c>
      <c r="AD2819" s="5" t="s">
        <v>763</v>
      </c>
      <c r="AE2819" s="5" t="s">
        <v>6835</v>
      </c>
      <c r="AF2819" s="5" t="s">
        <v>6836</v>
      </c>
      <c r="AG2819" s="5" t="s">
        <v>6856</v>
      </c>
    </row>
    <row r="2820" spans="1:33" ht="10" customHeight="1" x14ac:dyDescent="0.2">
      <c r="A2820" s="5" t="s">
        <v>6832</v>
      </c>
      <c r="B2820" s="5" t="s">
        <v>41</v>
      </c>
      <c r="D2820" s="5" t="s">
        <v>6858</v>
      </c>
      <c r="E2820" s="10" t="s">
        <v>53</v>
      </c>
      <c r="F2820" s="5" t="s">
        <v>6838</v>
      </c>
      <c r="I2820" s="11">
        <v>6</v>
      </c>
      <c r="K2820" s="12"/>
      <c r="O2820" s="12"/>
      <c r="AC2820" s="10" t="s">
        <v>6855</v>
      </c>
      <c r="AD2820" s="5" t="s">
        <v>763</v>
      </c>
      <c r="AE2820" s="5" t="s">
        <v>6835</v>
      </c>
      <c r="AF2820" s="5" t="s">
        <v>6836</v>
      </c>
      <c r="AG2820" s="5" t="s">
        <v>6856</v>
      </c>
    </row>
    <row r="2821" spans="1:33" ht="10" customHeight="1" x14ac:dyDescent="0.2">
      <c r="A2821" s="5" t="s">
        <v>6832</v>
      </c>
      <c r="B2821" s="5" t="s">
        <v>41</v>
      </c>
      <c r="D2821" s="5" t="s">
        <v>6859</v>
      </c>
      <c r="E2821" s="10" t="s">
        <v>53</v>
      </c>
      <c r="F2821" s="5" t="s">
        <v>6838</v>
      </c>
      <c r="I2821" s="11">
        <v>6</v>
      </c>
      <c r="K2821" s="12"/>
      <c r="O2821" s="12"/>
      <c r="P2821" s="13">
        <v>2555</v>
      </c>
      <c r="Q2821" s="13">
        <v>2575</v>
      </c>
      <c r="S2821" s="13">
        <v>2626</v>
      </c>
      <c r="U2821" s="13">
        <v>2626</v>
      </c>
      <c r="AC2821" s="10" t="s">
        <v>6860</v>
      </c>
      <c r="AD2821" s="5" t="s">
        <v>800</v>
      </c>
      <c r="AE2821" s="5" t="s">
        <v>6835</v>
      </c>
      <c r="AF2821" s="5" t="s">
        <v>6836</v>
      </c>
      <c r="AG2821" s="5" t="s">
        <v>6861</v>
      </c>
    </row>
    <row r="2822" spans="1:33" ht="10" customHeight="1" x14ac:dyDescent="0.2">
      <c r="A2822" s="5" t="s">
        <v>6832</v>
      </c>
      <c r="B2822" s="5" t="s">
        <v>41</v>
      </c>
      <c r="D2822" s="5" t="s">
        <v>6862</v>
      </c>
      <c r="E2822" s="10" t="s">
        <v>53</v>
      </c>
      <c r="F2822" s="5" t="s">
        <v>6838</v>
      </c>
      <c r="I2822" s="11">
        <v>6</v>
      </c>
      <c r="K2822" s="12"/>
      <c r="O2822" s="12"/>
      <c r="P2822" s="13">
        <v>2555</v>
      </c>
      <c r="Q2822" s="13">
        <v>2544</v>
      </c>
      <c r="S2822" s="13">
        <v>2638</v>
      </c>
      <c r="U2822" s="13">
        <v>2638</v>
      </c>
      <c r="AC2822" s="10" t="s">
        <v>6860</v>
      </c>
      <c r="AD2822" s="5" t="s">
        <v>800</v>
      </c>
      <c r="AE2822" s="5" t="s">
        <v>6835</v>
      </c>
      <c r="AF2822" s="5" t="s">
        <v>6836</v>
      </c>
      <c r="AG2822" s="5" t="s">
        <v>6861</v>
      </c>
    </row>
    <row r="2823" spans="1:33" ht="10" customHeight="1" x14ac:dyDescent="0.2">
      <c r="A2823" s="5" t="s">
        <v>6832</v>
      </c>
      <c r="B2823" s="5" t="s">
        <v>41</v>
      </c>
      <c r="C2823" s="5" t="s">
        <v>1428</v>
      </c>
      <c r="D2823" s="5" t="s">
        <v>6863</v>
      </c>
      <c r="E2823" s="10" t="s">
        <v>44</v>
      </c>
      <c r="I2823" s="11">
        <v>4</v>
      </c>
      <c r="K2823" s="12"/>
      <c r="O2823" s="12"/>
      <c r="P2823" s="13">
        <v>5392</v>
      </c>
      <c r="Q2823" s="13">
        <v>5431</v>
      </c>
      <c r="S2823" s="13">
        <v>5191</v>
      </c>
      <c r="U2823" s="13">
        <v>5191</v>
      </c>
      <c r="X2823" s="13">
        <v>5191</v>
      </c>
      <c r="Y2823" s="13">
        <v>5191</v>
      </c>
      <c r="Z2823" s="13">
        <v>4831</v>
      </c>
      <c r="AB2823" s="13">
        <v>4831</v>
      </c>
      <c r="AC2823" s="10" t="s">
        <v>6864</v>
      </c>
      <c r="AD2823" s="5" t="s">
        <v>1105</v>
      </c>
      <c r="AE2823" s="5" t="s">
        <v>6865</v>
      </c>
      <c r="AF2823" s="5" t="s">
        <v>6863</v>
      </c>
    </row>
    <row r="2824" spans="1:33" ht="10" customHeight="1" x14ac:dyDescent="0.2">
      <c r="A2824" s="5" t="s">
        <v>6832</v>
      </c>
      <c r="B2824" s="5" t="s">
        <v>41</v>
      </c>
      <c r="D2824" s="5" t="s">
        <v>6866</v>
      </c>
      <c r="E2824" s="10" t="s">
        <v>53</v>
      </c>
      <c r="F2824" s="5" t="s">
        <v>6867</v>
      </c>
      <c r="I2824" s="11">
        <v>4</v>
      </c>
      <c r="K2824" s="12"/>
      <c r="O2824" s="12"/>
      <c r="P2824" s="13">
        <v>1721</v>
      </c>
      <c r="Q2824" s="13">
        <v>1777</v>
      </c>
      <c r="S2824" s="13">
        <v>1811</v>
      </c>
      <c r="U2824" s="13">
        <v>1811</v>
      </c>
      <c r="AC2824" s="10" t="s">
        <v>6868</v>
      </c>
      <c r="AD2824" s="5" t="s">
        <v>1129</v>
      </c>
      <c r="AE2824" s="5" t="s">
        <v>6865</v>
      </c>
      <c r="AF2824" s="5" t="s">
        <v>6863</v>
      </c>
    </row>
    <row r="2825" spans="1:33" ht="10" customHeight="1" x14ac:dyDescent="0.2">
      <c r="A2825" s="5" t="s">
        <v>6832</v>
      </c>
      <c r="B2825" s="5" t="s">
        <v>41</v>
      </c>
      <c r="D2825" s="5" t="s">
        <v>6869</v>
      </c>
      <c r="E2825" s="10" t="s">
        <v>53</v>
      </c>
      <c r="F2825" s="5" t="s">
        <v>6867</v>
      </c>
      <c r="I2825" s="11">
        <v>6</v>
      </c>
      <c r="K2825" s="12"/>
      <c r="O2825" s="12"/>
      <c r="P2825" s="13">
        <v>1843</v>
      </c>
      <c r="Q2825" s="13">
        <v>1884</v>
      </c>
      <c r="S2825" s="13">
        <v>1921</v>
      </c>
      <c r="U2825" s="13">
        <v>1921</v>
      </c>
      <c r="AC2825" s="10" t="s">
        <v>6868</v>
      </c>
      <c r="AD2825" s="5" t="s">
        <v>1129</v>
      </c>
      <c r="AE2825" s="5" t="s">
        <v>6865</v>
      </c>
      <c r="AF2825" s="5" t="s">
        <v>6863</v>
      </c>
    </row>
    <row r="2826" spans="1:33" ht="10" customHeight="1" x14ac:dyDescent="0.2">
      <c r="A2826" s="5" t="s">
        <v>6832</v>
      </c>
      <c r="B2826" s="5" t="s">
        <v>41</v>
      </c>
      <c r="D2826" s="5" t="s">
        <v>6870</v>
      </c>
      <c r="E2826" s="10" t="s">
        <v>53</v>
      </c>
      <c r="F2826" s="5" t="s">
        <v>6867</v>
      </c>
      <c r="I2826" s="11">
        <v>6</v>
      </c>
      <c r="K2826" s="12"/>
      <c r="O2826" s="12"/>
      <c r="P2826" s="13">
        <v>218</v>
      </c>
      <c r="Q2826" s="13">
        <v>206</v>
      </c>
      <c r="S2826" s="13">
        <v>175</v>
      </c>
      <c r="U2826" s="13">
        <v>175</v>
      </c>
      <c r="AC2826" s="10" t="s">
        <v>6871</v>
      </c>
      <c r="AD2826" s="5" t="s">
        <v>1129</v>
      </c>
      <c r="AE2826" s="5" t="s">
        <v>6865</v>
      </c>
      <c r="AF2826" s="5" t="s">
        <v>6863</v>
      </c>
    </row>
    <row r="2827" spans="1:33" ht="10" customHeight="1" x14ac:dyDescent="0.2">
      <c r="A2827" s="5" t="s">
        <v>6832</v>
      </c>
      <c r="B2827" s="5" t="s">
        <v>41</v>
      </c>
      <c r="D2827" s="5" t="s">
        <v>6872</v>
      </c>
      <c r="E2827" s="10" t="s">
        <v>53</v>
      </c>
      <c r="F2827" s="5" t="s">
        <v>6867</v>
      </c>
      <c r="I2827" s="11">
        <v>6</v>
      </c>
      <c r="K2827" s="12"/>
      <c r="O2827" s="12"/>
      <c r="P2827" s="13">
        <v>550</v>
      </c>
      <c r="Q2827" s="13">
        <v>541</v>
      </c>
      <c r="S2827" s="13">
        <v>461</v>
      </c>
      <c r="U2827" s="13">
        <v>461</v>
      </c>
      <c r="AC2827" s="10" t="s">
        <v>6871</v>
      </c>
      <c r="AD2827" s="5" t="s">
        <v>1129</v>
      </c>
      <c r="AE2827" s="5" t="s">
        <v>6865</v>
      </c>
      <c r="AF2827" s="5" t="s">
        <v>6863</v>
      </c>
    </row>
    <row r="2828" spans="1:33" ht="10" customHeight="1" x14ac:dyDescent="0.2">
      <c r="A2828" s="5" t="s">
        <v>6832</v>
      </c>
      <c r="B2828" s="5" t="s">
        <v>41</v>
      </c>
      <c r="D2828" s="5" t="s">
        <v>6873</v>
      </c>
      <c r="E2828" s="10" t="s">
        <v>53</v>
      </c>
      <c r="F2828" s="5" t="s">
        <v>6867</v>
      </c>
      <c r="I2828" s="11">
        <v>6</v>
      </c>
      <c r="K2828" s="12"/>
      <c r="O2828" s="12"/>
      <c r="P2828" s="13">
        <v>573</v>
      </c>
      <c r="Q2828" s="13">
        <v>567</v>
      </c>
      <c r="S2828" s="13">
        <v>445</v>
      </c>
      <c r="U2828" s="13">
        <v>445</v>
      </c>
      <c r="AC2828" s="10" t="s">
        <v>6871</v>
      </c>
      <c r="AD2828" s="5" t="s">
        <v>1129</v>
      </c>
      <c r="AE2828" s="5" t="s">
        <v>6865</v>
      </c>
      <c r="AF2828" s="5" t="s">
        <v>6863</v>
      </c>
    </row>
    <row r="2829" spans="1:33" ht="10" customHeight="1" x14ac:dyDescent="0.2">
      <c r="A2829" s="5" t="s">
        <v>6832</v>
      </c>
      <c r="B2829" s="5" t="s">
        <v>41</v>
      </c>
      <c r="D2829" s="5" t="s">
        <v>6874</v>
      </c>
      <c r="E2829" s="10" t="s">
        <v>53</v>
      </c>
      <c r="F2829" s="5" t="s">
        <v>6867</v>
      </c>
      <c r="I2829" s="11">
        <v>6</v>
      </c>
      <c r="K2829" s="12"/>
      <c r="O2829" s="12"/>
      <c r="P2829" s="13">
        <v>160</v>
      </c>
      <c r="Q2829" s="13">
        <v>138</v>
      </c>
      <c r="S2829" s="13">
        <v>118</v>
      </c>
      <c r="U2829" s="13">
        <v>118</v>
      </c>
      <c r="AC2829" s="10" t="s">
        <v>6871</v>
      </c>
      <c r="AD2829" s="5" t="s">
        <v>1129</v>
      </c>
      <c r="AE2829" s="5" t="s">
        <v>6865</v>
      </c>
      <c r="AF2829" s="5" t="s">
        <v>6863</v>
      </c>
    </row>
    <row r="2830" spans="1:33" ht="10" customHeight="1" x14ac:dyDescent="0.2">
      <c r="A2830" s="5" t="s">
        <v>6832</v>
      </c>
      <c r="B2830" s="5" t="s">
        <v>41</v>
      </c>
      <c r="D2830" s="5" t="s">
        <v>6875</v>
      </c>
      <c r="E2830" s="10" t="s">
        <v>53</v>
      </c>
      <c r="F2830" s="5" t="s">
        <v>6867</v>
      </c>
      <c r="I2830" s="11">
        <v>6</v>
      </c>
      <c r="K2830" s="12"/>
      <c r="O2830" s="12"/>
      <c r="P2830" s="13">
        <v>327</v>
      </c>
      <c r="Q2830" s="13">
        <v>318</v>
      </c>
      <c r="S2830" s="13">
        <v>260</v>
      </c>
      <c r="U2830" s="13">
        <v>260</v>
      </c>
      <c r="AC2830" s="10" t="s">
        <v>6871</v>
      </c>
      <c r="AD2830" s="5" t="s">
        <v>1129</v>
      </c>
      <c r="AE2830" s="5" t="s">
        <v>6865</v>
      </c>
      <c r="AF2830" s="5" t="s">
        <v>6863</v>
      </c>
    </row>
    <row r="2831" spans="1:33" ht="10" customHeight="1" x14ac:dyDescent="0.2">
      <c r="A2831" s="5" t="s">
        <v>6832</v>
      </c>
      <c r="B2831" s="5" t="s">
        <v>41</v>
      </c>
      <c r="C2831" s="5" t="s">
        <v>6876</v>
      </c>
      <c r="D2831" s="5" t="s">
        <v>6877</v>
      </c>
      <c r="E2831" s="10" t="s">
        <v>44</v>
      </c>
      <c r="I2831" s="11">
        <v>6</v>
      </c>
      <c r="K2831" s="12"/>
      <c r="O2831" s="12"/>
      <c r="P2831" s="13">
        <v>145685</v>
      </c>
      <c r="Q2831" s="13">
        <v>138062</v>
      </c>
      <c r="S2831" s="13">
        <v>123435</v>
      </c>
      <c r="U2831" s="13">
        <v>123435</v>
      </c>
      <c r="X2831" s="13">
        <v>123435</v>
      </c>
      <c r="Y2831" s="13">
        <v>123435</v>
      </c>
      <c r="Z2831" s="13">
        <v>119900</v>
      </c>
      <c r="AB2831" s="13">
        <v>119900</v>
      </c>
      <c r="AC2831" s="10" t="s">
        <v>6878</v>
      </c>
      <c r="AD2831" s="5" t="s">
        <v>1153</v>
      </c>
      <c r="AE2831" s="5" t="s">
        <v>6879</v>
      </c>
      <c r="AF2831" s="5" t="s">
        <v>6877</v>
      </c>
    </row>
    <row r="2832" spans="1:33" ht="10" customHeight="1" x14ac:dyDescent="0.2">
      <c r="A2832" s="5" t="s">
        <v>6832</v>
      </c>
      <c r="B2832" s="5" t="s">
        <v>41</v>
      </c>
      <c r="D2832" s="5" t="s">
        <v>6880</v>
      </c>
      <c r="E2832" s="10" t="s">
        <v>53</v>
      </c>
      <c r="F2832" s="5" t="s">
        <v>6881</v>
      </c>
      <c r="I2832" s="11">
        <v>6</v>
      </c>
      <c r="K2832" s="12"/>
      <c r="O2832" s="12"/>
      <c r="P2832" s="13">
        <v>9284</v>
      </c>
      <c r="Q2832" s="13">
        <v>7648</v>
      </c>
      <c r="S2832" s="13">
        <v>7808</v>
      </c>
      <c r="U2832" s="13">
        <v>7808</v>
      </c>
      <c r="AC2832" s="10" t="s">
        <v>6882</v>
      </c>
      <c r="AD2832" s="5" t="s">
        <v>1190</v>
      </c>
      <c r="AE2832" s="5" t="s">
        <v>6879</v>
      </c>
      <c r="AF2832" s="5" t="s">
        <v>6877</v>
      </c>
      <c r="AG2832" s="5" t="s">
        <v>6883</v>
      </c>
    </row>
    <row r="2833" spans="1:33" ht="10" customHeight="1" x14ac:dyDescent="0.2">
      <c r="A2833" s="5" t="s">
        <v>6832</v>
      </c>
      <c r="B2833" s="5" t="s">
        <v>41</v>
      </c>
      <c r="D2833" s="5" t="s">
        <v>6884</v>
      </c>
      <c r="E2833" s="10" t="s">
        <v>53</v>
      </c>
      <c r="F2833" s="5" t="s">
        <v>6881</v>
      </c>
      <c r="I2833" s="11">
        <v>6</v>
      </c>
      <c r="K2833" s="12"/>
      <c r="O2833" s="12"/>
      <c r="P2833" s="13">
        <v>41802</v>
      </c>
      <c r="Q2833" s="13">
        <v>55694</v>
      </c>
      <c r="S2833" s="13">
        <v>62535</v>
      </c>
      <c r="U2833" s="13">
        <v>62535</v>
      </c>
      <c r="AC2833" s="10" t="s">
        <v>6885</v>
      </c>
      <c r="AD2833" s="5" t="s">
        <v>1190</v>
      </c>
      <c r="AE2833" s="5" t="s">
        <v>6879</v>
      </c>
      <c r="AF2833" s="5" t="s">
        <v>6877</v>
      </c>
      <c r="AG2833" s="5" t="s">
        <v>6886</v>
      </c>
    </row>
    <row r="2834" spans="1:33" ht="10" customHeight="1" x14ac:dyDescent="0.2">
      <c r="A2834" s="5" t="s">
        <v>6832</v>
      </c>
      <c r="B2834" s="5" t="s">
        <v>41</v>
      </c>
      <c r="D2834" s="5" t="s">
        <v>6887</v>
      </c>
      <c r="E2834" s="10" t="s">
        <v>53</v>
      </c>
      <c r="F2834" s="5" t="s">
        <v>6881</v>
      </c>
      <c r="I2834" s="11">
        <v>6</v>
      </c>
      <c r="K2834" s="12"/>
      <c r="O2834" s="12"/>
      <c r="AC2834" s="10" t="s">
        <v>6885</v>
      </c>
      <c r="AD2834" s="5" t="s">
        <v>1190</v>
      </c>
      <c r="AE2834" s="5" t="s">
        <v>6879</v>
      </c>
      <c r="AF2834" s="5" t="s">
        <v>6877</v>
      </c>
      <c r="AG2834" s="5" t="s">
        <v>6888</v>
      </c>
    </row>
    <row r="2835" spans="1:33" ht="10" customHeight="1" x14ac:dyDescent="0.2">
      <c r="A2835" s="5" t="s">
        <v>6832</v>
      </c>
      <c r="B2835" s="5" t="s">
        <v>41</v>
      </c>
      <c r="D2835" s="5" t="s">
        <v>6889</v>
      </c>
      <c r="E2835" s="10" t="s">
        <v>53</v>
      </c>
      <c r="F2835" s="5" t="s">
        <v>6881</v>
      </c>
      <c r="I2835" s="11">
        <v>6</v>
      </c>
      <c r="K2835" s="12"/>
      <c r="O2835" s="12"/>
      <c r="AC2835" s="10" t="s">
        <v>6890</v>
      </c>
      <c r="AD2835" s="5" t="s">
        <v>1190</v>
      </c>
      <c r="AE2835" s="5" t="s">
        <v>6879</v>
      </c>
      <c r="AF2835" s="5" t="s">
        <v>6877</v>
      </c>
      <c r="AG2835" s="5" t="s">
        <v>6891</v>
      </c>
    </row>
    <row r="2836" spans="1:33" ht="10" customHeight="1" x14ac:dyDescent="0.2">
      <c r="A2836" s="5" t="s">
        <v>6832</v>
      </c>
      <c r="B2836" s="5" t="s">
        <v>41</v>
      </c>
      <c r="D2836" s="5" t="s">
        <v>6892</v>
      </c>
      <c r="E2836" s="10" t="s">
        <v>53</v>
      </c>
      <c r="F2836" s="5" t="s">
        <v>6881</v>
      </c>
      <c r="I2836" s="11">
        <v>6</v>
      </c>
      <c r="K2836" s="12"/>
      <c r="O2836" s="12"/>
      <c r="AC2836" s="10" t="s">
        <v>6890</v>
      </c>
      <c r="AD2836" s="5" t="s">
        <v>1203</v>
      </c>
      <c r="AE2836" s="5" t="s">
        <v>6879</v>
      </c>
      <c r="AF2836" s="5" t="s">
        <v>6877</v>
      </c>
      <c r="AG2836" s="5" t="s">
        <v>6893</v>
      </c>
    </row>
    <row r="2837" spans="1:33" ht="10" customHeight="1" x14ac:dyDescent="0.2">
      <c r="A2837" s="5" t="s">
        <v>6832</v>
      </c>
      <c r="B2837" s="5" t="s">
        <v>41</v>
      </c>
      <c r="D2837" s="5" t="s">
        <v>6894</v>
      </c>
      <c r="E2837" s="10" t="s">
        <v>53</v>
      </c>
      <c r="F2837" s="5" t="s">
        <v>6881</v>
      </c>
      <c r="I2837" s="11">
        <v>6</v>
      </c>
      <c r="K2837" s="12"/>
      <c r="O2837" s="12"/>
      <c r="P2837" s="13">
        <v>3521</v>
      </c>
      <c r="Q2837" s="13">
        <v>2798</v>
      </c>
      <c r="S2837" s="13">
        <v>1902</v>
      </c>
      <c r="U2837" s="13">
        <v>1902</v>
      </c>
      <c r="AC2837" s="10" t="s">
        <v>6895</v>
      </c>
      <c r="AD2837" s="5" t="s">
        <v>1203</v>
      </c>
      <c r="AE2837" s="5" t="s">
        <v>6879</v>
      </c>
      <c r="AF2837" s="5" t="s">
        <v>6877</v>
      </c>
      <c r="AG2837" s="5" t="s">
        <v>6896</v>
      </c>
    </row>
    <row r="2838" spans="1:33" ht="10" customHeight="1" x14ac:dyDescent="0.2">
      <c r="A2838" s="5" t="s">
        <v>6832</v>
      </c>
      <c r="B2838" s="5" t="s">
        <v>41</v>
      </c>
      <c r="D2838" s="5" t="s">
        <v>6897</v>
      </c>
      <c r="E2838" s="10" t="s">
        <v>53</v>
      </c>
      <c r="F2838" s="5" t="s">
        <v>6881</v>
      </c>
      <c r="I2838" s="11">
        <v>6</v>
      </c>
      <c r="K2838" s="12"/>
      <c r="O2838" s="12"/>
      <c r="P2838" s="13">
        <v>5485</v>
      </c>
      <c r="Q2838" s="13">
        <v>3307</v>
      </c>
      <c r="S2838" s="13">
        <v>4854</v>
      </c>
      <c r="U2838" s="13">
        <v>4854</v>
      </c>
      <c r="AC2838" s="10" t="s">
        <v>6895</v>
      </c>
      <c r="AD2838" s="5" t="s">
        <v>1203</v>
      </c>
      <c r="AE2838" s="5" t="s">
        <v>6879</v>
      </c>
      <c r="AF2838" s="5" t="s">
        <v>6877</v>
      </c>
      <c r="AG2838" s="5" t="s">
        <v>6898</v>
      </c>
    </row>
    <row r="2839" spans="1:33" ht="10" customHeight="1" x14ac:dyDescent="0.2">
      <c r="A2839" s="5" t="s">
        <v>6832</v>
      </c>
      <c r="B2839" s="5" t="s">
        <v>41</v>
      </c>
      <c r="D2839" s="5" t="s">
        <v>6899</v>
      </c>
      <c r="E2839" s="10" t="s">
        <v>53</v>
      </c>
      <c r="F2839" s="5" t="s">
        <v>6881</v>
      </c>
      <c r="I2839" s="11">
        <v>6</v>
      </c>
      <c r="K2839" s="12"/>
      <c r="O2839" s="12"/>
      <c r="Q2839" s="13">
        <v>16000</v>
      </c>
      <c r="AC2839" s="10" t="s">
        <v>6895</v>
      </c>
      <c r="AD2839" s="5" t="s">
        <v>1203</v>
      </c>
      <c r="AE2839" s="5" t="s">
        <v>6879</v>
      </c>
      <c r="AF2839" s="5" t="s">
        <v>6877</v>
      </c>
    </row>
    <row r="2840" spans="1:33" ht="10" customHeight="1" x14ac:dyDescent="0.2">
      <c r="A2840" s="5" t="s">
        <v>6832</v>
      </c>
      <c r="B2840" s="5" t="s">
        <v>41</v>
      </c>
      <c r="D2840" s="5" t="s">
        <v>6900</v>
      </c>
      <c r="E2840" s="10" t="s">
        <v>53</v>
      </c>
      <c r="F2840" s="5" t="s">
        <v>6881</v>
      </c>
      <c r="I2840" s="11">
        <v>6</v>
      </c>
      <c r="K2840" s="12"/>
      <c r="O2840" s="12"/>
      <c r="P2840" s="13">
        <v>945</v>
      </c>
      <c r="Q2840" s="13">
        <v>369</v>
      </c>
      <c r="S2840" s="13">
        <v>629</v>
      </c>
      <c r="U2840" s="13">
        <v>629</v>
      </c>
      <c r="AC2840" s="10" t="s">
        <v>6895</v>
      </c>
      <c r="AD2840" s="5" t="s">
        <v>1203</v>
      </c>
      <c r="AE2840" s="5" t="s">
        <v>6879</v>
      </c>
      <c r="AF2840" s="5" t="s">
        <v>6877</v>
      </c>
    </row>
    <row r="2841" spans="1:33" ht="10" customHeight="1" x14ac:dyDescent="0.2">
      <c r="A2841" s="5" t="s">
        <v>6832</v>
      </c>
      <c r="B2841" s="5" t="s">
        <v>41</v>
      </c>
      <c r="D2841" s="5" t="s">
        <v>6901</v>
      </c>
      <c r="E2841" s="10" t="s">
        <v>53</v>
      </c>
      <c r="F2841" s="5" t="s">
        <v>6881</v>
      </c>
      <c r="I2841" s="11">
        <v>6</v>
      </c>
      <c r="K2841" s="12"/>
      <c r="O2841" s="12"/>
      <c r="Q2841" s="13">
        <v>814</v>
      </c>
      <c r="S2841" s="13">
        <v>468</v>
      </c>
      <c r="U2841" s="13">
        <v>468</v>
      </c>
      <c r="AC2841" s="10" t="s">
        <v>6895</v>
      </c>
      <c r="AD2841" s="5" t="s">
        <v>1203</v>
      </c>
      <c r="AE2841" s="5" t="s">
        <v>6879</v>
      </c>
      <c r="AF2841" s="5" t="s">
        <v>6877</v>
      </c>
      <c r="AG2841" s="5" t="s">
        <v>6902</v>
      </c>
    </row>
    <row r="2842" spans="1:33" ht="10" customHeight="1" x14ac:dyDescent="0.2">
      <c r="A2842" s="5" t="s">
        <v>6832</v>
      </c>
      <c r="B2842" s="5" t="s">
        <v>41</v>
      </c>
      <c r="D2842" s="5" t="s">
        <v>6903</v>
      </c>
      <c r="E2842" s="10" t="s">
        <v>53</v>
      </c>
      <c r="F2842" s="5" t="s">
        <v>6881</v>
      </c>
      <c r="I2842" s="11">
        <v>6</v>
      </c>
      <c r="K2842" s="12"/>
      <c r="O2842" s="12"/>
      <c r="P2842" s="13">
        <v>57556</v>
      </c>
      <c r="Q2842" s="13">
        <v>25482</v>
      </c>
      <c r="S2842" s="13">
        <v>28701</v>
      </c>
      <c r="U2842" s="13">
        <v>28701</v>
      </c>
      <c r="AC2842" s="10" t="s">
        <v>6904</v>
      </c>
      <c r="AD2842" s="5" t="s">
        <v>1214</v>
      </c>
      <c r="AE2842" s="5" t="s">
        <v>6879</v>
      </c>
      <c r="AF2842" s="5" t="s">
        <v>6877</v>
      </c>
      <c r="AG2842" s="5" t="s">
        <v>6905</v>
      </c>
    </row>
    <row r="2843" spans="1:33" ht="10" customHeight="1" x14ac:dyDescent="0.2">
      <c r="A2843" s="5" t="s">
        <v>6832</v>
      </c>
      <c r="B2843" s="5" t="s">
        <v>41</v>
      </c>
      <c r="D2843" s="5" t="s">
        <v>6906</v>
      </c>
      <c r="E2843" s="10" t="s">
        <v>53</v>
      </c>
      <c r="F2843" s="5" t="s">
        <v>6881</v>
      </c>
      <c r="I2843" s="11">
        <v>6</v>
      </c>
      <c r="K2843" s="12"/>
      <c r="O2843" s="12"/>
      <c r="P2843" s="13">
        <v>1654</v>
      </c>
      <c r="Q2843" s="13">
        <v>1685</v>
      </c>
      <c r="S2843" s="13">
        <v>1722</v>
      </c>
      <c r="U2843" s="13">
        <v>1722</v>
      </c>
      <c r="AC2843" s="10" t="s">
        <v>6907</v>
      </c>
      <c r="AD2843" s="5" t="s">
        <v>1214</v>
      </c>
      <c r="AE2843" s="5" t="s">
        <v>6879</v>
      </c>
      <c r="AF2843" s="5" t="s">
        <v>6877</v>
      </c>
      <c r="AG2843" s="5" t="s">
        <v>6908</v>
      </c>
    </row>
    <row r="2844" spans="1:33" ht="10" customHeight="1" x14ac:dyDescent="0.2">
      <c r="A2844" s="5" t="s">
        <v>6832</v>
      </c>
      <c r="B2844" s="5" t="s">
        <v>41</v>
      </c>
      <c r="D2844" s="5" t="s">
        <v>6909</v>
      </c>
      <c r="E2844" s="10" t="s">
        <v>53</v>
      </c>
      <c r="F2844" s="5" t="s">
        <v>6881</v>
      </c>
      <c r="I2844" s="11">
        <v>6</v>
      </c>
      <c r="K2844" s="12"/>
      <c r="O2844" s="12"/>
      <c r="P2844" s="13">
        <v>35</v>
      </c>
      <c r="Q2844" s="13">
        <v>35</v>
      </c>
      <c r="S2844" s="13">
        <v>35</v>
      </c>
      <c r="U2844" s="13">
        <v>35</v>
      </c>
      <c r="AC2844" s="10" t="s">
        <v>6907</v>
      </c>
      <c r="AD2844" s="5" t="s">
        <v>1225</v>
      </c>
      <c r="AE2844" s="5" t="s">
        <v>6879</v>
      </c>
      <c r="AF2844" s="5" t="s">
        <v>6877</v>
      </c>
      <c r="AG2844" s="5" t="s">
        <v>6910</v>
      </c>
    </row>
    <row r="2845" spans="1:33" ht="10" customHeight="1" x14ac:dyDescent="0.2">
      <c r="A2845" s="5" t="s">
        <v>6832</v>
      </c>
      <c r="B2845" s="5" t="s">
        <v>41</v>
      </c>
      <c r="D2845" s="5" t="s">
        <v>6911</v>
      </c>
      <c r="E2845" s="10" t="s">
        <v>53</v>
      </c>
      <c r="F2845" s="5" t="s">
        <v>6881</v>
      </c>
      <c r="I2845" s="11">
        <v>6</v>
      </c>
      <c r="K2845" s="12"/>
      <c r="O2845" s="12"/>
      <c r="P2845" s="13">
        <v>112</v>
      </c>
      <c r="Q2845" s="13">
        <v>112</v>
      </c>
      <c r="S2845" s="13">
        <v>114</v>
      </c>
      <c r="U2845" s="13">
        <v>114</v>
      </c>
      <c r="AC2845" s="10" t="s">
        <v>6907</v>
      </c>
      <c r="AD2845" s="5" t="s">
        <v>1225</v>
      </c>
      <c r="AE2845" s="5" t="s">
        <v>6879</v>
      </c>
      <c r="AF2845" s="5" t="s">
        <v>6877</v>
      </c>
      <c r="AG2845" s="5" t="s">
        <v>6912</v>
      </c>
    </row>
    <row r="2846" spans="1:33" ht="10" customHeight="1" x14ac:dyDescent="0.2">
      <c r="A2846" s="5" t="s">
        <v>6832</v>
      </c>
      <c r="B2846" s="5" t="s">
        <v>41</v>
      </c>
      <c r="D2846" s="5" t="s">
        <v>6913</v>
      </c>
      <c r="E2846" s="10" t="s">
        <v>53</v>
      </c>
      <c r="F2846" s="5" t="s">
        <v>6881</v>
      </c>
      <c r="I2846" s="11">
        <v>6</v>
      </c>
      <c r="K2846" s="12"/>
      <c r="O2846" s="12"/>
      <c r="P2846" s="13">
        <v>9906</v>
      </c>
      <c r="Q2846" s="13">
        <v>9739</v>
      </c>
      <c r="S2846" s="13">
        <v>1910</v>
      </c>
      <c r="U2846" s="13">
        <v>1910</v>
      </c>
      <c r="AC2846" s="10" t="s">
        <v>6914</v>
      </c>
      <c r="AD2846" s="5" t="s">
        <v>1225</v>
      </c>
      <c r="AE2846" s="5" t="s">
        <v>6879</v>
      </c>
      <c r="AF2846" s="5" t="s">
        <v>6877</v>
      </c>
      <c r="AG2846" s="5" t="s">
        <v>6915</v>
      </c>
    </row>
    <row r="2847" spans="1:33" ht="10" customHeight="1" x14ac:dyDescent="0.2">
      <c r="A2847" s="5" t="s">
        <v>6832</v>
      </c>
      <c r="B2847" s="5" t="s">
        <v>41</v>
      </c>
      <c r="D2847" s="5" t="s">
        <v>6916</v>
      </c>
      <c r="E2847" s="10" t="s">
        <v>53</v>
      </c>
      <c r="F2847" s="5" t="s">
        <v>6881</v>
      </c>
      <c r="I2847" s="11">
        <v>6</v>
      </c>
      <c r="K2847" s="12"/>
      <c r="O2847" s="12"/>
      <c r="P2847" s="13">
        <v>699</v>
      </c>
      <c r="Q2847" s="13">
        <v>647</v>
      </c>
      <c r="S2847" s="13">
        <v>661</v>
      </c>
      <c r="U2847" s="13">
        <v>661</v>
      </c>
      <c r="AC2847" s="10" t="s">
        <v>6917</v>
      </c>
      <c r="AD2847" s="5" t="s">
        <v>1234</v>
      </c>
      <c r="AE2847" s="5" t="s">
        <v>6879</v>
      </c>
      <c r="AF2847" s="5" t="s">
        <v>6877</v>
      </c>
      <c r="AG2847" s="5" t="s">
        <v>6918</v>
      </c>
    </row>
    <row r="2848" spans="1:33" ht="10" customHeight="1" x14ac:dyDescent="0.2">
      <c r="A2848" s="5" t="s">
        <v>6832</v>
      </c>
      <c r="B2848" s="5" t="s">
        <v>41</v>
      </c>
      <c r="D2848" s="5" t="s">
        <v>6919</v>
      </c>
      <c r="E2848" s="10" t="s">
        <v>53</v>
      </c>
      <c r="F2848" s="5" t="s">
        <v>6881</v>
      </c>
      <c r="I2848" s="11">
        <v>6</v>
      </c>
      <c r="K2848" s="12"/>
      <c r="O2848" s="12"/>
      <c r="P2848" s="13">
        <v>1589</v>
      </c>
      <c r="Q2848" s="13">
        <v>1657</v>
      </c>
      <c r="S2848" s="13">
        <v>1804</v>
      </c>
      <c r="U2848" s="13">
        <v>1804</v>
      </c>
      <c r="AC2848" s="10" t="s">
        <v>6917</v>
      </c>
      <c r="AD2848" s="5" t="s">
        <v>1234</v>
      </c>
      <c r="AE2848" s="5" t="s">
        <v>6879</v>
      </c>
      <c r="AF2848" s="5" t="s">
        <v>6877</v>
      </c>
      <c r="AG2848" s="5" t="s">
        <v>6918</v>
      </c>
    </row>
    <row r="2849" spans="1:33" ht="10" customHeight="1" x14ac:dyDescent="0.2">
      <c r="A2849" s="5" t="s">
        <v>6832</v>
      </c>
      <c r="B2849" s="5" t="s">
        <v>41</v>
      </c>
      <c r="D2849" s="5" t="s">
        <v>6920</v>
      </c>
      <c r="E2849" s="10" t="s">
        <v>53</v>
      </c>
      <c r="F2849" s="5" t="s">
        <v>6881</v>
      </c>
      <c r="I2849" s="11">
        <v>6</v>
      </c>
      <c r="K2849" s="12"/>
      <c r="O2849" s="12"/>
      <c r="P2849" s="13">
        <v>883</v>
      </c>
      <c r="Q2849" s="13">
        <v>822</v>
      </c>
      <c r="S2849" s="13">
        <v>389</v>
      </c>
      <c r="U2849" s="13">
        <v>389</v>
      </c>
      <c r="AC2849" s="10" t="s">
        <v>6917</v>
      </c>
      <c r="AD2849" s="5" t="s">
        <v>1234</v>
      </c>
      <c r="AE2849" s="5" t="s">
        <v>6879</v>
      </c>
      <c r="AF2849" s="5" t="s">
        <v>6877</v>
      </c>
      <c r="AG2849" s="5" t="s">
        <v>6918</v>
      </c>
    </row>
    <row r="2850" spans="1:33" ht="10" customHeight="1" x14ac:dyDescent="0.2">
      <c r="A2850" s="5" t="s">
        <v>6832</v>
      </c>
      <c r="B2850" s="5" t="s">
        <v>41</v>
      </c>
      <c r="D2850" s="5" t="s">
        <v>6921</v>
      </c>
      <c r="E2850" s="10" t="s">
        <v>53</v>
      </c>
      <c r="F2850" s="5" t="s">
        <v>6881</v>
      </c>
      <c r="I2850" s="11">
        <v>6</v>
      </c>
      <c r="K2850" s="12"/>
      <c r="O2850" s="12"/>
      <c r="P2850" s="13">
        <v>2134</v>
      </c>
      <c r="Q2850" s="13">
        <v>1977</v>
      </c>
      <c r="S2850" s="13">
        <v>2019</v>
      </c>
      <c r="U2850" s="13">
        <v>2019</v>
      </c>
      <c r="AC2850" s="10" t="s">
        <v>6917</v>
      </c>
      <c r="AD2850" s="5" t="s">
        <v>1234</v>
      </c>
      <c r="AE2850" s="5" t="s">
        <v>6879</v>
      </c>
      <c r="AF2850" s="5" t="s">
        <v>6877</v>
      </c>
      <c r="AG2850" s="5" t="s">
        <v>6918</v>
      </c>
    </row>
    <row r="2851" spans="1:33" ht="10" customHeight="1" x14ac:dyDescent="0.2">
      <c r="A2851" s="5" t="s">
        <v>6832</v>
      </c>
      <c r="B2851" s="5" t="s">
        <v>41</v>
      </c>
      <c r="D2851" s="5" t="s">
        <v>6922</v>
      </c>
      <c r="E2851" s="10" t="s">
        <v>53</v>
      </c>
      <c r="F2851" s="5" t="s">
        <v>6881</v>
      </c>
      <c r="I2851" s="11">
        <v>6</v>
      </c>
      <c r="K2851" s="12"/>
      <c r="O2851" s="12"/>
      <c r="P2851" s="13">
        <v>106</v>
      </c>
      <c r="Q2851" s="13">
        <v>477</v>
      </c>
      <c r="S2851" s="13">
        <v>110</v>
      </c>
      <c r="U2851" s="13">
        <v>110</v>
      </c>
      <c r="AC2851" s="10" t="s">
        <v>6917</v>
      </c>
      <c r="AD2851" s="5" t="s">
        <v>1234</v>
      </c>
      <c r="AE2851" s="5" t="s">
        <v>6879</v>
      </c>
      <c r="AF2851" s="5" t="s">
        <v>6877</v>
      </c>
      <c r="AG2851" s="5" t="s">
        <v>6918</v>
      </c>
    </row>
    <row r="2852" spans="1:33" ht="10" customHeight="1" x14ac:dyDescent="0.2">
      <c r="A2852" s="5" t="s">
        <v>6832</v>
      </c>
      <c r="B2852" s="5" t="s">
        <v>41</v>
      </c>
      <c r="D2852" s="5" t="s">
        <v>6923</v>
      </c>
      <c r="E2852" s="10" t="s">
        <v>53</v>
      </c>
      <c r="F2852" s="5" t="s">
        <v>6881</v>
      </c>
      <c r="I2852" s="11">
        <v>6</v>
      </c>
      <c r="K2852" s="12"/>
      <c r="O2852" s="12"/>
      <c r="P2852" s="13">
        <v>2032</v>
      </c>
      <c r="Q2852" s="13">
        <v>1891</v>
      </c>
      <c r="S2852" s="13">
        <v>1931</v>
      </c>
      <c r="U2852" s="13">
        <v>1931</v>
      </c>
      <c r="AC2852" s="10" t="s">
        <v>6924</v>
      </c>
      <c r="AD2852" s="5" t="s">
        <v>1239</v>
      </c>
      <c r="AE2852" s="5" t="s">
        <v>6879</v>
      </c>
      <c r="AF2852" s="5" t="s">
        <v>6877</v>
      </c>
      <c r="AG2852" s="5" t="s">
        <v>6925</v>
      </c>
    </row>
    <row r="2853" spans="1:33" ht="10" customHeight="1" x14ac:dyDescent="0.2">
      <c r="A2853" s="5" t="s">
        <v>6832</v>
      </c>
      <c r="B2853" s="5" t="s">
        <v>41</v>
      </c>
      <c r="D2853" s="5" t="s">
        <v>6926</v>
      </c>
      <c r="E2853" s="10" t="s">
        <v>53</v>
      </c>
      <c r="F2853" s="5" t="s">
        <v>6881</v>
      </c>
      <c r="I2853" s="11">
        <v>6</v>
      </c>
      <c r="K2853" s="12"/>
      <c r="O2853" s="12"/>
      <c r="P2853" s="13">
        <v>3586</v>
      </c>
      <c r="Q2853" s="13">
        <v>2820</v>
      </c>
      <c r="S2853" s="13">
        <v>3039</v>
      </c>
      <c r="U2853" s="13">
        <v>3039</v>
      </c>
      <c r="AC2853" s="10" t="s">
        <v>6924</v>
      </c>
      <c r="AD2853" s="5" t="s">
        <v>1239</v>
      </c>
      <c r="AE2853" s="5" t="s">
        <v>6879</v>
      </c>
      <c r="AF2853" s="5" t="s">
        <v>6877</v>
      </c>
      <c r="AG2853" s="5" t="s">
        <v>6925</v>
      </c>
    </row>
    <row r="2854" spans="1:33" ht="10" customHeight="1" x14ac:dyDescent="0.2">
      <c r="A2854" s="5" t="s">
        <v>6832</v>
      </c>
      <c r="B2854" s="5" t="s">
        <v>41</v>
      </c>
      <c r="D2854" s="5" t="s">
        <v>6927</v>
      </c>
      <c r="E2854" s="10" t="s">
        <v>53</v>
      </c>
      <c r="F2854" s="5" t="s">
        <v>6881</v>
      </c>
      <c r="I2854" s="11">
        <v>6</v>
      </c>
      <c r="K2854" s="12"/>
      <c r="O2854" s="12"/>
      <c r="P2854" s="13">
        <v>1407</v>
      </c>
      <c r="Q2854" s="13">
        <v>1613</v>
      </c>
      <c r="S2854" s="13">
        <v>389</v>
      </c>
      <c r="U2854" s="13">
        <v>389</v>
      </c>
      <c r="AC2854" s="10" t="s">
        <v>6924</v>
      </c>
      <c r="AD2854" s="5" t="s">
        <v>1239</v>
      </c>
      <c r="AE2854" s="5" t="s">
        <v>6879</v>
      </c>
      <c r="AF2854" s="5" t="s">
        <v>6877</v>
      </c>
      <c r="AG2854" s="5" t="s">
        <v>6925</v>
      </c>
    </row>
    <row r="2855" spans="1:33" ht="10" customHeight="1" x14ac:dyDescent="0.2">
      <c r="A2855" s="5" t="s">
        <v>6832</v>
      </c>
      <c r="B2855" s="5" t="s">
        <v>41</v>
      </c>
      <c r="D2855" s="5" t="s">
        <v>6928</v>
      </c>
      <c r="E2855" s="10" t="s">
        <v>53</v>
      </c>
      <c r="F2855" s="5" t="s">
        <v>6881</v>
      </c>
      <c r="I2855" s="11">
        <v>6</v>
      </c>
      <c r="K2855" s="12"/>
      <c r="O2855" s="12"/>
      <c r="P2855" s="13">
        <v>1927</v>
      </c>
      <c r="Q2855" s="13">
        <v>1775</v>
      </c>
      <c r="S2855" s="13">
        <v>1812</v>
      </c>
      <c r="U2855" s="13">
        <v>1812</v>
      </c>
      <c r="AC2855" s="10" t="s">
        <v>6924</v>
      </c>
      <c r="AD2855" s="5" t="s">
        <v>1239</v>
      </c>
      <c r="AE2855" s="5" t="s">
        <v>6879</v>
      </c>
      <c r="AF2855" s="5" t="s">
        <v>6877</v>
      </c>
      <c r="AG2855" s="5" t="s">
        <v>6925</v>
      </c>
    </row>
    <row r="2856" spans="1:33" ht="10" customHeight="1" x14ac:dyDescent="0.2">
      <c r="A2856" s="5" t="s">
        <v>6832</v>
      </c>
      <c r="B2856" s="5" t="s">
        <v>41</v>
      </c>
      <c r="D2856" s="5" t="s">
        <v>6929</v>
      </c>
      <c r="E2856" s="10" t="s">
        <v>53</v>
      </c>
      <c r="F2856" s="5" t="s">
        <v>6881</v>
      </c>
      <c r="I2856" s="11">
        <v>6</v>
      </c>
      <c r="K2856" s="12"/>
      <c r="O2856" s="12"/>
      <c r="P2856" s="13">
        <v>474</v>
      </c>
      <c r="Q2856" s="13">
        <v>450</v>
      </c>
      <c r="S2856" s="13">
        <v>368</v>
      </c>
      <c r="U2856" s="13">
        <v>368</v>
      </c>
      <c r="AC2856" s="10" t="s">
        <v>6924</v>
      </c>
      <c r="AD2856" s="5" t="s">
        <v>1239</v>
      </c>
      <c r="AE2856" s="5" t="s">
        <v>6879</v>
      </c>
      <c r="AF2856" s="5" t="s">
        <v>6877</v>
      </c>
      <c r="AG2856" s="5" t="s">
        <v>6930</v>
      </c>
    </row>
    <row r="2857" spans="1:33" ht="10" customHeight="1" x14ac:dyDescent="0.2">
      <c r="A2857" s="5" t="s">
        <v>6832</v>
      </c>
      <c r="B2857" s="5" t="s">
        <v>41</v>
      </c>
      <c r="D2857" s="5" t="s">
        <v>6931</v>
      </c>
      <c r="E2857" s="10" t="s">
        <v>53</v>
      </c>
      <c r="F2857" s="5" t="s">
        <v>6881</v>
      </c>
      <c r="I2857" s="11">
        <v>6</v>
      </c>
      <c r="K2857" s="12"/>
      <c r="O2857" s="12"/>
      <c r="P2857" s="13">
        <v>548</v>
      </c>
      <c r="Q2857" s="13">
        <v>250</v>
      </c>
      <c r="S2857" s="13">
        <v>235</v>
      </c>
      <c r="U2857" s="13">
        <v>235</v>
      </c>
      <c r="AC2857" s="10" t="s">
        <v>6924</v>
      </c>
      <c r="AD2857" s="5" t="s">
        <v>1248</v>
      </c>
      <c r="AE2857" s="5" t="s">
        <v>6879</v>
      </c>
      <c r="AF2857" s="5" t="s">
        <v>6877</v>
      </c>
      <c r="AG2857" s="5" t="s">
        <v>6925</v>
      </c>
    </row>
    <row r="2858" spans="1:33" ht="10" customHeight="1" x14ac:dyDescent="0.2">
      <c r="A2858" s="5" t="s">
        <v>6832</v>
      </c>
      <c r="B2858" s="5" t="s">
        <v>41</v>
      </c>
      <c r="C2858" s="5" t="s">
        <v>77</v>
      </c>
      <c r="D2858" s="5" t="s">
        <v>6932</v>
      </c>
      <c r="E2858" s="10" t="s">
        <v>44</v>
      </c>
      <c r="I2858" s="11">
        <v>4</v>
      </c>
      <c r="K2858" s="12"/>
      <c r="O2858" s="12"/>
      <c r="P2858" s="13">
        <v>159480</v>
      </c>
      <c r="Q2858" s="13">
        <v>121108</v>
      </c>
      <c r="S2858" s="13">
        <v>91284</v>
      </c>
      <c r="U2858" s="13">
        <v>91284</v>
      </c>
      <c r="X2858" s="13">
        <v>82039</v>
      </c>
      <c r="Y2858" s="13">
        <v>82039</v>
      </c>
      <c r="Z2858" s="13">
        <v>69065</v>
      </c>
      <c r="AB2858" s="13">
        <v>69065</v>
      </c>
      <c r="AC2858" s="10" t="s">
        <v>6933</v>
      </c>
      <c r="AD2858" s="5" t="s">
        <v>1334</v>
      </c>
      <c r="AE2858" s="5" t="s">
        <v>6934</v>
      </c>
    </row>
    <row r="2859" spans="1:33" ht="10" customHeight="1" x14ac:dyDescent="0.2">
      <c r="A2859" s="5" t="s">
        <v>6832</v>
      </c>
      <c r="B2859" s="5" t="s">
        <v>41</v>
      </c>
      <c r="D2859" s="5" t="s">
        <v>6935</v>
      </c>
      <c r="E2859" s="10" t="s">
        <v>53</v>
      </c>
      <c r="F2859" s="5" t="s">
        <v>6936</v>
      </c>
      <c r="I2859" s="11">
        <v>6</v>
      </c>
      <c r="K2859" s="12"/>
      <c r="O2859" s="12"/>
      <c r="P2859" s="13">
        <v>47412</v>
      </c>
      <c r="Q2859" s="13">
        <v>15443</v>
      </c>
      <c r="S2859" s="13">
        <v>14285</v>
      </c>
      <c r="U2859" s="13">
        <v>14285</v>
      </c>
      <c r="AC2859" s="10" t="s">
        <v>6937</v>
      </c>
      <c r="AD2859" s="5" t="s">
        <v>1383</v>
      </c>
      <c r="AE2859" s="5" t="s">
        <v>6934</v>
      </c>
      <c r="AF2859" s="5" t="s">
        <v>6938</v>
      </c>
    </row>
    <row r="2860" spans="1:33" ht="10" customHeight="1" x14ac:dyDescent="0.2">
      <c r="A2860" s="5" t="s">
        <v>6832</v>
      </c>
      <c r="B2860" s="5" t="s">
        <v>41</v>
      </c>
      <c r="D2860" s="5" t="s">
        <v>6939</v>
      </c>
      <c r="E2860" s="10" t="s">
        <v>53</v>
      </c>
      <c r="F2860" s="5" t="s">
        <v>6936</v>
      </c>
      <c r="I2860" s="11">
        <v>6</v>
      </c>
      <c r="K2860" s="12"/>
      <c r="O2860" s="12"/>
      <c r="P2860" s="13">
        <v>13633</v>
      </c>
      <c r="Q2860" s="13">
        <v>13871</v>
      </c>
      <c r="S2860" s="13">
        <v>13536</v>
      </c>
      <c r="U2860" s="13">
        <v>13536</v>
      </c>
      <c r="AC2860" s="10" t="s">
        <v>6940</v>
      </c>
      <c r="AD2860" s="5" t="s">
        <v>77</v>
      </c>
      <c r="AE2860" s="5" t="s">
        <v>6934</v>
      </c>
      <c r="AF2860" s="5" t="s">
        <v>6941</v>
      </c>
    </row>
    <row r="2861" spans="1:33" ht="10" customHeight="1" x14ac:dyDescent="0.2">
      <c r="A2861" s="5" t="s">
        <v>6832</v>
      </c>
      <c r="B2861" s="5" t="s">
        <v>41</v>
      </c>
      <c r="D2861" s="5" t="s">
        <v>6942</v>
      </c>
      <c r="E2861" s="10" t="s">
        <v>53</v>
      </c>
      <c r="F2861" s="5" t="s">
        <v>6936</v>
      </c>
      <c r="I2861" s="11">
        <v>4</v>
      </c>
      <c r="K2861" s="12"/>
      <c r="O2861" s="12"/>
      <c r="P2861" s="13">
        <v>72519</v>
      </c>
      <c r="Q2861" s="13">
        <v>73105</v>
      </c>
      <c r="S2861" s="13">
        <v>63463</v>
      </c>
      <c r="U2861" s="13">
        <v>63463</v>
      </c>
      <c r="AC2861" s="10" t="s">
        <v>6943</v>
      </c>
      <c r="AD2861" s="5" t="s">
        <v>1451</v>
      </c>
      <c r="AE2861" s="5" t="s">
        <v>6934</v>
      </c>
      <c r="AF2861" s="5" t="s">
        <v>6944</v>
      </c>
    </row>
    <row r="2862" spans="1:33" ht="10" customHeight="1" x14ac:dyDescent="0.2">
      <c r="A2862" s="5" t="s">
        <v>6832</v>
      </c>
      <c r="B2862" s="5" t="s">
        <v>41</v>
      </c>
      <c r="D2862" s="5" t="s">
        <v>6945</v>
      </c>
      <c r="E2862" s="10" t="s">
        <v>53</v>
      </c>
      <c r="F2862" s="5" t="s">
        <v>6946</v>
      </c>
      <c r="I2862" s="11">
        <v>4</v>
      </c>
      <c r="K2862" s="12"/>
      <c r="O2862" s="12"/>
      <c r="P2862" s="13">
        <v>18150</v>
      </c>
      <c r="Q2862" s="13">
        <v>3839</v>
      </c>
      <c r="S2862" s="13">
        <v>19245</v>
      </c>
      <c r="U2862" s="13">
        <v>19245</v>
      </c>
      <c r="AC2862" s="10" t="s">
        <v>6947</v>
      </c>
      <c r="AD2862" s="5" t="s">
        <v>1451</v>
      </c>
      <c r="AE2862" s="5" t="s">
        <v>6934</v>
      </c>
    </row>
    <row r="2863" spans="1:33" ht="10" customHeight="1" x14ac:dyDescent="0.2">
      <c r="A2863" s="5" t="s">
        <v>6832</v>
      </c>
      <c r="B2863" s="5" t="s">
        <v>41</v>
      </c>
      <c r="D2863" s="5" t="s">
        <v>6948</v>
      </c>
      <c r="E2863" s="10" t="s">
        <v>53</v>
      </c>
      <c r="F2863" s="5" t="s">
        <v>6946</v>
      </c>
      <c r="I2863" s="11">
        <v>4</v>
      </c>
      <c r="K2863" s="12"/>
      <c r="O2863" s="12"/>
      <c r="P2863" s="13">
        <v>957</v>
      </c>
      <c r="Q2863" s="13">
        <v>202</v>
      </c>
      <c r="S2863" s="13">
        <v>410</v>
      </c>
      <c r="U2863" s="13">
        <v>410</v>
      </c>
      <c r="AC2863" s="10" t="s">
        <v>6947</v>
      </c>
      <c r="AD2863" s="5" t="s">
        <v>1451</v>
      </c>
      <c r="AE2863" s="5" t="s">
        <v>6934</v>
      </c>
    </row>
    <row r="2864" spans="1:33" ht="10" customHeight="1" x14ac:dyDescent="0.2">
      <c r="A2864" s="5" t="s">
        <v>6832</v>
      </c>
      <c r="B2864" s="5" t="s">
        <v>41</v>
      </c>
      <c r="D2864" s="5" t="s">
        <v>6949</v>
      </c>
      <c r="E2864" s="10" t="s">
        <v>53</v>
      </c>
      <c r="F2864" s="5" t="s">
        <v>6946</v>
      </c>
      <c r="I2864" s="11">
        <v>4</v>
      </c>
      <c r="K2864" s="10" t="s">
        <v>46</v>
      </c>
      <c r="L2864" s="5" t="s">
        <v>47</v>
      </c>
      <c r="M2864" s="5" t="s">
        <v>65</v>
      </c>
      <c r="N2864" s="5" t="s">
        <v>66</v>
      </c>
      <c r="O2864" s="12"/>
      <c r="Q2864" s="13">
        <v>1887</v>
      </c>
      <c r="S2864" s="13">
        <v>1295</v>
      </c>
      <c r="U2864" s="13">
        <v>1295</v>
      </c>
      <c r="AC2864" s="10" t="s">
        <v>6947</v>
      </c>
      <c r="AD2864" s="5" t="s">
        <v>1451</v>
      </c>
      <c r="AE2864" s="5" t="s">
        <v>6934</v>
      </c>
    </row>
    <row r="2865" spans="1:33" ht="10" customHeight="1" x14ac:dyDescent="0.2">
      <c r="A2865" s="5" t="s">
        <v>6832</v>
      </c>
      <c r="B2865" s="5" t="s">
        <v>41</v>
      </c>
      <c r="D2865" s="5" t="s">
        <v>6950</v>
      </c>
      <c r="E2865" s="10" t="s">
        <v>53</v>
      </c>
      <c r="F2865" s="5" t="s">
        <v>6946</v>
      </c>
      <c r="I2865" s="11">
        <v>4</v>
      </c>
      <c r="K2865" s="12"/>
      <c r="O2865" s="12"/>
      <c r="P2865" s="13">
        <v>3913</v>
      </c>
      <c r="Q2865" s="13">
        <v>7525</v>
      </c>
      <c r="S2865" s="13">
        <v>4906</v>
      </c>
      <c r="U2865" s="13">
        <v>4906</v>
      </c>
      <c r="AC2865" s="10" t="s">
        <v>6947</v>
      </c>
      <c r="AD2865" s="5" t="s">
        <v>1451</v>
      </c>
      <c r="AE2865" s="5" t="s">
        <v>6934</v>
      </c>
    </row>
    <row r="2866" spans="1:33" ht="10" customHeight="1" x14ac:dyDescent="0.2">
      <c r="A2866" s="5" t="s">
        <v>6832</v>
      </c>
      <c r="B2866" s="5" t="s">
        <v>41</v>
      </c>
      <c r="D2866" s="5" t="s">
        <v>6951</v>
      </c>
      <c r="E2866" s="10" t="s">
        <v>53</v>
      </c>
      <c r="F2866" s="5" t="s">
        <v>6946</v>
      </c>
      <c r="I2866" s="11">
        <v>4</v>
      </c>
      <c r="K2866" s="12"/>
      <c r="O2866" s="12"/>
      <c r="S2866" s="13">
        <v>1821</v>
      </c>
      <c r="U2866" s="13">
        <v>1821</v>
      </c>
      <c r="AC2866" s="10" t="s">
        <v>6947</v>
      </c>
      <c r="AD2866" s="5" t="s">
        <v>1451</v>
      </c>
      <c r="AE2866" s="5" t="s">
        <v>6934</v>
      </c>
    </row>
    <row r="2867" spans="1:33" ht="10" customHeight="1" x14ac:dyDescent="0.2">
      <c r="A2867" s="5" t="s">
        <v>6832</v>
      </c>
      <c r="B2867" s="5" t="s">
        <v>41</v>
      </c>
      <c r="D2867" s="5" t="s">
        <v>6952</v>
      </c>
      <c r="E2867" s="10" t="s">
        <v>53</v>
      </c>
      <c r="F2867" s="5" t="s">
        <v>6946</v>
      </c>
      <c r="I2867" s="11">
        <v>4</v>
      </c>
      <c r="K2867" s="10" t="s">
        <v>46</v>
      </c>
      <c r="L2867" s="5" t="s">
        <v>47</v>
      </c>
      <c r="M2867" s="5" t="s">
        <v>145</v>
      </c>
      <c r="O2867" s="12"/>
      <c r="Q2867" s="13">
        <v>1400</v>
      </c>
      <c r="S2867" s="13">
        <v>357</v>
      </c>
      <c r="U2867" s="13">
        <v>357</v>
      </c>
      <c r="AC2867" s="10" t="s">
        <v>6947</v>
      </c>
      <c r="AD2867" s="5" t="s">
        <v>1451</v>
      </c>
      <c r="AE2867" s="5" t="s">
        <v>6934</v>
      </c>
    </row>
    <row r="2868" spans="1:33" ht="10" customHeight="1" x14ac:dyDescent="0.2">
      <c r="A2868" s="5" t="s">
        <v>6832</v>
      </c>
      <c r="B2868" s="5" t="s">
        <v>41</v>
      </c>
      <c r="D2868" s="5" t="s">
        <v>6953</v>
      </c>
      <c r="E2868" s="10" t="s">
        <v>53</v>
      </c>
      <c r="F2868" s="5" t="s">
        <v>6946</v>
      </c>
      <c r="I2868" s="11">
        <v>4</v>
      </c>
      <c r="K2868" s="12"/>
      <c r="O2868" s="12"/>
      <c r="P2868" s="13">
        <v>3910</v>
      </c>
      <c r="Q2868" s="13">
        <v>4112</v>
      </c>
      <c r="S2868" s="13">
        <v>1744</v>
      </c>
      <c r="U2868" s="13">
        <v>1744</v>
      </c>
      <c r="AC2868" s="10" t="s">
        <v>6947</v>
      </c>
      <c r="AD2868" s="5" t="s">
        <v>1451</v>
      </c>
      <c r="AE2868" s="5" t="s">
        <v>6934</v>
      </c>
    </row>
    <row r="2869" spans="1:33" ht="10" customHeight="1" x14ac:dyDescent="0.2">
      <c r="A2869" s="5" t="s">
        <v>6832</v>
      </c>
      <c r="B2869" s="5" t="s">
        <v>41</v>
      </c>
      <c r="D2869" s="5" t="s">
        <v>6954</v>
      </c>
      <c r="E2869" s="10" t="s">
        <v>53</v>
      </c>
      <c r="F2869" s="5" t="s">
        <v>6946</v>
      </c>
      <c r="I2869" s="11">
        <v>4</v>
      </c>
      <c r="K2869" s="12"/>
      <c r="O2869" s="12"/>
      <c r="P2869" s="13">
        <v>2777</v>
      </c>
      <c r="Q2869" s="13">
        <v>4224</v>
      </c>
      <c r="S2869" s="13">
        <v>6452</v>
      </c>
      <c r="U2869" s="13">
        <v>6452</v>
      </c>
      <c r="AC2869" s="10" t="s">
        <v>6947</v>
      </c>
      <c r="AD2869" s="5" t="s">
        <v>1451</v>
      </c>
      <c r="AE2869" s="5" t="s">
        <v>6934</v>
      </c>
    </row>
    <row r="2870" spans="1:33" ht="10" customHeight="1" x14ac:dyDescent="0.2">
      <c r="A2870" s="5" t="s">
        <v>6832</v>
      </c>
      <c r="B2870" s="5" t="s">
        <v>41</v>
      </c>
      <c r="D2870" s="5" t="s">
        <v>6955</v>
      </c>
      <c r="E2870" s="10" t="s">
        <v>53</v>
      </c>
      <c r="F2870" s="5" t="s">
        <v>6946</v>
      </c>
      <c r="I2870" s="11">
        <v>4</v>
      </c>
      <c r="K2870" s="10" t="s">
        <v>46</v>
      </c>
      <c r="L2870" s="5" t="s">
        <v>47</v>
      </c>
      <c r="M2870" s="5" t="s">
        <v>65</v>
      </c>
      <c r="N2870" s="5" t="s">
        <v>66</v>
      </c>
      <c r="O2870" s="12"/>
      <c r="Q2870" s="13">
        <v>976</v>
      </c>
      <c r="S2870" s="13">
        <v>665</v>
      </c>
      <c r="U2870" s="13">
        <v>665</v>
      </c>
      <c r="AC2870" s="10" t="s">
        <v>6947</v>
      </c>
      <c r="AD2870" s="5" t="s">
        <v>1451</v>
      </c>
      <c r="AE2870" s="5" t="s">
        <v>6934</v>
      </c>
    </row>
    <row r="2871" spans="1:33" ht="10" customHeight="1" x14ac:dyDescent="0.2">
      <c r="A2871" s="5" t="s">
        <v>6832</v>
      </c>
      <c r="B2871" s="5" t="s">
        <v>41</v>
      </c>
      <c r="D2871" s="5" t="s">
        <v>6956</v>
      </c>
      <c r="E2871" s="10" t="s">
        <v>53</v>
      </c>
      <c r="F2871" s="5" t="s">
        <v>6946</v>
      </c>
      <c r="I2871" s="11">
        <v>4</v>
      </c>
      <c r="K2871" s="12"/>
      <c r="O2871" s="12"/>
      <c r="P2871" s="13">
        <v>947</v>
      </c>
      <c r="Q2871" s="13">
        <v>3865</v>
      </c>
      <c r="S2871" s="13">
        <v>4056</v>
      </c>
      <c r="U2871" s="13">
        <v>4056</v>
      </c>
      <c r="AC2871" s="10" t="s">
        <v>6947</v>
      </c>
      <c r="AD2871" s="5" t="s">
        <v>1451</v>
      </c>
      <c r="AE2871" s="5" t="s">
        <v>6934</v>
      </c>
    </row>
    <row r="2872" spans="1:33" ht="10" customHeight="1" x14ac:dyDescent="0.2">
      <c r="A2872" s="5" t="s">
        <v>6832</v>
      </c>
      <c r="B2872" s="5" t="s">
        <v>41</v>
      </c>
      <c r="D2872" s="5" t="s">
        <v>6957</v>
      </c>
      <c r="E2872" s="10" t="s">
        <v>53</v>
      </c>
      <c r="F2872" s="5" t="s">
        <v>6946</v>
      </c>
      <c r="I2872" s="11">
        <v>4</v>
      </c>
      <c r="K2872" s="12"/>
      <c r="O2872" s="12"/>
      <c r="P2872" s="13">
        <v>10251</v>
      </c>
      <c r="Q2872" s="13">
        <v>2908</v>
      </c>
      <c r="AC2872" s="10" t="s">
        <v>6947</v>
      </c>
      <c r="AD2872" s="5" t="s">
        <v>1451</v>
      </c>
      <c r="AE2872" s="5" t="s">
        <v>6934</v>
      </c>
    </row>
    <row r="2873" spans="1:33" ht="10" customHeight="1" x14ac:dyDescent="0.2">
      <c r="A2873" s="5" t="s">
        <v>6832</v>
      </c>
      <c r="B2873" s="5" t="s">
        <v>41</v>
      </c>
      <c r="D2873" s="5" t="s">
        <v>6958</v>
      </c>
      <c r="E2873" s="10" t="s">
        <v>53</v>
      </c>
      <c r="F2873" s="5" t="s">
        <v>6946</v>
      </c>
      <c r="I2873" s="11">
        <v>4</v>
      </c>
      <c r="K2873" s="10" t="s">
        <v>46</v>
      </c>
      <c r="L2873" s="5" t="s">
        <v>47</v>
      </c>
      <c r="M2873" s="5" t="s">
        <v>65</v>
      </c>
      <c r="N2873" s="5" t="s">
        <v>66</v>
      </c>
      <c r="O2873" s="12"/>
      <c r="P2873" s="13">
        <v>6998</v>
      </c>
      <c r="Q2873" s="13">
        <v>5709</v>
      </c>
      <c r="S2873" s="13">
        <v>2481</v>
      </c>
      <c r="U2873" s="13">
        <v>2481</v>
      </c>
      <c r="AC2873" s="10" t="s">
        <v>6947</v>
      </c>
      <c r="AD2873" s="5" t="s">
        <v>1451</v>
      </c>
      <c r="AE2873" s="5" t="s">
        <v>6934</v>
      </c>
    </row>
    <row r="2874" spans="1:33" ht="10" customHeight="1" x14ac:dyDescent="0.2">
      <c r="A2874" s="5" t="s">
        <v>6832</v>
      </c>
      <c r="B2874" s="5" t="s">
        <v>41</v>
      </c>
      <c r="D2874" s="5" t="s">
        <v>6959</v>
      </c>
      <c r="E2874" s="10" t="s">
        <v>53</v>
      </c>
      <c r="F2874" s="5" t="s">
        <v>6946</v>
      </c>
      <c r="I2874" s="11">
        <v>4</v>
      </c>
      <c r="K2874" s="12"/>
      <c r="O2874" s="12"/>
      <c r="P2874" s="13">
        <v>3651</v>
      </c>
      <c r="Q2874" s="13">
        <v>5998</v>
      </c>
      <c r="S2874" s="13">
        <v>4869</v>
      </c>
      <c r="U2874" s="13">
        <v>4869</v>
      </c>
      <c r="AC2874" s="10" t="s">
        <v>6947</v>
      </c>
      <c r="AD2874" s="5" t="s">
        <v>1451</v>
      </c>
      <c r="AE2874" s="5" t="s">
        <v>6934</v>
      </c>
    </row>
    <row r="2875" spans="1:33" ht="10" customHeight="1" x14ac:dyDescent="0.2">
      <c r="A2875" s="5" t="s">
        <v>6832</v>
      </c>
      <c r="B2875" s="5" t="s">
        <v>41</v>
      </c>
      <c r="D2875" s="5" t="s">
        <v>6960</v>
      </c>
      <c r="E2875" s="10" t="s">
        <v>53</v>
      </c>
      <c r="F2875" s="5" t="s">
        <v>6946</v>
      </c>
      <c r="I2875" s="11">
        <v>4</v>
      </c>
      <c r="K2875" s="12"/>
      <c r="O2875" s="12"/>
      <c r="P2875" s="13">
        <v>965</v>
      </c>
      <c r="Q2875" s="13">
        <v>2020</v>
      </c>
      <c r="S2875" s="13">
        <v>970</v>
      </c>
      <c r="U2875" s="13">
        <v>970</v>
      </c>
      <c r="AC2875" s="10" t="s">
        <v>6947</v>
      </c>
      <c r="AD2875" s="5" t="s">
        <v>1451</v>
      </c>
      <c r="AE2875" s="5" t="s">
        <v>6934</v>
      </c>
    </row>
    <row r="2876" spans="1:33" ht="10" customHeight="1" x14ac:dyDescent="0.2">
      <c r="A2876" s="5" t="s">
        <v>6832</v>
      </c>
      <c r="B2876" s="5" t="s">
        <v>41</v>
      </c>
      <c r="D2876" s="5" t="s">
        <v>6961</v>
      </c>
      <c r="E2876" s="10" t="s">
        <v>53</v>
      </c>
      <c r="F2876" s="5" t="s">
        <v>6946</v>
      </c>
      <c r="I2876" s="11">
        <v>4</v>
      </c>
      <c r="K2876" s="10" t="s">
        <v>46</v>
      </c>
      <c r="L2876" s="5" t="s">
        <v>47</v>
      </c>
      <c r="M2876" s="5" t="s">
        <v>65</v>
      </c>
      <c r="N2876" s="5" t="s">
        <v>66</v>
      </c>
      <c r="O2876" s="12"/>
      <c r="P2876" s="13">
        <v>800</v>
      </c>
      <c r="Q2876" s="13">
        <v>1691</v>
      </c>
      <c r="S2876" s="13">
        <v>474</v>
      </c>
      <c r="U2876" s="13">
        <v>474</v>
      </c>
      <c r="AC2876" s="10" t="s">
        <v>6947</v>
      </c>
      <c r="AD2876" s="5" t="s">
        <v>1451</v>
      </c>
      <c r="AE2876" s="5" t="s">
        <v>6934</v>
      </c>
    </row>
    <row r="2877" spans="1:33" ht="10" customHeight="1" x14ac:dyDescent="0.2">
      <c r="A2877" s="5" t="s">
        <v>6832</v>
      </c>
      <c r="B2877" s="5" t="s">
        <v>41</v>
      </c>
      <c r="D2877" s="5" t="s">
        <v>6962</v>
      </c>
      <c r="E2877" s="10" t="s">
        <v>53</v>
      </c>
      <c r="F2877" s="5" t="s">
        <v>6946</v>
      </c>
      <c r="I2877" s="11">
        <v>4</v>
      </c>
      <c r="K2877" s="10" t="s">
        <v>46</v>
      </c>
      <c r="L2877" s="5" t="s">
        <v>47</v>
      </c>
      <c r="M2877" s="5" t="s">
        <v>65</v>
      </c>
      <c r="N2877" s="5" t="s">
        <v>66</v>
      </c>
      <c r="O2877" s="12"/>
      <c r="P2877" s="13">
        <v>3062</v>
      </c>
      <c r="Q2877" s="13">
        <v>5176</v>
      </c>
      <c r="S2877" s="13">
        <v>2517</v>
      </c>
      <c r="U2877" s="13">
        <v>2517</v>
      </c>
      <c r="AC2877" s="10" t="s">
        <v>6947</v>
      </c>
      <c r="AD2877" s="5" t="s">
        <v>1451</v>
      </c>
      <c r="AE2877" s="5" t="s">
        <v>6934</v>
      </c>
    </row>
    <row r="2878" spans="1:33" ht="10" customHeight="1" x14ac:dyDescent="0.2">
      <c r="A2878" s="5" t="s">
        <v>6832</v>
      </c>
      <c r="B2878" s="5" t="s">
        <v>41</v>
      </c>
      <c r="D2878" s="5" t="s">
        <v>6963</v>
      </c>
      <c r="E2878" s="10" t="s">
        <v>53</v>
      </c>
      <c r="F2878" s="5" t="s">
        <v>6946</v>
      </c>
      <c r="I2878" s="11">
        <v>4</v>
      </c>
      <c r="K2878" s="10" t="s">
        <v>46</v>
      </c>
      <c r="L2878" s="5" t="s">
        <v>47</v>
      </c>
      <c r="M2878" s="5" t="s">
        <v>145</v>
      </c>
      <c r="O2878" s="12"/>
      <c r="Q2878" s="13">
        <v>332</v>
      </c>
      <c r="S2878" s="13">
        <v>593</v>
      </c>
      <c r="U2878" s="13">
        <v>593</v>
      </c>
      <c r="AC2878" s="10" t="s">
        <v>6947</v>
      </c>
      <c r="AD2878" s="5" t="s">
        <v>1451</v>
      </c>
      <c r="AE2878" s="5" t="s">
        <v>6934</v>
      </c>
    </row>
    <row r="2879" spans="1:33" ht="10" customHeight="1" x14ac:dyDescent="0.2">
      <c r="A2879" s="5" t="s">
        <v>6832</v>
      </c>
      <c r="B2879" s="5" t="s">
        <v>41</v>
      </c>
      <c r="D2879" s="5" t="s">
        <v>6964</v>
      </c>
      <c r="E2879" s="10" t="s">
        <v>53</v>
      </c>
      <c r="F2879" s="5" t="s">
        <v>6936</v>
      </c>
      <c r="I2879" s="11">
        <v>6</v>
      </c>
      <c r="K2879" s="12"/>
      <c r="O2879" s="12"/>
      <c r="P2879" s="13">
        <v>3850</v>
      </c>
      <c r="AC2879" s="10" t="s">
        <v>6965</v>
      </c>
      <c r="AD2879" s="5" t="s">
        <v>1661</v>
      </c>
      <c r="AE2879" s="5" t="s">
        <v>6934</v>
      </c>
      <c r="AF2879" s="5" t="s">
        <v>6966</v>
      </c>
    </row>
    <row r="2880" spans="1:33" ht="10" customHeight="1" x14ac:dyDescent="0.2">
      <c r="A2880" s="5" t="s">
        <v>6832</v>
      </c>
      <c r="B2880" s="5" t="s">
        <v>41</v>
      </c>
      <c r="D2880" s="5" t="s">
        <v>6967</v>
      </c>
      <c r="E2880" s="10" t="s">
        <v>53</v>
      </c>
      <c r="F2880" s="5" t="s">
        <v>6936</v>
      </c>
      <c r="I2880" s="11">
        <v>4</v>
      </c>
      <c r="K2880" s="10" t="s">
        <v>46</v>
      </c>
      <c r="L2880" s="5" t="s">
        <v>47</v>
      </c>
      <c r="M2880" s="5" t="s">
        <v>115</v>
      </c>
      <c r="O2880" s="12"/>
      <c r="P2880" s="13">
        <v>14233</v>
      </c>
      <c r="Q2880" s="13">
        <v>14479</v>
      </c>
      <c r="AC2880" s="10" t="s">
        <v>6968</v>
      </c>
      <c r="AD2880" s="5" t="s">
        <v>1677</v>
      </c>
      <c r="AE2880" s="5" t="s">
        <v>6934</v>
      </c>
      <c r="AG2880" s="5" t="s">
        <v>6969</v>
      </c>
    </row>
    <row r="2881" spans="1:33" ht="10" customHeight="1" x14ac:dyDescent="0.2">
      <c r="A2881" s="5" t="s">
        <v>6832</v>
      </c>
      <c r="B2881" s="5" t="s">
        <v>41</v>
      </c>
      <c r="D2881" s="5" t="s">
        <v>6870</v>
      </c>
      <c r="E2881" s="10" t="s">
        <v>53</v>
      </c>
      <c r="F2881" s="5" t="s">
        <v>6970</v>
      </c>
      <c r="I2881" s="11">
        <v>4</v>
      </c>
      <c r="K2881" s="10" t="s">
        <v>46</v>
      </c>
      <c r="L2881" s="5" t="s">
        <v>47</v>
      </c>
      <c r="M2881" s="5" t="s">
        <v>115</v>
      </c>
      <c r="O2881" s="12"/>
      <c r="P2881" s="13">
        <v>992</v>
      </c>
      <c r="Q2881" s="13">
        <v>1012</v>
      </c>
      <c r="AC2881" s="10" t="s">
        <v>6971</v>
      </c>
      <c r="AD2881" s="5" t="s">
        <v>1677</v>
      </c>
      <c r="AE2881" s="5" t="s">
        <v>6934</v>
      </c>
      <c r="AG2881" s="5" t="s">
        <v>6972</v>
      </c>
    </row>
    <row r="2882" spans="1:33" ht="10" customHeight="1" x14ac:dyDescent="0.2">
      <c r="A2882" s="5" t="s">
        <v>6832</v>
      </c>
      <c r="B2882" s="5" t="s">
        <v>41</v>
      </c>
      <c r="D2882" s="5" t="s">
        <v>6873</v>
      </c>
      <c r="E2882" s="10" t="s">
        <v>53</v>
      </c>
      <c r="F2882" s="5" t="s">
        <v>6970</v>
      </c>
      <c r="I2882" s="11">
        <v>4</v>
      </c>
      <c r="K2882" s="10" t="s">
        <v>46</v>
      </c>
      <c r="L2882" s="5" t="s">
        <v>47</v>
      </c>
      <c r="M2882" s="5" t="s">
        <v>115</v>
      </c>
      <c r="O2882" s="12"/>
      <c r="P2882" s="13">
        <v>1156</v>
      </c>
      <c r="AC2882" s="10" t="s">
        <v>6971</v>
      </c>
      <c r="AD2882" s="5" t="s">
        <v>1677</v>
      </c>
      <c r="AE2882" s="5" t="s">
        <v>6934</v>
      </c>
      <c r="AG2882" s="5" t="s">
        <v>6972</v>
      </c>
    </row>
    <row r="2883" spans="1:33" ht="10" customHeight="1" x14ac:dyDescent="0.2">
      <c r="A2883" s="5" t="s">
        <v>6832</v>
      </c>
      <c r="B2883" s="5" t="s">
        <v>41</v>
      </c>
      <c r="D2883" s="5" t="s">
        <v>6874</v>
      </c>
      <c r="E2883" s="10" t="s">
        <v>53</v>
      </c>
      <c r="F2883" s="5" t="s">
        <v>6970</v>
      </c>
      <c r="I2883" s="11">
        <v>4</v>
      </c>
      <c r="K2883" s="10" t="s">
        <v>46</v>
      </c>
      <c r="L2883" s="5" t="s">
        <v>47</v>
      </c>
      <c r="M2883" s="5" t="s">
        <v>115</v>
      </c>
      <c r="O2883" s="12"/>
      <c r="P2883" s="13">
        <v>1725</v>
      </c>
      <c r="Q2883" s="13">
        <v>1759</v>
      </c>
      <c r="AC2883" s="10" t="s">
        <v>6971</v>
      </c>
      <c r="AD2883" s="5" t="s">
        <v>1677</v>
      </c>
      <c r="AE2883" s="5" t="s">
        <v>6934</v>
      </c>
      <c r="AG2883" s="5" t="s">
        <v>6972</v>
      </c>
    </row>
    <row r="2884" spans="1:33" ht="10" customHeight="1" x14ac:dyDescent="0.2">
      <c r="A2884" s="5" t="s">
        <v>6832</v>
      </c>
      <c r="B2884" s="5" t="s">
        <v>41</v>
      </c>
      <c r="D2884" s="5" t="s">
        <v>6973</v>
      </c>
      <c r="E2884" s="10" t="s">
        <v>53</v>
      </c>
      <c r="F2884" s="5" t="s">
        <v>6970</v>
      </c>
      <c r="I2884" s="11">
        <v>4</v>
      </c>
      <c r="K2884" s="10" t="s">
        <v>46</v>
      </c>
      <c r="L2884" s="5" t="s">
        <v>47</v>
      </c>
      <c r="M2884" s="5" t="s">
        <v>115</v>
      </c>
      <c r="O2884" s="12"/>
      <c r="P2884" s="13">
        <v>3382</v>
      </c>
      <c r="Q2884" s="13">
        <v>4010</v>
      </c>
      <c r="AC2884" s="10" t="s">
        <v>6971</v>
      </c>
      <c r="AD2884" s="5" t="s">
        <v>1677</v>
      </c>
      <c r="AE2884" s="5" t="s">
        <v>6934</v>
      </c>
      <c r="AG2884" s="5" t="s">
        <v>6972</v>
      </c>
    </row>
    <row r="2885" spans="1:33" ht="10" customHeight="1" x14ac:dyDescent="0.2">
      <c r="A2885" s="5" t="s">
        <v>6832</v>
      </c>
      <c r="B2885" s="5" t="s">
        <v>41</v>
      </c>
      <c r="D2885" s="5" t="s">
        <v>6974</v>
      </c>
      <c r="E2885" s="10" t="s">
        <v>53</v>
      </c>
      <c r="F2885" s="5" t="s">
        <v>6970</v>
      </c>
      <c r="I2885" s="11">
        <v>4</v>
      </c>
      <c r="K2885" s="10" t="s">
        <v>46</v>
      </c>
      <c r="L2885" s="5" t="s">
        <v>47</v>
      </c>
      <c r="M2885" s="5" t="s">
        <v>115</v>
      </c>
      <c r="O2885" s="12"/>
      <c r="P2885" s="13">
        <v>223</v>
      </c>
      <c r="Q2885" s="13">
        <v>227</v>
      </c>
      <c r="AC2885" s="10" t="s">
        <v>6971</v>
      </c>
      <c r="AD2885" s="5" t="s">
        <v>1677</v>
      </c>
      <c r="AE2885" s="5" t="s">
        <v>6934</v>
      </c>
      <c r="AG2885" s="5" t="s">
        <v>6972</v>
      </c>
    </row>
    <row r="2886" spans="1:33" ht="10" customHeight="1" x14ac:dyDescent="0.2">
      <c r="A2886" s="5" t="s">
        <v>6832</v>
      </c>
      <c r="B2886" s="5" t="s">
        <v>41</v>
      </c>
      <c r="D2886" s="5" t="s">
        <v>6975</v>
      </c>
      <c r="E2886" s="10" t="s">
        <v>53</v>
      </c>
      <c r="F2886" s="5" t="s">
        <v>6970</v>
      </c>
      <c r="I2886" s="11">
        <v>4</v>
      </c>
      <c r="K2886" s="10" t="s">
        <v>46</v>
      </c>
      <c r="L2886" s="5" t="s">
        <v>47</v>
      </c>
      <c r="M2886" s="5" t="s">
        <v>115</v>
      </c>
      <c r="O2886" s="12"/>
      <c r="P2886" s="13">
        <v>400</v>
      </c>
      <c r="Q2886" s="13">
        <v>287</v>
      </c>
      <c r="AC2886" s="10" t="s">
        <v>6971</v>
      </c>
      <c r="AD2886" s="5" t="s">
        <v>1677</v>
      </c>
      <c r="AE2886" s="5" t="s">
        <v>6934</v>
      </c>
      <c r="AG2886" s="5" t="s">
        <v>6972</v>
      </c>
    </row>
    <row r="2887" spans="1:33" ht="10" customHeight="1" x14ac:dyDescent="0.2">
      <c r="A2887" s="5" t="s">
        <v>6832</v>
      </c>
      <c r="B2887" s="5" t="s">
        <v>41</v>
      </c>
      <c r="D2887" s="5" t="s">
        <v>6976</v>
      </c>
      <c r="E2887" s="10" t="s">
        <v>53</v>
      </c>
      <c r="F2887" s="5" t="s">
        <v>6970</v>
      </c>
      <c r="I2887" s="11">
        <v>4</v>
      </c>
      <c r="K2887" s="10" t="s">
        <v>46</v>
      </c>
      <c r="L2887" s="5" t="s">
        <v>47</v>
      </c>
      <c r="M2887" s="5" t="s">
        <v>115</v>
      </c>
      <c r="O2887" s="12"/>
      <c r="P2887" s="13">
        <v>6163</v>
      </c>
      <c r="Q2887" s="13">
        <v>7184</v>
      </c>
      <c r="AC2887" s="10" t="s">
        <v>6971</v>
      </c>
      <c r="AD2887" s="5" t="s">
        <v>1677</v>
      </c>
      <c r="AE2887" s="5" t="s">
        <v>6934</v>
      </c>
      <c r="AG2887" s="5" t="s">
        <v>6972</v>
      </c>
    </row>
    <row r="2888" spans="1:33" ht="10" customHeight="1" x14ac:dyDescent="0.2">
      <c r="A2888" s="5" t="s">
        <v>6832</v>
      </c>
      <c r="B2888" s="5" t="s">
        <v>41</v>
      </c>
      <c r="D2888" s="5" t="s">
        <v>6977</v>
      </c>
      <c r="E2888" s="10" t="s">
        <v>53</v>
      </c>
      <c r="F2888" s="5" t="s">
        <v>6936</v>
      </c>
      <c r="I2888" s="11">
        <v>4</v>
      </c>
      <c r="K2888" s="10" t="s">
        <v>46</v>
      </c>
      <c r="L2888" s="5" t="s">
        <v>47</v>
      </c>
      <c r="M2888" s="5" t="s">
        <v>65</v>
      </c>
      <c r="N2888" s="5" t="s">
        <v>66</v>
      </c>
      <c r="O2888" s="12"/>
      <c r="P2888" s="13">
        <v>7833</v>
      </c>
      <c r="Q2888" s="13">
        <v>4210</v>
      </c>
      <c r="AC2888" s="10" t="s">
        <v>6978</v>
      </c>
      <c r="AD2888" s="5" t="s">
        <v>1722</v>
      </c>
      <c r="AE2888" s="5" t="s">
        <v>6934</v>
      </c>
      <c r="AG2888" s="5" t="s">
        <v>6979</v>
      </c>
    </row>
    <row r="2889" spans="1:33" ht="10" customHeight="1" x14ac:dyDescent="0.2">
      <c r="A2889" s="5" t="s">
        <v>6832</v>
      </c>
      <c r="B2889" s="5" t="s">
        <v>41</v>
      </c>
      <c r="D2889" s="5" t="s">
        <v>6980</v>
      </c>
      <c r="E2889" s="10" t="s">
        <v>53</v>
      </c>
      <c r="F2889" s="5" t="s">
        <v>6981</v>
      </c>
      <c r="I2889" s="11">
        <v>4</v>
      </c>
      <c r="K2889" s="10" t="s">
        <v>46</v>
      </c>
      <c r="L2889" s="5" t="s">
        <v>47</v>
      </c>
      <c r="M2889" s="5" t="s">
        <v>65</v>
      </c>
      <c r="N2889" s="5" t="s">
        <v>66</v>
      </c>
      <c r="O2889" s="12"/>
      <c r="P2889" s="13">
        <v>3200</v>
      </c>
      <c r="Q2889" s="13">
        <v>1910</v>
      </c>
      <c r="AC2889" s="10" t="s">
        <v>6978</v>
      </c>
      <c r="AD2889" s="5" t="s">
        <v>1722</v>
      </c>
      <c r="AE2889" s="5" t="s">
        <v>6934</v>
      </c>
      <c r="AG2889" s="5" t="s">
        <v>6979</v>
      </c>
    </row>
    <row r="2890" spans="1:33" ht="10" customHeight="1" x14ac:dyDescent="0.2">
      <c r="A2890" s="5" t="s">
        <v>6832</v>
      </c>
      <c r="B2890" s="5" t="s">
        <v>41</v>
      </c>
      <c r="D2890" s="5" t="s">
        <v>6875</v>
      </c>
      <c r="E2890" s="10" t="s">
        <v>53</v>
      </c>
      <c r="F2890" s="5" t="s">
        <v>6981</v>
      </c>
      <c r="I2890" s="11">
        <v>4</v>
      </c>
      <c r="K2890" s="10" t="s">
        <v>46</v>
      </c>
      <c r="L2890" s="5" t="s">
        <v>47</v>
      </c>
      <c r="M2890" s="5" t="s">
        <v>65</v>
      </c>
      <c r="N2890" s="5" t="s">
        <v>66</v>
      </c>
      <c r="O2890" s="12"/>
      <c r="P2890" s="13">
        <v>4633</v>
      </c>
      <c r="Q2890" s="13">
        <v>2300</v>
      </c>
      <c r="AC2890" s="10" t="s">
        <v>6978</v>
      </c>
      <c r="AD2890" s="5" t="s">
        <v>1722</v>
      </c>
      <c r="AE2890" s="5" t="s">
        <v>6934</v>
      </c>
      <c r="AG2890" s="5" t="s">
        <v>6979</v>
      </c>
    </row>
    <row r="2891" spans="1:33" ht="10" customHeight="1" x14ac:dyDescent="0.2">
      <c r="A2891" s="5" t="s">
        <v>6832</v>
      </c>
      <c r="B2891" s="5" t="s">
        <v>41</v>
      </c>
      <c r="C2891" s="5" t="s">
        <v>1445</v>
      </c>
      <c r="D2891" s="5" t="s">
        <v>6982</v>
      </c>
      <c r="E2891" s="10" t="s">
        <v>44</v>
      </c>
      <c r="I2891" s="11">
        <v>4</v>
      </c>
      <c r="K2891" s="10" t="s">
        <v>46</v>
      </c>
      <c r="L2891" s="5" t="s">
        <v>47</v>
      </c>
      <c r="M2891" s="5" t="s">
        <v>65</v>
      </c>
      <c r="N2891" s="5" t="s">
        <v>66</v>
      </c>
      <c r="O2891" s="12"/>
      <c r="P2891" s="13">
        <v>12376</v>
      </c>
      <c r="Q2891" s="13">
        <v>2244</v>
      </c>
      <c r="S2891" s="13">
        <v>4484</v>
      </c>
      <c r="U2891" s="13">
        <v>4484</v>
      </c>
      <c r="X2891" s="13">
        <v>4484</v>
      </c>
      <c r="Y2891" s="13">
        <v>4484</v>
      </c>
      <c r="Z2891" s="13">
        <v>23551</v>
      </c>
      <c r="AB2891" s="13">
        <v>23551</v>
      </c>
      <c r="AC2891" s="10" t="s">
        <v>6983</v>
      </c>
      <c r="AD2891" s="5" t="s">
        <v>1769</v>
      </c>
      <c r="AE2891" s="5" t="s">
        <v>6984</v>
      </c>
      <c r="AF2891" s="5" t="s">
        <v>6982</v>
      </c>
    </row>
    <row r="2892" spans="1:33" ht="10" customHeight="1" x14ac:dyDescent="0.2">
      <c r="A2892" s="5" t="s">
        <v>6832</v>
      </c>
      <c r="B2892" s="5" t="s">
        <v>41</v>
      </c>
      <c r="D2892" s="5" t="s">
        <v>6985</v>
      </c>
      <c r="E2892" s="10" t="s">
        <v>53</v>
      </c>
      <c r="F2892" s="5" t="s">
        <v>6986</v>
      </c>
      <c r="I2892" s="11">
        <v>4</v>
      </c>
      <c r="K2892" s="10" t="s">
        <v>46</v>
      </c>
      <c r="L2892" s="5" t="s">
        <v>47</v>
      </c>
      <c r="M2892" s="5" t="s">
        <v>65</v>
      </c>
      <c r="N2892" s="5" t="s">
        <v>66</v>
      </c>
      <c r="O2892" s="12"/>
      <c r="P2892" s="13">
        <v>12321</v>
      </c>
      <c r="AC2892" s="10" t="s">
        <v>6987</v>
      </c>
      <c r="AD2892" s="5" t="s">
        <v>1790</v>
      </c>
      <c r="AE2892" s="5" t="s">
        <v>6984</v>
      </c>
      <c r="AF2892" s="5" t="s">
        <v>6982</v>
      </c>
      <c r="AG2892" s="5" t="s">
        <v>6988</v>
      </c>
    </row>
    <row r="2893" spans="1:33" ht="10" customHeight="1" x14ac:dyDescent="0.2">
      <c r="A2893" s="5" t="s">
        <v>6832</v>
      </c>
      <c r="B2893" s="5" t="s">
        <v>41</v>
      </c>
      <c r="D2893" s="5" t="s">
        <v>6989</v>
      </c>
      <c r="E2893" s="10" t="s">
        <v>53</v>
      </c>
      <c r="F2893" s="5" t="s">
        <v>6986</v>
      </c>
      <c r="I2893" s="11">
        <v>4</v>
      </c>
      <c r="K2893" s="10" t="s">
        <v>46</v>
      </c>
      <c r="L2893" s="5" t="s">
        <v>47</v>
      </c>
      <c r="M2893" s="5" t="s">
        <v>65</v>
      </c>
      <c r="N2893" s="5" t="s">
        <v>66</v>
      </c>
      <c r="O2893" s="12"/>
      <c r="S2893" s="13">
        <v>2</v>
      </c>
      <c r="U2893" s="13">
        <v>2</v>
      </c>
      <c r="AC2893" s="10" t="s">
        <v>6987</v>
      </c>
      <c r="AD2893" s="5" t="s">
        <v>1790</v>
      </c>
      <c r="AE2893" s="5" t="s">
        <v>6984</v>
      </c>
      <c r="AF2893" s="5" t="s">
        <v>6982</v>
      </c>
      <c r="AG2893" s="5" t="s">
        <v>6988</v>
      </c>
    </row>
    <row r="2894" spans="1:33" ht="10" customHeight="1" x14ac:dyDescent="0.2">
      <c r="A2894" s="5" t="s">
        <v>6832</v>
      </c>
      <c r="B2894" s="5" t="s">
        <v>41</v>
      </c>
      <c r="D2894" s="5" t="s">
        <v>6990</v>
      </c>
      <c r="E2894" s="10" t="s">
        <v>53</v>
      </c>
      <c r="F2894" s="5" t="s">
        <v>6986</v>
      </c>
      <c r="I2894" s="11">
        <v>4</v>
      </c>
      <c r="K2894" s="10" t="s">
        <v>46</v>
      </c>
      <c r="L2894" s="5" t="s">
        <v>47</v>
      </c>
      <c r="M2894" s="5" t="s">
        <v>65</v>
      </c>
      <c r="N2894" s="5" t="s">
        <v>66</v>
      </c>
      <c r="O2894" s="12"/>
      <c r="Q2894" s="13">
        <v>1</v>
      </c>
      <c r="AC2894" s="10" t="s">
        <v>6987</v>
      </c>
      <c r="AD2894" s="5" t="s">
        <v>1790</v>
      </c>
      <c r="AE2894" s="5" t="s">
        <v>6984</v>
      </c>
      <c r="AF2894" s="5" t="s">
        <v>6982</v>
      </c>
      <c r="AG2894" s="5" t="s">
        <v>6988</v>
      </c>
    </row>
    <row r="2895" spans="1:33" ht="10" customHeight="1" x14ac:dyDescent="0.2">
      <c r="A2895" s="5" t="s">
        <v>6832</v>
      </c>
      <c r="B2895" s="5" t="s">
        <v>41</v>
      </c>
      <c r="D2895" s="5" t="s">
        <v>6991</v>
      </c>
      <c r="E2895" s="10" t="s">
        <v>53</v>
      </c>
      <c r="F2895" s="5" t="s">
        <v>6986</v>
      </c>
      <c r="I2895" s="11">
        <v>4</v>
      </c>
      <c r="K2895" s="10" t="s">
        <v>46</v>
      </c>
      <c r="L2895" s="5" t="s">
        <v>47</v>
      </c>
      <c r="M2895" s="5" t="s">
        <v>65</v>
      </c>
      <c r="N2895" s="5" t="s">
        <v>66</v>
      </c>
      <c r="O2895" s="12"/>
      <c r="Q2895" s="13">
        <v>251</v>
      </c>
      <c r="S2895" s="13">
        <v>256</v>
      </c>
      <c r="U2895" s="13">
        <v>256</v>
      </c>
      <c r="AC2895" s="10" t="s">
        <v>6992</v>
      </c>
      <c r="AD2895" s="5" t="s">
        <v>1790</v>
      </c>
      <c r="AE2895" s="5" t="s">
        <v>6984</v>
      </c>
      <c r="AF2895" s="5" t="s">
        <v>6982</v>
      </c>
      <c r="AG2895" s="5" t="s">
        <v>6993</v>
      </c>
    </row>
    <row r="2896" spans="1:33" ht="10" customHeight="1" x14ac:dyDescent="0.2">
      <c r="A2896" s="5" t="s">
        <v>6832</v>
      </c>
      <c r="B2896" s="5" t="s">
        <v>41</v>
      </c>
      <c r="D2896" s="5" t="s">
        <v>6994</v>
      </c>
      <c r="E2896" s="10" t="s">
        <v>53</v>
      </c>
      <c r="F2896" s="5" t="s">
        <v>6986</v>
      </c>
      <c r="I2896" s="11">
        <v>4</v>
      </c>
      <c r="K2896" s="10" t="s">
        <v>46</v>
      </c>
      <c r="L2896" s="5" t="s">
        <v>47</v>
      </c>
      <c r="M2896" s="5" t="s">
        <v>65</v>
      </c>
      <c r="N2896" s="5" t="s">
        <v>66</v>
      </c>
      <c r="O2896" s="12"/>
      <c r="P2896" s="13">
        <v>55</v>
      </c>
      <c r="Q2896" s="13">
        <v>230</v>
      </c>
      <c r="S2896" s="13">
        <v>234</v>
      </c>
      <c r="U2896" s="13">
        <v>234</v>
      </c>
      <c r="AC2896" s="10" t="s">
        <v>6992</v>
      </c>
      <c r="AD2896" s="5" t="s">
        <v>1790</v>
      </c>
      <c r="AE2896" s="5" t="s">
        <v>6984</v>
      </c>
      <c r="AF2896" s="5" t="s">
        <v>6982</v>
      </c>
      <c r="AG2896" s="5" t="s">
        <v>6993</v>
      </c>
    </row>
    <row r="2897" spans="1:33" ht="10" customHeight="1" x14ac:dyDescent="0.2">
      <c r="A2897" s="5" t="s">
        <v>6832</v>
      </c>
      <c r="B2897" s="5" t="s">
        <v>41</v>
      </c>
      <c r="D2897" s="5" t="s">
        <v>6870</v>
      </c>
      <c r="E2897" s="10" t="s">
        <v>53</v>
      </c>
      <c r="F2897" s="5" t="s">
        <v>6986</v>
      </c>
      <c r="I2897" s="11">
        <v>4</v>
      </c>
      <c r="K2897" s="10" t="s">
        <v>46</v>
      </c>
      <c r="L2897" s="5" t="s">
        <v>47</v>
      </c>
      <c r="M2897" s="5" t="s">
        <v>65</v>
      </c>
      <c r="N2897" s="5" t="s">
        <v>66</v>
      </c>
      <c r="O2897" s="12"/>
      <c r="Q2897" s="13">
        <v>757</v>
      </c>
      <c r="S2897" s="13">
        <v>350</v>
      </c>
      <c r="U2897" s="13">
        <v>350</v>
      </c>
      <c r="AC2897" s="10" t="s">
        <v>6992</v>
      </c>
      <c r="AD2897" s="5" t="s">
        <v>1790</v>
      </c>
      <c r="AE2897" s="5" t="s">
        <v>6984</v>
      </c>
      <c r="AF2897" s="5" t="s">
        <v>6982</v>
      </c>
      <c r="AG2897" s="5" t="s">
        <v>6993</v>
      </c>
    </row>
    <row r="2898" spans="1:33" ht="10" customHeight="1" x14ac:dyDescent="0.2">
      <c r="A2898" s="5" t="s">
        <v>6832</v>
      </c>
      <c r="B2898" s="5" t="s">
        <v>41</v>
      </c>
      <c r="D2898" s="5" t="s">
        <v>6873</v>
      </c>
      <c r="E2898" s="10" t="s">
        <v>53</v>
      </c>
      <c r="F2898" s="5" t="s">
        <v>6986</v>
      </c>
      <c r="I2898" s="11">
        <v>4</v>
      </c>
      <c r="K2898" s="10" t="s">
        <v>46</v>
      </c>
      <c r="L2898" s="5" t="s">
        <v>47</v>
      </c>
      <c r="M2898" s="5" t="s">
        <v>65</v>
      </c>
      <c r="N2898" s="5" t="s">
        <v>66</v>
      </c>
      <c r="O2898" s="12"/>
      <c r="S2898" s="13">
        <v>3637</v>
      </c>
      <c r="U2898" s="13">
        <v>3637</v>
      </c>
      <c r="AC2898" s="10" t="s">
        <v>6992</v>
      </c>
      <c r="AD2898" s="5" t="s">
        <v>1790</v>
      </c>
      <c r="AE2898" s="5" t="s">
        <v>6984</v>
      </c>
      <c r="AF2898" s="5" t="s">
        <v>6982</v>
      </c>
      <c r="AG2898" s="5" t="s">
        <v>6993</v>
      </c>
    </row>
    <row r="2899" spans="1:33" ht="10" customHeight="1" x14ac:dyDescent="0.2">
      <c r="A2899" s="5" t="s">
        <v>6832</v>
      </c>
      <c r="B2899" s="5" t="s">
        <v>41</v>
      </c>
      <c r="D2899" s="5" t="s">
        <v>6995</v>
      </c>
      <c r="E2899" s="10" t="s">
        <v>53</v>
      </c>
      <c r="F2899" s="5" t="s">
        <v>6986</v>
      </c>
      <c r="I2899" s="11">
        <v>4</v>
      </c>
      <c r="K2899" s="10" t="s">
        <v>46</v>
      </c>
      <c r="L2899" s="5" t="s">
        <v>47</v>
      </c>
      <c r="M2899" s="5" t="s">
        <v>65</v>
      </c>
      <c r="N2899" s="5" t="s">
        <v>66</v>
      </c>
      <c r="O2899" s="12"/>
      <c r="Q2899" s="13">
        <v>1000</v>
      </c>
      <c r="AC2899" s="10" t="s">
        <v>6996</v>
      </c>
      <c r="AD2899" s="5" t="s">
        <v>1790</v>
      </c>
      <c r="AE2899" s="5" t="s">
        <v>6984</v>
      </c>
      <c r="AF2899" s="5" t="s">
        <v>6982</v>
      </c>
      <c r="AG2899" s="5" t="s">
        <v>6997</v>
      </c>
    </row>
    <row r="2900" spans="1:33" ht="10" customHeight="1" x14ac:dyDescent="0.2">
      <c r="A2900" s="5" t="s">
        <v>6832</v>
      </c>
      <c r="B2900" s="5" t="s">
        <v>41</v>
      </c>
      <c r="D2900" s="5" t="s">
        <v>6998</v>
      </c>
      <c r="E2900" s="10" t="s">
        <v>53</v>
      </c>
      <c r="F2900" s="5" t="s">
        <v>6986</v>
      </c>
      <c r="I2900" s="11">
        <v>4</v>
      </c>
      <c r="K2900" s="10" t="s">
        <v>46</v>
      </c>
      <c r="L2900" s="5" t="s">
        <v>47</v>
      </c>
      <c r="M2900" s="5" t="s">
        <v>65</v>
      </c>
      <c r="N2900" s="5" t="s">
        <v>66</v>
      </c>
      <c r="O2900" s="12"/>
      <c r="S2900" s="13">
        <v>5</v>
      </c>
      <c r="U2900" s="13">
        <v>5</v>
      </c>
      <c r="AC2900" s="10" t="s">
        <v>6996</v>
      </c>
      <c r="AD2900" s="5" t="s">
        <v>1790</v>
      </c>
      <c r="AE2900" s="5" t="s">
        <v>6984</v>
      </c>
      <c r="AF2900" s="5" t="s">
        <v>6982</v>
      </c>
      <c r="AG2900" s="5" t="s">
        <v>6997</v>
      </c>
    </row>
    <row r="2901" spans="1:33" ht="10" customHeight="1" x14ac:dyDescent="0.2">
      <c r="A2901" s="5" t="s">
        <v>6832</v>
      </c>
      <c r="B2901" s="5" t="s">
        <v>41</v>
      </c>
      <c r="D2901" s="5" t="s">
        <v>6999</v>
      </c>
      <c r="E2901" s="10" t="s">
        <v>53</v>
      </c>
      <c r="F2901" s="5" t="s">
        <v>6986</v>
      </c>
      <c r="I2901" s="11">
        <v>4</v>
      </c>
      <c r="K2901" s="10" t="s">
        <v>46</v>
      </c>
      <c r="L2901" s="5" t="s">
        <v>47</v>
      </c>
      <c r="M2901" s="5" t="s">
        <v>65</v>
      </c>
      <c r="N2901" s="5" t="s">
        <v>66</v>
      </c>
      <c r="O2901" s="12"/>
      <c r="Q2901" s="13">
        <v>5</v>
      </c>
      <c r="AC2901" s="10" t="s">
        <v>6996</v>
      </c>
      <c r="AD2901" s="5" t="s">
        <v>1790</v>
      </c>
      <c r="AE2901" s="5" t="s">
        <v>6984</v>
      </c>
      <c r="AF2901" s="5" t="s">
        <v>6982</v>
      </c>
      <c r="AG2901" s="5" t="s">
        <v>6997</v>
      </c>
    </row>
    <row r="2902" spans="1:33" ht="10" customHeight="1" x14ac:dyDescent="0.2">
      <c r="A2902" s="5" t="s">
        <v>6832</v>
      </c>
      <c r="B2902" s="5" t="s">
        <v>41</v>
      </c>
      <c r="C2902" s="5" t="s">
        <v>81</v>
      </c>
      <c r="D2902" s="5" t="s">
        <v>7000</v>
      </c>
      <c r="E2902" s="10" t="s">
        <v>44</v>
      </c>
      <c r="I2902" s="11">
        <v>4</v>
      </c>
      <c r="K2902" s="10" t="s">
        <v>46</v>
      </c>
      <c r="L2902" s="5" t="s">
        <v>47</v>
      </c>
      <c r="M2902" s="5" t="s">
        <v>65</v>
      </c>
      <c r="N2902" s="5" t="s">
        <v>66</v>
      </c>
      <c r="O2902" s="12"/>
      <c r="P2902" s="13">
        <v>17472</v>
      </c>
      <c r="Q2902" s="13">
        <v>14702</v>
      </c>
      <c r="S2902" s="13">
        <v>16294</v>
      </c>
      <c r="U2902" s="13">
        <v>16294</v>
      </c>
      <c r="X2902" s="13">
        <v>16294</v>
      </c>
      <c r="Y2902" s="13">
        <v>16294</v>
      </c>
      <c r="Z2902" s="13">
        <v>36908</v>
      </c>
      <c r="AB2902" s="13">
        <v>36908</v>
      </c>
      <c r="AC2902" s="10" t="s">
        <v>7001</v>
      </c>
      <c r="AD2902" s="5" t="s">
        <v>1866</v>
      </c>
      <c r="AE2902" s="5" t="s">
        <v>7002</v>
      </c>
      <c r="AF2902" s="5" t="s">
        <v>7000</v>
      </c>
    </row>
    <row r="2903" spans="1:33" ht="10" customHeight="1" x14ac:dyDescent="0.2">
      <c r="A2903" s="5" t="s">
        <v>6832</v>
      </c>
      <c r="B2903" s="5" t="s">
        <v>41</v>
      </c>
      <c r="D2903" s="5" t="s">
        <v>7003</v>
      </c>
      <c r="E2903" s="10" t="s">
        <v>53</v>
      </c>
      <c r="F2903" s="5" t="s">
        <v>7004</v>
      </c>
      <c r="I2903" s="11">
        <v>4</v>
      </c>
      <c r="K2903" s="10" t="s">
        <v>46</v>
      </c>
      <c r="L2903" s="5" t="s">
        <v>47</v>
      </c>
      <c r="M2903" s="5" t="s">
        <v>65</v>
      </c>
      <c r="N2903" s="5" t="s">
        <v>66</v>
      </c>
      <c r="O2903" s="12"/>
      <c r="AC2903" s="10" t="s">
        <v>7005</v>
      </c>
      <c r="AD2903" s="5" t="s">
        <v>1889</v>
      </c>
      <c r="AE2903" s="5" t="s">
        <v>7002</v>
      </c>
      <c r="AF2903" s="5" t="s">
        <v>7000</v>
      </c>
      <c r="AG2903" s="5" t="s">
        <v>7006</v>
      </c>
    </row>
    <row r="2904" spans="1:33" ht="10" customHeight="1" x14ac:dyDescent="0.2">
      <c r="A2904" s="5" t="s">
        <v>6832</v>
      </c>
      <c r="B2904" s="5" t="s">
        <v>41</v>
      </c>
      <c r="D2904" s="5" t="s">
        <v>7007</v>
      </c>
      <c r="E2904" s="10" t="s">
        <v>53</v>
      </c>
      <c r="F2904" s="5" t="s">
        <v>7004</v>
      </c>
      <c r="I2904" s="11">
        <v>4</v>
      </c>
      <c r="K2904" s="10" t="s">
        <v>46</v>
      </c>
      <c r="L2904" s="5" t="s">
        <v>47</v>
      </c>
      <c r="M2904" s="5" t="s">
        <v>65</v>
      </c>
      <c r="N2904" s="5" t="s">
        <v>66</v>
      </c>
      <c r="O2904" s="12"/>
      <c r="Q2904" s="13">
        <v>148</v>
      </c>
      <c r="AC2904" s="10" t="s">
        <v>7005</v>
      </c>
      <c r="AD2904" s="5" t="s">
        <v>1889</v>
      </c>
      <c r="AE2904" s="5" t="s">
        <v>7002</v>
      </c>
      <c r="AF2904" s="5" t="s">
        <v>7000</v>
      </c>
      <c r="AG2904" s="5" t="s">
        <v>7006</v>
      </c>
    </row>
    <row r="2905" spans="1:33" ht="10" customHeight="1" x14ac:dyDescent="0.2">
      <c r="A2905" s="5" t="s">
        <v>6832</v>
      </c>
      <c r="B2905" s="5" t="s">
        <v>41</v>
      </c>
      <c r="D2905" s="5" t="s">
        <v>7008</v>
      </c>
      <c r="E2905" s="10" t="s">
        <v>53</v>
      </c>
      <c r="F2905" s="5" t="s">
        <v>7004</v>
      </c>
      <c r="I2905" s="11">
        <v>4</v>
      </c>
      <c r="K2905" s="10" t="s">
        <v>46</v>
      </c>
      <c r="L2905" s="5" t="s">
        <v>47</v>
      </c>
      <c r="M2905" s="5" t="s">
        <v>65</v>
      </c>
      <c r="N2905" s="5" t="s">
        <v>66</v>
      </c>
      <c r="O2905" s="12"/>
      <c r="Q2905" s="13">
        <v>1361</v>
      </c>
      <c r="AC2905" s="10" t="s">
        <v>7009</v>
      </c>
      <c r="AD2905" s="5" t="s">
        <v>1889</v>
      </c>
      <c r="AE2905" s="5" t="s">
        <v>7002</v>
      </c>
      <c r="AF2905" s="5" t="s">
        <v>7000</v>
      </c>
      <c r="AG2905" s="5" t="s">
        <v>7010</v>
      </c>
    </row>
    <row r="2906" spans="1:33" ht="10" customHeight="1" x14ac:dyDescent="0.2">
      <c r="A2906" s="5" t="s">
        <v>6832</v>
      </c>
      <c r="B2906" s="5" t="s">
        <v>41</v>
      </c>
      <c r="D2906" s="5" t="s">
        <v>7011</v>
      </c>
      <c r="E2906" s="10" t="s">
        <v>53</v>
      </c>
      <c r="F2906" s="5" t="s">
        <v>7004</v>
      </c>
      <c r="I2906" s="11">
        <v>4</v>
      </c>
      <c r="K2906" s="10" t="s">
        <v>46</v>
      </c>
      <c r="L2906" s="5" t="s">
        <v>47</v>
      </c>
      <c r="M2906" s="5" t="s">
        <v>65</v>
      </c>
      <c r="N2906" s="5" t="s">
        <v>66</v>
      </c>
      <c r="O2906" s="12"/>
      <c r="P2906" s="13">
        <v>5772</v>
      </c>
      <c r="Q2906" s="13">
        <v>621</v>
      </c>
      <c r="AC2906" s="10" t="s">
        <v>7009</v>
      </c>
      <c r="AD2906" s="5" t="s">
        <v>1889</v>
      </c>
      <c r="AE2906" s="5" t="s">
        <v>7002</v>
      </c>
      <c r="AF2906" s="5" t="s">
        <v>7000</v>
      </c>
      <c r="AG2906" s="5" t="s">
        <v>7010</v>
      </c>
    </row>
    <row r="2907" spans="1:33" ht="10" customHeight="1" x14ac:dyDescent="0.2">
      <c r="A2907" s="5" t="s">
        <v>6832</v>
      </c>
      <c r="B2907" s="5" t="s">
        <v>41</v>
      </c>
      <c r="D2907" s="5" t="s">
        <v>7012</v>
      </c>
      <c r="E2907" s="10" t="s">
        <v>53</v>
      </c>
      <c r="F2907" s="5" t="s">
        <v>7004</v>
      </c>
      <c r="I2907" s="11">
        <v>4</v>
      </c>
      <c r="K2907" s="10" t="s">
        <v>46</v>
      </c>
      <c r="L2907" s="5" t="s">
        <v>47</v>
      </c>
      <c r="M2907" s="5" t="s">
        <v>65</v>
      </c>
      <c r="N2907" s="5" t="s">
        <v>66</v>
      </c>
      <c r="O2907" s="12"/>
      <c r="S2907" s="13">
        <v>260</v>
      </c>
      <c r="U2907" s="13">
        <v>260</v>
      </c>
      <c r="AC2907" s="10" t="s">
        <v>7013</v>
      </c>
      <c r="AD2907" s="5" t="s">
        <v>1889</v>
      </c>
      <c r="AE2907" s="5" t="s">
        <v>7002</v>
      </c>
      <c r="AF2907" s="5" t="s">
        <v>7000</v>
      </c>
      <c r="AG2907" s="5" t="s">
        <v>7014</v>
      </c>
    </row>
    <row r="2908" spans="1:33" ht="10" customHeight="1" x14ac:dyDescent="0.2">
      <c r="A2908" s="5" t="s">
        <v>6832</v>
      </c>
      <c r="B2908" s="5" t="s">
        <v>41</v>
      </c>
      <c r="D2908" s="5" t="s">
        <v>6991</v>
      </c>
      <c r="E2908" s="10" t="s">
        <v>53</v>
      </c>
      <c r="F2908" s="5" t="s">
        <v>7004</v>
      </c>
      <c r="I2908" s="11">
        <v>4</v>
      </c>
      <c r="K2908" s="10" t="s">
        <v>46</v>
      </c>
      <c r="L2908" s="5" t="s">
        <v>47</v>
      </c>
      <c r="M2908" s="5" t="s">
        <v>65</v>
      </c>
      <c r="N2908" s="5" t="s">
        <v>66</v>
      </c>
      <c r="O2908" s="12"/>
      <c r="P2908" s="13">
        <v>432</v>
      </c>
      <c r="Q2908" s="13">
        <v>1199</v>
      </c>
      <c r="S2908" s="13">
        <v>1223</v>
      </c>
      <c r="U2908" s="13">
        <v>1223</v>
      </c>
      <c r="AC2908" s="10" t="s">
        <v>7015</v>
      </c>
      <c r="AD2908" s="5" t="s">
        <v>1889</v>
      </c>
      <c r="AE2908" s="5" t="s">
        <v>7002</v>
      </c>
      <c r="AF2908" s="5" t="s">
        <v>7000</v>
      </c>
      <c r="AG2908" s="5" t="s">
        <v>7016</v>
      </c>
    </row>
    <row r="2909" spans="1:33" ht="10" customHeight="1" x14ac:dyDescent="0.2">
      <c r="A2909" s="5" t="s">
        <v>6832</v>
      </c>
      <c r="B2909" s="5" t="s">
        <v>41</v>
      </c>
      <c r="D2909" s="5" t="s">
        <v>6994</v>
      </c>
      <c r="E2909" s="10" t="s">
        <v>53</v>
      </c>
      <c r="F2909" s="5" t="s">
        <v>7004</v>
      </c>
      <c r="I2909" s="11">
        <v>4</v>
      </c>
      <c r="K2909" s="10" t="s">
        <v>46</v>
      </c>
      <c r="L2909" s="5" t="s">
        <v>47</v>
      </c>
      <c r="M2909" s="5" t="s">
        <v>65</v>
      </c>
      <c r="N2909" s="5" t="s">
        <v>66</v>
      </c>
      <c r="O2909" s="12"/>
      <c r="P2909" s="13">
        <v>810</v>
      </c>
      <c r="Q2909" s="13">
        <v>586</v>
      </c>
      <c r="S2909" s="13">
        <v>598</v>
      </c>
      <c r="U2909" s="13">
        <v>598</v>
      </c>
      <c r="AC2909" s="10" t="s">
        <v>7015</v>
      </c>
      <c r="AD2909" s="5" t="s">
        <v>1889</v>
      </c>
      <c r="AE2909" s="5" t="s">
        <v>7002</v>
      </c>
      <c r="AF2909" s="5" t="s">
        <v>7000</v>
      </c>
      <c r="AG2909" s="5" t="s">
        <v>7016</v>
      </c>
    </row>
    <row r="2910" spans="1:33" ht="10" customHeight="1" x14ac:dyDescent="0.2">
      <c r="A2910" s="5" t="s">
        <v>6832</v>
      </c>
      <c r="B2910" s="5" t="s">
        <v>41</v>
      </c>
      <c r="D2910" s="5" t="s">
        <v>6873</v>
      </c>
      <c r="E2910" s="10" t="s">
        <v>53</v>
      </c>
      <c r="F2910" s="5" t="s">
        <v>7004</v>
      </c>
      <c r="I2910" s="11">
        <v>4</v>
      </c>
      <c r="K2910" s="10" t="s">
        <v>46</v>
      </c>
      <c r="L2910" s="5" t="s">
        <v>47</v>
      </c>
      <c r="M2910" s="5" t="s">
        <v>65</v>
      </c>
      <c r="N2910" s="5" t="s">
        <v>66</v>
      </c>
      <c r="O2910" s="12"/>
      <c r="P2910" s="13">
        <v>10458</v>
      </c>
      <c r="Q2910" s="13">
        <v>10712</v>
      </c>
      <c r="S2910" s="13">
        <v>13872</v>
      </c>
      <c r="U2910" s="13">
        <v>13872</v>
      </c>
      <c r="AC2910" s="10" t="s">
        <v>7015</v>
      </c>
      <c r="AD2910" s="5" t="s">
        <v>1889</v>
      </c>
      <c r="AE2910" s="5" t="s">
        <v>7002</v>
      </c>
      <c r="AF2910" s="5" t="s">
        <v>7000</v>
      </c>
      <c r="AG2910" s="5" t="s">
        <v>7016</v>
      </c>
    </row>
    <row r="2911" spans="1:33" ht="10" customHeight="1" x14ac:dyDescent="0.2">
      <c r="A2911" s="5" t="s">
        <v>6832</v>
      </c>
      <c r="B2911" s="5" t="s">
        <v>41</v>
      </c>
      <c r="D2911" s="5" t="s">
        <v>7017</v>
      </c>
      <c r="E2911" s="10" t="s">
        <v>53</v>
      </c>
      <c r="F2911" s="5" t="s">
        <v>7004</v>
      </c>
      <c r="I2911" s="11">
        <v>4</v>
      </c>
      <c r="K2911" s="10" t="s">
        <v>46</v>
      </c>
      <c r="L2911" s="5" t="s">
        <v>47</v>
      </c>
      <c r="M2911" s="5" t="s">
        <v>65</v>
      </c>
      <c r="N2911" s="5" t="s">
        <v>66</v>
      </c>
      <c r="O2911" s="12"/>
      <c r="S2911" s="13">
        <v>341</v>
      </c>
      <c r="U2911" s="13">
        <v>341</v>
      </c>
      <c r="AC2911" s="10" t="s">
        <v>7018</v>
      </c>
      <c r="AD2911" s="5" t="s">
        <v>1889</v>
      </c>
      <c r="AE2911" s="5" t="s">
        <v>7002</v>
      </c>
      <c r="AF2911" s="5" t="s">
        <v>7000</v>
      </c>
      <c r="AG2911" s="5" t="s">
        <v>7019</v>
      </c>
    </row>
    <row r="2912" spans="1:33" ht="10" customHeight="1" x14ac:dyDescent="0.2">
      <c r="A2912" s="5" t="s">
        <v>6832</v>
      </c>
      <c r="B2912" s="5" t="s">
        <v>41</v>
      </c>
      <c r="D2912" s="5" t="s">
        <v>7020</v>
      </c>
      <c r="E2912" s="10" t="s">
        <v>53</v>
      </c>
      <c r="F2912" s="5" t="s">
        <v>7004</v>
      </c>
      <c r="I2912" s="11">
        <v>4</v>
      </c>
      <c r="K2912" s="10" t="s">
        <v>46</v>
      </c>
      <c r="L2912" s="5" t="s">
        <v>47</v>
      </c>
      <c r="M2912" s="5" t="s">
        <v>65</v>
      </c>
      <c r="N2912" s="5" t="s">
        <v>66</v>
      </c>
      <c r="O2912" s="12"/>
      <c r="Q2912" s="13">
        <v>75</v>
      </c>
      <c r="AC2912" s="10" t="s">
        <v>7018</v>
      </c>
      <c r="AD2912" s="5" t="s">
        <v>1889</v>
      </c>
      <c r="AE2912" s="5" t="s">
        <v>7002</v>
      </c>
      <c r="AF2912" s="5" t="s">
        <v>7000</v>
      </c>
      <c r="AG2912" s="5" t="s">
        <v>7019</v>
      </c>
    </row>
    <row r="2913" spans="1:33" ht="10" customHeight="1" x14ac:dyDescent="0.2">
      <c r="A2913" s="5" t="s">
        <v>6832</v>
      </c>
      <c r="B2913" s="5" t="s">
        <v>41</v>
      </c>
      <c r="C2913" s="5" t="s">
        <v>6150</v>
      </c>
      <c r="D2913" s="5" t="s">
        <v>7021</v>
      </c>
      <c r="E2913" s="10" t="s">
        <v>44</v>
      </c>
      <c r="I2913" s="11" t="s">
        <v>7022</v>
      </c>
      <c r="K2913" s="12"/>
      <c r="O2913" s="12"/>
      <c r="P2913" s="13">
        <v>19690</v>
      </c>
      <c r="Q2913" s="13">
        <v>17982</v>
      </c>
      <c r="S2913" s="13">
        <v>13806</v>
      </c>
      <c r="U2913" s="13">
        <v>13806</v>
      </c>
      <c r="X2913" s="13">
        <v>13806</v>
      </c>
      <c r="Y2913" s="13">
        <v>13806</v>
      </c>
      <c r="Z2913" s="13">
        <v>7477</v>
      </c>
      <c r="AB2913" s="13">
        <v>7477</v>
      </c>
      <c r="AC2913" s="10" t="s">
        <v>7023</v>
      </c>
      <c r="AD2913" s="5" t="s">
        <v>1956</v>
      </c>
      <c r="AE2913" s="5" t="s">
        <v>7024</v>
      </c>
    </row>
    <row r="2914" spans="1:33" ht="10" customHeight="1" x14ac:dyDescent="0.2">
      <c r="A2914" s="5" t="s">
        <v>6832</v>
      </c>
      <c r="B2914" s="5" t="s">
        <v>41</v>
      </c>
      <c r="D2914" s="5" t="s">
        <v>7025</v>
      </c>
      <c r="E2914" s="10" t="s">
        <v>53</v>
      </c>
      <c r="F2914" s="5" t="s">
        <v>7026</v>
      </c>
      <c r="I2914" s="11">
        <v>4</v>
      </c>
      <c r="K2914" s="12"/>
      <c r="O2914" s="12"/>
      <c r="P2914" s="13">
        <v>5287</v>
      </c>
      <c r="Q2914" s="13">
        <v>4314</v>
      </c>
      <c r="S2914" s="13">
        <v>3301</v>
      </c>
      <c r="U2914" s="13">
        <v>3301</v>
      </c>
      <c r="AC2914" s="10" t="s">
        <v>7027</v>
      </c>
      <c r="AD2914" s="5" t="s">
        <v>86</v>
      </c>
      <c r="AE2914" s="5" t="s">
        <v>7024</v>
      </c>
      <c r="AF2914" s="5" t="s">
        <v>7028</v>
      </c>
      <c r="AG2914" s="5" t="s">
        <v>7029</v>
      </c>
    </row>
    <row r="2915" spans="1:33" ht="10" customHeight="1" x14ac:dyDescent="0.2">
      <c r="A2915" s="5" t="s">
        <v>6832</v>
      </c>
      <c r="B2915" s="5" t="s">
        <v>41</v>
      </c>
      <c r="D2915" s="5" t="s">
        <v>7030</v>
      </c>
      <c r="E2915" s="10" t="s">
        <v>53</v>
      </c>
      <c r="F2915" s="5" t="s">
        <v>7026</v>
      </c>
      <c r="I2915" s="11">
        <v>6</v>
      </c>
      <c r="K2915" s="12"/>
      <c r="O2915" s="12"/>
      <c r="P2915" s="13">
        <v>2943</v>
      </c>
      <c r="Q2915" s="13">
        <v>3118</v>
      </c>
      <c r="S2915" s="13">
        <v>2815</v>
      </c>
      <c r="U2915" s="13">
        <v>2815</v>
      </c>
      <c r="AC2915" s="10" t="s">
        <v>7031</v>
      </c>
      <c r="AD2915" s="5" t="s">
        <v>86</v>
      </c>
      <c r="AE2915" s="5" t="s">
        <v>7024</v>
      </c>
      <c r="AF2915" s="5" t="s">
        <v>7032</v>
      </c>
      <c r="AG2915" s="5" t="s">
        <v>7033</v>
      </c>
    </row>
    <row r="2916" spans="1:33" ht="10" customHeight="1" x14ac:dyDescent="0.2">
      <c r="A2916" s="5" t="s">
        <v>6832</v>
      </c>
      <c r="B2916" s="5" t="s">
        <v>41</v>
      </c>
      <c r="D2916" s="5" t="s">
        <v>7034</v>
      </c>
      <c r="E2916" s="10" t="s">
        <v>53</v>
      </c>
      <c r="F2916" s="5" t="s">
        <v>7026</v>
      </c>
      <c r="I2916" s="11">
        <v>6</v>
      </c>
      <c r="K2916" s="12"/>
      <c r="O2916" s="12"/>
      <c r="P2916" s="13">
        <v>1586</v>
      </c>
      <c r="Q2916" s="13">
        <v>1415</v>
      </c>
      <c r="S2916" s="13">
        <v>1475</v>
      </c>
      <c r="U2916" s="13">
        <v>1475</v>
      </c>
      <c r="AC2916" s="10" t="s">
        <v>7031</v>
      </c>
      <c r="AD2916" s="5" t="s">
        <v>86</v>
      </c>
      <c r="AE2916" s="5" t="s">
        <v>7024</v>
      </c>
      <c r="AF2916" s="5" t="s">
        <v>7032</v>
      </c>
      <c r="AG2916" s="5" t="s">
        <v>7033</v>
      </c>
    </row>
    <row r="2917" spans="1:33" ht="10" customHeight="1" x14ac:dyDescent="0.2">
      <c r="A2917" s="5" t="s">
        <v>6832</v>
      </c>
      <c r="B2917" s="5" t="s">
        <v>41</v>
      </c>
      <c r="D2917" s="5" t="s">
        <v>7035</v>
      </c>
      <c r="E2917" s="10" t="s">
        <v>53</v>
      </c>
      <c r="F2917" s="5" t="s">
        <v>7026</v>
      </c>
      <c r="I2917" s="11">
        <v>6</v>
      </c>
      <c r="K2917" s="10" t="s">
        <v>46</v>
      </c>
      <c r="L2917" s="5" t="s">
        <v>4671</v>
      </c>
      <c r="M2917" s="5" t="s">
        <v>4672</v>
      </c>
      <c r="O2917" s="12"/>
      <c r="P2917" s="13">
        <v>3616</v>
      </c>
      <c r="Q2917" s="13">
        <v>3688</v>
      </c>
      <c r="S2917" s="13">
        <v>3010</v>
      </c>
      <c r="U2917" s="13">
        <v>3010</v>
      </c>
      <c r="AC2917" s="10" t="s">
        <v>7036</v>
      </c>
      <c r="AD2917" s="5" t="s">
        <v>86</v>
      </c>
      <c r="AE2917" s="5" t="s">
        <v>7024</v>
      </c>
      <c r="AF2917" s="5" t="s">
        <v>7037</v>
      </c>
      <c r="AG2917" s="5" t="s">
        <v>7038</v>
      </c>
    </row>
    <row r="2918" spans="1:33" ht="10" customHeight="1" x14ac:dyDescent="0.2">
      <c r="A2918" s="5" t="s">
        <v>6832</v>
      </c>
      <c r="B2918" s="5" t="s">
        <v>41</v>
      </c>
      <c r="D2918" s="5" t="s">
        <v>7039</v>
      </c>
      <c r="E2918" s="10" t="s">
        <v>53</v>
      </c>
      <c r="F2918" s="5" t="s">
        <v>7026</v>
      </c>
      <c r="I2918" s="11">
        <v>6</v>
      </c>
      <c r="K2918" s="10" t="s">
        <v>46</v>
      </c>
      <c r="L2918" s="5" t="s">
        <v>4671</v>
      </c>
      <c r="M2918" s="5" t="s">
        <v>4672</v>
      </c>
      <c r="O2918" s="12"/>
      <c r="P2918" s="13">
        <v>831</v>
      </c>
      <c r="Q2918" s="13">
        <v>802</v>
      </c>
      <c r="S2918" s="13">
        <v>741</v>
      </c>
      <c r="U2918" s="13">
        <v>741</v>
      </c>
      <c r="AC2918" s="10" t="s">
        <v>7036</v>
      </c>
      <c r="AD2918" s="5" t="s">
        <v>86</v>
      </c>
      <c r="AE2918" s="5" t="s">
        <v>7024</v>
      </c>
      <c r="AF2918" s="5" t="s">
        <v>7037</v>
      </c>
      <c r="AG2918" s="5" t="s">
        <v>7038</v>
      </c>
    </row>
    <row r="2919" spans="1:33" ht="10" customHeight="1" x14ac:dyDescent="0.2">
      <c r="A2919" s="5" t="s">
        <v>6832</v>
      </c>
      <c r="B2919" s="5" t="s">
        <v>41</v>
      </c>
      <c r="D2919" s="5" t="s">
        <v>7040</v>
      </c>
      <c r="E2919" s="10" t="s">
        <v>53</v>
      </c>
      <c r="F2919" s="5" t="s">
        <v>7026</v>
      </c>
      <c r="I2919" s="11">
        <v>6</v>
      </c>
      <c r="K2919" s="12"/>
      <c r="O2919" s="12"/>
      <c r="Q2919" s="13">
        <v>965</v>
      </c>
      <c r="S2919" s="13">
        <v>310</v>
      </c>
      <c r="U2919" s="13">
        <v>310</v>
      </c>
      <c r="AC2919" s="10" t="s">
        <v>7041</v>
      </c>
      <c r="AD2919" s="5" t="s">
        <v>4645</v>
      </c>
      <c r="AE2919" s="5" t="s">
        <v>7024</v>
      </c>
      <c r="AF2919" s="5" t="s">
        <v>7042</v>
      </c>
      <c r="AG2919" s="5" t="s">
        <v>7043</v>
      </c>
    </row>
    <row r="2920" spans="1:33" ht="10" customHeight="1" x14ac:dyDescent="0.2">
      <c r="A2920" s="5" t="s">
        <v>6832</v>
      </c>
      <c r="B2920" s="5" t="s">
        <v>41</v>
      </c>
      <c r="D2920" s="5" t="s">
        <v>7044</v>
      </c>
      <c r="E2920" s="10" t="s">
        <v>53</v>
      </c>
      <c r="F2920" s="5" t="s">
        <v>7026</v>
      </c>
      <c r="I2920" s="11">
        <v>4</v>
      </c>
      <c r="K2920" s="12"/>
      <c r="O2920" s="12"/>
      <c r="P2920" s="13">
        <v>1043</v>
      </c>
      <c r="Q2920" s="13">
        <v>702</v>
      </c>
      <c r="S2920" s="13">
        <v>716</v>
      </c>
      <c r="U2920" s="13">
        <v>716</v>
      </c>
      <c r="AC2920" s="10" t="s">
        <v>7045</v>
      </c>
      <c r="AD2920" s="5" t="s">
        <v>4645</v>
      </c>
      <c r="AE2920" s="5" t="s">
        <v>7024</v>
      </c>
      <c r="AF2920" s="5" t="s">
        <v>7046</v>
      </c>
      <c r="AG2920" s="5" t="s">
        <v>7047</v>
      </c>
    </row>
    <row r="2921" spans="1:33" ht="10" customHeight="1" x14ac:dyDescent="0.2">
      <c r="A2921" s="5" t="s">
        <v>6832</v>
      </c>
      <c r="B2921" s="5" t="s">
        <v>41</v>
      </c>
      <c r="D2921" s="5" t="s">
        <v>7048</v>
      </c>
      <c r="E2921" s="10" t="s">
        <v>53</v>
      </c>
      <c r="F2921" s="5" t="s">
        <v>7026</v>
      </c>
      <c r="I2921" s="11">
        <v>4</v>
      </c>
      <c r="K2921" s="12"/>
      <c r="O2921" s="12"/>
      <c r="P2921" s="13">
        <v>329</v>
      </c>
      <c r="Q2921" s="13">
        <v>259</v>
      </c>
      <c r="S2921" s="13">
        <v>217</v>
      </c>
      <c r="U2921" s="13">
        <v>217</v>
      </c>
      <c r="AC2921" s="10" t="s">
        <v>7049</v>
      </c>
      <c r="AD2921" s="5" t="s">
        <v>4716</v>
      </c>
      <c r="AE2921" s="5" t="s">
        <v>7024</v>
      </c>
      <c r="AF2921" s="5" t="s">
        <v>7050</v>
      </c>
      <c r="AG2921" s="5" t="s">
        <v>7051</v>
      </c>
    </row>
    <row r="2922" spans="1:33" ht="10" customHeight="1" x14ac:dyDescent="0.2">
      <c r="A2922" s="5" t="s">
        <v>6832</v>
      </c>
      <c r="B2922" s="5" t="s">
        <v>41</v>
      </c>
      <c r="D2922" s="5" t="s">
        <v>7052</v>
      </c>
      <c r="E2922" s="10" t="s">
        <v>53</v>
      </c>
      <c r="F2922" s="5" t="s">
        <v>7026</v>
      </c>
      <c r="I2922" s="11">
        <v>6</v>
      </c>
      <c r="K2922" s="10" t="s">
        <v>46</v>
      </c>
      <c r="L2922" s="5" t="s">
        <v>4671</v>
      </c>
      <c r="M2922" s="5" t="s">
        <v>4672</v>
      </c>
      <c r="O2922" s="12"/>
      <c r="P2922" s="13">
        <v>263</v>
      </c>
      <c r="Q2922" s="13">
        <v>256</v>
      </c>
      <c r="S2922" s="13">
        <v>167</v>
      </c>
      <c r="U2922" s="13">
        <v>167</v>
      </c>
      <c r="AC2922" s="10" t="s">
        <v>7049</v>
      </c>
      <c r="AD2922" s="5" t="s">
        <v>4716</v>
      </c>
      <c r="AE2922" s="5" t="s">
        <v>7024</v>
      </c>
      <c r="AF2922" s="5" t="s">
        <v>7050</v>
      </c>
      <c r="AG2922" s="5" t="s">
        <v>7051</v>
      </c>
    </row>
    <row r="2923" spans="1:33" ht="10" customHeight="1" x14ac:dyDescent="0.2">
      <c r="A2923" s="5" t="s">
        <v>6832</v>
      </c>
      <c r="B2923" s="5" t="s">
        <v>41</v>
      </c>
      <c r="D2923" s="5" t="s">
        <v>7053</v>
      </c>
      <c r="E2923" s="10" t="s">
        <v>53</v>
      </c>
      <c r="F2923" s="5" t="s">
        <v>7026</v>
      </c>
      <c r="I2923" s="11">
        <v>4</v>
      </c>
      <c r="K2923" s="12"/>
      <c r="O2923" s="12"/>
      <c r="P2923" s="13">
        <v>2305</v>
      </c>
      <c r="Q2923" s="13">
        <v>2148</v>
      </c>
      <c r="S2923" s="13">
        <v>725</v>
      </c>
      <c r="U2923" s="13">
        <v>725</v>
      </c>
      <c r="AC2923" s="10" t="s">
        <v>7054</v>
      </c>
      <c r="AD2923" s="5" t="s">
        <v>4716</v>
      </c>
      <c r="AE2923" s="5" t="s">
        <v>7024</v>
      </c>
      <c r="AF2923" s="5" t="s">
        <v>7055</v>
      </c>
      <c r="AG2923" s="5" t="s">
        <v>7056</v>
      </c>
    </row>
    <row r="2924" spans="1:33" ht="10" customHeight="1" x14ac:dyDescent="0.2">
      <c r="A2924" s="5" t="s">
        <v>6832</v>
      </c>
      <c r="B2924" s="5" t="s">
        <v>41</v>
      </c>
      <c r="D2924" s="5" t="s">
        <v>7057</v>
      </c>
      <c r="E2924" s="10" t="s">
        <v>53</v>
      </c>
      <c r="F2924" s="5" t="s">
        <v>7026</v>
      </c>
      <c r="I2924" s="11">
        <v>4</v>
      </c>
      <c r="K2924" s="12"/>
      <c r="O2924" s="12"/>
      <c r="P2924" s="13">
        <v>213</v>
      </c>
      <c r="Q2924" s="13">
        <v>154</v>
      </c>
      <c r="S2924" s="13">
        <v>165</v>
      </c>
      <c r="U2924" s="13">
        <v>165</v>
      </c>
      <c r="AC2924" s="10" t="s">
        <v>7054</v>
      </c>
      <c r="AD2924" s="5" t="s">
        <v>4716</v>
      </c>
      <c r="AE2924" s="5" t="s">
        <v>7024</v>
      </c>
      <c r="AF2924" s="5" t="s">
        <v>7055</v>
      </c>
      <c r="AG2924" s="5" t="s">
        <v>7056</v>
      </c>
    </row>
    <row r="2925" spans="1:33" ht="10" customHeight="1" x14ac:dyDescent="0.2">
      <c r="A2925" s="5" t="s">
        <v>6832</v>
      </c>
      <c r="B2925" s="5" t="s">
        <v>41</v>
      </c>
      <c r="D2925" s="5" t="s">
        <v>7058</v>
      </c>
      <c r="E2925" s="10" t="s">
        <v>53</v>
      </c>
      <c r="F2925" s="5" t="s">
        <v>7026</v>
      </c>
      <c r="I2925" s="11">
        <v>4</v>
      </c>
      <c r="K2925" s="12"/>
      <c r="O2925" s="12"/>
      <c r="P2925" s="13">
        <v>234</v>
      </c>
      <c r="Q2925" s="13">
        <v>161</v>
      </c>
      <c r="S2925" s="13">
        <v>164</v>
      </c>
      <c r="U2925" s="13">
        <v>164</v>
      </c>
      <c r="AC2925" s="10" t="s">
        <v>7059</v>
      </c>
      <c r="AD2925" s="5" t="s">
        <v>4716</v>
      </c>
      <c r="AE2925" s="5" t="s">
        <v>7024</v>
      </c>
    </row>
    <row r="2926" spans="1:33" ht="10" customHeight="1" x14ac:dyDescent="0.2">
      <c r="A2926" s="5" t="s">
        <v>6832</v>
      </c>
      <c r="B2926" s="5" t="s">
        <v>41</v>
      </c>
      <c r="C2926" s="5" t="s">
        <v>1451</v>
      </c>
      <c r="D2926" s="5" t="s">
        <v>7060</v>
      </c>
      <c r="E2926" s="10" t="s">
        <v>44</v>
      </c>
      <c r="I2926" s="11">
        <v>4</v>
      </c>
      <c r="K2926" s="10" t="s">
        <v>46</v>
      </c>
      <c r="L2926" s="5" t="s">
        <v>47</v>
      </c>
      <c r="M2926" s="5" t="s">
        <v>115</v>
      </c>
      <c r="N2926" s="5" t="s">
        <v>135</v>
      </c>
      <c r="O2926" s="12"/>
      <c r="P2926" s="13">
        <v>8444</v>
      </c>
      <c r="Q2926" s="13">
        <v>10643</v>
      </c>
      <c r="S2926" s="13">
        <v>9643</v>
      </c>
      <c r="U2926" s="13">
        <v>9643</v>
      </c>
      <c r="X2926" s="13">
        <v>9643</v>
      </c>
      <c r="Y2926" s="13">
        <v>9643</v>
      </c>
      <c r="Z2926" s="13">
        <v>9507</v>
      </c>
      <c r="AB2926" s="13">
        <v>9507</v>
      </c>
      <c r="AC2926" s="10" t="s">
        <v>7061</v>
      </c>
      <c r="AD2926" s="5" t="s">
        <v>4880</v>
      </c>
      <c r="AE2926" s="5" t="s">
        <v>7062</v>
      </c>
    </row>
    <row r="2927" spans="1:33" ht="10" customHeight="1" x14ac:dyDescent="0.2">
      <c r="A2927" s="5" t="s">
        <v>6832</v>
      </c>
      <c r="B2927" s="5" t="s">
        <v>41</v>
      </c>
      <c r="D2927" s="5" t="s">
        <v>7063</v>
      </c>
      <c r="E2927" s="10" t="s">
        <v>53</v>
      </c>
      <c r="F2927" s="5" t="s">
        <v>7064</v>
      </c>
      <c r="I2927" s="11">
        <v>4</v>
      </c>
      <c r="K2927" s="12"/>
      <c r="O2927" s="12"/>
      <c r="P2927" s="13">
        <v>7643</v>
      </c>
      <c r="Q2927" s="13">
        <v>9903</v>
      </c>
      <c r="S2927" s="13">
        <v>6882</v>
      </c>
      <c r="U2927" s="13">
        <v>6882</v>
      </c>
      <c r="AC2927" s="10" t="s">
        <v>7065</v>
      </c>
      <c r="AD2927" s="5" t="s">
        <v>2015</v>
      </c>
      <c r="AE2927" s="5" t="s">
        <v>7062</v>
      </c>
      <c r="AF2927" s="5" t="s">
        <v>7066</v>
      </c>
    </row>
    <row r="2928" spans="1:33" ht="10" customHeight="1" x14ac:dyDescent="0.2">
      <c r="A2928" s="5" t="s">
        <v>6832</v>
      </c>
      <c r="B2928" s="5" t="s">
        <v>41</v>
      </c>
      <c r="D2928" s="5" t="s">
        <v>7067</v>
      </c>
      <c r="E2928" s="10" t="s">
        <v>53</v>
      </c>
      <c r="F2928" s="5" t="s">
        <v>7064</v>
      </c>
      <c r="I2928" s="11">
        <v>4</v>
      </c>
      <c r="K2928" s="12"/>
      <c r="O2928" s="12"/>
      <c r="P2928" s="13">
        <v>801</v>
      </c>
      <c r="Q2928" s="13">
        <v>740</v>
      </c>
      <c r="S2928" s="13">
        <v>589</v>
      </c>
      <c r="U2928" s="13">
        <v>589</v>
      </c>
      <c r="AC2928" s="10" t="s">
        <v>7065</v>
      </c>
      <c r="AD2928" s="5" t="s">
        <v>2015</v>
      </c>
      <c r="AE2928" s="5" t="s">
        <v>7062</v>
      </c>
      <c r="AF2928" s="5" t="s">
        <v>7067</v>
      </c>
    </row>
    <row r="2929" spans="1:33" ht="10" customHeight="1" x14ac:dyDescent="0.2">
      <c r="A2929" s="5" t="s">
        <v>6832</v>
      </c>
      <c r="B2929" s="5" t="s">
        <v>41</v>
      </c>
      <c r="D2929" s="5" t="s">
        <v>7068</v>
      </c>
      <c r="E2929" s="10" t="s">
        <v>53</v>
      </c>
      <c r="F2929" s="5" t="s">
        <v>7064</v>
      </c>
      <c r="I2929" s="11">
        <v>4</v>
      </c>
      <c r="K2929" s="12"/>
      <c r="O2929" s="12"/>
      <c r="S2929" s="13">
        <v>1808</v>
      </c>
      <c r="U2929" s="13">
        <v>1808</v>
      </c>
      <c r="AC2929" s="10" t="s">
        <v>7065</v>
      </c>
      <c r="AD2929" s="5" t="s">
        <v>2015</v>
      </c>
      <c r="AE2929" s="5" t="s">
        <v>7062</v>
      </c>
      <c r="AF2929" s="5" t="s">
        <v>7068</v>
      </c>
    </row>
    <row r="2930" spans="1:33" ht="10" customHeight="1" x14ac:dyDescent="0.2">
      <c r="A2930" s="5" t="s">
        <v>6832</v>
      </c>
      <c r="B2930" s="5" t="s">
        <v>41</v>
      </c>
      <c r="D2930" s="5" t="s">
        <v>7069</v>
      </c>
      <c r="E2930" s="10" t="s">
        <v>53</v>
      </c>
      <c r="F2930" s="5" t="s">
        <v>7064</v>
      </c>
      <c r="I2930" s="11">
        <v>4</v>
      </c>
      <c r="K2930" s="12"/>
      <c r="O2930" s="12"/>
      <c r="S2930" s="13">
        <v>364</v>
      </c>
      <c r="U2930" s="13">
        <v>364</v>
      </c>
      <c r="AC2930" s="10" t="s">
        <v>7065</v>
      </c>
      <c r="AD2930" s="5" t="s">
        <v>2015</v>
      </c>
      <c r="AE2930" s="5" t="s">
        <v>7062</v>
      </c>
      <c r="AF2930" s="5" t="s">
        <v>7069</v>
      </c>
    </row>
    <row r="2931" spans="1:33" ht="10" customHeight="1" x14ac:dyDescent="0.2">
      <c r="A2931" s="5" t="s">
        <v>6832</v>
      </c>
      <c r="B2931" s="5" t="s">
        <v>41</v>
      </c>
      <c r="C2931" s="5" t="s">
        <v>1466</v>
      </c>
      <c r="D2931" s="5" t="s">
        <v>7070</v>
      </c>
      <c r="E2931" s="10" t="s">
        <v>44</v>
      </c>
      <c r="I2931" s="11" t="s">
        <v>7022</v>
      </c>
      <c r="K2931" s="12"/>
      <c r="O2931" s="12"/>
      <c r="P2931" s="13">
        <v>82061</v>
      </c>
      <c r="Q2931" s="13">
        <v>105981</v>
      </c>
      <c r="S2931" s="13">
        <v>111334</v>
      </c>
      <c r="U2931" s="13">
        <v>111334</v>
      </c>
      <c r="X2931" s="13">
        <v>111334</v>
      </c>
      <c r="Y2931" s="13">
        <v>111334</v>
      </c>
      <c r="Z2931" s="13">
        <v>116873</v>
      </c>
      <c r="AB2931" s="13">
        <v>116873</v>
      </c>
      <c r="AC2931" s="10" t="s">
        <v>7071</v>
      </c>
      <c r="AD2931" s="5" t="s">
        <v>2089</v>
      </c>
      <c r="AE2931" s="5" t="s">
        <v>7072</v>
      </c>
      <c r="AF2931" s="5" t="s">
        <v>7073</v>
      </c>
    </row>
    <row r="2932" spans="1:33" ht="10" customHeight="1" x14ac:dyDescent="0.2">
      <c r="A2932" s="5" t="s">
        <v>6832</v>
      </c>
      <c r="B2932" s="5" t="s">
        <v>41</v>
      </c>
      <c r="D2932" s="5" t="s">
        <v>7074</v>
      </c>
      <c r="E2932" s="10" t="s">
        <v>53</v>
      </c>
      <c r="F2932" s="5" t="s">
        <v>7075</v>
      </c>
      <c r="I2932" s="11">
        <v>6</v>
      </c>
      <c r="K2932" s="12"/>
      <c r="O2932" s="12"/>
      <c r="P2932" s="13">
        <v>45916</v>
      </c>
      <c r="Q2932" s="13">
        <v>63956</v>
      </c>
      <c r="S2932" s="13">
        <v>70200</v>
      </c>
      <c r="U2932" s="13">
        <v>70200</v>
      </c>
      <c r="AC2932" s="10" t="s">
        <v>7076</v>
      </c>
      <c r="AD2932" s="5" t="s">
        <v>5154</v>
      </c>
      <c r="AE2932" s="5" t="s">
        <v>7072</v>
      </c>
      <c r="AF2932" s="5" t="s">
        <v>7073</v>
      </c>
    </row>
    <row r="2933" spans="1:33" ht="10" customHeight="1" x14ac:dyDescent="0.2">
      <c r="A2933" s="5" t="s">
        <v>6832</v>
      </c>
      <c r="B2933" s="5" t="s">
        <v>41</v>
      </c>
      <c r="D2933" s="5" t="s">
        <v>7077</v>
      </c>
      <c r="E2933" s="10" t="s">
        <v>53</v>
      </c>
      <c r="F2933" s="5" t="s">
        <v>7078</v>
      </c>
      <c r="I2933" s="11">
        <v>6</v>
      </c>
      <c r="K2933" s="12"/>
      <c r="O2933" s="12"/>
      <c r="Q2933" s="13">
        <v>12119</v>
      </c>
      <c r="S2933" s="13">
        <v>19105</v>
      </c>
      <c r="U2933" s="13">
        <v>19105</v>
      </c>
      <c r="AC2933" s="10" t="s">
        <v>7076</v>
      </c>
      <c r="AD2933" s="5" t="s">
        <v>5154</v>
      </c>
      <c r="AE2933" s="5" t="s">
        <v>7072</v>
      </c>
      <c r="AG2933" s="5" t="s">
        <v>7079</v>
      </c>
    </row>
    <row r="2934" spans="1:33" ht="10" customHeight="1" x14ac:dyDescent="0.2">
      <c r="A2934" s="5" t="s">
        <v>6832</v>
      </c>
      <c r="B2934" s="5" t="s">
        <v>41</v>
      </c>
      <c r="D2934" s="5" t="s">
        <v>7080</v>
      </c>
      <c r="E2934" s="10" t="s">
        <v>53</v>
      </c>
      <c r="F2934" s="5" t="s">
        <v>7078</v>
      </c>
      <c r="I2934" s="11">
        <v>6</v>
      </c>
      <c r="K2934" s="12"/>
      <c r="O2934" s="12"/>
      <c r="P2934" s="13">
        <v>12928</v>
      </c>
      <c r="Q2934" s="13">
        <v>8501</v>
      </c>
      <c r="S2934" s="13">
        <v>13556</v>
      </c>
      <c r="U2934" s="13">
        <v>13556</v>
      </c>
      <c r="AC2934" s="10" t="s">
        <v>7076</v>
      </c>
      <c r="AD2934" s="5" t="s">
        <v>5154</v>
      </c>
      <c r="AE2934" s="5" t="s">
        <v>7072</v>
      </c>
      <c r="AG2934" s="5" t="s">
        <v>7081</v>
      </c>
    </row>
    <row r="2935" spans="1:33" ht="10" customHeight="1" x14ac:dyDescent="0.2">
      <c r="A2935" s="5" t="s">
        <v>6832</v>
      </c>
      <c r="B2935" s="5" t="s">
        <v>41</v>
      </c>
      <c r="D2935" s="5" t="s">
        <v>7082</v>
      </c>
      <c r="E2935" s="10" t="s">
        <v>53</v>
      </c>
      <c r="F2935" s="5" t="s">
        <v>7078</v>
      </c>
      <c r="I2935" s="11">
        <v>6</v>
      </c>
      <c r="K2935" s="12"/>
      <c r="O2935" s="12"/>
      <c r="S2935" s="13">
        <v>7500</v>
      </c>
      <c r="U2935" s="13">
        <v>7500</v>
      </c>
      <c r="AC2935" s="10" t="s">
        <v>7076</v>
      </c>
      <c r="AD2935" s="5" t="s">
        <v>5154</v>
      </c>
      <c r="AE2935" s="5" t="s">
        <v>7072</v>
      </c>
      <c r="AG2935" s="5" t="s">
        <v>7083</v>
      </c>
    </row>
    <row r="2936" spans="1:33" ht="10" customHeight="1" x14ac:dyDescent="0.2">
      <c r="A2936" s="5" t="s">
        <v>6832</v>
      </c>
      <c r="B2936" s="5" t="s">
        <v>41</v>
      </c>
      <c r="D2936" s="5" t="s">
        <v>7084</v>
      </c>
      <c r="E2936" s="10" t="s">
        <v>53</v>
      </c>
      <c r="F2936" s="5" t="s">
        <v>7078</v>
      </c>
      <c r="I2936" s="11">
        <v>6</v>
      </c>
      <c r="K2936" s="12"/>
      <c r="O2936" s="12"/>
      <c r="Q2936" s="13">
        <v>700</v>
      </c>
      <c r="S2936" s="13">
        <v>3600</v>
      </c>
      <c r="U2936" s="13">
        <v>3600</v>
      </c>
      <c r="AC2936" s="10" t="s">
        <v>7076</v>
      </c>
      <c r="AD2936" s="5" t="s">
        <v>5154</v>
      </c>
      <c r="AE2936" s="5" t="s">
        <v>7072</v>
      </c>
      <c r="AG2936" s="5" t="s">
        <v>7085</v>
      </c>
    </row>
    <row r="2937" spans="1:33" ht="10" customHeight="1" x14ac:dyDescent="0.2">
      <c r="A2937" s="5" t="s">
        <v>6832</v>
      </c>
      <c r="B2937" s="5" t="s">
        <v>41</v>
      </c>
      <c r="D2937" s="5" t="s">
        <v>7086</v>
      </c>
      <c r="E2937" s="10" t="s">
        <v>53</v>
      </c>
      <c r="F2937" s="5" t="s">
        <v>7078</v>
      </c>
      <c r="I2937" s="11">
        <v>6</v>
      </c>
      <c r="K2937" s="12"/>
      <c r="O2937" s="12"/>
      <c r="S2937" s="13">
        <v>9000</v>
      </c>
      <c r="U2937" s="13">
        <v>9000</v>
      </c>
      <c r="AC2937" s="10" t="s">
        <v>7076</v>
      </c>
      <c r="AD2937" s="5" t="s">
        <v>5154</v>
      </c>
      <c r="AE2937" s="5" t="s">
        <v>7072</v>
      </c>
      <c r="AG2937" s="5" t="s">
        <v>7087</v>
      </c>
    </row>
    <row r="2938" spans="1:33" ht="10" customHeight="1" x14ac:dyDescent="0.2">
      <c r="A2938" s="5" t="s">
        <v>6832</v>
      </c>
      <c r="B2938" s="5" t="s">
        <v>41</v>
      </c>
      <c r="D2938" s="5" t="s">
        <v>7088</v>
      </c>
      <c r="E2938" s="10" t="s">
        <v>53</v>
      </c>
      <c r="F2938" s="5" t="s">
        <v>7078</v>
      </c>
      <c r="I2938" s="11">
        <v>6</v>
      </c>
      <c r="K2938" s="12"/>
      <c r="O2938" s="12"/>
      <c r="P2938" s="13">
        <v>9000</v>
      </c>
      <c r="Q2938" s="13">
        <v>5796</v>
      </c>
      <c r="S2938" s="13">
        <v>5792</v>
      </c>
      <c r="U2938" s="13">
        <v>5792</v>
      </c>
      <c r="AC2938" s="10" t="s">
        <v>7076</v>
      </c>
      <c r="AD2938" s="5" t="s">
        <v>5154</v>
      </c>
      <c r="AE2938" s="5" t="s">
        <v>7072</v>
      </c>
      <c r="AG2938" s="5" t="s">
        <v>7089</v>
      </c>
    </row>
    <row r="2939" spans="1:33" ht="10" customHeight="1" x14ac:dyDescent="0.2">
      <c r="A2939" s="5" t="s">
        <v>6832</v>
      </c>
      <c r="B2939" s="5" t="s">
        <v>41</v>
      </c>
      <c r="D2939" s="5" t="s">
        <v>7090</v>
      </c>
      <c r="E2939" s="10" t="s">
        <v>53</v>
      </c>
      <c r="F2939" s="5" t="s">
        <v>7078</v>
      </c>
      <c r="I2939" s="11">
        <v>6</v>
      </c>
      <c r="K2939" s="12"/>
      <c r="O2939" s="12"/>
      <c r="P2939" s="13">
        <v>9896</v>
      </c>
      <c r="Q2939" s="13">
        <v>4771</v>
      </c>
      <c r="S2939" s="13">
        <v>6557</v>
      </c>
      <c r="U2939" s="13">
        <v>6557</v>
      </c>
      <c r="AC2939" s="10" t="s">
        <v>7076</v>
      </c>
      <c r="AD2939" s="5" t="s">
        <v>5154</v>
      </c>
      <c r="AE2939" s="5" t="s">
        <v>7072</v>
      </c>
      <c r="AG2939" s="5" t="s">
        <v>7091</v>
      </c>
    </row>
    <row r="2940" spans="1:33" ht="10" customHeight="1" x14ac:dyDescent="0.2">
      <c r="A2940" s="5" t="s">
        <v>6832</v>
      </c>
      <c r="B2940" s="5" t="s">
        <v>41</v>
      </c>
      <c r="D2940" s="5" t="s">
        <v>7092</v>
      </c>
      <c r="E2940" s="10" t="s">
        <v>53</v>
      </c>
      <c r="F2940" s="5" t="s">
        <v>7075</v>
      </c>
      <c r="I2940" s="11">
        <v>6</v>
      </c>
      <c r="K2940" s="12"/>
      <c r="O2940" s="12"/>
      <c r="P2940" s="13">
        <v>17014</v>
      </c>
      <c r="Q2940" s="13">
        <v>17372</v>
      </c>
      <c r="S2940" s="13">
        <v>17577</v>
      </c>
      <c r="U2940" s="13">
        <v>17577</v>
      </c>
      <c r="AC2940" s="10" t="s">
        <v>7093</v>
      </c>
      <c r="AD2940" s="5" t="s">
        <v>2253</v>
      </c>
      <c r="AE2940" s="5" t="s">
        <v>7072</v>
      </c>
      <c r="AF2940" s="5" t="s">
        <v>7094</v>
      </c>
    </row>
    <row r="2941" spans="1:33" ht="10" customHeight="1" x14ac:dyDescent="0.2">
      <c r="A2941" s="5" t="s">
        <v>6832</v>
      </c>
      <c r="B2941" s="5" t="s">
        <v>41</v>
      </c>
      <c r="D2941" s="5" t="s">
        <v>7095</v>
      </c>
      <c r="E2941" s="10" t="s">
        <v>53</v>
      </c>
      <c r="F2941" s="5" t="s">
        <v>7096</v>
      </c>
      <c r="I2941" s="11">
        <v>6</v>
      </c>
      <c r="K2941" s="12"/>
      <c r="O2941" s="12"/>
      <c r="P2941" s="13">
        <v>12955</v>
      </c>
      <c r="Q2941" s="13">
        <v>13172</v>
      </c>
      <c r="S2941" s="13">
        <v>13610</v>
      </c>
      <c r="U2941" s="13">
        <v>13610</v>
      </c>
      <c r="AC2941" s="10" t="s">
        <v>7093</v>
      </c>
      <c r="AD2941" s="5" t="s">
        <v>2253</v>
      </c>
      <c r="AE2941" s="5" t="s">
        <v>7072</v>
      </c>
      <c r="AF2941" s="5" t="s">
        <v>7094</v>
      </c>
    </row>
    <row r="2942" spans="1:33" ht="10" customHeight="1" x14ac:dyDescent="0.2">
      <c r="A2942" s="5" t="s">
        <v>6832</v>
      </c>
      <c r="B2942" s="5" t="s">
        <v>41</v>
      </c>
      <c r="D2942" s="5" t="s">
        <v>7097</v>
      </c>
      <c r="E2942" s="10" t="s">
        <v>53</v>
      </c>
      <c r="F2942" s="5" t="s">
        <v>7096</v>
      </c>
      <c r="I2942" s="11">
        <v>6</v>
      </c>
      <c r="K2942" s="12"/>
      <c r="O2942" s="12"/>
      <c r="P2942" s="13">
        <v>4059</v>
      </c>
      <c r="Q2942" s="13">
        <v>4200</v>
      </c>
      <c r="S2942" s="13">
        <v>3967</v>
      </c>
      <c r="U2942" s="13">
        <v>3967</v>
      </c>
      <c r="AC2942" s="10" t="s">
        <v>7093</v>
      </c>
      <c r="AD2942" s="5" t="s">
        <v>2253</v>
      </c>
      <c r="AE2942" s="5" t="s">
        <v>7072</v>
      </c>
      <c r="AF2942" s="5" t="s">
        <v>6991</v>
      </c>
    </row>
    <row r="2943" spans="1:33" ht="10" customHeight="1" x14ac:dyDescent="0.2">
      <c r="A2943" s="5" t="s">
        <v>6832</v>
      </c>
      <c r="B2943" s="5" t="s">
        <v>41</v>
      </c>
      <c r="D2943" s="5" t="s">
        <v>7098</v>
      </c>
      <c r="E2943" s="10" t="s">
        <v>53</v>
      </c>
      <c r="F2943" s="5" t="s">
        <v>7075</v>
      </c>
      <c r="I2943" s="11">
        <v>4</v>
      </c>
      <c r="K2943" s="12"/>
      <c r="O2943" s="12"/>
      <c r="P2943" s="13">
        <v>4030</v>
      </c>
      <c r="Q2943" s="13">
        <v>4087</v>
      </c>
      <c r="S2943" s="13">
        <v>4122</v>
      </c>
      <c r="U2943" s="13">
        <v>4122</v>
      </c>
      <c r="AC2943" s="10" t="s">
        <v>7099</v>
      </c>
      <c r="AD2943" s="5" t="s">
        <v>2332</v>
      </c>
      <c r="AE2943" s="5" t="s">
        <v>7072</v>
      </c>
      <c r="AG2943" s="5" t="s">
        <v>7100</v>
      </c>
    </row>
    <row r="2944" spans="1:33" ht="10" customHeight="1" x14ac:dyDescent="0.2">
      <c r="A2944" s="5" t="s">
        <v>6832</v>
      </c>
      <c r="B2944" s="5" t="s">
        <v>41</v>
      </c>
      <c r="D2944" s="5" t="s">
        <v>7101</v>
      </c>
      <c r="E2944" s="10" t="s">
        <v>53</v>
      </c>
      <c r="F2944" s="5" t="s">
        <v>7102</v>
      </c>
      <c r="I2944" s="11">
        <v>4</v>
      </c>
      <c r="K2944" s="12"/>
      <c r="O2944" s="12"/>
      <c r="P2944" s="13">
        <v>80</v>
      </c>
      <c r="Q2944" s="13">
        <v>80</v>
      </c>
      <c r="S2944" s="13">
        <v>80</v>
      </c>
      <c r="U2944" s="13">
        <v>80</v>
      </c>
      <c r="AC2944" s="10" t="s">
        <v>7103</v>
      </c>
      <c r="AD2944" s="5" t="s">
        <v>2332</v>
      </c>
      <c r="AE2944" s="5" t="s">
        <v>7072</v>
      </c>
      <c r="AG2944" s="5" t="s">
        <v>7104</v>
      </c>
    </row>
    <row r="2945" spans="1:33" ht="10" customHeight="1" x14ac:dyDescent="0.2">
      <c r="A2945" s="5" t="s">
        <v>6832</v>
      </c>
      <c r="B2945" s="5" t="s">
        <v>41</v>
      </c>
      <c r="D2945" s="5" t="s">
        <v>7105</v>
      </c>
      <c r="E2945" s="10" t="s">
        <v>53</v>
      </c>
      <c r="F2945" s="5" t="s">
        <v>7102</v>
      </c>
      <c r="I2945" s="11">
        <v>4</v>
      </c>
      <c r="K2945" s="12"/>
      <c r="O2945" s="12"/>
      <c r="P2945" s="13">
        <v>825</v>
      </c>
      <c r="Q2945" s="13">
        <v>882</v>
      </c>
      <c r="S2945" s="13">
        <v>894</v>
      </c>
      <c r="U2945" s="13">
        <v>894</v>
      </c>
      <c r="AC2945" s="10" t="s">
        <v>7103</v>
      </c>
      <c r="AD2945" s="5" t="s">
        <v>2332</v>
      </c>
      <c r="AE2945" s="5" t="s">
        <v>7072</v>
      </c>
      <c r="AG2945" s="5" t="s">
        <v>7104</v>
      </c>
    </row>
    <row r="2946" spans="1:33" ht="10" customHeight="1" x14ac:dyDescent="0.2">
      <c r="A2946" s="5" t="s">
        <v>6832</v>
      </c>
      <c r="B2946" s="5" t="s">
        <v>41</v>
      </c>
      <c r="D2946" s="5" t="s">
        <v>7106</v>
      </c>
      <c r="E2946" s="10" t="s">
        <v>53</v>
      </c>
      <c r="F2946" s="5" t="s">
        <v>7102</v>
      </c>
      <c r="I2946" s="11">
        <v>4</v>
      </c>
      <c r="K2946" s="12"/>
      <c r="O2946" s="12"/>
      <c r="P2946" s="13">
        <v>825</v>
      </c>
      <c r="Q2946" s="13">
        <v>824</v>
      </c>
      <c r="S2946" s="13">
        <v>833</v>
      </c>
      <c r="U2946" s="13">
        <v>833</v>
      </c>
      <c r="AC2946" s="10" t="s">
        <v>7103</v>
      </c>
      <c r="AD2946" s="5" t="s">
        <v>2332</v>
      </c>
      <c r="AE2946" s="5" t="s">
        <v>7072</v>
      </c>
      <c r="AG2946" s="5" t="s">
        <v>7104</v>
      </c>
    </row>
    <row r="2947" spans="1:33" ht="10" customHeight="1" x14ac:dyDescent="0.2">
      <c r="A2947" s="5" t="s">
        <v>6832</v>
      </c>
      <c r="B2947" s="5" t="s">
        <v>41</v>
      </c>
      <c r="D2947" s="5" t="s">
        <v>7107</v>
      </c>
      <c r="E2947" s="10" t="s">
        <v>53</v>
      </c>
      <c r="F2947" s="5" t="s">
        <v>7102</v>
      </c>
      <c r="I2947" s="11">
        <v>4</v>
      </c>
      <c r="K2947" s="12"/>
      <c r="O2947" s="12"/>
      <c r="P2947" s="13">
        <v>2300</v>
      </c>
      <c r="Q2947" s="13">
        <v>2301</v>
      </c>
      <c r="S2947" s="13">
        <v>2315</v>
      </c>
      <c r="U2947" s="13">
        <v>2315</v>
      </c>
      <c r="AC2947" s="10" t="s">
        <v>7103</v>
      </c>
      <c r="AD2947" s="5" t="s">
        <v>2332</v>
      </c>
      <c r="AE2947" s="5" t="s">
        <v>7072</v>
      </c>
      <c r="AG2947" s="5" t="s">
        <v>7104</v>
      </c>
    </row>
    <row r="2948" spans="1:33" ht="10" customHeight="1" x14ac:dyDescent="0.2">
      <c r="A2948" s="5" t="s">
        <v>6832</v>
      </c>
      <c r="B2948" s="5" t="s">
        <v>41</v>
      </c>
      <c r="C2948" s="5" t="s">
        <v>1538</v>
      </c>
      <c r="D2948" s="5" t="s">
        <v>7108</v>
      </c>
      <c r="E2948" s="10" t="s">
        <v>44</v>
      </c>
      <c r="I2948" s="11">
        <v>4</v>
      </c>
      <c r="K2948" s="10" t="s">
        <v>46</v>
      </c>
      <c r="L2948" s="5" t="s">
        <v>47</v>
      </c>
      <c r="M2948" s="5" t="s">
        <v>65</v>
      </c>
      <c r="N2948" s="5" t="s">
        <v>66</v>
      </c>
      <c r="O2948" s="12"/>
      <c r="P2948" s="13">
        <v>143612</v>
      </c>
      <c r="Q2948" s="13">
        <v>119561</v>
      </c>
      <c r="S2948" s="13">
        <v>189553</v>
      </c>
      <c r="U2948" s="13">
        <v>189553</v>
      </c>
      <c r="X2948" s="13">
        <v>186909</v>
      </c>
      <c r="Y2948" s="13">
        <v>186909</v>
      </c>
      <c r="Z2948" s="13">
        <v>211216</v>
      </c>
      <c r="AB2948" s="13">
        <v>211216</v>
      </c>
      <c r="AC2948" s="10" t="s">
        <v>7109</v>
      </c>
      <c r="AD2948" s="5" t="s">
        <v>2414</v>
      </c>
      <c r="AE2948" s="5" t="s">
        <v>7110</v>
      </c>
      <c r="AF2948" s="5" t="s">
        <v>7108</v>
      </c>
    </row>
    <row r="2949" spans="1:33" ht="10" customHeight="1" x14ac:dyDescent="0.2">
      <c r="A2949" s="5" t="s">
        <v>6832</v>
      </c>
      <c r="B2949" s="5" t="s">
        <v>41</v>
      </c>
      <c r="D2949" s="5" t="s">
        <v>7111</v>
      </c>
      <c r="E2949" s="10" t="s">
        <v>53</v>
      </c>
      <c r="F2949" s="5" t="s">
        <v>7112</v>
      </c>
      <c r="I2949" s="11">
        <v>4</v>
      </c>
      <c r="K2949" s="10" t="s">
        <v>46</v>
      </c>
      <c r="L2949" s="5" t="s">
        <v>47</v>
      </c>
      <c r="M2949" s="5" t="s">
        <v>65</v>
      </c>
      <c r="N2949" s="5" t="s">
        <v>66</v>
      </c>
      <c r="O2949" s="12"/>
      <c r="P2949" s="13">
        <v>5406</v>
      </c>
      <c r="AC2949" s="10" t="s">
        <v>7113</v>
      </c>
      <c r="AD2949" s="5" t="s">
        <v>2449</v>
      </c>
      <c r="AE2949" s="5" t="s">
        <v>7110</v>
      </c>
      <c r="AF2949" s="5" t="s">
        <v>7108</v>
      </c>
    </row>
    <row r="2950" spans="1:33" ht="10" customHeight="1" x14ac:dyDescent="0.2">
      <c r="A2950" s="5" t="s">
        <v>6832</v>
      </c>
      <c r="B2950" s="5" t="s">
        <v>41</v>
      </c>
      <c r="D2950" s="5" t="s">
        <v>7114</v>
      </c>
      <c r="E2950" s="10" t="s">
        <v>53</v>
      </c>
      <c r="F2950" s="5" t="s">
        <v>7112</v>
      </c>
      <c r="I2950" s="11">
        <v>4</v>
      </c>
      <c r="K2950" s="12"/>
      <c r="O2950" s="12"/>
      <c r="S2950" s="13">
        <v>5306</v>
      </c>
      <c r="U2950" s="13">
        <v>5306</v>
      </c>
      <c r="AC2950" s="10" t="s">
        <v>7113</v>
      </c>
      <c r="AD2950" s="5" t="s">
        <v>2449</v>
      </c>
      <c r="AE2950" s="5" t="s">
        <v>7110</v>
      </c>
      <c r="AF2950" s="5" t="s">
        <v>7108</v>
      </c>
    </row>
    <row r="2951" spans="1:33" ht="10" customHeight="1" x14ac:dyDescent="0.2">
      <c r="A2951" s="5" t="s">
        <v>6832</v>
      </c>
      <c r="B2951" s="5" t="s">
        <v>41</v>
      </c>
      <c r="D2951" s="5" t="s">
        <v>7115</v>
      </c>
      <c r="E2951" s="10" t="s">
        <v>53</v>
      </c>
      <c r="F2951" s="5" t="s">
        <v>7112</v>
      </c>
      <c r="I2951" s="11">
        <v>4</v>
      </c>
      <c r="K2951" s="10" t="s">
        <v>46</v>
      </c>
      <c r="L2951" s="5" t="s">
        <v>47</v>
      </c>
      <c r="M2951" s="5" t="s">
        <v>65</v>
      </c>
      <c r="N2951" s="5" t="s">
        <v>66</v>
      </c>
      <c r="O2951" s="12"/>
      <c r="P2951" s="13">
        <v>3354</v>
      </c>
      <c r="S2951" s="13">
        <v>1163</v>
      </c>
      <c r="U2951" s="13">
        <v>1163</v>
      </c>
      <c r="AC2951" s="10" t="s">
        <v>7113</v>
      </c>
      <c r="AD2951" s="5" t="s">
        <v>2449</v>
      </c>
      <c r="AE2951" s="5" t="s">
        <v>7110</v>
      </c>
      <c r="AF2951" s="5" t="s">
        <v>7108</v>
      </c>
    </row>
    <row r="2952" spans="1:33" ht="10" customHeight="1" x14ac:dyDescent="0.2">
      <c r="A2952" s="5" t="s">
        <v>6832</v>
      </c>
      <c r="B2952" s="5" t="s">
        <v>41</v>
      </c>
      <c r="D2952" s="5" t="s">
        <v>7116</v>
      </c>
      <c r="E2952" s="10" t="s">
        <v>53</v>
      </c>
      <c r="F2952" s="5" t="s">
        <v>7112</v>
      </c>
      <c r="I2952" s="11">
        <v>4</v>
      </c>
      <c r="K2952" s="10" t="s">
        <v>46</v>
      </c>
      <c r="L2952" s="5" t="s">
        <v>47</v>
      </c>
      <c r="M2952" s="5" t="s">
        <v>65</v>
      </c>
      <c r="N2952" s="5" t="s">
        <v>66</v>
      </c>
      <c r="O2952" s="12"/>
      <c r="P2952" s="13">
        <v>5144</v>
      </c>
      <c r="S2952" s="13">
        <v>2725</v>
      </c>
      <c r="U2952" s="13">
        <v>2725</v>
      </c>
      <c r="AC2952" s="10" t="s">
        <v>7113</v>
      </c>
      <c r="AD2952" s="5" t="s">
        <v>2449</v>
      </c>
      <c r="AE2952" s="5" t="s">
        <v>7110</v>
      </c>
      <c r="AF2952" s="5" t="s">
        <v>7108</v>
      </c>
    </row>
    <row r="2953" spans="1:33" ht="10" customHeight="1" x14ac:dyDescent="0.2">
      <c r="A2953" s="5" t="s">
        <v>6832</v>
      </c>
      <c r="B2953" s="5" t="s">
        <v>41</v>
      </c>
      <c r="D2953" s="5" t="s">
        <v>7117</v>
      </c>
      <c r="E2953" s="10" t="s">
        <v>53</v>
      </c>
      <c r="F2953" s="5" t="s">
        <v>7112</v>
      </c>
      <c r="I2953" s="11">
        <v>4</v>
      </c>
      <c r="K2953" s="10" t="s">
        <v>46</v>
      </c>
      <c r="L2953" s="5" t="s">
        <v>47</v>
      </c>
      <c r="M2953" s="5" t="s">
        <v>65</v>
      </c>
      <c r="N2953" s="5" t="s">
        <v>66</v>
      </c>
      <c r="O2953" s="12"/>
      <c r="P2953" s="13">
        <v>525</v>
      </c>
      <c r="Q2953" s="13">
        <v>536</v>
      </c>
      <c r="AC2953" s="10" t="s">
        <v>7113</v>
      </c>
      <c r="AD2953" s="5" t="s">
        <v>2449</v>
      </c>
      <c r="AE2953" s="5" t="s">
        <v>7110</v>
      </c>
      <c r="AF2953" s="5" t="s">
        <v>7108</v>
      </c>
    </row>
    <row r="2954" spans="1:33" ht="10" customHeight="1" x14ac:dyDescent="0.2">
      <c r="A2954" s="5" t="s">
        <v>6832</v>
      </c>
      <c r="B2954" s="5" t="s">
        <v>41</v>
      </c>
      <c r="D2954" s="5" t="s">
        <v>7118</v>
      </c>
      <c r="E2954" s="10" t="s">
        <v>53</v>
      </c>
      <c r="F2954" s="5" t="s">
        <v>7112</v>
      </c>
      <c r="I2954" s="11">
        <v>4</v>
      </c>
      <c r="K2954" s="12"/>
      <c r="O2954" s="12"/>
      <c r="S2954" s="13">
        <v>2644</v>
      </c>
      <c r="U2954" s="13">
        <v>2644</v>
      </c>
      <c r="AC2954" s="10" t="s">
        <v>7113</v>
      </c>
      <c r="AD2954" s="5" t="s">
        <v>2449</v>
      </c>
      <c r="AE2954" s="5" t="s">
        <v>7110</v>
      </c>
      <c r="AF2954" s="5" t="s">
        <v>7108</v>
      </c>
    </row>
    <row r="2955" spans="1:33" ht="10" customHeight="1" x14ac:dyDescent="0.2">
      <c r="A2955" s="5" t="s">
        <v>6832</v>
      </c>
      <c r="B2955" s="5" t="s">
        <v>41</v>
      </c>
      <c r="D2955" s="5" t="s">
        <v>7119</v>
      </c>
      <c r="E2955" s="10" t="s">
        <v>53</v>
      </c>
      <c r="F2955" s="5" t="s">
        <v>7112</v>
      </c>
      <c r="I2955" s="11">
        <v>4</v>
      </c>
      <c r="K2955" s="12"/>
      <c r="O2955" s="12"/>
      <c r="P2955" s="13">
        <v>656</v>
      </c>
      <c r="S2955" s="13">
        <v>343</v>
      </c>
      <c r="U2955" s="13">
        <v>343</v>
      </c>
      <c r="AC2955" s="10" t="s">
        <v>7113</v>
      </c>
      <c r="AD2955" s="5" t="s">
        <v>2449</v>
      </c>
      <c r="AE2955" s="5" t="s">
        <v>7110</v>
      </c>
      <c r="AF2955" s="5" t="s">
        <v>7108</v>
      </c>
    </row>
    <row r="2956" spans="1:33" ht="10" customHeight="1" x14ac:dyDescent="0.2">
      <c r="A2956" s="5" t="s">
        <v>6832</v>
      </c>
      <c r="B2956" s="5" t="s">
        <v>41</v>
      </c>
      <c r="D2956" s="5" t="s">
        <v>7120</v>
      </c>
      <c r="E2956" s="10" t="s">
        <v>53</v>
      </c>
      <c r="F2956" s="5" t="s">
        <v>7112</v>
      </c>
      <c r="I2956" s="11">
        <v>4</v>
      </c>
      <c r="K2956" s="10" t="s">
        <v>46</v>
      </c>
      <c r="L2956" s="5" t="s">
        <v>47</v>
      </c>
      <c r="M2956" s="5" t="s">
        <v>65</v>
      </c>
      <c r="N2956" s="5" t="s">
        <v>66</v>
      </c>
      <c r="O2956" s="12"/>
      <c r="P2956" s="13">
        <v>1938</v>
      </c>
      <c r="Q2956" s="13">
        <v>1978</v>
      </c>
      <c r="S2956" s="13">
        <v>16341</v>
      </c>
      <c r="U2956" s="13">
        <v>16341</v>
      </c>
      <c r="AC2956" s="10" t="s">
        <v>7113</v>
      </c>
      <c r="AD2956" s="5" t="s">
        <v>2449</v>
      </c>
      <c r="AE2956" s="5" t="s">
        <v>7110</v>
      </c>
      <c r="AF2956" s="5" t="s">
        <v>7108</v>
      </c>
    </row>
    <row r="2957" spans="1:33" ht="10" customHeight="1" x14ac:dyDescent="0.2">
      <c r="A2957" s="5" t="s">
        <v>6832</v>
      </c>
      <c r="B2957" s="5" t="s">
        <v>41</v>
      </c>
      <c r="D2957" s="5" t="s">
        <v>7121</v>
      </c>
      <c r="E2957" s="10" t="s">
        <v>53</v>
      </c>
      <c r="F2957" s="5" t="s">
        <v>7112</v>
      </c>
      <c r="I2957" s="11">
        <v>4</v>
      </c>
      <c r="K2957" s="12"/>
      <c r="O2957" s="12"/>
      <c r="P2957" s="13">
        <v>1626</v>
      </c>
      <c r="S2957" s="13">
        <v>1252</v>
      </c>
      <c r="U2957" s="13">
        <v>1252</v>
      </c>
      <c r="AC2957" s="10" t="s">
        <v>7113</v>
      </c>
      <c r="AD2957" s="5" t="s">
        <v>2449</v>
      </c>
      <c r="AE2957" s="5" t="s">
        <v>7110</v>
      </c>
      <c r="AF2957" s="5" t="s">
        <v>7108</v>
      </c>
    </row>
    <row r="2958" spans="1:33" ht="10" customHeight="1" x14ac:dyDescent="0.2">
      <c r="A2958" s="5" t="s">
        <v>6832</v>
      </c>
      <c r="B2958" s="5" t="s">
        <v>41</v>
      </c>
      <c r="D2958" s="5" t="s">
        <v>7122</v>
      </c>
      <c r="E2958" s="10" t="s">
        <v>53</v>
      </c>
      <c r="F2958" s="5" t="s">
        <v>7112</v>
      </c>
      <c r="I2958" s="11">
        <v>4</v>
      </c>
      <c r="K2958" s="12"/>
      <c r="O2958" s="12"/>
      <c r="Q2958" s="13">
        <v>1871</v>
      </c>
      <c r="S2958" s="13">
        <v>1908</v>
      </c>
      <c r="U2958" s="13">
        <v>1908</v>
      </c>
      <c r="AC2958" s="10" t="s">
        <v>7113</v>
      </c>
      <c r="AD2958" s="5" t="s">
        <v>2449</v>
      </c>
      <c r="AE2958" s="5" t="s">
        <v>7110</v>
      </c>
      <c r="AF2958" s="5" t="s">
        <v>7108</v>
      </c>
    </row>
    <row r="2959" spans="1:33" ht="10" customHeight="1" x14ac:dyDescent="0.2">
      <c r="A2959" s="5" t="s">
        <v>6832</v>
      </c>
      <c r="B2959" s="5" t="s">
        <v>41</v>
      </c>
      <c r="D2959" s="5" t="s">
        <v>7123</v>
      </c>
      <c r="E2959" s="10" t="s">
        <v>53</v>
      </c>
      <c r="F2959" s="5" t="s">
        <v>7112</v>
      </c>
      <c r="I2959" s="11">
        <v>4</v>
      </c>
      <c r="K2959" s="10" t="s">
        <v>46</v>
      </c>
      <c r="L2959" s="5" t="s">
        <v>47</v>
      </c>
      <c r="M2959" s="5" t="s">
        <v>65</v>
      </c>
      <c r="N2959" s="5" t="s">
        <v>66</v>
      </c>
      <c r="O2959" s="12"/>
      <c r="P2959" s="13">
        <v>1974</v>
      </c>
      <c r="S2959" s="13">
        <v>1160</v>
      </c>
      <c r="U2959" s="13">
        <v>1160</v>
      </c>
      <c r="AC2959" s="10" t="s">
        <v>7113</v>
      </c>
      <c r="AD2959" s="5" t="s">
        <v>2449</v>
      </c>
      <c r="AE2959" s="5" t="s">
        <v>7110</v>
      </c>
      <c r="AF2959" s="5" t="s">
        <v>7108</v>
      </c>
    </row>
    <row r="2960" spans="1:33" ht="10" customHeight="1" x14ac:dyDescent="0.2">
      <c r="A2960" s="5" t="s">
        <v>6832</v>
      </c>
      <c r="B2960" s="5" t="s">
        <v>41</v>
      </c>
      <c r="D2960" s="5" t="s">
        <v>7124</v>
      </c>
      <c r="E2960" s="10" t="s">
        <v>53</v>
      </c>
      <c r="F2960" s="5" t="s">
        <v>7112</v>
      </c>
      <c r="I2960" s="11">
        <v>4</v>
      </c>
      <c r="K2960" s="10" t="s">
        <v>46</v>
      </c>
      <c r="L2960" s="5" t="s">
        <v>47</v>
      </c>
      <c r="M2960" s="5" t="s">
        <v>65</v>
      </c>
      <c r="N2960" s="5" t="s">
        <v>66</v>
      </c>
      <c r="O2960" s="12"/>
      <c r="Q2960" s="13">
        <v>88</v>
      </c>
      <c r="S2960" s="13">
        <v>70</v>
      </c>
      <c r="U2960" s="13">
        <v>70</v>
      </c>
      <c r="AC2960" s="10" t="s">
        <v>7113</v>
      </c>
      <c r="AD2960" s="5" t="s">
        <v>2449</v>
      </c>
      <c r="AE2960" s="5" t="s">
        <v>7110</v>
      </c>
      <c r="AF2960" s="5" t="s">
        <v>7108</v>
      </c>
    </row>
    <row r="2961" spans="1:32" ht="10" customHeight="1" x14ac:dyDescent="0.2">
      <c r="A2961" s="5" t="s">
        <v>6832</v>
      </c>
      <c r="B2961" s="5" t="s">
        <v>41</v>
      </c>
      <c r="D2961" s="5" t="s">
        <v>7125</v>
      </c>
      <c r="E2961" s="10" t="s">
        <v>53</v>
      </c>
      <c r="F2961" s="5" t="s">
        <v>7112</v>
      </c>
      <c r="I2961" s="11">
        <v>4</v>
      </c>
      <c r="K2961" s="12"/>
      <c r="O2961" s="12"/>
      <c r="P2961" s="13">
        <v>652</v>
      </c>
      <c r="S2961" s="13">
        <v>1945</v>
      </c>
      <c r="U2961" s="13">
        <v>1945</v>
      </c>
      <c r="AC2961" s="10" t="s">
        <v>7113</v>
      </c>
      <c r="AD2961" s="5" t="s">
        <v>2449</v>
      </c>
      <c r="AE2961" s="5" t="s">
        <v>7110</v>
      </c>
      <c r="AF2961" s="5" t="s">
        <v>7108</v>
      </c>
    </row>
    <row r="2962" spans="1:32" ht="10" customHeight="1" x14ac:dyDescent="0.2">
      <c r="A2962" s="5" t="s">
        <v>6832</v>
      </c>
      <c r="B2962" s="5" t="s">
        <v>41</v>
      </c>
      <c r="D2962" s="5" t="s">
        <v>7126</v>
      </c>
      <c r="E2962" s="10" t="s">
        <v>53</v>
      </c>
      <c r="F2962" s="5" t="s">
        <v>7112</v>
      </c>
      <c r="I2962" s="11">
        <v>4</v>
      </c>
      <c r="K2962" s="12"/>
      <c r="O2962" s="12"/>
      <c r="S2962" s="13">
        <v>200</v>
      </c>
      <c r="U2962" s="13">
        <v>200</v>
      </c>
      <c r="AC2962" s="10" t="s">
        <v>7113</v>
      </c>
      <c r="AD2962" s="5" t="s">
        <v>2449</v>
      </c>
      <c r="AE2962" s="5" t="s">
        <v>7110</v>
      </c>
      <c r="AF2962" s="5" t="s">
        <v>7108</v>
      </c>
    </row>
    <row r="2963" spans="1:32" ht="10" customHeight="1" x14ac:dyDescent="0.2">
      <c r="A2963" s="5" t="s">
        <v>6832</v>
      </c>
      <c r="B2963" s="5" t="s">
        <v>41</v>
      </c>
      <c r="D2963" s="5" t="s">
        <v>7127</v>
      </c>
      <c r="E2963" s="10" t="s">
        <v>53</v>
      </c>
      <c r="F2963" s="5" t="s">
        <v>7112</v>
      </c>
      <c r="I2963" s="11">
        <v>4</v>
      </c>
      <c r="K2963" s="10" t="s">
        <v>46</v>
      </c>
      <c r="L2963" s="5" t="s">
        <v>47</v>
      </c>
      <c r="M2963" s="5" t="s">
        <v>65</v>
      </c>
      <c r="N2963" s="5" t="s">
        <v>66</v>
      </c>
      <c r="O2963" s="12"/>
      <c r="P2963" s="13">
        <v>48716</v>
      </c>
      <c r="Q2963" s="13">
        <v>47393</v>
      </c>
      <c r="S2963" s="13">
        <v>48596</v>
      </c>
      <c r="U2963" s="13">
        <v>48596</v>
      </c>
      <c r="AC2963" s="10" t="s">
        <v>7128</v>
      </c>
      <c r="AD2963" s="5" t="s">
        <v>2449</v>
      </c>
      <c r="AE2963" s="5" t="s">
        <v>7110</v>
      </c>
      <c r="AF2963" s="5" t="s">
        <v>7108</v>
      </c>
    </row>
    <row r="2964" spans="1:32" ht="10" customHeight="1" x14ac:dyDescent="0.2">
      <c r="A2964" s="5" t="s">
        <v>6832</v>
      </c>
      <c r="B2964" s="5" t="s">
        <v>41</v>
      </c>
      <c r="D2964" s="5" t="s">
        <v>7129</v>
      </c>
      <c r="E2964" s="10" t="s">
        <v>53</v>
      </c>
      <c r="F2964" s="5" t="s">
        <v>7112</v>
      </c>
      <c r="I2964" s="11">
        <v>4</v>
      </c>
      <c r="K2964" s="10" t="s">
        <v>46</v>
      </c>
      <c r="L2964" s="5" t="s">
        <v>47</v>
      </c>
      <c r="M2964" s="5" t="s">
        <v>65</v>
      </c>
      <c r="N2964" s="5" t="s">
        <v>66</v>
      </c>
      <c r="O2964" s="12"/>
      <c r="P2964" s="13">
        <v>6191</v>
      </c>
      <c r="Q2964" s="13">
        <v>6418</v>
      </c>
      <c r="S2964" s="13">
        <v>4756</v>
      </c>
      <c r="U2964" s="13">
        <v>4756</v>
      </c>
      <c r="AC2964" s="10" t="s">
        <v>7128</v>
      </c>
      <c r="AD2964" s="5" t="s">
        <v>2449</v>
      </c>
      <c r="AE2964" s="5" t="s">
        <v>7110</v>
      </c>
      <c r="AF2964" s="5" t="s">
        <v>7108</v>
      </c>
    </row>
    <row r="2965" spans="1:32" ht="10" customHeight="1" x14ac:dyDescent="0.2">
      <c r="A2965" s="5" t="s">
        <v>6832</v>
      </c>
      <c r="B2965" s="5" t="s">
        <v>41</v>
      </c>
      <c r="D2965" s="5" t="s">
        <v>7130</v>
      </c>
      <c r="E2965" s="10" t="s">
        <v>53</v>
      </c>
      <c r="F2965" s="5" t="s">
        <v>7112</v>
      </c>
      <c r="I2965" s="11">
        <v>4</v>
      </c>
      <c r="K2965" s="10" t="s">
        <v>46</v>
      </c>
      <c r="L2965" s="5" t="s">
        <v>47</v>
      </c>
      <c r="M2965" s="5" t="s">
        <v>65</v>
      </c>
      <c r="N2965" s="5" t="s">
        <v>66</v>
      </c>
      <c r="O2965" s="12"/>
      <c r="P2965" s="13">
        <v>17008</v>
      </c>
      <c r="Q2965" s="13">
        <v>17348</v>
      </c>
      <c r="S2965" s="13">
        <v>16670</v>
      </c>
      <c r="U2965" s="13">
        <v>16670</v>
      </c>
      <c r="AC2965" s="10" t="s">
        <v>7128</v>
      </c>
      <c r="AD2965" s="5" t="s">
        <v>2449</v>
      </c>
      <c r="AE2965" s="5" t="s">
        <v>7110</v>
      </c>
      <c r="AF2965" s="5" t="s">
        <v>7108</v>
      </c>
    </row>
    <row r="2966" spans="1:32" ht="10" customHeight="1" x14ac:dyDescent="0.2">
      <c r="A2966" s="5" t="s">
        <v>6832</v>
      </c>
      <c r="B2966" s="5" t="s">
        <v>41</v>
      </c>
      <c r="D2966" s="5" t="s">
        <v>7131</v>
      </c>
      <c r="E2966" s="10" t="s">
        <v>53</v>
      </c>
      <c r="F2966" s="5" t="s">
        <v>7112</v>
      </c>
      <c r="I2966" s="11">
        <v>4</v>
      </c>
      <c r="K2966" s="10" t="s">
        <v>46</v>
      </c>
      <c r="L2966" s="5" t="s">
        <v>47</v>
      </c>
      <c r="M2966" s="5" t="s">
        <v>65</v>
      </c>
      <c r="N2966" s="5" t="s">
        <v>66</v>
      </c>
      <c r="O2966" s="12"/>
      <c r="P2966" s="13">
        <v>5539</v>
      </c>
      <c r="Q2966" s="13">
        <v>4342</v>
      </c>
      <c r="S2966" s="13">
        <v>10735</v>
      </c>
      <c r="U2966" s="13">
        <v>10735</v>
      </c>
      <c r="AC2966" s="10" t="s">
        <v>7128</v>
      </c>
      <c r="AD2966" s="5" t="s">
        <v>2449</v>
      </c>
      <c r="AE2966" s="5" t="s">
        <v>7110</v>
      </c>
      <c r="AF2966" s="5" t="s">
        <v>7108</v>
      </c>
    </row>
    <row r="2967" spans="1:32" ht="10" customHeight="1" x14ac:dyDescent="0.2">
      <c r="A2967" s="5" t="s">
        <v>6832</v>
      </c>
      <c r="B2967" s="5" t="s">
        <v>41</v>
      </c>
      <c r="D2967" s="5" t="s">
        <v>7132</v>
      </c>
      <c r="E2967" s="10" t="s">
        <v>53</v>
      </c>
      <c r="F2967" s="5" t="s">
        <v>7112</v>
      </c>
      <c r="I2967" s="11">
        <v>4</v>
      </c>
      <c r="K2967" s="12"/>
      <c r="O2967" s="12"/>
      <c r="P2967" s="13">
        <v>18009</v>
      </c>
      <c r="Q2967" s="13">
        <v>15073</v>
      </c>
      <c r="S2967" s="13">
        <v>26321</v>
      </c>
      <c r="U2967" s="13">
        <v>26321</v>
      </c>
      <c r="AC2967" s="10" t="s">
        <v>7128</v>
      </c>
      <c r="AD2967" s="5" t="s">
        <v>2449</v>
      </c>
      <c r="AE2967" s="5" t="s">
        <v>7110</v>
      </c>
      <c r="AF2967" s="5" t="s">
        <v>7108</v>
      </c>
    </row>
    <row r="2968" spans="1:32" ht="10" customHeight="1" x14ac:dyDescent="0.2">
      <c r="A2968" s="5" t="s">
        <v>6832</v>
      </c>
      <c r="B2968" s="5" t="s">
        <v>41</v>
      </c>
      <c r="D2968" s="5" t="s">
        <v>7133</v>
      </c>
      <c r="E2968" s="10" t="s">
        <v>53</v>
      </c>
      <c r="F2968" s="5" t="s">
        <v>7112</v>
      </c>
      <c r="I2968" s="11">
        <v>4</v>
      </c>
      <c r="K2968" s="12"/>
      <c r="O2968" s="12"/>
      <c r="P2968" s="13">
        <v>2859</v>
      </c>
      <c r="Q2968" s="13">
        <v>5375</v>
      </c>
      <c r="S2968" s="13">
        <v>6438</v>
      </c>
      <c r="U2968" s="13">
        <v>6438</v>
      </c>
      <c r="AC2968" s="10" t="s">
        <v>7128</v>
      </c>
      <c r="AD2968" s="5" t="s">
        <v>2449</v>
      </c>
      <c r="AE2968" s="5" t="s">
        <v>7110</v>
      </c>
      <c r="AF2968" s="5" t="s">
        <v>7108</v>
      </c>
    </row>
    <row r="2969" spans="1:32" ht="10" customHeight="1" x14ac:dyDescent="0.2">
      <c r="A2969" s="5" t="s">
        <v>6832</v>
      </c>
      <c r="B2969" s="5" t="s">
        <v>41</v>
      </c>
      <c r="D2969" s="5" t="s">
        <v>7134</v>
      </c>
      <c r="E2969" s="10" t="s">
        <v>53</v>
      </c>
      <c r="F2969" s="5" t="s">
        <v>7112</v>
      </c>
      <c r="I2969" s="11">
        <v>4</v>
      </c>
      <c r="K2969" s="10" t="s">
        <v>46</v>
      </c>
      <c r="L2969" s="5" t="s">
        <v>47</v>
      </c>
      <c r="M2969" s="5" t="s">
        <v>65</v>
      </c>
      <c r="N2969" s="5" t="s">
        <v>66</v>
      </c>
      <c r="O2969" s="12"/>
      <c r="P2969" s="13">
        <v>13693</v>
      </c>
      <c r="Q2969" s="13">
        <v>8100</v>
      </c>
      <c r="S2969" s="13">
        <v>19298</v>
      </c>
      <c r="U2969" s="13">
        <v>19298</v>
      </c>
      <c r="AC2969" s="10" t="s">
        <v>7128</v>
      </c>
      <c r="AD2969" s="5" t="s">
        <v>2449</v>
      </c>
      <c r="AE2969" s="5" t="s">
        <v>7110</v>
      </c>
      <c r="AF2969" s="5" t="s">
        <v>7108</v>
      </c>
    </row>
    <row r="2970" spans="1:32" ht="10" customHeight="1" x14ac:dyDescent="0.2">
      <c r="A2970" s="5" t="s">
        <v>6832</v>
      </c>
      <c r="B2970" s="5" t="s">
        <v>41</v>
      </c>
      <c r="D2970" s="5" t="s">
        <v>7135</v>
      </c>
      <c r="E2970" s="10" t="s">
        <v>53</v>
      </c>
      <c r="F2970" s="5" t="s">
        <v>7112</v>
      </c>
      <c r="I2970" s="11">
        <v>4</v>
      </c>
      <c r="K2970" s="12"/>
      <c r="O2970" s="12"/>
      <c r="P2970" s="13">
        <v>2843</v>
      </c>
      <c r="Q2970" s="13">
        <v>3790</v>
      </c>
      <c r="S2970" s="13">
        <v>6267</v>
      </c>
      <c r="U2970" s="13">
        <v>6267</v>
      </c>
      <c r="AC2970" s="10" t="s">
        <v>7136</v>
      </c>
      <c r="AD2970" s="5" t="s">
        <v>2449</v>
      </c>
      <c r="AE2970" s="5" t="s">
        <v>7110</v>
      </c>
      <c r="AF2970" s="5" t="s">
        <v>7108</v>
      </c>
    </row>
    <row r="2971" spans="1:32" ht="10" customHeight="1" x14ac:dyDescent="0.2">
      <c r="A2971" s="5" t="s">
        <v>6832</v>
      </c>
      <c r="B2971" s="5" t="s">
        <v>41</v>
      </c>
      <c r="D2971" s="5" t="s">
        <v>7137</v>
      </c>
      <c r="E2971" s="10" t="s">
        <v>53</v>
      </c>
      <c r="F2971" s="5" t="s">
        <v>7112</v>
      </c>
      <c r="I2971" s="11">
        <v>4</v>
      </c>
      <c r="K2971" s="12"/>
      <c r="O2971" s="12"/>
      <c r="P2971" s="13">
        <v>3488</v>
      </c>
      <c r="Q2971" s="13">
        <v>3561</v>
      </c>
      <c r="S2971" s="13">
        <v>7135</v>
      </c>
      <c r="U2971" s="13">
        <v>7135</v>
      </c>
      <c r="AC2971" s="10" t="s">
        <v>7138</v>
      </c>
      <c r="AD2971" s="5" t="s">
        <v>2449</v>
      </c>
      <c r="AE2971" s="5" t="s">
        <v>7110</v>
      </c>
      <c r="AF2971" s="5" t="s">
        <v>7108</v>
      </c>
    </row>
    <row r="2972" spans="1:32" ht="10" customHeight="1" x14ac:dyDescent="0.2">
      <c r="A2972" s="5" t="s">
        <v>6832</v>
      </c>
      <c r="B2972" s="5" t="s">
        <v>41</v>
      </c>
      <c r="D2972" s="5" t="s">
        <v>7139</v>
      </c>
      <c r="E2972" s="10" t="s">
        <v>53</v>
      </c>
      <c r="F2972" s="5" t="s">
        <v>7112</v>
      </c>
      <c r="I2972" s="11">
        <v>4</v>
      </c>
      <c r="K2972" s="12"/>
      <c r="O2972" s="12"/>
      <c r="P2972" s="13">
        <v>3616</v>
      </c>
      <c r="Q2972" s="13">
        <v>3688</v>
      </c>
      <c r="S2972" s="13">
        <v>8280</v>
      </c>
      <c r="U2972" s="13">
        <v>8280</v>
      </c>
      <c r="AC2972" s="10" t="s">
        <v>7138</v>
      </c>
      <c r="AD2972" s="5" t="s">
        <v>2449</v>
      </c>
      <c r="AE2972" s="5" t="s">
        <v>7110</v>
      </c>
      <c r="AF2972" s="5" t="s">
        <v>7108</v>
      </c>
    </row>
    <row r="2973" spans="1:32" ht="10" customHeight="1" x14ac:dyDescent="0.2">
      <c r="A2973" s="5" t="s">
        <v>6832</v>
      </c>
      <c r="B2973" s="5" t="s">
        <v>41</v>
      </c>
      <c r="C2973" s="5" t="s">
        <v>1567</v>
      </c>
      <c r="D2973" s="5" t="s">
        <v>7140</v>
      </c>
      <c r="E2973" s="12"/>
      <c r="I2973" s="11">
        <v>6</v>
      </c>
      <c r="K2973" s="12"/>
      <c r="O2973" s="12"/>
      <c r="P2973" s="13">
        <v>1611</v>
      </c>
      <c r="AC2973" s="10" t="s">
        <v>7141</v>
      </c>
      <c r="AD2973" s="5" t="s">
        <v>2598</v>
      </c>
      <c r="AE2973" s="5" t="s">
        <v>7142</v>
      </c>
      <c r="AF2973" s="5" t="s">
        <v>7143</v>
      </c>
    </row>
    <row r="2974" spans="1:32" ht="10" customHeight="1" x14ac:dyDescent="0.2">
      <c r="A2974" s="5" t="s">
        <v>6832</v>
      </c>
      <c r="B2974" s="5" t="s">
        <v>41</v>
      </c>
      <c r="C2974" s="5" t="s">
        <v>7144</v>
      </c>
      <c r="D2974" s="5" t="s">
        <v>5447</v>
      </c>
      <c r="E2974" s="12"/>
      <c r="I2974" s="11">
        <v>6</v>
      </c>
      <c r="K2974" s="12"/>
      <c r="O2974" s="12"/>
      <c r="P2974" s="13">
        <v>736770</v>
      </c>
      <c r="Q2974" s="13">
        <v>705144</v>
      </c>
      <c r="S2974" s="13">
        <v>585865</v>
      </c>
      <c r="T2974" s="13">
        <v>297765</v>
      </c>
      <c r="U2974" s="13">
        <v>883630</v>
      </c>
      <c r="W2974" s="13">
        <v>569051</v>
      </c>
      <c r="X2974" s="13">
        <v>159138</v>
      </c>
      <c r="Y2974" s="13">
        <v>728189</v>
      </c>
      <c r="Z2974" s="13">
        <v>765711</v>
      </c>
      <c r="AB2974" s="13">
        <v>765711</v>
      </c>
      <c r="AC2974" s="10" t="s">
        <v>7145</v>
      </c>
      <c r="AD2974" s="5" t="s">
        <v>6419</v>
      </c>
      <c r="AE2974" s="5" t="s">
        <v>7146</v>
      </c>
    </row>
    <row r="2975" spans="1:32" ht="10" customHeight="1" x14ac:dyDescent="0.2">
      <c r="A2975" s="5" t="s">
        <v>6832</v>
      </c>
      <c r="B2975" s="5" t="s">
        <v>41</v>
      </c>
      <c r="C2975" s="5" t="s">
        <v>4802</v>
      </c>
      <c r="D2975" s="5" t="s">
        <v>7147</v>
      </c>
      <c r="E2975" s="12"/>
      <c r="I2975" s="11">
        <v>6</v>
      </c>
      <c r="K2975" s="10" t="s">
        <v>46</v>
      </c>
      <c r="L2975" s="5" t="s">
        <v>47</v>
      </c>
      <c r="M2975" s="5" t="s">
        <v>48</v>
      </c>
      <c r="N2975" s="5" t="s">
        <v>84</v>
      </c>
      <c r="O2975" s="12"/>
      <c r="P2975" s="13">
        <v>478691</v>
      </c>
      <c r="AC2975" s="10" t="s">
        <v>7145</v>
      </c>
      <c r="AD2975" s="5" t="s">
        <v>6419</v>
      </c>
      <c r="AE2975" s="5" t="s">
        <v>7148</v>
      </c>
    </row>
    <row r="2976" spans="1:32" ht="10" customHeight="1" x14ac:dyDescent="0.2">
      <c r="A2976" s="5" t="s">
        <v>7149</v>
      </c>
      <c r="B2976" s="5" t="s">
        <v>41</v>
      </c>
      <c r="C2976" s="5" t="s">
        <v>7150</v>
      </c>
      <c r="D2976" s="5" t="s">
        <v>7151</v>
      </c>
      <c r="E2976" s="10" t="s">
        <v>44</v>
      </c>
      <c r="I2976" s="11">
        <v>4</v>
      </c>
      <c r="K2976" s="10" t="s">
        <v>46</v>
      </c>
      <c r="L2976" s="5" t="s">
        <v>47</v>
      </c>
      <c r="M2976" s="5" t="s">
        <v>115</v>
      </c>
      <c r="N2976" s="5" t="s">
        <v>116</v>
      </c>
      <c r="O2976" s="14">
        <v>49861</v>
      </c>
      <c r="P2976" s="13">
        <v>16250</v>
      </c>
      <c r="Q2976" s="13">
        <v>6416</v>
      </c>
      <c r="S2976" s="13">
        <v>7358</v>
      </c>
      <c r="T2976" s="13">
        <v>0</v>
      </c>
      <c r="U2976" s="13">
        <v>7358</v>
      </c>
      <c r="Z2976" s="13">
        <v>6962</v>
      </c>
      <c r="AB2976" s="13">
        <v>6962</v>
      </c>
      <c r="AC2976" s="10" t="s">
        <v>7152</v>
      </c>
      <c r="AD2976" s="5" t="s">
        <v>62</v>
      </c>
      <c r="AE2976" s="5" t="s">
        <v>7150</v>
      </c>
    </row>
    <row r="2977" spans="1:33" ht="10" customHeight="1" x14ac:dyDescent="0.2">
      <c r="A2977" s="5" t="s">
        <v>7149</v>
      </c>
      <c r="B2977" s="5" t="s">
        <v>41</v>
      </c>
      <c r="D2977" s="5" t="s">
        <v>7153</v>
      </c>
      <c r="E2977" s="10" t="s">
        <v>53</v>
      </c>
      <c r="F2977" s="5" t="s">
        <v>7154</v>
      </c>
      <c r="I2977" s="11">
        <v>4</v>
      </c>
      <c r="K2977" s="12"/>
      <c r="O2977" s="14">
        <v>4112</v>
      </c>
      <c r="P2977" s="13">
        <v>488</v>
      </c>
      <c r="Q2977" s="13">
        <v>421</v>
      </c>
      <c r="S2977" s="13">
        <v>417</v>
      </c>
      <c r="T2977" s="13">
        <v>0</v>
      </c>
      <c r="U2977" s="13">
        <v>417</v>
      </c>
      <c r="AC2977" s="10" t="s">
        <v>7155</v>
      </c>
      <c r="AD2977" s="5" t="s">
        <v>613</v>
      </c>
      <c r="AE2977" s="5" t="s">
        <v>7150</v>
      </c>
    </row>
    <row r="2978" spans="1:33" ht="10" customHeight="1" x14ac:dyDescent="0.2">
      <c r="A2978" s="5" t="s">
        <v>7149</v>
      </c>
      <c r="B2978" s="5" t="s">
        <v>41</v>
      </c>
      <c r="C2978" s="5" t="s">
        <v>7156</v>
      </c>
      <c r="D2978" s="5" t="s">
        <v>7157</v>
      </c>
      <c r="E2978" s="10" t="s">
        <v>53</v>
      </c>
      <c r="F2978" s="5" t="s">
        <v>7153</v>
      </c>
      <c r="I2978" s="11">
        <v>4</v>
      </c>
      <c r="K2978" s="12"/>
      <c r="O2978" s="14">
        <v>2011</v>
      </c>
      <c r="P2978" s="13">
        <v>225</v>
      </c>
      <c r="Q2978" s="13">
        <v>195</v>
      </c>
      <c r="S2978" s="13">
        <v>193</v>
      </c>
      <c r="U2978" s="13">
        <v>193</v>
      </c>
      <c r="AC2978" s="10" t="s">
        <v>7158</v>
      </c>
      <c r="AD2978" s="5" t="s">
        <v>613</v>
      </c>
      <c r="AE2978" s="5" t="s">
        <v>7150</v>
      </c>
      <c r="AG2978" s="5" t="s">
        <v>7156</v>
      </c>
    </row>
    <row r="2979" spans="1:33" ht="10" customHeight="1" x14ac:dyDescent="0.2">
      <c r="A2979" s="5" t="s">
        <v>7149</v>
      </c>
      <c r="B2979" s="5" t="s">
        <v>41</v>
      </c>
      <c r="C2979" s="5" t="s">
        <v>7159</v>
      </c>
      <c r="D2979" s="5" t="s">
        <v>7160</v>
      </c>
      <c r="E2979" s="10" t="s">
        <v>53</v>
      </c>
      <c r="F2979" s="5" t="s">
        <v>7153</v>
      </c>
      <c r="I2979" s="11">
        <v>4</v>
      </c>
      <c r="K2979" s="12"/>
      <c r="O2979" s="14">
        <v>926</v>
      </c>
      <c r="P2979" s="13">
        <v>123</v>
      </c>
      <c r="Q2979" s="13">
        <v>106</v>
      </c>
      <c r="S2979" s="13">
        <v>105</v>
      </c>
      <c r="U2979" s="13">
        <v>105</v>
      </c>
      <c r="AC2979" s="10" t="s">
        <v>7161</v>
      </c>
      <c r="AD2979" s="5" t="s">
        <v>613</v>
      </c>
      <c r="AE2979" s="5" t="s">
        <v>7150</v>
      </c>
      <c r="AG2979" s="5" t="s">
        <v>7159</v>
      </c>
    </row>
    <row r="2980" spans="1:33" ht="10" customHeight="1" x14ac:dyDescent="0.2">
      <c r="A2980" s="5" t="s">
        <v>7149</v>
      </c>
      <c r="B2980" s="5" t="s">
        <v>41</v>
      </c>
      <c r="C2980" s="5" t="s">
        <v>7162</v>
      </c>
      <c r="D2980" s="5" t="s">
        <v>7163</v>
      </c>
      <c r="E2980" s="10" t="s">
        <v>53</v>
      </c>
      <c r="F2980" s="5" t="s">
        <v>7153</v>
      </c>
      <c r="I2980" s="11">
        <v>6</v>
      </c>
      <c r="K2980" s="12"/>
      <c r="O2980" s="14">
        <v>1175</v>
      </c>
      <c r="P2980" s="13">
        <v>140</v>
      </c>
      <c r="Q2980" s="13">
        <v>120</v>
      </c>
      <c r="S2980" s="13">
        <v>119</v>
      </c>
      <c r="U2980" s="13">
        <v>119</v>
      </c>
      <c r="AC2980" s="10" t="s">
        <v>7164</v>
      </c>
      <c r="AD2980" s="5" t="s">
        <v>660</v>
      </c>
      <c r="AE2980" s="5" t="s">
        <v>7150</v>
      </c>
      <c r="AG2980" s="5" t="s">
        <v>7162</v>
      </c>
    </row>
    <row r="2981" spans="1:33" ht="10" customHeight="1" x14ac:dyDescent="0.2">
      <c r="A2981" s="5" t="s">
        <v>7149</v>
      </c>
      <c r="B2981" s="5" t="s">
        <v>41</v>
      </c>
      <c r="D2981" s="5" t="s">
        <v>7165</v>
      </c>
      <c r="E2981" s="10" t="s">
        <v>53</v>
      </c>
      <c r="F2981" s="5" t="s">
        <v>7154</v>
      </c>
      <c r="I2981" s="11">
        <v>4</v>
      </c>
      <c r="K2981" s="10" t="s">
        <v>46</v>
      </c>
      <c r="L2981" s="5" t="s">
        <v>47</v>
      </c>
      <c r="M2981" s="5" t="s">
        <v>115</v>
      </c>
      <c r="O2981" s="14">
        <v>45749</v>
      </c>
      <c r="P2981" s="13">
        <v>15762</v>
      </c>
      <c r="Q2981" s="13">
        <v>5995</v>
      </c>
      <c r="S2981" s="13">
        <v>6941</v>
      </c>
      <c r="T2981" s="13">
        <v>0</v>
      </c>
      <c r="U2981" s="13">
        <v>6941</v>
      </c>
      <c r="AC2981" s="10" t="s">
        <v>7166</v>
      </c>
      <c r="AD2981" s="5" t="s">
        <v>660</v>
      </c>
      <c r="AE2981" s="5" t="s">
        <v>7150</v>
      </c>
    </row>
    <row r="2982" spans="1:33" ht="10" customHeight="1" x14ac:dyDescent="0.2">
      <c r="A2982" s="5" t="s">
        <v>7149</v>
      </c>
      <c r="B2982" s="5" t="s">
        <v>41</v>
      </c>
      <c r="C2982" s="5" t="s">
        <v>7167</v>
      </c>
      <c r="D2982" s="5" t="s">
        <v>7168</v>
      </c>
      <c r="E2982" s="10" t="s">
        <v>53</v>
      </c>
      <c r="F2982" s="5" t="s">
        <v>7165</v>
      </c>
      <c r="I2982" s="11">
        <v>4</v>
      </c>
      <c r="K2982" s="10" t="s">
        <v>46</v>
      </c>
      <c r="L2982" s="5" t="s">
        <v>47</v>
      </c>
      <c r="M2982" s="5" t="s">
        <v>115</v>
      </c>
      <c r="O2982" s="14">
        <v>24513</v>
      </c>
      <c r="P2982" s="13">
        <v>2898</v>
      </c>
      <c r="Q2982" s="13">
        <v>2954</v>
      </c>
      <c r="S2982" s="13">
        <v>2931</v>
      </c>
      <c r="U2982" s="13">
        <v>2931</v>
      </c>
      <c r="AC2982" s="10" t="s">
        <v>7169</v>
      </c>
      <c r="AD2982" s="5" t="s">
        <v>711</v>
      </c>
      <c r="AE2982" s="5" t="s">
        <v>7150</v>
      </c>
      <c r="AG2982" s="5" t="s">
        <v>7167</v>
      </c>
    </row>
    <row r="2983" spans="1:33" ht="10" customHeight="1" x14ac:dyDescent="0.2">
      <c r="A2983" s="5" t="s">
        <v>7149</v>
      </c>
      <c r="B2983" s="5" t="s">
        <v>41</v>
      </c>
      <c r="D2983" s="5" t="s">
        <v>7170</v>
      </c>
      <c r="E2983" s="10" t="s">
        <v>53</v>
      </c>
      <c r="F2983" s="5" t="s">
        <v>7165</v>
      </c>
      <c r="I2983" s="11">
        <v>4</v>
      </c>
      <c r="K2983" s="12"/>
      <c r="O2983" s="14">
        <v>6734</v>
      </c>
      <c r="P2983" s="13">
        <v>12744</v>
      </c>
      <c r="Q2983" s="13">
        <v>2904</v>
      </c>
      <c r="S2983" s="13">
        <v>3857</v>
      </c>
      <c r="U2983" s="13">
        <v>3857</v>
      </c>
      <c r="AC2983" s="10" t="s">
        <v>7171</v>
      </c>
      <c r="AD2983" s="5" t="s">
        <v>763</v>
      </c>
      <c r="AE2983" s="5" t="s">
        <v>7150</v>
      </c>
    </row>
    <row r="2984" spans="1:33" ht="10" customHeight="1" x14ac:dyDescent="0.2">
      <c r="A2984" s="5" t="s">
        <v>7149</v>
      </c>
      <c r="B2984" s="5" t="s">
        <v>41</v>
      </c>
      <c r="D2984" s="5" t="s">
        <v>7172</v>
      </c>
      <c r="E2984" s="10" t="s">
        <v>53</v>
      </c>
      <c r="F2984" s="5" t="s">
        <v>7165</v>
      </c>
      <c r="I2984" s="11">
        <v>4</v>
      </c>
      <c r="K2984" s="12"/>
      <c r="O2984" s="14">
        <v>476</v>
      </c>
      <c r="P2984" s="13">
        <v>94</v>
      </c>
      <c r="Q2984" s="13">
        <v>108</v>
      </c>
      <c r="S2984" s="13">
        <v>117</v>
      </c>
      <c r="U2984" s="13">
        <v>117</v>
      </c>
      <c r="AC2984" s="10" t="s">
        <v>7173</v>
      </c>
      <c r="AD2984" s="5" t="s">
        <v>763</v>
      </c>
      <c r="AE2984" s="5" t="s">
        <v>7150</v>
      </c>
    </row>
    <row r="2985" spans="1:33" ht="10" customHeight="1" x14ac:dyDescent="0.2">
      <c r="A2985" s="5" t="s">
        <v>7149</v>
      </c>
      <c r="B2985" s="5" t="s">
        <v>41</v>
      </c>
      <c r="D2985" s="5" t="s">
        <v>7174</v>
      </c>
      <c r="E2985" s="10" t="s">
        <v>53</v>
      </c>
      <c r="F2985" s="5" t="s">
        <v>7165</v>
      </c>
      <c r="I2985" s="11">
        <v>4</v>
      </c>
      <c r="K2985" s="12"/>
      <c r="O2985" s="14">
        <v>83</v>
      </c>
      <c r="P2985" s="13">
        <v>26</v>
      </c>
      <c r="Q2985" s="13">
        <v>29</v>
      </c>
      <c r="S2985" s="13">
        <v>36</v>
      </c>
      <c r="U2985" s="13">
        <v>36</v>
      </c>
      <c r="AC2985" s="10" t="s">
        <v>7175</v>
      </c>
      <c r="AD2985" s="5" t="s">
        <v>763</v>
      </c>
      <c r="AE2985" s="5" t="s">
        <v>7150</v>
      </c>
    </row>
    <row r="2986" spans="1:33" ht="10" customHeight="1" x14ac:dyDescent="0.2">
      <c r="A2986" s="5" t="s">
        <v>7149</v>
      </c>
      <c r="B2986" s="5" t="s">
        <v>41</v>
      </c>
      <c r="C2986" s="5" t="s">
        <v>7176</v>
      </c>
      <c r="D2986" s="5" t="s">
        <v>7177</v>
      </c>
      <c r="E2986" s="10" t="s">
        <v>44</v>
      </c>
      <c r="I2986" s="11">
        <v>6</v>
      </c>
      <c r="K2986" s="10" t="s">
        <v>46</v>
      </c>
      <c r="L2986" s="5" t="s">
        <v>47</v>
      </c>
      <c r="M2986" s="5" t="s">
        <v>48</v>
      </c>
      <c r="N2986" s="5" t="s">
        <v>84</v>
      </c>
      <c r="O2986" s="14">
        <v>421</v>
      </c>
      <c r="P2986" s="13">
        <v>227</v>
      </c>
      <c r="Q2986" s="13">
        <v>226</v>
      </c>
      <c r="S2986" s="13">
        <v>209</v>
      </c>
      <c r="T2986" s="13">
        <v>0</v>
      </c>
      <c r="U2986" s="13">
        <v>209</v>
      </c>
      <c r="Z2986" s="13">
        <v>195</v>
      </c>
      <c r="AB2986" s="13">
        <v>195</v>
      </c>
      <c r="AC2986" s="10" t="s">
        <v>7178</v>
      </c>
      <c r="AD2986" s="5" t="s">
        <v>801</v>
      </c>
      <c r="AE2986" s="5" t="s">
        <v>7176</v>
      </c>
      <c r="AF2986" s="5" t="s">
        <v>7179</v>
      </c>
    </row>
    <row r="2987" spans="1:33" ht="10" customHeight="1" x14ac:dyDescent="0.2">
      <c r="A2987" s="5" t="s">
        <v>7149</v>
      </c>
      <c r="B2987" s="5" t="s">
        <v>41</v>
      </c>
      <c r="D2987" s="5" t="s">
        <v>7180</v>
      </c>
      <c r="E2987" s="10" t="s">
        <v>53</v>
      </c>
      <c r="F2987" s="5" t="s">
        <v>7181</v>
      </c>
      <c r="I2987" s="11">
        <v>6</v>
      </c>
      <c r="K2987" s="10" t="s">
        <v>46</v>
      </c>
      <c r="L2987" s="5" t="s">
        <v>47</v>
      </c>
      <c r="M2987" s="5" t="s">
        <v>48</v>
      </c>
      <c r="N2987" s="5" t="s">
        <v>84</v>
      </c>
      <c r="O2987" s="14">
        <v>421</v>
      </c>
      <c r="P2987" s="13">
        <v>227</v>
      </c>
      <c r="Q2987" s="13">
        <v>226</v>
      </c>
      <c r="S2987" s="13">
        <v>209</v>
      </c>
      <c r="U2987" s="13">
        <v>209</v>
      </c>
      <c r="AC2987" s="10" t="s">
        <v>7182</v>
      </c>
      <c r="AD2987" s="5" t="s">
        <v>808</v>
      </c>
      <c r="AE2987" s="5" t="s">
        <v>7176</v>
      </c>
      <c r="AF2987" s="5" t="s">
        <v>7179</v>
      </c>
    </row>
    <row r="2988" spans="1:33" ht="10" customHeight="1" x14ac:dyDescent="0.2">
      <c r="A2988" s="5" t="s">
        <v>7149</v>
      </c>
      <c r="B2988" s="5" t="s">
        <v>41</v>
      </c>
      <c r="C2988" s="5" t="s">
        <v>7183</v>
      </c>
      <c r="D2988" s="5" t="s">
        <v>7184</v>
      </c>
      <c r="E2988" s="10" t="s">
        <v>44</v>
      </c>
      <c r="I2988" s="11">
        <v>4</v>
      </c>
      <c r="K2988" s="12"/>
      <c r="O2988" s="14">
        <v>1851886</v>
      </c>
      <c r="P2988" s="13">
        <v>283972</v>
      </c>
      <c r="Q2988" s="13">
        <v>376830</v>
      </c>
      <c r="S2988" s="13">
        <v>455822</v>
      </c>
      <c r="T2988" s="13">
        <v>0</v>
      </c>
      <c r="U2988" s="13">
        <v>455822</v>
      </c>
      <c r="Z2988" s="13">
        <v>431069</v>
      </c>
      <c r="AB2988" s="13">
        <v>431069</v>
      </c>
      <c r="AC2988" s="10" t="s">
        <v>7185</v>
      </c>
      <c r="AD2988" s="5" t="s">
        <v>837</v>
      </c>
      <c r="AE2988" s="5" t="s">
        <v>7183</v>
      </c>
    </row>
    <row r="2989" spans="1:33" ht="10" customHeight="1" x14ac:dyDescent="0.2">
      <c r="A2989" s="5" t="s">
        <v>7149</v>
      </c>
      <c r="B2989" s="5" t="s">
        <v>41</v>
      </c>
      <c r="D2989" s="5" t="s">
        <v>7186</v>
      </c>
      <c r="E2989" s="10" t="s">
        <v>53</v>
      </c>
      <c r="F2989" s="5" t="s">
        <v>7187</v>
      </c>
      <c r="I2989" s="11">
        <v>4</v>
      </c>
      <c r="K2989" s="12"/>
      <c r="O2989" s="14">
        <v>77785</v>
      </c>
      <c r="P2989" s="13">
        <v>14200</v>
      </c>
      <c r="Q2989" s="13">
        <v>20556</v>
      </c>
      <c r="S2989" s="13">
        <v>50282</v>
      </c>
      <c r="U2989" s="13">
        <v>50282</v>
      </c>
      <c r="AC2989" s="10" t="s">
        <v>7188</v>
      </c>
      <c r="AD2989" s="5" t="s">
        <v>4598</v>
      </c>
      <c r="AE2989" s="5" t="s">
        <v>7183</v>
      </c>
    </row>
    <row r="2990" spans="1:33" ht="10" customHeight="1" x14ac:dyDescent="0.2">
      <c r="A2990" s="5" t="s">
        <v>7149</v>
      </c>
      <c r="B2990" s="5" t="s">
        <v>41</v>
      </c>
      <c r="D2990" s="5" t="s">
        <v>7189</v>
      </c>
      <c r="E2990" s="10" t="s">
        <v>53</v>
      </c>
      <c r="F2990" s="5" t="s">
        <v>7186</v>
      </c>
      <c r="I2990" s="11">
        <v>4</v>
      </c>
      <c r="K2990" s="12"/>
      <c r="O2990" s="14">
        <v>13448</v>
      </c>
      <c r="P2990" s="13">
        <v>3364</v>
      </c>
      <c r="Q2990" s="13">
        <v>4067</v>
      </c>
      <c r="S2990" s="13">
        <v>3236</v>
      </c>
      <c r="U2990" s="13">
        <v>3236</v>
      </c>
      <c r="AC2990" s="10" t="s">
        <v>7190</v>
      </c>
      <c r="AD2990" s="5" t="s">
        <v>4598</v>
      </c>
      <c r="AE2990" s="5" t="s">
        <v>7183</v>
      </c>
    </row>
    <row r="2991" spans="1:33" ht="10" customHeight="1" x14ac:dyDescent="0.2">
      <c r="A2991" s="5" t="s">
        <v>7149</v>
      </c>
      <c r="B2991" s="5" t="s">
        <v>41</v>
      </c>
      <c r="D2991" s="5" t="s">
        <v>7191</v>
      </c>
      <c r="E2991" s="10" t="s">
        <v>53</v>
      </c>
      <c r="F2991" s="5" t="s">
        <v>7186</v>
      </c>
      <c r="I2991" s="11">
        <v>6</v>
      </c>
      <c r="K2991" s="12"/>
      <c r="O2991" s="12"/>
      <c r="S2991" s="13">
        <v>33035</v>
      </c>
      <c r="U2991" s="13">
        <v>33035</v>
      </c>
      <c r="AC2991" s="10" t="s">
        <v>7192</v>
      </c>
      <c r="AD2991" s="5" t="s">
        <v>840</v>
      </c>
      <c r="AE2991" s="5" t="s">
        <v>7183</v>
      </c>
      <c r="AF2991" s="5" t="s">
        <v>7193</v>
      </c>
    </row>
    <row r="2992" spans="1:33" ht="10" customHeight="1" x14ac:dyDescent="0.2">
      <c r="A2992" s="5" t="s">
        <v>7149</v>
      </c>
      <c r="B2992" s="5" t="s">
        <v>41</v>
      </c>
      <c r="D2992" s="5" t="s">
        <v>7194</v>
      </c>
      <c r="E2992" s="10" t="s">
        <v>53</v>
      </c>
      <c r="F2992" s="5" t="s">
        <v>7186</v>
      </c>
      <c r="I2992" s="11">
        <v>6</v>
      </c>
      <c r="K2992" s="12"/>
      <c r="O2992" s="12"/>
      <c r="S2992" s="13">
        <v>3154</v>
      </c>
      <c r="U2992" s="13">
        <v>3154</v>
      </c>
      <c r="AC2992" s="10" t="s">
        <v>7195</v>
      </c>
      <c r="AD2992" s="5" t="s">
        <v>840</v>
      </c>
      <c r="AE2992" s="5" t="s">
        <v>7183</v>
      </c>
      <c r="AF2992" s="5" t="s">
        <v>7193</v>
      </c>
    </row>
    <row r="2993" spans="1:33" ht="10" customHeight="1" x14ac:dyDescent="0.2">
      <c r="A2993" s="5" t="s">
        <v>7149</v>
      </c>
      <c r="B2993" s="5" t="s">
        <v>41</v>
      </c>
      <c r="D2993" s="5" t="s">
        <v>7196</v>
      </c>
      <c r="E2993" s="10" t="s">
        <v>53</v>
      </c>
      <c r="F2993" s="5" t="s">
        <v>7186</v>
      </c>
      <c r="I2993" s="11">
        <v>6</v>
      </c>
      <c r="K2993" s="12"/>
      <c r="O2993" s="12"/>
      <c r="S2993" s="13">
        <v>5236</v>
      </c>
      <c r="U2993" s="13">
        <v>5236</v>
      </c>
      <c r="AC2993" s="10" t="s">
        <v>7197</v>
      </c>
      <c r="AD2993" s="5" t="s">
        <v>840</v>
      </c>
      <c r="AE2993" s="5" t="s">
        <v>7183</v>
      </c>
      <c r="AF2993" s="5" t="s">
        <v>7193</v>
      </c>
    </row>
    <row r="2994" spans="1:33" ht="10" customHeight="1" x14ac:dyDescent="0.2">
      <c r="A2994" s="5" t="s">
        <v>7149</v>
      </c>
      <c r="B2994" s="5" t="s">
        <v>41</v>
      </c>
      <c r="D2994" s="5" t="s">
        <v>7198</v>
      </c>
      <c r="E2994" s="10" t="s">
        <v>53</v>
      </c>
      <c r="F2994" s="5" t="s">
        <v>7186</v>
      </c>
      <c r="I2994" s="11">
        <v>4</v>
      </c>
      <c r="K2994" s="12"/>
      <c r="O2994" s="12"/>
      <c r="S2994" s="13">
        <v>4791</v>
      </c>
      <c r="U2994" s="13">
        <v>4791</v>
      </c>
      <c r="AC2994" s="10" t="s">
        <v>7199</v>
      </c>
      <c r="AD2994" s="5" t="s">
        <v>840</v>
      </c>
      <c r="AE2994" s="5" t="s">
        <v>7183</v>
      </c>
      <c r="AF2994" s="5" t="s">
        <v>7193</v>
      </c>
    </row>
    <row r="2995" spans="1:33" ht="10" customHeight="1" x14ac:dyDescent="0.2">
      <c r="A2995" s="5" t="s">
        <v>7149</v>
      </c>
      <c r="B2995" s="5" t="s">
        <v>41</v>
      </c>
      <c r="D2995" s="5" t="s">
        <v>7200</v>
      </c>
      <c r="E2995" s="10" t="s">
        <v>53</v>
      </c>
      <c r="F2995" s="5" t="s">
        <v>7186</v>
      </c>
      <c r="I2995" s="11">
        <v>6</v>
      </c>
      <c r="K2995" s="12"/>
      <c r="O2995" s="12"/>
      <c r="S2995" s="13">
        <v>830</v>
      </c>
      <c r="U2995" s="13">
        <v>830</v>
      </c>
      <c r="AC2995" s="10" t="s">
        <v>7201</v>
      </c>
      <c r="AD2995" s="5" t="s">
        <v>840</v>
      </c>
      <c r="AE2995" s="5" t="s">
        <v>7183</v>
      </c>
      <c r="AF2995" s="5" t="s">
        <v>7193</v>
      </c>
    </row>
    <row r="2996" spans="1:33" ht="10" customHeight="1" x14ac:dyDescent="0.2">
      <c r="A2996" s="5" t="s">
        <v>7149</v>
      </c>
      <c r="B2996" s="5" t="s">
        <v>41</v>
      </c>
      <c r="D2996" s="5" t="s">
        <v>7202</v>
      </c>
      <c r="E2996" s="10" t="s">
        <v>53</v>
      </c>
      <c r="F2996" s="5" t="s">
        <v>7187</v>
      </c>
      <c r="I2996" s="11">
        <v>4</v>
      </c>
      <c r="K2996" s="12"/>
      <c r="O2996" s="14">
        <v>0</v>
      </c>
      <c r="P2996" s="13">
        <v>9085</v>
      </c>
      <c r="AC2996" s="10" t="s">
        <v>7203</v>
      </c>
      <c r="AD2996" s="5" t="s">
        <v>840</v>
      </c>
      <c r="AE2996" s="5" t="s">
        <v>7183</v>
      </c>
    </row>
    <row r="2997" spans="1:33" ht="10" customHeight="1" x14ac:dyDescent="0.2">
      <c r="A2997" s="5" t="s">
        <v>7149</v>
      </c>
      <c r="B2997" s="5" t="s">
        <v>41</v>
      </c>
      <c r="D2997" s="5" t="s">
        <v>7204</v>
      </c>
      <c r="E2997" s="10" t="s">
        <v>53</v>
      </c>
      <c r="F2997" s="5" t="s">
        <v>7187</v>
      </c>
      <c r="I2997" s="11">
        <v>4</v>
      </c>
      <c r="K2997" s="12"/>
      <c r="O2997" s="14">
        <v>25311</v>
      </c>
      <c r="P2997" s="13">
        <v>559</v>
      </c>
      <c r="Q2997" s="13">
        <v>2000</v>
      </c>
      <c r="S2997" s="13">
        <v>2042</v>
      </c>
      <c r="U2997" s="13">
        <v>2042</v>
      </c>
      <c r="AC2997" s="10" t="s">
        <v>7205</v>
      </c>
      <c r="AD2997" s="5" t="s">
        <v>942</v>
      </c>
      <c r="AE2997" s="5" t="s">
        <v>7183</v>
      </c>
    </row>
    <row r="2998" spans="1:33" ht="10" customHeight="1" x14ac:dyDescent="0.2">
      <c r="A2998" s="5" t="s">
        <v>7149</v>
      </c>
      <c r="B2998" s="5" t="s">
        <v>41</v>
      </c>
      <c r="C2998" s="5" t="s">
        <v>7206</v>
      </c>
      <c r="D2998" s="5" t="s">
        <v>7207</v>
      </c>
      <c r="E2998" s="10" t="s">
        <v>53</v>
      </c>
      <c r="F2998" s="5" t="s">
        <v>7204</v>
      </c>
      <c r="I2998" s="11">
        <v>6</v>
      </c>
      <c r="K2998" s="12"/>
      <c r="O2998" s="14">
        <v>19472</v>
      </c>
      <c r="P2998" s="13">
        <v>559</v>
      </c>
      <c r="Q2998" s="13">
        <v>2000</v>
      </c>
      <c r="S2998" s="13">
        <v>2042</v>
      </c>
      <c r="U2998" s="13">
        <v>2042</v>
      </c>
      <c r="AC2998" s="10" t="s">
        <v>7208</v>
      </c>
      <c r="AD2998" s="5" t="s">
        <v>942</v>
      </c>
      <c r="AE2998" s="5" t="s">
        <v>7183</v>
      </c>
      <c r="AF2998" s="5" t="s">
        <v>7207</v>
      </c>
      <c r="AG2998" s="5" t="s">
        <v>7206</v>
      </c>
    </row>
    <row r="2999" spans="1:33" ht="10" customHeight="1" x14ac:dyDescent="0.2">
      <c r="A2999" s="5" t="s">
        <v>7149</v>
      </c>
      <c r="B2999" s="5" t="s">
        <v>41</v>
      </c>
      <c r="D2999" s="5" t="s">
        <v>7209</v>
      </c>
      <c r="E2999" s="10" t="s">
        <v>53</v>
      </c>
      <c r="F2999" s="5" t="s">
        <v>7187</v>
      </c>
      <c r="I2999" s="11">
        <v>4</v>
      </c>
      <c r="K2999" s="12"/>
      <c r="O2999" s="14">
        <v>146274</v>
      </c>
      <c r="P2999" s="13">
        <v>30150</v>
      </c>
      <c r="Q2999" s="13">
        <v>24151</v>
      </c>
      <c r="S2999" s="13">
        <v>28336</v>
      </c>
      <c r="U2999" s="13">
        <v>28336</v>
      </c>
      <c r="AC2999" s="10" t="s">
        <v>7210</v>
      </c>
      <c r="AD2999" s="5" t="s">
        <v>1000</v>
      </c>
      <c r="AE2999" s="5" t="s">
        <v>7183</v>
      </c>
    </row>
    <row r="3000" spans="1:33" ht="10" customHeight="1" x14ac:dyDescent="0.2">
      <c r="A3000" s="5" t="s">
        <v>7149</v>
      </c>
      <c r="B3000" s="5" t="s">
        <v>41</v>
      </c>
      <c r="C3000" s="5" t="s">
        <v>7211</v>
      </c>
      <c r="D3000" s="5" t="s">
        <v>7212</v>
      </c>
      <c r="E3000" s="10" t="s">
        <v>53</v>
      </c>
      <c r="F3000" s="5" t="s">
        <v>7209</v>
      </c>
      <c r="I3000" s="11">
        <v>6</v>
      </c>
      <c r="K3000" s="12"/>
      <c r="O3000" s="14">
        <v>24347</v>
      </c>
      <c r="P3000" s="13">
        <v>8774</v>
      </c>
      <c r="Q3000" s="13">
        <v>8786</v>
      </c>
      <c r="S3000" s="13">
        <v>8769</v>
      </c>
      <c r="U3000" s="13">
        <v>8769</v>
      </c>
      <c r="AC3000" s="10" t="s">
        <v>7213</v>
      </c>
      <c r="AD3000" s="5" t="s">
        <v>1000</v>
      </c>
      <c r="AE3000" s="5" t="s">
        <v>7183</v>
      </c>
      <c r="AG3000" s="5" t="s">
        <v>7211</v>
      </c>
    </row>
    <row r="3001" spans="1:33" ht="10" customHeight="1" x14ac:dyDescent="0.2">
      <c r="A3001" s="5" t="s">
        <v>7149</v>
      </c>
      <c r="B3001" s="5" t="s">
        <v>41</v>
      </c>
      <c r="C3001" s="5" t="s">
        <v>7214</v>
      </c>
      <c r="D3001" s="5" t="s">
        <v>7215</v>
      </c>
      <c r="E3001" s="10" t="s">
        <v>53</v>
      </c>
      <c r="F3001" s="5" t="s">
        <v>7209</v>
      </c>
      <c r="I3001" s="11">
        <v>4</v>
      </c>
      <c r="K3001" s="12"/>
      <c r="O3001" s="14">
        <v>3468</v>
      </c>
      <c r="P3001" s="13">
        <v>1299</v>
      </c>
      <c r="Q3001" s="13">
        <v>1027</v>
      </c>
      <c r="S3001" s="13">
        <v>1191</v>
      </c>
      <c r="U3001" s="13">
        <v>1191</v>
      </c>
      <c r="AC3001" s="10" t="s">
        <v>7216</v>
      </c>
      <c r="AD3001" s="5" t="s">
        <v>1000</v>
      </c>
      <c r="AE3001" s="5" t="s">
        <v>7183</v>
      </c>
      <c r="AG3001" s="5" t="s">
        <v>7214</v>
      </c>
    </row>
    <row r="3002" spans="1:33" ht="10" customHeight="1" x14ac:dyDescent="0.2">
      <c r="A3002" s="5" t="s">
        <v>7149</v>
      </c>
      <c r="B3002" s="5" t="s">
        <v>41</v>
      </c>
      <c r="C3002" s="5" t="s">
        <v>7217</v>
      </c>
      <c r="D3002" s="5" t="s">
        <v>7218</v>
      </c>
      <c r="E3002" s="10" t="s">
        <v>53</v>
      </c>
      <c r="F3002" s="5" t="s">
        <v>7209</v>
      </c>
      <c r="I3002" s="11">
        <v>6</v>
      </c>
      <c r="K3002" s="12"/>
      <c r="O3002" s="14">
        <v>7522</v>
      </c>
      <c r="P3002" s="13">
        <v>1573</v>
      </c>
      <c r="Q3002" s="13">
        <v>1159</v>
      </c>
      <c r="S3002" s="13">
        <v>1449</v>
      </c>
      <c r="U3002" s="13">
        <v>1449</v>
      </c>
      <c r="AC3002" s="10" t="s">
        <v>7219</v>
      </c>
      <c r="AD3002" s="5" t="s">
        <v>1000</v>
      </c>
      <c r="AE3002" s="5" t="s">
        <v>7183</v>
      </c>
      <c r="AG3002" s="5" t="s">
        <v>7217</v>
      </c>
    </row>
    <row r="3003" spans="1:33" ht="10" customHeight="1" x14ac:dyDescent="0.2">
      <c r="A3003" s="5" t="s">
        <v>7149</v>
      </c>
      <c r="B3003" s="5" t="s">
        <v>41</v>
      </c>
      <c r="C3003" s="5" t="s">
        <v>7220</v>
      </c>
      <c r="D3003" s="5" t="s">
        <v>7221</v>
      </c>
      <c r="E3003" s="10" t="s">
        <v>53</v>
      </c>
      <c r="F3003" s="5" t="s">
        <v>7209</v>
      </c>
      <c r="I3003" s="11">
        <v>4</v>
      </c>
      <c r="K3003" s="12"/>
      <c r="O3003" s="14">
        <v>20591</v>
      </c>
      <c r="P3003" s="13">
        <v>911</v>
      </c>
      <c r="Q3003" s="13">
        <v>840</v>
      </c>
      <c r="S3003" s="13">
        <v>817</v>
      </c>
      <c r="U3003" s="13">
        <v>817</v>
      </c>
      <c r="AC3003" s="10" t="s">
        <v>7222</v>
      </c>
      <c r="AD3003" s="5" t="s">
        <v>1000</v>
      </c>
      <c r="AE3003" s="5" t="s">
        <v>7183</v>
      </c>
      <c r="AG3003" s="5" t="s">
        <v>7220</v>
      </c>
    </row>
    <row r="3004" spans="1:33" ht="10" customHeight="1" x14ac:dyDescent="0.2">
      <c r="A3004" s="5" t="s">
        <v>7149</v>
      </c>
      <c r="B3004" s="5" t="s">
        <v>41</v>
      </c>
      <c r="C3004" s="5" t="s">
        <v>7223</v>
      </c>
      <c r="D3004" s="5" t="s">
        <v>7224</v>
      </c>
      <c r="E3004" s="10" t="s">
        <v>53</v>
      </c>
      <c r="F3004" s="5" t="s">
        <v>7209</v>
      </c>
      <c r="I3004" s="11">
        <v>6</v>
      </c>
      <c r="K3004" s="10" t="s">
        <v>46</v>
      </c>
      <c r="L3004" s="5" t="s">
        <v>47</v>
      </c>
      <c r="M3004" s="5" t="s">
        <v>145</v>
      </c>
      <c r="O3004" s="14">
        <v>64643</v>
      </c>
      <c r="P3004" s="13">
        <v>12426</v>
      </c>
      <c r="Q3004" s="13">
        <v>7095</v>
      </c>
      <c r="S3004" s="13">
        <v>11284</v>
      </c>
      <c r="U3004" s="13">
        <v>11284</v>
      </c>
      <c r="AC3004" s="10" t="s">
        <v>7225</v>
      </c>
      <c r="AD3004" s="5" t="s">
        <v>1000</v>
      </c>
      <c r="AE3004" s="5" t="s">
        <v>7183</v>
      </c>
      <c r="AG3004" s="5" t="s">
        <v>7223</v>
      </c>
    </row>
    <row r="3005" spans="1:33" ht="10" customHeight="1" x14ac:dyDescent="0.2">
      <c r="A3005" s="5" t="s">
        <v>7149</v>
      </c>
      <c r="B3005" s="5" t="s">
        <v>41</v>
      </c>
      <c r="C3005" s="5" t="s">
        <v>7226</v>
      </c>
      <c r="D3005" s="5" t="s">
        <v>7227</v>
      </c>
      <c r="E3005" s="10" t="s">
        <v>53</v>
      </c>
      <c r="F3005" s="5" t="s">
        <v>7209</v>
      </c>
      <c r="I3005" s="11">
        <v>6</v>
      </c>
      <c r="K3005" s="12"/>
      <c r="O3005" s="14">
        <v>25703</v>
      </c>
      <c r="P3005" s="13">
        <v>5167</v>
      </c>
      <c r="Q3005" s="13">
        <v>5244</v>
      </c>
      <c r="S3005" s="13">
        <v>4826</v>
      </c>
      <c r="U3005" s="13">
        <v>4826</v>
      </c>
      <c r="AC3005" s="10" t="s">
        <v>7228</v>
      </c>
      <c r="AD3005" s="5" t="s">
        <v>1005</v>
      </c>
      <c r="AE3005" s="5" t="s">
        <v>7183</v>
      </c>
      <c r="AG3005" s="5" t="s">
        <v>7226</v>
      </c>
    </row>
    <row r="3006" spans="1:33" ht="10" customHeight="1" x14ac:dyDescent="0.2">
      <c r="A3006" s="5" t="s">
        <v>7149</v>
      </c>
      <c r="B3006" s="5" t="s">
        <v>41</v>
      </c>
      <c r="D3006" s="5" t="s">
        <v>7229</v>
      </c>
      <c r="E3006" s="10" t="s">
        <v>53</v>
      </c>
      <c r="F3006" s="5" t="s">
        <v>7187</v>
      </c>
      <c r="I3006" s="11">
        <v>4</v>
      </c>
      <c r="K3006" s="10" t="s">
        <v>46</v>
      </c>
      <c r="L3006" s="5" t="s">
        <v>47</v>
      </c>
      <c r="M3006" s="5" t="s">
        <v>115</v>
      </c>
      <c r="O3006" s="14">
        <v>746742</v>
      </c>
      <c r="P3006" s="13">
        <v>106795</v>
      </c>
      <c r="Q3006" s="13">
        <v>123988</v>
      </c>
      <c r="S3006" s="13">
        <v>187988</v>
      </c>
      <c r="U3006" s="13">
        <v>187988</v>
      </c>
      <c r="AC3006" s="10" t="s">
        <v>7230</v>
      </c>
      <c r="AD3006" s="5" t="s">
        <v>1005</v>
      </c>
      <c r="AE3006" s="5" t="s">
        <v>7183</v>
      </c>
    </row>
    <row r="3007" spans="1:33" ht="10" customHeight="1" x14ac:dyDescent="0.2">
      <c r="A3007" s="5" t="s">
        <v>7149</v>
      </c>
      <c r="B3007" s="5" t="s">
        <v>41</v>
      </c>
      <c r="C3007" s="5" t="s">
        <v>7231</v>
      </c>
      <c r="D3007" s="5" t="s">
        <v>7232</v>
      </c>
      <c r="E3007" s="10" t="s">
        <v>53</v>
      </c>
      <c r="F3007" s="5" t="s">
        <v>7229</v>
      </c>
      <c r="I3007" s="11">
        <v>6</v>
      </c>
      <c r="K3007" s="10" t="s">
        <v>46</v>
      </c>
      <c r="L3007" s="5" t="s">
        <v>47</v>
      </c>
      <c r="M3007" s="5" t="s">
        <v>115</v>
      </c>
      <c r="O3007" s="14">
        <v>43929</v>
      </c>
      <c r="P3007" s="13">
        <v>7061</v>
      </c>
      <c r="Q3007" s="13">
        <v>10934</v>
      </c>
      <c r="S3007" s="13">
        <v>9023</v>
      </c>
      <c r="U3007" s="13">
        <v>9023</v>
      </c>
      <c r="AC3007" s="10" t="s">
        <v>7233</v>
      </c>
      <c r="AD3007" s="5" t="s">
        <v>1005</v>
      </c>
      <c r="AE3007" s="5" t="s">
        <v>7183</v>
      </c>
    </row>
    <row r="3008" spans="1:33" ht="10" customHeight="1" x14ac:dyDescent="0.2">
      <c r="A3008" s="5" t="s">
        <v>7149</v>
      </c>
      <c r="B3008" s="5" t="s">
        <v>41</v>
      </c>
      <c r="C3008" s="5" t="s">
        <v>7234</v>
      </c>
      <c r="D3008" s="5" t="s">
        <v>7235</v>
      </c>
      <c r="E3008" s="10" t="s">
        <v>53</v>
      </c>
      <c r="F3008" s="5" t="s">
        <v>7229</v>
      </c>
      <c r="I3008" s="11">
        <v>6</v>
      </c>
      <c r="K3008" s="12"/>
      <c r="O3008" s="14">
        <v>131396</v>
      </c>
      <c r="P3008" s="13">
        <v>3664</v>
      </c>
      <c r="Q3008" s="13">
        <v>15419</v>
      </c>
      <c r="S3008" s="13">
        <v>8294</v>
      </c>
      <c r="U3008" s="13">
        <v>8294</v>
      </c>
      <c r="AC3008" s="10" t="s">
        <v>7236</v>
      </c>
      <c r="AD3008" s="5" t="s">
        <v>1021</v>
      </c>
      <c r="AE3008" s="5" t="s">
        <v>7183</v>
      </c>
    </row>
    <row r="3009" spans="1:31" ht="10" customHeight="1" x14ac:dyDescent="0.2">
      <c r="A3009" s="5" t="s">
        <v>7149</v>
      </c>
      <c r="B3009" s="5" t="s">
        <v>41</v>
      </c>
      <c r="C3009" s="5" t="s">
        <v>7237</v>
      </c>
      <c r="D3009" s="5" t="s">
        <v>7238</v>
      </c>
      <c r="E3009" s="10" t="s">
        <v>53</v>
      </c>
      <c r="F3009" s="5" t="s">
        <v>7229</v>
      </c>
      <c r="I3009" s="11">
        <v>6</v>
      </c>
      <c r="K3009" s="12"/>
      <c r="O3009" s="14">
        <v>76909</v>
      </c>
      <c r="P3009" s="13">
        <v>3247</v>
      </c>
      <c r="Q3009" s="13">
        <v>4896</v>
      </c>
      <c r="S3009" s="13">
        <v>5032</v>
      </c>
      <c r="U3009" s="13">
        <v>5032</v>
      </c>
      <c r="AC3009" s="10" t="s">
        <v>7239</v>
      </c>
      <c r="AD3009" s="5" t="s">
        <v>1021</v>
      </c>
      <c r="AE3009" s="5" t="s">
        <v>7183</v>
      </c>
    </row>
    <row r="3010" spans="1:31" ht="10" customHeight="1" x14ac:dyDescent="0.2">
      <c r="A3010" s="5" t="s">
        <v>7149</v>
      </c>
      <c r="B3010" s="5" t="s">
        <v>41</v>
      </c>
      <c r="C3010" s="5" t="s">
        <v>7240</v>
      </c>
      <c r="D3010" s="5" t="s">
        <v>7241</v>
      </c>
      <c r="E3010" s="10" t="s">
        <v>53</v>
      </c>
      <c r="F3010" s="5" t="s">
        <v>7229</v>
      </c>
      <c r="I3010" s="11">
        <v>6</v>
      </c>
      <c r="K3010" s="12"/>
      <c r="O3010" s="12"/>
      <c r="S3010" s="13">
        <v>1450</v>
      </c>
      <c r="U3010" s="13">
        <v>1450</v>
      </c>
      <c r="AC3010" s="10" t="s">
        <v>7242</v>
      </c>
      <c r="AD3010" s="5" t="s">
        <v>1021</v>
      </c>
      <c r="AE3010" s="5" t="s">
        <v>7183</v>
      </c>
    </row>
    <row r="3011" spans="1:31" ht="10" customHeight="1" x14ac:dyDescent="0.2">
      <c r="A3011" s="5" t="s">
        <v>7149</v>
      </c>
      <c r="B3011" s="5" t="s">
        <v>41</v>
      </c>
      <c r="C3011" s="5" t="s">
        <v>7243</v>
      </c>
      <c r="D3011" s="5" t="s">
        <v>7244</v>
      </c>
      <c r="E3011" s="10" t="s">
        <v>53</v>
      </c>
      <c r="F3011" s="5" t="s">
        <v>7229</v>
      </c>
      <c r="I3011" s="11">
        <v>4</v>
      </c>
      <c r="K3011" s="10" t="s">
        <v>46</v>
      </c>
      <c r="L3011" s="5" t="s">
        <v>47</v>
      </c>
      <c r="M3011" s="5" t="s">
        <v>115</v>
      </c>
      <c r="N3011" s="5" t="s">
        <v>116</v>
      </c>
      <c r="O3011" s="14">
        <v>95851</v>
      </c>
      <c r="P3011" s="13">
        <v>6823</v>
      </c>
      <c r="Q3011" s="13">
        <v>6107</v>
      </c>
      <c r="S3011" s="13">
        <v>14217</v>
      </c>
      <c r="U3011" s="13">
        <v>14217</v>
      </c>
      <c r="AC3011" s="10" t="s">
        <v>7245</v>
      </c>
      <c r="AD3011" s="5" t="s">
        <v>1021</v>
      </c>
      <c r="AE3011" s="5" t="s">
        <v>7183</v>
      </c>
    </row>
    <row r="3012" spans="1:31" ht="10" customHeight="1" x14ac:dyDescent="0.2">
      <c r="A3012" s="5" t="s">
        <v>7149</v>
      </c>
      <c r="B3012" s="5" t="s">
        <v>41</v>
      </c>
      <c r="C3012" s="5" t="s">
        <v>7246</v>
      </c>
      <c r="D3012" s="5" t="s">
        <v>7247</v>
      </c>
      <c r="E3012" s="10" t="s">
        <v>53</v>
      </c>
      <c r="F3012" s="5" t="s">
        <v>7229</v>
      </c>
      <c r="I3012" s="11">
        <v>4</v>
      </c>
      <c r="K3012" s="10" t="s">
        <v>46</v>
      </c>
      <c r="L3012" s="5" t="s">
        <v>47</v>
      </c>
      <c r="M3012" s="5" t="s">
        <v>115</v>
      </c>
      <c r="N3012" s="5" t="s">
        <v>116</v>
      </c>
      <c r="O3012" s="14">
        <v>93833</v>
      </c>
      <c r="P3012" s="13">
        <v>21200</v>
      </c>
      <c r="Q3012" s="13">
        <v>21524</v>
      </c>
      <c r="S3012" s="13">
        <v>96370</v>
      </c>
      <c r="U3012" s="13">
        <v>96370</v>
      </c>
      <c r="AC3012" s="10" t="s">
        <v>7248</v>
      </c>
      <c r="AD3012" s="5" t="s">
        <v>1021</v>
      </c>
      <c r="AE3012" s="5" t="s">
        <v>7183</v>
      </c>
    </row>
    <row r="3013" spans="1:31" ht="10" customHeight="1" x14ac:dyDescent="0.2">
      <c r="A3013" s="5" t="s">
        <v>7149</v>
      </c>
      <c r="B3013" s="5" t="s">
        <v>41</v>
      </c>
      <c r="C3013" s="5" t="s">
        <v>7249</v>
      </c>
      <c r="D3013" s="5" t="s">
        <v>7250</v>
      </c>
      <c r="E3013" s="10" t="s">
        <v>53</v>
      </c>
      <c r="F3013" s="5" t="s">
        <v>7229</v>
      </c>
      <c r="I3013" s="11">
        <v>4</v>
      </c>
      <c r="K3013" s="10" t="s">
        <v>46</v>
      </c>
      <c r="L3013" s="5" t="s">
        <v>47</v>
      </c>
      <c r="M3013" s="5" t="s">
        <v>115</v>
      </c>
      <c r="N3013" s="5" t="s">
        <v>116</v>
      </c>
      <c r="O3013" s="14">
        <v>147388</v>
      </c>
      <c r="P3013" s="13">
        <v>56484</v>
      </c>
      <c r="Q3013" s="13">
        <v>25771</v>
      </c>
      <c r="S3013" s="13">
        <v>8020</v>
      </c>
      <c r="U3013" s="13">
        <v>8020</v>
      </c>
      <c r="AC3013" s="10" t="s">
        <v>7251</v>
      </c>
      <c r="AD3013" s="5" t="s">
        <v>1021</v>
      </c>
      <c r="AE3013" s="5" t="s">
        <v>7183</v>
      </c>
    </row>
    <row r="3014" spans="1:31" ht="10" customHeight="1" x14ac:dyDescent="0.2">
      <c r="A3014" s="5" t="s">
        <v>7149</v>
      </c>
      <c r="B3014" s="5" t="s">
        <v>41</v>
      </c>
      <c r="C3014" s="5" t="s">
        <v>7252</v>
      </c>
      <c r="D3014" s="5" t="s">
        <v>7253</v>
      </c>
      <c r="E3014" s="10" t="s">
        <v>53</v>
      </c>
      <c r="F3014" s="5" t="s">
        <v>7229</v>
      </c>
      <c r="I3014" s="11">
        <v>4</v>
      </c>
      <c r="K3014" s="10" t="s">
        <v>46</v>
      </c>
      <c r="L3014" s="5" t="s">
        <v>47</v>
      </c>
      <c r="M3014" s="5" t="s">
        <v>115</v>
      </c>
      <c r="O3014" s="12"/>
      <c r="S3014" s="13">
        <v>8500</v>
      </c>
      <c r="U3014" s="13">
        <v>8500</v>
      </c>
      <c r="AC3014" s="10" t="s">
        <v>7254</v>
      </c>
      <c r="AD3014" s="5" t="s">
        <v>1021</v>
      </c>
      <c r="AE3014" s="5" t="s">
        <v>7183</v>
      </c>
    </row>
    <row r="3015" spans="1:31" ht="10" customHeight="1" x14ac:dyDescent="0.2">
      <c r="A3015" s="5" t="s">
        <v>7149</v>
      </c>
      <c r="B3015" s="5" t="s">
        <v>41</v>
      </c>
      <c r="C3015" s="5" t="s">
        <v>7255</v>
      </c>
      <c r="D3015" s="5" t="s">
        <v>7256</v>
      </c>
      <c r="E3015" s="10" t="s">
        <v>53</v>
      </c>
      <c r="F3015" s="5" t="s">
        <v>7229</v>
      </c>
      <c r="I3015" s="11">
        <v>2</v>
      </c>
      <c r="K3015" s="10" t="s">
        <v>46</v>
      </c>
      <c r="L3015" s="5" t="s">
        <v>47</v>
      </c>
      <c r="M3015" s="5" t="s">
        <v>115</v>
      </c>
      <c r="O3015" s="12"/>
      <c r="S3015" s="13">
        <v>19996</v>
      </c>
      <c r="U3015" s="13">
        <v>19996</v>
      </c>
      <c r="AC3015" s="10" t="s">
        <v>7257</v>
      </c>
      <c r="AD3015" s="5" t="s">
        <v>1021</v>
      </c>
      <c r="AE3015" s="5" t="s">
        <v>7183</v>
      </c>
    </row>
    <row r="3016" spans="1:31" ht="10" customHeight="1" x14ac:dyDescent="0.2">
      <c r="A3016" s="5" t="s">
        <v>7149</v>
      </c>
      <c r="B3016" s="5" t="s">
        <v>41</v>
      </c>
      <c r="C3016" s="5" t="s">
        <v>7258</v>
      </c>
      <c r="D3016" s="5" t="s">
        <v>7259</v>
      </c>
      <c r="E3016" s="10" t="s">
        <v>53</v>
      </c>
      <c r="F3016" s="5" t="s">
        <v>7229</v>
      </c>
      <c r="I3016" s="11">
        <v>4</v>
      </c>
      <c r="K3016" s="10" t="s">
        <v>46</v>
      </c>
      <c r="L3016" s="5" t="s">
        <v>47</v>
      </c>
      <c r="M3016" s="5" t="s">
        <v>115</v>
      </c>
      <c r="O3016" s="14">
        <v>75263</v>
      </c>
      <c r="P3016" s="13">
        <v>8316</v>
      </c>
      <c r="Q3016" s="13">
        <v>14578</v>
      </c>
      <c r="S3016" s="13">
        <v>17086</v>
      </c>
      <c r="U3016" s="13">
        <v>17086</v>
      </c>
      <c r="AC3016" s="10" t="s">
        <v>7260</v>
      </c>
      <c r="AD3016" s="5" t="s">
        <v>1021</v>
      </c>
      <c r="AE3016" s="5" t="s">
        <v>7183</v>
      </c>
    </row>
    <row r="3017" spans="1:31" ht="10" customHeight="1" x14ac:dyDescent="0.2">
      <c r="A3017" s="5" t="s">
        <v>7149</v>
      </c>
      <c r="B3017" s="5" t="s">
        <v>41</v>
      </c>
      <c r="D3017" s="5" t="s">
        <v>7261</v>
      </c>
      <c r="E3017" s="10" t="s">
        <v>53</v>
      </c>
      <c r="F3017" s="5" t="s">
        <v>7187</v>
      </c>
      <c r="I3017" s="11">
        <v>4</v>
      </c>
      <c r="K3017" s="10" t="s">
        <v>46</v>
      </c>
      <c r="L3017" s="5" t="s">
        <v>47</v>
      </c>
      <c r="M3017" s="5" t="s">
        <v>115</v>
      </c>
      <c r="O3017" s="14">
        <v>0</v>
      </c>
      <c r="P3017" s="13">
        <v>20134</v>
      </c>
      <c r="Q3017" s="13">
        <v>24134</v>
      </c>
      <c r="S3017" s="13">
        <v>27333</v>
      </c>
      <c r="U3017" s="13">
        <v>27333</v>
      </c>
      <c r="AC3017" s="10" t="s">
        <v>7262</v>
      </c>
      <c r="AD3017" s="5" t="s">
        <v>1089</v>
      </c>
      <c r="AE3017" s="5" t="s">
        <v>7183</v>
      </c>
    </row>
    <row r="3018" spans="1:31" ht="10" customHeight="1" x14ac:dyDescent="0.2">
      <c r="A3018" s="5" t="s">
        <v>7149</v>
      </c>
      <c r="B3018" s="5" t="s">
        <v>41</v>
      </c>
      <c r="D3018" s="5" t="s">
        <v>7263</v>
      </c>
      <c r="E3018" s="10" t="s">
        <v>53</v>
      </c>
      <c r="F3018" s="5" t="s">
        <v>7187</v>
      </c>
      <c r="I3018" s="11">
        <v>4</v>
      </c>
      <c r="K3018" s="10" t="s">
        <v>46</v>
      </c>
      <c r="L3018" s="5" t="s">
        <v>47</v>
      </c>
      <c r="M3018" s="5" t="s">
        <v>115</v>
      </c>
      <c r="N3018" s="5" t="s">
        <v>116</v>
      </c>
      <c r="O3018" s="14">
        <v>40477</v>
      </c>
      <c r="P3018" s="13">
        <v>184</v>
      </c>
      <c r="Q3018" s="13">
        <v>235</v>
      </c>
      <c r="S3018" s="13">
        <v>223</v>
      </c>
      <c r="U3018" s="13">
        <v>223</v>
      </c>
      <c r="AC3018" s="10" t="s">
        <v>7264</v>
      </c>
      <c r="AD3018" s="5" t="s">
        <v>1092</v>
      </c>
      <c r="AE3018" s="5" t="s">
        <v>7183</v>
      </c>
    </row>
    <row r="3019" spans="1:31" ht="10" customHeight="1" x14ac:dyDescent="0.2">
      <c r="A3019" s="5" t="s">
        <v>7149</v>
      </c>
      <c r="B3019" s="5" t="s">
        <v>41</v>
      </c>
      <c r="D3019" s="5" t="s">
        <v>7265</v>
      </c>
      <c r="E3019" s="10" t="s">
        <v>53</v>
      </c>
      <c r="F3019" s="5" t="s">
        <v>7266</v>
      </c>
      <c r="I3019" s="11">
        <v>6</v>
      </c>
      <c r="K3019" s="10" t="s">
        <v>46</v>
      </c>
      <c r="L3019" s="5" t="s">
        <v>47</v>
      </c>
      <c r="M3019" s="5" t="s">
        <v>115</v>
      </c>
      <c r="N3019" s="5" t="s">
        <v>116</v>
      </c>
      <c r="O3019" s="14">
        <v>6243</v>
      </c>
      <c r="P3019" s="13">
        <v>184</v>
      </c>
      <c r="Q3019" s="13">
        <v>235</v>
      </c>
      <c r="S3019" s="13">
        <v>223</v>
      </c>
      <c r="U3019" s="13">
        <v>223</v>
      </c>
      <c r="AC3019" s="10" t="s">
        <v>7267</v>
      </c>
      <c r="AD3019" s="5" t="s">
        <v>1092</v>
      </c>
      <c r="AE3019" s="5" t="s">
        <v>7183</v>
      </c>
    </row>
    <row r="3020" spans="1:31" ht="10" customHeight="1" x14ac:dyDescent="0.2">
      <c r="A3020" s="5" t="s">
        <v>7149</v>
      </c>
      <c r="B3020" s="5" t="s">
        <v>41</v>
      </c>
      <c r="D3020" s="5" t="s">
        <v>7268</v>
      </c>
      <c r="E3020" s="10" t="s">
        <v>53</v>
      </c>
      <c r="F3020" s="5" t="s">
        <v>7187</v>
      </c>
      <c r="I3020" s="11">
        <v>4</v>
      </c>
      <c r="K3020" s="10" t="s">
        <v>46</v>
      </c>
      <c r="L3020" s="5" t="s">
        <v>47</v>
      </c>
      <c r="M3020" s="5" t="s">
        <v>115</v>
      </c>
      <c r="O3020" s="14">
        <v>6151</v>
      </c>
      <c r="P3020" s="13">
        <v>762</v>
      </c>
      <c r="Q3020" s="13">
        <v>1209</v>
      </c>
      <c r="S3020" s="13">
        <v>1568</v>
      </c>
      <c r="U3020" s="13">
        <v>1568</v>
      </c>
      <c r="AC3020" s="10" t="s">
        <v>7269</v>
      </c>
      <c r="AD3020" s="5" t="s">
        <v>1153</v>
      </c>
      <c r="AE3020" s="5" t="s">
        <v>7183</v>
      </c>
    </row>
    <row r="3021" spans="1:31" ht="10" customHeight="1" x14ac:dyDescent="0.2">
      <c r="A3021" s="5" t="s">
        <v>7149</v>
      </c>
      <c r="B3021" s="5" t="s">
        <v>41</v>
      </c>
      <c r="D3021" s="5" t="s">
        <v>7270</v>
      </c>
      <c r="E3021" s="10" t="s">
        <v>53</v>
      </c>
      <c r="F3021" s="5" t="s">
        <v>7268</v>
      </c>
      <c r="I3021" s="11">
        <v>4</v>
      </c>
      <c r="K3021" s="10" t="s">
        <v>46</v>
      </c>
      <c r="L3021" s="5" t="s">
        <v>47</v>
      </c>
      <c r="M3021" s="5" t="s">
        <v>115</v>
      </c>
      <c r="O3021" s="14">
        <v>4009</v>
      </c>
      <c r="P3021" s="13">
        <v>484</v>
      </c>
      <c r="Q3021" s="13">
        <v>967</v>
      </c>
      <c r="S3021" s="13">
        <v>1333</v>
      </c>
      <c r="U3021" s="13">
        <v>1333</v>
      </c>
      <c r="AC3021" s="10" t="s">
        <v>7271</v>
      </c>
      <c r="AD3021" s="5" t="s">
        <v>1153</v>
      </c>
      <c r="AE3021" s="5" t="s">
        <v>7183</v>
      </c>
    </row>
    <row r="3022" spans="1:31" ht="10" customHeight="1" x14ac:dyDescent="0.2">
      <c r="A3022" s="5" t="s">
        <v>7149</v>
      </c>
      <c r="B3022" s="5" t="s">
        <v>41</v>
      </c>
      <c r="D3022" s="5" t="s">
        <v>7272</v>
      </c>
      <c r="E3022" s="10" t="s">
        <v>53</v>
      </c>
      <c r="F3022" s="5" t="s">
        <v>7268</v>
      </c>
      <c r="I3022" s="11">
        <v>6</v>
      </c>
      <c r="K3022" s="12"/>
      <c r="O3022" s="14">
        <v>1635</v>
      </c>
      <c r="P3022" s="13">
        <v>219</v>
      </c>
      <c r="Q3022" s="13">
        <v>179</v>
      </c>
      <c r="S3022" s="13">
        <v>171</v>
      </c>
      <c r="U3022" s="13">
        <v>171</v>
      </c>
      <c r="AC3022" s="10" t="s">
        <v>7273</v>
      </c>
      <c r="AD3022" s="5" t="s">
        <v>1153</v>
      </c>
      <c r="AE3022" s="5" t="s">
        <v>7183</v>
      </c>
    </row>
    <row r="3023" spans="1:31" ht="10" customHeight="1" x14ac:dyDescent="0.2">
      <c r="A3023" s="5" t="s">
        <v>7149</v>
      </c>
      <c r="B3023" s="5" t="s">
        <v>41</v>
      </c>
      <c r="D3023" s="5" t="s">
        <v>7274</v>
      </c>
      <c r="E3023" s="10" t="s">
        <v>53</v>
      </c>
      <c r="F3023" s="5" t="s">
        <v>7268</v>
      </c>
      <c r="I3023" s="11">
        <v>4</v>
      </c>
      <c r="K3023" s="12"/>
      <c r="O3023" s="14">
        <v>507</v>
      </c>
      <c r="P3023" s="13">
        <v>59</v>
      </c>
      <c r="Q3023" s="13">
        <v>63</v>
      </c>
      <c r="S3023" s="13">
        <v>64</v>
      </c>
      <c r="U3023" s="13">
        <v>64</v>
      </c>
      <c r="AC3023" s="10" t="s">
        <v>7275</v>
      </c>
      <c r="AD3023" s="5" t="s">
        <v>1153</v>
      </c>
      <c r="AE3023" s="5" t="s">
        <v>7183</v>
      </c>
    </row>
    <row r="3024" spans="1:31" ht="10" customHeight="1" x14ac:dyDescent="0.2">
      <c r="A3024" s="5" t="s">
        <v>7149</v>
      </c>
      <c r="B3024" s="5" t="s">
        <v>41</v>
      </c>
      <c r="D3024" s="5" t="s">
        <v>7276</v>
      </c>
      <c r="E3024" s="10" t="s">
        <v>53</v>
      </c>
      <c r="F3024" s="5" t="s">
        <v>7187</v>
      </c>
      <c r="I3024" s="11">
        <v>4</v>
      </c>
      <c r="K3024" s="10" t="s">
        <v>46</v>
      </c>
      <c r="L3024" s="5" t="s">
        <v>47</v>
      </c>
      <c r="M3024" s="5" t="s">
        <v>115</v>
      </c>
      <c r="N3024" s="5" t="s">
        <v>135</v>
      </c>
      <c r="O3024" s="14">
        <v>40936</v>
      </c>
      <c r="P3024" s="13">
        <v>11955</v>
      </c>
      <c r="Q3024" s="13">
        <v>7476</v>
      </c>
      <c r="S3024" s="13">
        <v>22415</v>
      </c>
      <c r="U3024" s="13">
        <v>22415</v>
      </c>
      <c r="AC3024" s="10" t="s">
        <v>7277</v>
      </c>
      <c r="AD3024" s="5" t="s">
        <v>1234</v>
      </c>
      <c r="AE3024" s="5" t="s">
        <v>7183</v>
      </c>
    </row>
    <row r="3025" spans="1:33" ht="10" customHeight="1" x14ac:dyDescent="0.2">
      <c r="A3025" s="5" t="s">
        <v>7149</v>
      </c>
      <c r="B3025" s="5" t="s">
        <v>41</v>
      </c>
      <c r="D3025" s="5" t="s">
        <v>7278</v>
      </c>
      <c r="E3025" s="10" t="s">
        <v>53</v>
      </c>
      <c r="F3025" s="5" t="s">
        <v>7276</v>
      </c>
      <c r="I3025" s="11">
        <v>4</v>
      </c>
      <c r="K3025" s="10" t="s">
        <v>46</v>
      </c>
      <c r="L3025" s="5" t="s">
        <v>47</v>
      </c>
      <c r="M3025" s="5" t="s">
        <v>115</v>
      </c>
      <c r="N3025" s="5" t="s">
        <v>135</v>
      </c>
      <c r="O3025" s="14">
        <v>13186</v>
      </c>
      <c r="AC3025" s="10" t="s">
        <v>7279</v>
      </c>
      <c r="AD3025" s="5" t="s">
        <v>1234</v>
      </c>
      <c r="AE3025" s="5" t="s">
        <v>7183</v>
      </c>
    </row>
    <row r="3026" spans="1:33" ht="10" customHeight="1" x14ac:dyDescent="0.2">
      <c r="A3026" s="5" t="s">
        <v>7149</v>
      </c>
      <c r="B3026" s="5" t="s">
        <v>41</v>
      </c>
      <c r="D3026" s="5" t="s">
        <v>7280</v>
      </c>
      <c r="E3026" s="10" t="s">
        <v>53</v>
      </c>
      <c r="F3026" s="5" t="s">
        <v>7276</v>
      </c>
      <c r="I3026" s="11">
        <v>4</v>
      </c>
      <c r="K3026" s="10" t="s">
        <v>46</v>
      </c>
      <c r="L3026" s="5" t="s">
        <v>47</v>
      </c>
      <c r="M3026" s="5" t="s">
        <v>115</v>
      </c>
      <c r="N3026" s="5" t="s">
        <v>135</v>
      </c>
      <c r="O3026" s="14">
        <v>24576</v>
      </c>
      <c r="P3026" s="13">
        <v>11955</v>
      </c>
      <c r="Q3026" s="13">
        <v>7476</v>
      </c>
      <c r="S3026" s="13">
        <v>18415</v>
      </c>
      <c r="U3026" s="13">
        <v>18415</v>
      </c>
      <c r="AC3026" s="10" t="s">
        <v>7281</v>
      </c>
      <c r="AD3026" s="5" t="s">
        <v>1239</v>
      </c>
      <c r="AE3026" s="5" t="s">
        <v>7183</v>
      </c>
    </row>
    <row r="3027" spans="1:33" ht="10" customHeight="1" x14ac:dyDescent="0.2">
      <c r="A3027" s="5" t="s">
        <v>7149</v>
      </c>
      <c r="B3027" s="5" t="s">
        <v>41</v>
      </c>
      <c r="D3027" s="5" t="s">
        <v>7282</v>
      </c>
      <c r="E3027" s="10" t="s">
        <v>53</v>
      </c>
      <c r="F3027" s="5" t="s">
        <v>7187</v>
      </c>
      <c r="I3027" s="11">
        <v>4</v>
      </c>
      <c r="K3027" s="10" t="s">
        <v>46</v>
      </c>
      <c r="L3027" s="5" t="s">
        <v>47</v>
      </c>
      <c r="M3027" s="5" t="s">
        <v>48</v>
      </c>
      <c r="O3027" s="14">
        <v>0</v>
      </c>
      <c r="P3027" s="13">
        <v>154</v>
      </c>
      <c r="Q3027" s="13">
        <v>151</v>
      </c>
      <c r="S3027" s="13">
        <v>130</v>
      </c>
      <c r="U3027" s="13">
        <v>130</v>
      </c>
      <c r="AC3027" s="10" t="s">
        <v>7283</v>
      </c>
      <c r="AD3027" s="5" t="s">
        <v>1248</v>
      </c>
      <c r="AE3027" s="5" t="s">
        <v>7183</v>
      </c>
    </row>
    <row r="3028" spans="1:33" ht="10" customHeight="1" x14ac:dyDescent="0.2">
      <c r="A3028" s="5" t="s">
        <v>7149</v>
      </c>
      <c r="B3028" s="5" t="s">
        <v>41</v>
      </c>
      <c r="D3028" s="5" t="s">
        <v>7284</v>
      </c>
      <c r="E3028" s="10" t="s">
        <v>53</v>
      </c>
      <c r="F3028" s="5" t="s">
        <v>7187</v>
      </c>
      <c r="I3028" s="11">
        <v>4</v>
      </c>
      <c r="K3028" s="12"/>
      <c r="O3028" s="14">
        <v>70866</v>
      </c>
      <c r="P3028" s="13">
        <v>16477</v>
      </c>
      <c r="Q3028" s="13">
        <v>14840</v>
      </c>
      <c r="S3028" s="13">
        <v>15743</v>
      </c>
      <c r="U3028" s="13">
        <v>15743</v>
      </c>
      <c r="AC3028" s="10" t="s">
        <v>7285</v>
      </c>
      <c r="AD3028" s="5" t="s">
        <v>1259</v>
      </c>
      <c r="AE3028" s="5" t="s">
        <v>7183</v>
      </c>
      <c r="AG3028" s="5" t="s">
        <v>7186</v>
      </c>
    </row>
    <row r="3029" spans="1:33" ht="10" customHeight="1" x14ac:dyDescent="0.2">
      <c r="A3029" s="5" t="s">
        <v>7149</v>
      </c>
      <c r="B3029" s="5" t="s">
        <v>41</v>
      </c>
      <c r="D3029" s="5" t="s">
        <v>7286</v>
      </c>
      <c r="E3029" s="10" t="s">
        <v>53</v>
      </c>
      <c r="F3029" s="5" t="s">
        <v>7287</v>
      </c>
      <c r="I3029" s="11">
        <v>4</v>
      </c>
      <c r="K3029" s="12"/>
      <c r="O3029" s="14">
        <v>1034</v>
      </c>
      <c r="Q3029" s="13">
        <v>218</v>
      </c>
      <c r="S3029" s="13">
        <v>225</v>
      </c>
      <c r="U3029" s="13">
        <v>225</v>
      </c>
      <c r="AC3029" s="10" t="s">
        <v>7288</v>
      </c>
      <c r="AD3029" s="5" t="s">
        <v>1273</v>
      </c>
      <c r="AE3029" s="5" t="s">
        <v>7183</v>
      </c>
      <c r="AG3029" s="5" t="s">
        <v>7289</v>
      </c>
    </row>
    <row r="3030" spans="1:33" ht="10" customHeight="1" x14ac:dyDescent="0.2">
      <c r="A3030" s="5" t="s">
        <v>7149</v>
      </c>
      <c r="B3030" s="5" t="s">
        <v>41</v>
      </c>
      <c r="D3030" s="5" t="s">
        <v>7290</v>
      </c>
      <c r="E3030" s="10" t="s">
        <v>53</v>
      </c>
      <c r="F3030" s="5" t="s">
        <v>7287</v>
      </c>
      <c r="I3030" s="11">
        <v>4</v>
      </c>
      <c r="K3030" s="12"/>
      <c r="O3030" s="12"/>
      <c r="P3030" s="13">
        <v>1134</v>
      </c>
      <c r="Q3030" s="13">
        <v>302</v>
      </c>
      <c r="S3030" s="13">
        <v>256</v>
      </c>
      <c r="U3030" s="13">
        <v>256</v>
      </c>
      <c r="AC3030" s="10" t="s">
        <v>7291</v>
      </c>
      <c r="AD3030" s="5" t="s">
        <v>1273</v>
      </c>
      <c r="AE3030" s="5" t="s">
        <v>7183</v>
      </c>
      <c r="AG3030" s="5" t="s">
        <v>7292</v>
      </c>
    </row>
    <row r="3031" spans="1:33" ht="10" customHeight="1" x14ac:dyDescent="0.2">
      <c r="A3031" s="5" t="s">
        <v>7149</v>
      </c>
      <c r="B3031" s="5" t="s">
        <v>41</v>
      </c>
      <c r="D3031" s="5" t="s">
        <v>7293</v>
      </c>
      <c r="E3031" s="10" t="s">
        <v>53</v>
      </c>
      <c r="F3031" s="5" t="s">
        <v>7287</v>
      </c>
      <c r="I3031" s="11">
        <v>4</v>
      </c>
      <c r="K3031" s="12"/>
      <c r="O3031" s="14">
        <v>9114</v>
      </c>
      <c r="P3031" s="13">
        <v>9250</v>
      </c>
      <c r="Q3031" s="13">
        <v>10703</v>
      </c>
      <c r="S3031" s="13">
        <v>11326</v>
      </c>
      <c r="U3031" s="13">
        <v>11326</v>
      </c>
      <c r="AC3031" s="10" t="s">
        <v>7294</v>
      </c>
      <c r="AD3031" s="5" t="s">
        <v>1286</v>
      </c>
      <c r="AE3031" s="5" t="s">
        <v>7183</v>
      </c>
      <c r="AG3031" s="5" t="s">
        <v>7295</v>
      </c>
    </row>
    <row r="3032" spans="1:33" ht="10" customHeight="1" x14ac:dyDescent="0.2">
      <c r="A3032" s="5" t="s">
        <v>7149</v>
      </c>
      <c r="B3032" s="5" t="s">
        <v>41</v>
      </c>
      <c r="D3032" s="5" t="s">
        <v>7296</v>
      </c>
      <c r="E3032" s="10" t="s">
        <v>53</v>
      </c>
      <c r="F3032" s="5" t="s">
        <v>7287</v>
      </c>
      <c r="I3032" s="11">
        <v>4</v>
      </c>
      <c r="K3032" s="12"/>
      <c r="O3032" s="14">
        <v>20265</v>
      </c>
      <c r="P3032" s="13">
        <v>6093</v>
      </c>
      <c r="Q3032" s="13">
        <v>3617</v>
      </c>
      <c r="S3032" s="13">
        <v>3936</v>
      </c>
      <c r="U3032" s="13">
        <v>3936</v>
      </c>
      <c r="AC3032" s="10" t="s">
        <v>7297</v>
      </c>
      <c r="AD3032" s="5" t="s">
        <v>1299</v>
      </c>
      <c r="AE3032" s="5" t="s">
        <v>7183</v>
      </c>
      <c r="AG3032" s="5" t="s">
        <v>7298</v>
      </c>
    </row>
    <row r="3033" spans="1:33" ht="10" customHeight="1" x14ac:dyDescent="0.2">
      <c r="A3033" s="5" t="s">
        <v>7149</v>
      </c>
      <c r="B3033" s="5" t="s">
        <v>41</v>
      </c>
      <c r="C3033" s="5" t="s">
        <v>7206</v>
      </c>
      <c r="D3033" s="5" t="s">
        <v>7299</v>
      </c>
      <c r="E3033" s="10" t="s">
        <v>53</v>
      </c>
      <c r="F3033" s="5" t="s">
        <v>7187</v>
      </c>
      <c r="I3033" s="11">
        <v>4</v>
      </c>
      <c r="K3033" s="12"/>
      <c r="O3033" s="14">
        <v>47339</v>
      </c>
      <c r="P3033" s="13">
        <v>6895</v>
      </c>
      <c r="Q3033" s="13">
        <v>84792</v>
      </c>
      <c r="S3033" s="13">
        <v>55986</v>
      </c>
      <c r="U3033" s="13">
        <v>55986</v>
      </c>
      <c r="AC3033" s="10" t="s">
        <v>7300</v>
      </c>
      <c r="AD3033" s="5" t="s">
        <v>1334</v>
      </c>
      <c r="AE3033" s="5" t="s">
        <v>7183</v>
      </c>
      <c r="AF3033" s="5" t="s">
        <v>7207</v>
      </c>
      <c r="AG3033" s="5" t="s">
        <v>7206</v>
      </c>
    </row>
    <row r="3034" spans="1:33" ht="10" customHeight="1" x14ac:dyDescent="0.2">
      <c r="A3034" s="5" t="s">
        <v>7149</v>
      </c>
      <c r="B3034" s="5" t="s">
        <v>41</v>
      </c>
      <c r="D3034" s="5" t="s">
        <v>7301</v>
      </c>
      <c r="E3034" s="10" t="s">
        <v>53</v>
      </c>
      <c r="F3034" s="5" t="s">
        <v>7302</v>
      </c>
      <c r="I3034" s="11">
        <v>4</v>
      </c>
      <c r="K3034" s="10" t="s">
        <v>46</v>
      </c>
      <c r="L3034" s="5" t="s">
        <v>47</v>
      </c>
      <c r="M3034" s="5" t="s">
        <v>115</v>
      </c>
      <c r="N3034" s="5" t="s">
        <v>116</v>
      </c>
      <c r="O3034" s="14">
        <v>18422</v>
      </c>
      <c r="P3034" s="13">
        <v>2667</v>
      </c>
      <c r="Q3034" s="13">
        <v>4800</v>
      </c>
      <c r="S3034" s="13">
        <v>4901</v>
      </c>
      <c r="U3034" s="13">
        <v>4901</v>
      </c>
      <c r="AC3034" s="10" t="s">
        <v>7303</v>
      </c>
      <c r="AD3034" s="5" t="s">
        <v>1348</v>
      </c>
      <c r="AE3034" s="5" t="s">
        <v>7183</v>
      </c>
      <c r="AG3034" s="5" t="s">
        <v>7304</v>
      </c>
    </row>
    <row r="3035" spans="1:33" ht="10" customHeight="1" x14ac:dyDescent="0.2">
      <c r="A3035" s="5" t="s">
        <v>7149</v>
      </c>
      <c r="B3035" s="5" t="s">
        <v>41</v>
      </c>
      <c r="D3035" s="5" t="s">
        <v>7305</v>
      </c>
      <c r="E3035" s="10" t="s">
        <v>53</v>
      </c>
      <c r="F3035" s="5" t="s">
        <v>7302</v>
      </c>
      <c r="I3035" s="11">
        <v>4</v>
      </c>
      <c r="K3035" s="10" t="s">
        <v>46</v>
      </c>
      <c r="L3035" s="5" t="s">
        <v>47</v>
      </c>
      <c r="M3035" s="5" t="s">
        <v>115</v>
      </c>
      <c r="N3035" s="5" t="s">
        <v>116</v>
      </c>
      <c r="O3035" s="14">
        <v>1000</v>
      </c>
      <c r="P3035" s="13">
        <v>2667</v>
      </c>
      <c r="Q3035" s="13">
        <v>4800</v>
      </c>
      <c r="S3035" s="13">
        <v>4901</v>
      </c>
      <c r="U3035" s="13">
        <v>4901</v>
      </c>
      <c r="AC3035" s="10" t="s">
        <v>7306</v>
      </c>
      <c r="AD3035" s="5" t="s">
        <v>1348</v>
      </c>
      <c r="AE3035" s="5" t="s">
        <v>7183</v>
      </c>
      <c r="AG3035" s="5" t="s">
        <v>7307</v>
      </c>
    </row>
    <row r="3036" spans="1:33" ht="10" customHeight="1" x14ac:dyDescent="0.2">
      <c r="A3036" s="5" t="s">
        <v>7149</v>
      </c>
      <c r="B3036" s="5" t="s">
        <v>41</v>
      </c>
      <c r="D3036" s="5" t="s">
        <v>7308</v>
      </c>
      <c r="E3036" s="10" t="s">
        <v>53</v>
      </c>
      <c r="F3036" s="5" t="s">
        <v>7302</v>
      </c>
      <c r="I3036" s="11">
        <v>4</v>
      </c>
      <c r="K3036" s="10" t="s">
        <v>46</v>
      </c>
      <c r="L3036" s="5" t="s">
        <v>47</v>
      </c>
      <c r="M3036" s="5" t="s">
        <v>115</v>
      </c>
      <c r="N3036" s="5" t="s">
        <v>116</v>
      </c>
      <c r="O3036" s="12"/>
      <c r="S3036" s="13">
        <v>29567</v>
      </c>
      <c r="U3036" s="13">
        <v>29567</v>
      </c>
      <c r="AC3036" s="10" t="s">
        <v>7309</v>
      </c>
      <c r="AD3036" s="5" t="s">
        <v>1359</v>
      </c>
      <c r="AE3036" s="5" t="s">
        <v>7183</v>
      </c>
      <c r="AG3036" s="5" t="s">
        <v>7310</v>
      </c>
    </row>
    <row r="3037" spans="1:33" ht="10" customHeight="1" x14ac:dyDescent="0.2">
      <c r="A3037" s="5" t="s">
        <v>7149</v>
      </c>
      <c r="B3037" s="5" t="s">
        <v>41</v>
      </c>
      <c r="D3037" s="5" t="s">
        <v>7311</v>
      </c>
      <c r="E3037" s="10" t="s">
        <v>53</v>
      </c>
      <c r="F3037" s="5" t="s">
        <v>7302</v>
      </c>
      <c r="I3037" s="11">
        <v>4</v>
      </c>
      <c r="K3037" s="10" t="s">
        <v>46</v>
      </c>
      <c r="L3037" s="5" t="s">
        <v>47</v>
      </c>
      <c r="M3037" s="5" t="s">
        <v>115</v>
      </c>
      <c r="N3037" s="5" t="s">
        <v>116</v>
      </c>
      <c r="O3037" s="14">
        <v>13444</v>
      </c>
      <c r="P3037" s="13">
        <v>1561</v>
      </c>
      <c r="Q3037" s="13">
        <v>11594</v>
      </c>
      <c r="S3037" s="13">
        <v>16617</v>
      </c>
      <c r="U3037" s="13">
        <v>16617</v>
      </c>
      <c r="AC3037" s="10" t="s">
        <v>7312</v>
      </c>
      <c r="AD3037" s="5" t="s">
        <v>1383</v>
      </c>
      <c r="AE3037" s="5" t="s">
        <v>7183</v>
      </c>
      <c r="AG3037" s="5" t="s">
        <v>7313</v>
      </c>
    </row>
    <row r="3038" spans="1:33" ht="10" customHeight="1" x14ac:dyDescent="0.2">
      <c r="A3038" s="5" t="s">
        <v>7149</v>
      </c>
      <c r="B3038" s="5" t="s">
        <v>41</v>
      </c>
      <c r="C3038" s="5" t="s">
        <v>7314</v>
      </c>
      <c r="D3038" s="5" t="s">
        <v>7315</v>
      </c>
      <c r="E3038" s="10" t="s">
        <v>53</v>
      </c>
      <c r="F3038" s="5" t="s">
        <v>7187</v>
      </c>
      <c r="I3038" s="11">
        <v>4</v>
      </c>
      <c r="K3038" s="12"/>
      <c r="O3038" s="14">
        <v>480926</v>
      </c>
      <c r="P3038" s="13">
        <v>66622</v>
      </c>
      <c r="Q3038" s="13">
        <v>73298</v>
      </c>
      <c r="S3038" s="13">
        <v>63776</v>
      </c>
      <c r="U3038" s="13">
        <v>63776</v>
      </c>
      <c r="AC3038" s="10" t="s">
        <v>7316</v>
      </c>
      <c r="AD3038" s="5" t="s">
        <v>1408</v>
      </c>
      <c r="AE3038" s="5" t="s">
        <v>7183</v>
      </c>
      <c r="AF3038" s="5" t="s">
        <v>7317</v>
      </c>
      <c r="AG3038" s="5" t="s">
        <v>7314</v>
      </c>
    </row>
    <row r="3039" spans="1:33" ht="10" customHeight="1" x14ac:dyDescent="0.2">
      <c r="A3039" s="5" t="s">
        <v>7149</v>
      </c>
      <c r="B3039" s="5" t="s">
        <v>41</v>
      </c>
      <c r="C3039" s="5" t="s">
        <v>7318</v>
      </c>
      <c r="D3039" s="5" t="s">
        <v>7319</v>
      </c>
      <c r="E3039" s="10" t="s">
        <v>53</v>
      </c>
      <c r="F3039" s="5" t="s">
        <v>7320</v>
      </c>
      <c r="I3039" s="11">
        <v>4</v>
      </c>
      <c r="K3039" s="12"/>
      <c r="O3039" s="14">
        <v>169203</v>
      </c>
      <c r="P3039" s="13">
        <v>42796</v>
      </c>
      <c r="Q3039" s="13">
        <v>33690</v>
      </c>
      <c r="S3039" s="13">
        <v>29788</v>
      </c>
      <c r="U3039" s="13">
        <v>29788</v>
      </c>
      <c r="AC3039" s="10" t="s">
        <v>7321</v>
      </c>
      <c r="AD3039" s="5" t="s">
        <v>1417</v>
      </c>
      <c r="AE3039" s="5" t="s">
        <v>7183</v>
      </c>
      <c r="AG3039" s="5" t="s">
        <v>7322</v>
      </c>
    </row>
    <row r="3040" spans="1:33" ht="10" customHeight="1" x14ac:dyDescent="0.2">
      <c r="A3040" s="5" t="s">
        <v>7149</v>
      </c>
      <c r="B3040" s="5" t="s">
        <v>41</v>
      </c>
      <c r="C3040" s="5" t="s">
        <v>7323</v>
      </c>
      <c r="D3040" s="5" t="s">
        <v>7324</v>
      </c>
      <c r="E3040" s="10" t="s">
        <v>53</v>
      </c>
      <c r="F3040" s="5" t="s">
        <v>7320</v>
      </c>
      <c r="I3040" s="11">
        <v>6</v>
      </c>
      <c r="K3040" s="12"/>
      <c r="O3040" s="14">
        <v>133293</v>
      </c>
      <c r="P3040" s="13">
        <v>11207</v>
      </c>
      <c r="Q3040" s="13">
        <v>22179</v>
      </c>
      <c r="S3040" s="13">
        <v>3793</v>
      </c>
      <c r="U3040" s="13">
        <v>3793</v>
      </c>
      <c r="AC3040" s="10" t="s">
        <v>7325</v>
      </c>
      <c r="AD3040" s="5" t="s">
        <v>1417</v>
      </c>
      <c r="AE3040" s="5" t="s">
        <v>7183</v>
      </c>
      <c r="AG3040" s="5" t="s">
        <v>7326</v>
      </c>
    </row>
    <row r="3041" spans="1:33" ht="10" customHeight="1" x14ac:dyDescent="0.2">
      <c r="A3041" s="5" t="s">
        <v>7149</v>
      </c>
      <c r="B3041" s="5" t="s">
        <v>41</v>
      </c>
      <c r="D3041" s="5" t="s">
        <v>7327</v>
      </c>
      <c r="E3041" s="10" t="s">
        <v>53</v>
      </c>
      <c r="F3041" s="5" t="s">
        <v>7320</v>
      </c>
      <c r="I3041" s="11">
        <v>4</v>
      </c>
      <c r="K3041" s="12"/>
      <c r="O3041" s="14">
        <v>178430</v>
      </c>
      <c r="P3041" s="13">
        <v>12619</v>
      </c>
      <c r="Q3041" s="13">
        <v>17429</v>
      </c>
      <c r="S3041" s="13">
        <v>30195</v>
      </c>
      <c r="U3041" s="13">
        <v>30195</v>
      </c>
      <c r="AC3041" s="10" t="s">
        <v>7328</v>
      </c>
      <c r="AD3041" s="5" t="s">
        <v>6876</v>
      </c>
      <c r="AE3041" s="5" t="s">
        <v>7183</v>
      </c>
      <c r="AG3041" s="5" t="s">
        <v>7329</v>
      </c>
    </row>
    <row r="3042" spans="1:33" ht="10" customHeight="1" x14ac:dyDescent="0.2">
      <c r="A3042" s="5" t="s">
        <v>7149</v>
      </c>
      <c r="B3042" s="5" t="s">
        <v>41</v>
      </c>
      <c r="C3042" s="5" t="s">
        <v>7330</v>
      </c>
      <c r="D3042" s="5" t="s">
        <v>7331</v>
      </c>
      <c r="E3042" s="10" t="s">
        <v>44</v>
      </c>
      <c r="I3042" s="11">
        <v>4</v>
      </c>
      <c r="K3042" s="12"/>
      <c r="O3042" s="14">
        <v>1155567</v>
      </c>
      <c r="P3042" s="13">
        <v>92371</v>
      </c>
      <c r="Q3042" s="13">
        <v>98921</v>
      </c>
      <c r="S3042" s="13">
        <v>107709</v>
      </c>
      <c r="T3042" s="13">
        <v>0</v>
      </c>
      <c r="U3042" s="13">
        <v>107709</v>
      </c>
      <c r="Z3042" s="13">
        <v>116208</v>
      </c>
      <c r="AB3042" s="13">
        <v>116208</v>
      </c>
      <c r="AC3042" s="10" t="s">
        <v>7332</v>
      </c>
      <c r="AD3042" s="5" t="s">
        <v>1451</v>
      </c>
      <c r="AE3042" s="5" t="s">
        <v>7330</v>
      </c>
      <c r="AF3042" s="5" t="s">
        <v>7333</v>
      </c>
    </row>
    <row r="3043" spans="1:33" ht="10" customHeight="1" x14ac:dyDescent="0.2">
      <c r="A3043" s="5" t="s">
        <v>7149</v>
      </c>
      <c r="B3043" s="5" t="s">
        <v>41</v>
      </c>
      <c r="D3043" s="5" t="s">
        <v>7334</v>
      </c>
      <c r="E3043" s="10" t="s">
        <v>53</v>
      </c>
      <c r="F3043" s="5" t="s">
        <v>7335</v>
      </c>
      <c r="I3043" s="11">
        <v>4</v>
      </c>
      <c r="K3043" s="10" t="s">
        <v>46</v>
      </c>
      <c r="L3043" s="5" t="s">
        <v>47</v>
      </c>
      <c r="M3043" s="5" t="s">
        <v>115</v>
      </c>
      <c r="O3043" s="14">
        <v>41959</v>
      </c>
      <c r="P3043" s="13">
        <v>4735</v>
      </c>
      <c r="Q3043" s="13">
        <v>4904</v>
      </c>
      <c r="S3043" s="13">
        <v>4993</v>
      </c>
      <c r="U3043" s="13">
        <v>4993</v>
      </c>
      <c r="AC3043" s="10" t="s">
        <v>7336</v>
      </c>
      <c r="AD3043" s="5" t="s">
        <v>1538</v>
      </c>
      <c r="AE3043" s="5" t="s">
        <v>7330</v>
      </c>
      <c r="AF3043" s="5" t="s">
        <v>7333</v>
      </c>
    </row>
    <row r="3044" spans="1:33" ht="10" customHeight="1" x14ac:dyDescent="0.2">
      <c r="A3044" s="5" t="s">
        <v>7149</v>
      </c>
      <c r="B3044" s="5" t="s">
        <v>41</v>
      </c>
      <c r="D3044" s="5" t="s">
        <v>7337</v>
      </c>
      <c r="E3044" s="10" t="s">
        <v>53</v>
      </c>
      <c r="F3044" s="5" t="s">
        <v>7335</v>
      </c>
      <c r="I3044" s="11">
        <v>4</v>
      </c>
      <c r="K3044" s="12"/>
      <c r="O3044" s="14">
        <v>254068</v>
      </c>
      <c r="P3044" s="13">
        <v>17041</v>
      </c>
      <c r="Q3044" s="13">
        <v>17095</v>
      </c>
      <c r="S3044" s="13">
        <v>23885</v>
      </c>
      <c r="U3044" s="13">
        <v>23885</v>
      </c>
      <c r="AC3044" s="10" t="s">
        <v>7338</v>
      </c>
      <c r="AD3044" s="5" t="s">
        <v>1538</v>
      </c>
      <c r="AE3044" s="5" t="s">
        <v>7330</v>
      </c>
      <c r="AF3044" s="5" t="s">
        <v>7333</v>
      </c>
    </row>
    <row r="3045" spans="1:33" ht="10" customHeight="1" x14ac:dyDescent="0.2">
      <c r="A3045" s="5" t="s">
        <v>7149</v>
      </c>
      <c r="B3045" s="5" t="s">
        <v>41</v>
      </c>
      <c r="D3045" s="5" t="s">
        <v>7339</v>
      </c>
      <c r="E3045" s="10" t="s">
        <v>53</v>
      </c>
      <c r="F3045" s="5" t="s">
        <v>7335</v>
      </c>
      <c r="I3045" s="11">
        <v>4</v>
      </c>
      <c r="K3045" s="10" t="s">
        <v>46</v>
      </c>
      <c r="L3045" s="5" t="s">
        <v>47</v>
      </c>
      <c r="M3045" s="5" t="s">
        <v>65</v>
      </c>
      <c r="O3045" s="14">
        <v>40894</v>
      </c>
      <c r="P3045" s="13">
        <v>4121</v>
      </c>
      <c r="Q3045" s="13">
        <v>3682</v>
      </c>
      <c r="S3045" s="13">
        <v>3486</v>
      </c>
      <c r="U3045" s="13">
        <v>3486</v>
      </c>
      <c r="AC3045" s="10" t="s">
        <v>7340</v>
      </c>
      <c r="AD3045" s="5" t="s">
        <v>1567</v>
      </c>
      <c r="AE3045" s="5" t="s">
        <v>7330</v>
      </c>
      <c r="AF3045" s="5" t="s">
        <v>7333</v>
      </c>
    </row>
    <row r="3046" spans="1:33" ht="10" customHeight="1" x14ac:dyDescent="0.2">
      <c r="A3046" s="5" t="s">
        <v>7149</v>
      </c>
      <c r="B3046" s="5" t="s">
        <v>41</v>
      </c>
      <c r="D3046" s="5" t="s">
        <v>7341</v>
      </c>
      <c r="E3046" s="10" t="s">
        <v>53</v>
      </c>
      <c r="F3046" s="5" t="s">
        <v>7335</v>
      </c>
      <c r="I3046" s="11">
        <v>4</v>
      </c>
      <c r="K3046" s="12"/>
      <c r="O3046" s="14">
        <v>284560</v>
      </c>
      <c r="P3046" s="13">
        <v>26302</v>
      </c>
      <c r="Q3046" s="13">
        <v>31913</v>
      </c>
      <c r="S3046" s="13">
        <v>35687</v>
      </c>
      <c r="U3046" s="13">
        <v>35687</v>
      </c>
      <c r="AC3046" s="10" t="s">
        <v>7342</v>
      </c>
      <c r="AD3046" s="5" t="s">
        <v>1567</v>
      </c>
      <c r="AE3046" s="5" t="s">
        <v>7330</v>
      </c>
      <c r="AF3046" s="5" t="s">
        <v>7333</v>
      </c>
    </row>
    <row r="3047" spans="1:33" ht="10" customHeight="1" x14ac:dyDescent="0.2">
      <c r="A3047" s="5" t="s">
        <v>7149</v>
      </c>
      <c r="B3047" s="5" t="s">
        <v>41</v>
      </c>
      <c r="D3047" s="5" t="s">
        <v>7343</v>
      </c>
      <c r="E3047" s="10" t="s">
        <v>53</v>
      </c>
      <c r="F3047" s="5" t="s">
        <v>7335</v>
      </c>
      <c r="I3047" s="11">
        <v>6</v>
      </c>
      <c r="K3047" s="12"/>
      <c r="O3047" s="14">
        <v>30909</v>
      </c>
      <c r="P3047" s="13">
        <v>1581</v>
      </c>
      <c r="Q3047" s="13">
        <v>1868</v>
      </c>
      <c r="S3047" s="13">
        <v>1880</v>
      </c>
      <c r="U3047" s="13">
        <v>1880</v>
      </c>
      <c r="AC3047" s="10" t="s">
        <v>7344</v>
      </c>
      <c r="AD3047" s="5" t="s">
        <v>1567</v>
      </c>
      <c r="AE3047" s="5" t="s">
        <v>7330</v>
      </c>
      <c r="AF3047" s="5" t="s">
        <v>7333</v>
      </c>
    </row>
    <row r="3048" spans="1:33" ht="10" customHeight="1" x14ac:dyDescent="0.2">
      <c r="A3048" s="5" t="s">
        <v>7149</v>
      </c>
      <c r="B3048" s="5" t="s">
        <v>41</v>
      </c>
      <c r="D3048" s="5" t="s">
        <v>7345</v>
      </c>
      <c r="E3048" s="10" t="s">
        <v>53</v>
      </c>
      <c r="F3048" s="5" t="s">
        <v>7335</v>
      </c>
      <c r="I3048" s="11">
        <v>6</v>
      </c>
      <c r="K3048" s="12"/>
      <c r="O3048" s="14">
        <v>177207</v>
      </c>
      <c r="P3048" s="13">
        <v>11938</v>
      </c>
      <c r="Q3048" s="13">
        <v>12534</v>
      </c>
      <c r="S3048" s="13">
        <v>12685</v>
      </c>
      <c r="U3048" s="13">
        <v>12685</v>
      </c>
      <c r="AC3048" s="10" t="s">
        <v>7346</v>
      </c>
      <c r="AD3048" s="5" t="s">
        <v>1567</v>
      </c>
      <c r="AE3048" s="5" t="s">
        <v>7330</v>
      </c>
      <c r="AF3048" s="5" t="s">
        <v>7333</v>
      </c>
    </row>
    <row r="3049" spans="1:33" ht="10" customHeight="1" x14ac:dyDescent="0.2">
      <c r="A3049" s="5" t="s">
        <v>7149</v>
      </c>
      <c r="B3049" s="5" t="s">
        <v>41</v>
      </c>
      <c r="D3049" s="5" t="s">
        <v>7347</v>
      </c>
      <c r="E3049" s="10" t="s">
        <v>53</v>
      </c>
      <c r="F3049" s="5" t="s">
        <v>7335</v>
      </c>
      <c r="I3049" s="11">
        <v>6</v>
      </c>
      <c r="K3049" s="12"/>
      <c r="O3049" s="14">
        <v>66276</v>
      </c>
      <c r="P3049" s="13">
        <v>5323</v>
      </c>
      <c r="Q3049" s="13">
        <v>5324</v>
      </c>
      <c r="S3049" s="13">
        <v>4927</v>
      </c>
      <c r="U3049" s="13">
        <v>4927</v>
      </c>
      <c r="AC3049" s="10" t="s">
        <v>7348</v>
      </c>
      <c r="AD3049" s="5" t="s">
        <v>1578</v>
      </c>
      <c r="AE3049" s="5" t="s">
        <v>7330</v>
      </c>
      <c r="AF3049" s="5" t="s">
        <v>7333</v>
      </c>
    </row>
    <row r="3050" spans="1:33" ht="10" customHeight="1" x14ac:dyDescent="0.2">
      <c r="A3050" s="5" t="s">
        <v>7149</v>
      </c>
      <c r="B3050" s="5" t="s">
        <v>41</v>
      </c>
      <c r="D3050" s="5" t="s">
        <v>7349</v>
      </c>
      <c r="E3050" s="10" t="s">
        <v>53</v>
      </c>
      <c r="F3050" s="5" t="s">
        <v>7335</v>
      </c>
      <c r="I3050" s="11">
        <v>6</v>
      </c>
      <c r="K3050" s="12"/>
      <c r="O3050" s="14">
        <v>62028</v>
      </c>
      <c r="P3050" s="13">
        <v>5043</v>
      </c>
      <c r="Q3050" s="13">
        <v>5044</v>
      </c>
      <c r="S3050" s="13">
        <v>4783</v>
      </c>
      <c r="U3050" s="13">
        <v>4783</v>
      </c>
      <c r="AC3050" s="10" t="s">
        <v>7350</v>
      </c>
      <c r="AD3050" s="5" t="s">
        <v>1578</v>
      </c>
      <c r="AE3050" s="5" t="s">
        <v>7330</v>
      </c>
      <c r="AF3050" s="5" t="s">
        <v>7333</v>
      </c>
    </row>
    <row r="3051" spans="1:33" ht="10" customHeight="1" x14ac:dyDescent="0.2">
      <c r="A3051" s="5" t="s">
        <v>7149</v>
      </c>
      <c r="B3051" s="5" t="s">
        <v>41</v>
      </c>
      <c r="D3051" s="5" t="s">
        <v>7351</v>
      </c>
      <c r="E3051" s="10" t="s">
        <v>53</v>
      </c>
      <c r="F3051" s="5" t="s">
        <v>7335</v>
      </c>
      <c r="I3051" s="11">
        <v>6</v>
      </c>
      <c r="K3051" s="12"/>
      <c r="O3051" s="14">
        <v>173638</v>
      </c>
      <c r="P3051" s="13">
        <v>16287</v>
      </c>
      <c r="Q3051" s="13">
        <v>16557</v>
      </c>
      <c r="S3051" s="13">
        <v>15383</v>
      </c>
      <c r="U3051" s="13">
        <v>15383</v>
      </c>
      <c r="AC3051" s="10" t="s">
        <v>7352</v>
      </c>
      <c r="AD3051" s="5" t="s">
        <v>1578</v>
      </c>
      <c r="AE3051" s="5" t="s">
        <v>7330</v>
      </c>
      <c r="AF3051" s="5" t="s">
        <v>7333</v>
      </c>
    </row>
    <row r="3052" spans="1:33" ht="10" customHeight="1" x14ac:dyDescent="0.2">
      <c r="A3052" s="5" t="s">
        <v>7149</v>
      </c>
      <c r="B3052" s="5" t="s">
        <v>41</v>
      </c>
      <c r="C3052" s="5" t="s">
        <v>7353</v>
      </c>
      <c r="D3052" s="5" t="s">
        <v>7354</v>
      </c>
      <c r="E3052" s="10" t="s">
        <v>44</v>
      </c>
      <c r="I3052" s="11">
        <v>4</v>
      </c>
      <c r="J3052" s="5" t="s">
        <v>246</v>
      </c>
      <c r="K3052" s="10" t="s">
        <v>46</v>
      </c>
      <c r="L3052" s="5" t="s">
        <v>47</v>
      </c>
      <c r="M3052" s="5" t="s">
        <v>48</v>
      </c>
      <c r="N3052" s="5" t="s">
        <v>84</v>
      </c>
      <c r="O3052" s="14">
        <v>0</v>
      </c>
      <c r="P3052" s="13">
        <v>0</v>
      </c>
      <c r="Q3052" s="13">
        <v>0</v>
      </c>
      <c r="S3052" s="13">
        <v>67264</v>
      </c>
      <c r="T3052" s="13">
        <v>0</v>
      </c>
      <c r="U3052" s="13">
        <v>67264</v>
      </c>
      <c r="Z3052" s="13">
        <v>188430</v>
      </c>
      <c r="AB3052" s="13">
        <v>188430</v>
      </c>
      <c r="AC3052" s="10" t="s">
        <v>7355</v>
      </c>
      <c r="AD3052" s="5" t="s">
        <v>1649</v>
      </c>
      <c r="AE3052" s="5" t="s">
        <v>7353</v>
      </c>
      <c r="AF3052" s="5" t="s">
        <v>7356</v>
      </c>
    </row>
    <row r="3053" spans="1:33" ht="10" customHeight="1" x14ac:dyDescent="0.2">
      <c r="A3053" s="5" t="s">
        <v>7149</v>
      </c>
      <c r="B3053" s="5" t="s">
        <v>41</v>
      </c>
      <c r="D3053" s="5" t="s">
        <v>7357</v>
      </c>
      <c r="E3053" s="10" t="s">
        <v>53</v>
      </c>
      <c r="F3053" s="5" t="s">
        <v>7358</v>
      </c>
      <c r="I3053" s="11">
        <v>4</v>
      </c>
      <c r="J3053" s="5" t="s">
        <v>246</v>
      </c>
      <c r="K3053" s="10" t="s">
        <v>46</v>
      </c>
      <c r="L3053" s="5" t="s">
        <v>47</v>
      </c>
      <c r="M3053" s="5" t="s">
        <v>48</v>
      </c>
      <c r="N3053" s="5" t="s">
        <v>84</v>
      </c>
      <c r="O3053" s="12"/>
      <c r="S3053" s="13">
        <v>67264</v>
      </c>
      <c r="U3053" s="13">
        <v>67264</v>
      </c>
      <c r="AC3053" s="10" t="s">
        <v>7359</v>
      </c>
      <c r="AD3053" s="5" t="s">
        <v>1677</v>
      </c>
      <c r="AE3053" s="5" t="s">
        <v>7353</v>
      </c>
      <c r="AF3053" s="5" t="s">
        <v>7356</v>
      </c>
    </row>
    <row r="3054" spans="1:33" ht="10" customHeight="1" x14ac:dyDescent="0.2">
      <c r="A3054" s="5" t="s">
        <v>7149</v>
      </c>
      <c r="B3054" s="5" t="s">
        <v>41</v>
      </c>
      <c r="C3054" s="5" t="s">
        <v>7360</v>
      </c>
      <c r="D3054" s="5" t="s">
        <v>7361</v>
      </c>
      <c r="E3054" s="10" t="s">
        <v>44</v>
      </c>
      <c r="I3054" s="11">
        <v>4</v>
      </c>
      <c r="K3054" s="10" t="s">
        <v>46</v>
      </c>
      <c r="L3054" s="5" t="s">
        <v>47</v>
      </c>
      <c r="M3054" s="5" t="s">
        <v>48</v>
      </c>
      <c r="N3054" s="5" t="s">
        <v>49</v>
      </c>
      <c r="O3054" s="14">
        <v>2389096</v>
      </c>
      <c r="P3054" s="13">
        <v>322524</v>
      </c>
      <c r="Q3054" s="13">
        <v>320691</v>
      </c>
      <c r="S3054" s="13">
        <v>491179</v>
      </c>
      <c r="T3054" s="13">
        <v>0</v>
      </c>
      <c r="U3054" s="13">
        <v>491179</v>
      </c>
      <c r="W3054" s="13">
        <v>1820</v>
      </c>
      <c r="X3054" s="13">
        <v>491179</v>
      </c>
      <c r="Y3054" s="13">
        <v>492999</v>
      </c>
      <c r="Z3054" s="13">
        <v>327941</v>
      </c>
      <c r="AB3054" s="13">
        <v>327941</v>
      </c>
      <c r="AC3054" s="10" t="s">
        <v>7362</v>
      </c>
      <c r="AD3054" s="5" t="s">
        <v>1746</v>
      </c>
      <c r="AE3054" s="5" t="s">
        <v>7360</v>
      </c>
    </row>
    <row r="3055" spans="1:33" ht="10" customHeight="1" x14ac:dyDescent="0.2">
      <c r="A3055" s="5" t="s">
        <v>7149</v>
      </c>
      <c r="B3055" s="5" t="s">
        <v>41</v>
      </c>
      <c r="D3055" s="5" t="s">
        <v>7363</v>
      </c>
      <c r="E3055" s="10" t="s">
        <v>53</v>
      </c>
      <c r="F3055" s="5" t="s">
        <v>7364</v>
      </c>
      <c r="I3055" s="11">
        <v>4</v>
      </c>
      <c r="K3055" s="10" t="s">
        <v>46</v>
      </c>
      <c r="L3055" s="5" t="s">
        <v>47</v>
      </c>
      <c r="M3055" s="5" t="s">
        <v>48</v>
      </c>
      <c r="N3055" s="5" t="s">
        <v>49</v>
      </c>
      <c r="O3055" s="14">
        <v>110597</v>
      </c>
      <c r="P3055" s="13">
        <v>4086</v>
      </c>
      <c r="Q3055" s="13">
        <v>4159</v>
      </c>
      <c r="S3055" s="13">
        <v>8598</v>
      </c>
      <c r="U3055" s="13">
        <v>8598</v>
      </c>
      <c r="AC3055" s="10" t="s">
        <v>7365</v>
      </c>
      <c r="AD3055" s="5" t="s">
        <v>1802</v>
      </c>
      <c r="AE3055" s="5" t="s">
        <v>7360</v>
      </c>
      <c r="AF3055" s="5" t="s">
        <v>7366</v>
      </c>
    </row>
    <row r="3056" spans="1:33" ht="10" customHeight="1" x14ac:dyDescent="0.2">
      <c r="A3056" s="5" t="s">
        <v>7149</v>
      </c>
      <c r="B3056" s="5" t="s">
        <v>41</v>
      </c>
      <c r="D3056" s="5" t="s">
        <v>7367</v>
      </c>
      <c r="E3056" s="10" t="s">
        <v>53</v>
      </c>
      <c r="F3056" s="5" t="s">
        <v>7363</v>
      </c>
      <c r="I3056" s="11">
        <v>4</v>
      </c>
      <c r="K3056" s="12"/>
      <c r="O3056" s="14">
        <v>6076</v>
      </c>
      <c r="P3056" s="13">
        <v>4086</v>
      </c>
      <c r="S3056" s="13">
        <v>4885</v>
      </c>
      <c r="U3056" s="13">
        <v>4885</v>
      </c>
      <c r="AC3056" s="10" t="s">
        <v>7368</v>
      </c>
      <c r="AD3056" s="5" t="s">
        <v>1802</v>
      </c>
      <c r="AE3056" s="5" t="s">
        <v>7360</v>
      </c>
    </row>
    <row r="3057" spans="1:32" ht="10" customHeight="1" x14ac:dyDescent="0.2">
      <c r="A3057" s="5" t="s">
        <v>7149</v>
      </c>
      <c r="B3057" s="5" t="s">
        <v>41</v>
      </c>
      <c r="D3057" s="5" t="s">
        <v>7369</v>
      </c>
      <c r="E3057" s="10" t="s">
        <v>53</v>
      </c>
      <c r="F3057" s="5" t="s">
        <v>7363</v>
      </c>
      <c r="I3057" s="11">
        <v>4</v>
      </c>
      <c r="K3057" s="12"/>
      <c r="O3057" s="12"/>
      <c r="S3057" s="13">
        <v>3713</v>
      </c>
      <c r="U3057" s="13">
        <v>3713</v>
      </c>
      <c r="AC3057" s="10" t="s">
        <v>7370</v>
      </c>
      <c r="AD3057" s="5" t="s">
        <v>1802</v>
      </c>
      <c r="AE3057" s="5" t="s">
        <v>7360</v>
      </c>
      <c r="AF3057" s="5" t="s">
        <v>7371</v>
      </c>
    </row>
    <row r="3058" spans="1:32" ht="10" customHeight="1" x14ac:dyDescent="0.2">
      <c r="A3058" s="5" t="s">
        <v>7149</v>
      </c>
      <c r="B3058" s="5" t="s">
        <v>41</v>
      </c>
      <c r="D3058" s="5" t="s">
        <v>7372</v>
      </c>
      <c r="E3058" s="10" t="s">
        <v>53</v>
      </c>
      <c r="F3058" s="5" t="s">
        <v>7364</v>
      </c>
      <c r="I3058" s="11">
        <v>6</v>
      </c>
      <c r="K3058" s="10" t="s">
        <v>46</v>
      </c>
      <c r="L3058" s="5" t="s">
        <v>47</v>
      </c>
      <c r="M3058" s="5" t="s">
        <v>48</v>
      </c>
      <c r="N3058" s="5" t="s">
        <v>49</v>
      </c>
      <c r="O3058" s="14">
        <v>278585</v>
      </c>
      <c r="P3058" s="13">
        <v>38198</v>
      </c>
      <c r="Q3058" s="13">
        <v>34492</v>
      </c>
      <c r="S3058" s="13">
        <v>32100</v>
      </c>
      <c r="U3058" s="13">
        <v>32100</v>
      </c>
      <c r="AC3058" s="10" t="s">
        <v>7373</v>
      </c>
      <c r="AD3058" s="5" t="s">
        <v>1816</v>
      </c>
      <c r="AE3058" s="5" t="s">
        <v>7360</v>
      </c>
      <c r="AF3058" s="5" t="s">
        <v>7374</v>
      </c>
    </row>
    <row r="3059" spans="1:32" ht="10" customHeight="1" x14ac:dyDescent="0.2">
      <c r="A3059" s="5" t="s">
        <v>7149</v>
      </c>
      <c r="B3059" s="5" t="s">
        <v>41</v>
      </c>
      <c r="D3059" s="5" t="s">
        <v>7375</v>
      </c>
      <c r="E3059" s="10" t="s">
        <v>53</v>
      </c>
      <c r="F3059" s="5" t="s">
        <v>7372</v>
      </c>
      <c r="I3059" s="11">
        <v>6</v>
      </c>
      <c r="K3059" s="12"/>
      <c r="O3059" s="14">
        <v>68516</v>
      </c>
      <c r="P3059" s="13">
        <v>12047</v>
      </c>
      <c r="Q3059" s="13">
        <v>8143</v>
      </c>
      <c r="S3059" s="13">
        <v>7850</v>
      </c>
      <c r="U3059" s="13">
        <v>7850</v>
      </c>
      <c r="AC3059" s="10" t="s">
        <v>7376</v>
      </c>
      <c r="AD3059" s="5" t="s">
        <v>1816</v>
      </c>
      <c r="AE3059" s="5" t="s">
        <v>7360</v>
      </c>
    </row>
    <row r="3060" spans="1:32" ht="10" customHeight="1" x14ac:dyDescent="0.2">
      <c r="A3060" s="5" t="s">
        <v>7149</v>
      </c>
      <c r="B3060" s="5" t="s">
        <v>41</v>
      </c>
      <c r="D3060" s="5" t="s">
        <v>7377</v>
      </c>
      <c r="E3060" s="10" t="s">
        <v>53</v>
      </c>
      <c r="F3060" s="5" t="s">
        <v>7372</v>
      </c>
      <c r="I3060" s="11">
        <v>6</v>
      </c>
      <c r="K3060" s="12"/>
      <c r="O3060" s="14">
        <v>39280</v>
      </c>
      <c r="P3060" s="13">
        <v>8473</v>
      </c>
      <c r="Q3060" s="13">
        <v>8319</v>
      </c>
      <c r="S3060" s="13">
        <v>3634</v>
      </c>
      <c r="U3060" s="13">
        <v>3634</v>
      </c>
      <c r="AC3060" s="10" t="s">
        <v>7378</v>
      </c>
      <c r="AD3060" s="5" t="s">
        <v>1816</v>
      </c>
      <c r="AE3060" s="5" t="s">
        <v>7360</v>
      </c>
      <c r="AF3060" s="5" t="s">
        <v>7371</v>
      </c>
    </row>
    <row r="3061" spans="1:32" ht="10" customHeight="1" x14ac:dyDescent="0.2">
      <c r="A3061" s="5" t="s">
        <v>7149</v>
      </c>
      <c r="B3061" s="5" t="s">
        <v>41</v>
      </c>
      <c r="D3061" s="5" t="s">
        <v>7379</v>
      </c>
      <c r="E3061" s="10" t="s">
        <v>53</v>
      </c>
      <c r="F3061" s="5" t="s">
        <v>7372</v>
      </c>
      <c r="I3061" s="11">
        <v>4</v>
      </c>
      <c r="K3061" s="12"/>
      <c r="O3061" s="14">
        <v>8046</v>
      </c>
      <c r="P3061" s="13">
        <v>983</v>
      </c>
      <c r="Q3061" s="13">
        <v>1002</v>
      </c>
      <c r="S3061" s="13">
        <v>1022</v>
      </c>
      <c r="U3061" s="13">
        <v>1022</v>
      </c>
      <c r="AC3061" s="10" t="s">
        <v>7380</v>
      </c>
      <c r="AD3061" s="5" t="s">
        <v>1816</v>
      </c>
      <c r="AE3061" s="5" t="s">
        <v>7360</v>
      </c>
    </row>
    <row r="3062" spans="1:32" ht="10" customHeight="1" x14ac:dyDescent="0.2">
      <c r="A3062" s="5" t="s">
        <v>7149</v>
      </c>
      <c r="B3062" s="5" t="s">
        <v>41</v>
      </c>
      <c r="D3062" s="5" t="s">
        <v>7381</v>
      </c>
      <c r="E3062" s="10" t="s">
        <v>53</v>
      </c>
      <c r="F3062" s="5" t="s">
        <v>7372</v>
      </c>
      <c r="I3062" s="11">
        <v>6</v>
      </c>
      <c r="K3062" s="12"/>
      <c r="O3062" s="14">
        <v>16797</v>
      </c>
      <c r="P3062" s="13">
        <v>3216</v>
      </c>
      <c r="Q3062" s="13">
        <v>3280</v>
      </c>
      <c r="S3062" s="13">
        <v>5297</v>
      </c>
      <c r="U3062" s="13">
        <v>5297</v>
      </c>
      <c r="AC3062" s="10" t="s">
        <v>7382</v>
      </c>
      <c r="AD3062" s="5" t="s">
        <v>1816</v>
      </c>
      <c r="AE3062" s="5" t="s">
        <v>7360</v>
      </c>
    </row>
    <row r="3063" spans="1:32" ht="10" customHeight="1" x14ac:dyDescent="0.2">
      <c r="A3063" s="5" t="s">
        <v>7149</v>
      </c>
      <c r="B3063" s="5" t="s">
        <v>41</v>
      </c>
      <c r="D3063" s="5" t="s">
        <v>7383</v>
      </c>
      <c r="E3063" s="10" t="s">
        <v>53</v>
      </c>
      <c r="F3063" s="5" t="s">
        <v>7372</v>
      </c>
      <c r="I3063" s="11">
        <v>4</v>
      </c>
      <c r="K3063" s="12"/>
      <c r="O3063" s="14">
        <v>93659</v>
      </c>
      <c r="P3063" s="13">
        <v>13479</v>
      </c>
      <c r="Q3063" s="13">
        <v>13748</v>
      </c>
      <c r="S3063" s="13">
        <v>14297</v>
      </c>
      <c r="U3063" s="13">
        <v>14297</v>
      </c>
      <c r="AC3063" s="10" t="s">
        <v>7384</v>
      </c>
      <c r="AD3063" s="5" t="s">
        <v>1816</v>
      </c>
      <c r="AE3063" s="5" t="s">
        <v>7360</v>
      </c>
    </row>
    <row r="3064" spans="1:32" ht="10" customHeight="1" x14ac:dyDescent="0.2">
      <c r="A3064" s="5" t="s">
        <v>7149</v>
      </c>
      <c r="B3064" s="5" t="s">
        <v>41</v>
      </c>
      <c r="D3064" s="5" t="s">
        <v>7385</v>
      </c>
      <c r="E3064" s="10" t="s">
        <v>53</v>
      </c>
      <c r="F3064" s="5" t="s">
        <v>7364</v>
      </c>
      <c r="I3064" s="11">
        <v>4</v>
      </c>
      <c r="K3064" s="10" t="s">
        <v>46</v>
      </c>
      <c r="L3064" s="5" t="s">
        <v>47</v>
      </c>
      <c r="M3064" s="5" t="s">
        <v>48</v>
      </c>
      <c r="N3064" s="5" t="s">
        <v>49</v>
      </c>
      <c r="O3064" s="14">
        <v>49861</v>
      </c>
      <c r="P3064" s="13">
        <v>7500</v>
      </c>
      <c r="Q3064" s="13">
        <v>7650</v>
      </c>
      <c r="S3064" s="13">
        <v>7599</v>
      </c>
      <c r="U3064" s="13">
        <v>7599</v>
      </c>
      <c r="AC3064" s="10" t="s">
        <v>7386</v>
      </c>
      <c r="AD3064" s="5" t="s">
        <v>1829</v>
      </c>
      <c r="AE3064" s="5" t="s">
        <v>7360</v>
      </c>
      <c r="AF3064" s="5" t="s">
        <v>7387</v>
      </c>
    </row>
    <row r="3065" spans="1:32" ht="10" customHeight="1" x14ac:dyDescent="0.2">
      <c r="A3065" s="5" t="s">
        <v>7149</v>
      </c>
      <c r="B3065" s="5" t="s">
        <v>41</v>
      </c>
      <c r="D3065" s="5" t="s">
        <v>7388</v>
      </c>
      <c r="E3065" s="10" t="s">
        <v>53</v>
      </c>
      <c r="F3065" s="5" t="s">
        <v>7385</v>
      </c>
      <c r="I3065" s="11">
        <v>4</v>
      </c>
      <c r="K3065" s="12"/>
      <c r="O3065" s="12"/>
      <c r="P3065" s="13">
        <v>7500</v>
      </c>
      <c r="Q3065" s="13">
        <v>7650</v>
      </c>
      <c r="S3065" s="13">
        <v>7599</v>
      </c>
      <c r="U3065" s="13">
        <v>7599</v>
      </c>
      <c r="AC3065" s="10" t="s">
        <v>7389</v>
      </c>
      <c r="AD3065" s="5" t="s">
        <v>1829</v>
      </c>
      <c r="AE3065" s="5" t="s">
        <v>7360</v>
      </c>
    </row>
    <row r="3066" spans="1:32" ht="10" customHeight="1" x14ac:dyDescent="0.2">
      <c r="A3066" s="5" t="s">
        <v>7149</v>
      </c>
      <c r="B3066" s="5" t="s">
        <v>41</v>
      </c>
      <c r="D3066" s="5" t="s">
        <v>7390</v>
      </c>
      <c r="E3066" s="10" t="s">
        <v>53</v>
      </c>
      <c r="F3066" s="5" t="s">
        <v>7364</v>
      </c>
      <c r="I3066" s="11">
        <v>4</v>
      </c>
      <c r="K3066" s="10" t="s">
        <v>46</v>
      </c>
      <c r="L3066" s="5" t="s">
        <v>47</v>
      </c>
      <c r="M3066" s="5" t="s">
        <v>48</v>
      </c>
      <c r="N3066" s="5" t="s">
        <v>49</v>
      </c>
      <c r="O3066" s="14">
        <v>112257</v>
      </c>
      <c r="P3066" s="13">
        <v>10459</v>
      </c>
      <c r="Q3066" s="13">
        <v>38592</v>
      </c>
      <c r="S3066" s="13">
        <v>29356</v>
      </c>
      <c r="U3066" s="13">
        <v>29356</v>
      </c>
      <c r="AC3066" s="10" t="s">
        <v>7391</v>
      </c>
      <c r="AD3066" s="5" t="s">
        <v>1841</v>
      </c>
      <c r="AE3066" s="5" t="s">
        <v>7360</v>
      </c>
      <c r="AF3066" s="5" t="s">
        <v>7392</v>
      </c>
    </row>
    <row r="3067" spans="1:32" ht="10" customHeight="1" x14ac:dyDescent="0.2">
      <c r="A3067" s="5" t="s">
        <v>7149</v>
      </c>
      <c r="B3067" s="5" t="s">
        <v>41</v>
      </c>
      <c r="D3067" s="5" t="s">
        <v>7393</v>
      </c>
      <c r="E3067" s="10" t="s">
        <v>53</v>
      </c>
      <c r="F3067" s="5" t="s">
        <v>7394</v>
      </c>
      <c r="I3067" s="11">
        <v>4</v>
      </c>
      <c r="K3067" s="12"/>
      <c r="O3067" s="14">
        <v>19240</v>
      </c>
      <c r="P3067" s="13">
        <v>1791</v>
      </c>
      <c r="Q3067" s="13">
        <v>1826</v>
      </c>
      <c r="S3067" s="13">
        <v>1631</v>
      </c>
      <c r="U3067" s="13">
        <v>1631</v>
      </c>
      <c r="AC3067" s="10" t="s">
        <v>7395</v>
      </c>
      <c r="AD3067" s="5" t="s">
        <v>1841</v>
      </c>
      <c r="AE3067" s="5" t="s">
        <v>7360</v>
      </c>
    </row>
    <row r="3068" spans="1:32" ht="10" customHeight="1" x14ac:dyDescent="0.2">
      <c r="A3068" s="5" t="s">
        <v>7149</v>
      </c>
      <c r="B3068" s="5" t="s">
        <v>41</v>
      </c>
      <c r="D3068" s="5" t="s">
        <v>7396</v>
      </c>
      <c r="E3068" s="10" t="s">
        <v>53</v>
      </c>
      <c r="F3068" s="5" t="s">
        <v>7394</v>
      </c>
      <c r="I3068" s="11">
        <v>4</v>
      </c>
      <c r="K3068" s="12"/>
      <c r="O3068" s="14">
        <v>86179</v>
      </c>
      <c r="P3068" s="13">
        <v>8668</v>
      </c>
      <c r="Q3068" s="13">
        <v>36766</v>
      </c>
      <c r="S3068" s="13">
        <v>27725</v>
      </c>
      <c r="U3068" s="13">
        <v>27725</v>
      </c>
      <c r="AC3068" s="10" t="s">
        <v>7397</v>
      </c>
      <c r="AD3068" s="5" t="s">
        <v>1841</v>
      </c>
      <c r="AE3068" s="5" t="s">
        <v>7360</v>
      </c>
    </row>
    <row r="3069" spans="1:32" ht="10" customHeight="1" x14ac:dyDescent="0.2">
      <c r="A3069" s="5" t="s">
        <v>7149</v>
      </c>
      <c r="B3069" s="5" t="s">
        <v>41</v>
      </c>
      <c r="D3069" s="5" t="s">
        <v>7398</v>
      </c>
      <c r="E3069" s="10" t="s">
        <v>53</v>
      </c>
      <c r="F3069" s="5" t="s">
        <v>7364</v>
      </c>
      <c r="I3069" s="11">
        <v>6</v>
      </c>
      <c r="K3069" s="12"/>
      <c r="O3069" s="14">
        <v>49766</v>
      </c>
      <c r="P3069" s="13">
        <v>4660</v>
      </c>
      <c r="Q3069" s="13">
        <v>5061</v>
      </c>
      <c r="S3069" s="13">
        <v>7938</v>
      </c>
      <c r="U3069" s="13">
        <v>7938</v>
      </c>
      <c r="AC3069" s="10" t="s">
        <v>7399</v>
      </c>
      <c r="AD3069" s="5" t="s">
        <v>1855</v>
      </c>
      <c r="AE3069" s="5" t="s">
        <v>7360</v>
      </c>
      <c r="AF3069" s="5" t="s">
        <v>7400</v>
      </c>
    </row>
    <row r="3070" spans="1:32" ht="10" customHeight="1" x14ac:dyDescent="0.2">
      <c r="A3070" s="5" t="s">
        <v>7149</v>
      </c>
      <c r="B3070" s="5" t="s">
        <v>41</v>
      </c>
      <c r="D3070" s="5" t="s">
        <v>7401</v>
      </c>
      <c r="E3070" s="10" t="s">
        <v>53</v>
      </c>
      <c r="F3070" s="5" t="s">
        <v>7364</v>
      </c>
      <c r="I3070" s="11">
        <v>4</v>
      </c>
      <c r="K3070" s="10" t="s">
        <v>46</v>
      </c>
      <c r="L3070" s="5" t="s">
        <v>47</v>
      </c>
      <c r="M3070" s="5" t="s">
        <v>48</v>
      </c>
      <c r="N3070" s="5" t="s">
        <v>49</v>
      </c>
      <c r="O3070" s="14">
        <v>129034</v>
      </c>
      <c r="P3070" s="13">
        <v>10667</v>
      </c>
      <c r="Q3070" s="13">
        <v>14646</v>
      </c>
      <c r="S3070" s="13">
        <v>13851</v>
      </c>
      <c r="U3070" s="13">
        <v>13851</v>
      </c>
      <c r="AC3070" s="10" t="s">
        <v>7402</v>
      </c>
      <c r="AD3070" s="5" t="s">
        <v>1866</v>
      </c>
      <c r="AE3070" s="5" t="s">
        <v>7360</v>
      </c>
      <c r="AF3070" s="5" t="s">
        <v>7366</v>
      </c>
    </row>
    <row r="3071" spans="1:32" ht="10" customHeight="1" x14ac:dyDescent="0.2">
      <c r="A3071" s="5" t="s">
        <v>7149</v>
      </c>
      <c r="B3071" s="5" t="s">
        <v>41</v>
      </c>
      <c r="D3071" s="5" t="s">
        <v>7403</v>
      </c>
      <c r="E3071" s="10" t="s">
        <v>53</v>
      </c>
      <c r="F3071" s="5" t="s">
        <v>7404</v>
      </c>
      <c r="I3071" s="11">
        <v>4</v>
      </c>
      <c r="K3071" s="12"/>
      <c r="O3071" s="12"/>
      <c r="S3071" s="13">
        <v>2934</v>
      </c>
      <c r="U3071" s="13">
        <v>2934</v>
      </c>
      <c r="AC3071" s="10" t="s">
        <v>7405</v>
      </c>
      <c r="AD3071" s="5" t="s">
        <v>1866</v>
      </c>
      <c r="AE3071" s="5" t="s">
        <v>7360</v>
      </c>
    </row>
    <row r="3072" spans="1:32" ht="10" customHeight="1" x14ac:dyDescent="0.2">
      <c r="A3072" s="5" t="s">
        <v>7149</v>
      </c>
      <c r="B3072" s="5" t="s">
        <v>41</v>
      </c>
      <c r="D3072" s="5" t="s">
        <v>7406</v>
      </c>
      <c r="E3072" s="10" t="s">
        <v>53</v>
      </c>
      <c r="F3072" s="5" t="s">
        <v>7404</v>
      </c>
      <c r="I3072" s="11">
        <v>4</v>
      </c>
      <c r="K3072" s="12"/>
      <c r="O3072" s="14">
        <v>106685</v>
      </c>
      <c r="P3072" s="13">
        <v>10667</v>
      </c>
      <c r="Q3072" s="13">
        <v>12153</v>
      </c>
      <c r="S3072" s="13">
        <v>10917</v>
      </c>
      <c r="U3072" s="13">
        <v>10917</v>
      </c>
      <c r="AC3072" s="10" t="s">
        <v>7407</v>
      </c>
      <c r="AD3072" s="5" t="s">
        <v>1866</v>
      </c>
      <c r="AE3072" s="5" t="s">
        <v>7360</v>
      </c>
    </row>
    <row r="3073" spans="1:32" ht="10" customHeight="1" x14ac:dyDescent="0.2">
      <c r="A3073" s="5" t="s">
        <v>7149</v>
      </c>
      <c r="B3073" s="5" t="s">
        <v>41</v>
      </c>
      <c r="D3073" s="5" t="s">
        <v>7408</v>
      </c>
      <c r="E3073" s="10" t="s">
        <v>53</v>
      </c>
      <c r="F3073" s="5" t="s">
        <v>7364</v>
      </c>
      <c r="I3073" s="11">
        <v>4</v>
      </c>
      <c r="K3073" s="10" t="s">
        <v>46</v>
      </c>
      <c r="L3073" s="5" t="s">
        <v>47</v>
      </c>
      <c r="M3073" s="5" t="s">
        <v>48</v>
      </c>
      <c r="N3073" s="5" t="s">
        <v>49</v>
      </c>
      <c r="O3073" s="14">
        <v>91096</v>
      </c>
      <c r="P3073" s="13">
        <v>17412</v>
      </c>
      <c r="Q3073" s="13">
        <v>17760</v>
      </c>
      <c r="S3073" s="13">
        <v>21442</v>
      </c>
      <c r="U3073" s="13">
        <v>21442</v>
      </c>
      <c r="AC3073" s="10" t="s">
        <v>7409</v>
      </c>
      <c r="AD3073" s="5" t="s">
        <v>1879</v>
      </c>
      <c r="AE3073" s="5" t="s">
        <v>7360</v>
      </c>
      <c r="AF3073" s="5" t="s">
        <v>7374</v>
      </c>
    </row>
    <row r="3074" spans="1:32" ht="10" customHeight="1" x14ac:dyDescent="0.2">
      <c r="A3074" s="5" t="s">
        <v>7149</v>
      </c>
      <c r="B3074" s="5" t="s">
        <v>41</v>
      </c>
      <c r="D3074" s="5" t="s">
        <v>7410</v>
      </c>
      <c r="E3074" s="10" t="s">
        <v>53</v>
      </c>
      <c r="F3074" s="5" t="s">
        <v>7411</v>
      </c>
      <c r="I3074" s="11">
        <v>4</v>
      </c>
      <c r="K3074" s="12"/>
      <c r="O3074" s="14">
        <v>4034</v>
      </c>
      <c r="S3074" s="13">
        <v>731</v>
      </c>
      <c r="U3074" s="13">
        <v>731</v>
      </c>
      <c r="AC3074" s="10" t="s">
        <v>7412</v>
      </c>
      <c r="AD3074" s="5" t="s">
        <v>1879</v>
      </c>
      <c r="AE3074" s="5" t="s">
        <v>7360</v>
      </c>
    </row>
    <row r="3075" spans="1:32" ht="10" customHeight="1" x14ac:dyDescent="0.2">
      <c r="A3075" s="5" t="s">
        <v>7149</v>
      </c>
      <c r="B3075" s="5" t="s">
        <v>41</v>
      </c>
      <c r="D3075" s="5" t="s">
        <v>7413</v>
      </c>
      <c r="E3075" s="10" t="s">
        <v>53</v>
      </c>
      <c r="F3075" s="5" t="s">
        <v>7411</v>
      </c>
      <c r="I3075" s="11">
        <v>4</v>
      </c>
      <c r="K3075" s="12"/>
      <c r="O3075" s="14">
        <v>87062</v>
      </c>
      <c r="P3075" s="13">
        <v>17412</v>
      </c>
      <c r="Q3075" s="13">
        <v>17760</v>
      </c>
      <c r="S3075" s="13">
        <v>20711</v>
      </c>
      <c r="U3075" s="13">
        <v>20711</v>
      </c>
      <c r="AC3075" s="10" t="s">
        <v>7414</v>
      </c>
      <c r="AD3075" s="5" t="s">
        <v>1879</v>
      </c>
      <c r="AE3075" s="5" t="s">
        <v>7360</v>
      </c>
    </row>
    <row r="3076" spans="1:32" ht="10" customHeight="1" x14ac:dyDescent="0.2">
      <c r="A3076" s="5" t="s">
        <v>7149</v>
      </c>
      <c r="B3076" s="5" t="s">
        <v>41</v>
      </c>
      <c r="D3076" s="5" t="s">
        <v>7415</v>
      </c>
      <c r="E3076" s="10" t="s">
        <v>53</v>
      </c>
      <c r="F3076" s="5" t="s">
        <v>7364</v>
      </c>
      <c r="I3076" s="11">
        <v>4</v>
      </c>
      <c r="K3076" s="10" t="s">
        <v>46</v>
      </c>
      <c r="L3076" s="5" t="s">
        <v>47</v>
      </c>
      <c r="M3076" s="5" t="s">
        <v>48</v>
      </c>
      <c r="N3076" s="5" t="s">
        <v>49</v>
      </c>
      <c r="O3076" s="14">
        <v>100677</v>
      </c>
      <c r="P3076" s="13">
        <v>20335</v>
      </c>
      <c r="Q3076" s="13">
        <v>11908</v>
      </c>
      <c r="S3076" s="13">
        <v>12188</v>
      </c>
      <c r="U3076" s="13">
        <v>12188</v>
      </c>
      <c r="AC3076" s="10" t="s">
        <v>7416</v>
      </c>
      <c r="AD3076" s="5" t="s">
        <v>1889</v>
      </c>
      <c r="AE3076" s="5" t="s">
        <v>7360</v>
      </c>
      <c r="AF3076" s="5" t="s">
        <v>7387</v>
      </c>
    </row>
    <row r="3077" spans="1:32" ht="10" customHeight="1" x14ac:dyDescent="0.2">
      <c r="A3077" s="5" t="s">
        <v>7149</v>
      </c>
      <c r="B3077" s="5" t="s">
        <v>41</v>
      </c>
      <c r="D3077" s="5" t="s">
        <v>7417</v>
      </c>
      <c r="E3077" s="10" t="s">
        <v>53</v>
      </c>
      <c r="F3077" s="5" t="s">
        <v>7418</v>
      </c>
      <c r="I3077" s="11">
        <v>4</v>
      </c>
      <c r="K3077" s="12"/>
      <c r="O3077" s="14">
        <v>20500</v>
      </c>
      <c r="P3077" s="13">
        <v>2122</v>
      </c>
      <c r="Q3077" s="13">
        <v>2164</v>
      </c>
      <c r="S3077" s="13">
        <v>2252</v>
      </c>
      <c r="U3077" s="13">
        <v>2252</v>
      </c>
      <c r="AC3077" s="10" t="s">
        <v>7419</v>
      </c>
      <c r="AD3077" s="5" t="s">
        <v>1889</v>
      </c>
      <c r="AE3077" s="5" t="s">
        <v>7360</v>
      </c>
    </row>
    <row r="3078" spans="1:32" ht="10" customHeight="1" x14ac:dyDescent="0.2">
      <c r="A3078" s="5" t="s">
        <v>7149</v>
      </c>
      <c r="B3078" s="5" t="s">
        <v>41</v>
      </c>
      <c r="D3078" s="5" t="s">
        <v>7420</v>
      </c>
      <c r="E3078" s="10" t="s">
        <v>53</v>
      </c>
      <c r="F3078" s="5" t="s">
        <v>7418</v>
      </c>
      <c r="I3078" s="11">
        <v>4</v>
      </c>
      <c r="K3078" s="12"/>
      <c r="O3078" s="14">
        <v>18801</v>
      </c>
      <c r="P3078" s="13">
        <v>10856</v>
      </c>
      <c r="Q3078" s="13">
        <v>7794</v>
      </c>
      <c r="S3078" s="13">
        <v>8444</v>
      </c>
      <c r="U3078" s="13">
        <v>8444</v>
      </c>
      <c r="AC3078" s="10" t="s">
        <v>7421</v>
      </c>
      <c r="AD3078" s="5" t="s">
        <v>1889</v>
      </c>
      <c r="AE3078" s="5" t="s">
        <v>7360</v>
      </c>
    </row>
    <row r="3079" spans="1:32" ht="10" customHeight="1" x14ac:dyDescent="0.2">
      <c r="A3079" s="5" t="s">
        <v>7149</v>
      </c>
      <c r="B3079" s="5" t="s">
        <v>41</v>
      </c>
      <c r="D3079" s="5" t="s">
        <v>7422</v>
      </c>
      <c r="E3079" s="10" t="s">
        <v>53</v>
      </c>
      <c r="F3079" s="5" t="s">
        <v>7418</v>
      </c>
      <c r="I3079" s="11">
        <v>4</v>
      </c>
      <c r="K3079" s="12"/>
      <c r="O3079" s="14">
        <v>5710</v>
      </c>
      <c r="P3079" s="13">
        <v>2142</v>
      </c>
      <c r="Q3079" s="13">
        <v>1950</v>
      </c>
      <c r="S3079" s="13">
        <v>1492</v>
      </c>
      <c r="U3079" s="13">
        <v>1492</v>
      </c>
      <c r="AC3079" s="10" t="s">
        <v>7423</v>
      </c>
      <c r="AD3079" s="5" t="s">
        <v>1889</v>
      </c>
      <c r="AE3079" s="5" t="s">
        <v>7360</v>
      </c>
    </row>
    <row r="3080" spans="1:32" ht="10" customHeight="1" x14ac:dyDescent="0.2">
      <c r="A3080" s="5" t="s">
        <v>7149</v>
      </c>
      <c r="B3080" s="5" t="s">
        <v>41</v>
      </c>
      <c r="D3080" s="5" t="s">
        <v>7424</v>
      </c>
      <c r="E3080" s="10" t="s">
        <v>53</v>
      </c>
      <c r="F3080" s="5" t="s">
        <v>7364</v>
      </c>
      <c r="I3080" s="11">
        <v>4</v>
      </c>
      <c r="K3080" s="12"/>
      <c r="O3080" s="14">
        <v>12315</v>
      </c>
      <c r="P3080" s="13">
        <v>3060</v>
      </c>
      <c r="Q3080" s="13">
        <v>3121</v>
      </c>
      <c r="S3080" s="13">
        <v>3183</v>
      </c>
      <c r="U3080" s="13">
        <v>3183</v>
      </c>
      <c r="AC3080" s="10" t="s">
        <v>7425</v>
      </c>
      <c r="AD3080" s="5" t="s">
        <v>1903</v>
      </c>
      <c r="AE3080" s="5" t="s">
        <v>7360</v>
      </c>
      <c r="AF3080" s="5" t="s">
        <v>7392</v>
      </c>
    </row>
    <row r="3081" spans="1:32" ht="10" customHeight="1" x14ac:dyDescent="0.2">
      <c r="A3081" s="5" t="s">
        <v>7149</v>
      </c>
      <c r="B3081" s="5" t="s">
        <v>41</v>
      </c>
      <c r="D3081" s="5" t="s">
        <v>7426</v>
      </c>
      <c r="E3081" s="10" t="s">
        <v>53</v>
      </c>
      <c r="F3081" s="5" t="s">
        <v>7364</v>
      </c>
      <c r="I3081" s="11">
        <v>4</v>
      </c>
      <c r="K3081" s="10" t="s">
        <v>46</v>
      </c>
      <c r="L3081" s="5" t="s">
        <v>47</v>
      </c>
      <c r="M3081" s="5" t="s">
        <v>48</v>
      </c>
      <c r="N3081" s="5" t="s">
        <v>49</v>
      </c>
      <c r="O3081" s="14">
        <v>742476</v>
      </c>
      <c r="P3081" s="13">
        <v>27782</v>
      </c>
      <c r="Q3081" s="13">
        <v>14951</v>
      </c>
      <c r="S3081" s="13">
        <v>6377</v>
      </c>
      <c r="U3081" s="13">
        <v>6377</v>
      </c>
      <c r="AC3081" s="10" t="s">
        <v>7427</v>
      </c>
      <c r="AD3081" s="5" t="s">
        <v>1912</v>
      </c>
      <c r="AE3081" s="5" t="s">
        <v>7360</v>
      </c>
      <c r="AF3081" s="5" t="s">
        <v>7426</v>
      </c>
    </row>
    <row r="3082" spans="1:32" ht="10" customHeight="1" x14ac:dyDescent="0.2">
      <c r="A3082" s="5" t="s">
        <v>7149</v>
      </c>
      <c r="B3082" s="5" t="s">
        <v>41</v>
      </c>
      <c r="D3082" s="5" t="s">
        <v>7428</v>
      </c>
      <c r="E3082" s="10" t="s">
        <v>53</v>
      </c>
      <c r="F3082" s="5" t="s">
        <v>7429</v>
      </c>
      <c r="I3082" s="11">
        <v>4</v>
      </c>
      <c r="K3082" s="12"/>
      <c r="O3082" s="14">
        <v>32722</v>
      </c>
      <c r="P3082" s="13">
        <v>8583</v>
      </c>
      <c r="Q3082" s="13">
        <v>5376</v>
      </c>
      <c r="S3082" s="13">
        <v>3544</v>
      </c>
      <c r="U3082" s="13">
        <v>3544</v>
      </c>
      <c r="AC3082" s="10" t="s">
        <v>7430</v>
      </c>
      <c r="AD3082" s="5" t="s">
        <v>1912</v>
      </c>
      <c r="AE3082" s="5" t="s">
        <v>7360</v>
      </c>
    </row>
    <row r="3083" spans="1:32" ht="10" customHeight="1" x14ac:dyDescent="0.2">
      <c r="A3083" s="5" t="s">
        <v>7149</v>
      </c>
      <c r="B3083" s="5" t="s">
        <v>41</v>
      </c>
      <c r="D3083" s="5" t="s">
        <v>7431</v>
      </c>
      <c r="E3083" s="10" t="s">
        <v>53</v>
      </c>
      <c r="F3083" s="5" t="s">
        <v>7429</v>
      </c>
      <c r="I3083" s="11">
        <v>4</v>
      </c>
      <c r="K3083" s="12"/>
      <c r="O3083" s="14">
        <v>2740</v>
      </c>
      <c r="P3083" s="13">
        <v>2830</v>
      </c>
      <c r="Q3083" s="13">
        <v>2901</v>
      </c>
      <c r="S3083" s="13">
        <v>2833</v>
      </c>
      <c r="U3083" s="13">
        <v>2833</v>
      </c>
      <c r="AC3083" s="10" t="s">
        <v>7432</v>
      </c>
      <c r="AD3083" s="5" t="s">
        <v>1912</v>
      </c>
      <c r="AE3083" s="5" t="s">
        <v>7360</v>
      </c>
    </row>
    <row r="3084" spans="1:32" ht="10" customHeight="1" x14ac:dyDescent="0.2">
      <c r="A3084" s="5" t="s">
        <v>7149</v>
      </c>
      <c r="B3084" s="5" t="s">
        <v>41</v>
      </c>
      <c r="D3084" s="5" t="s">
        <v>7433</v>
      </c>
      <c r="E3084" s="10" t="s">
        <v>53</v>
      </c>
      <c r="F3084" s="5" t="s">
        <v>7364</v>
      </c>
      <c r="I3084" s="11">
        <v>4</v>
      </c>
      <c r="K3084" s="10" t="s">
        <v>46</v>
      </c>
      <c r="L3084" s="5" t="s">
        <v>47</v>
      </c>
      <c r="M3084" s="5" t="s">
        <v>48</v>
      </c>
      <c r="N3084" s="5" t="s">
        <v>49</v>
      </c>
      <c r="O3084" s="14">
        <v>133245</v>
      </c>
      <c r="P3084" s="13">
        <v>17309</v>
      </c>
      <c r="Q3084" s="13">
        <v>11113</v>
      </c>
      <c r="S3084" s="13">
        <v>8507</v>
      </c>
      <c r="U3084" s="13">
        <v>8507</v>
      </c>
      <c r="AC3084" s="10" t="s">
        <v>7434</v>
      </c>
      <c r="AD3084" s="5" t="s">
        <v>1947</v>
      </c>
      <c r="AE3084" s="5" t="s">
        <v>7360</v>
      </c>
      <c r="AF3084" s="5" t="s">
        <v>7433</v>
      </c>
    </row>
    <row r="3085" spans="1:32" ht="10" customHeight="1" x14ac:dyDescent="0.2">
      <c r="A3085" s="5" t="s">
        <v>7149</v>
      </c>
      <c r="B3085" s="5" t="s">
        <v>41</v>
      </c>
      <c r="D3085" s="5" t="s">
        <v>7435</v>
      </c>
      <c r="E3085" s="10" t="s">
        <v>53</v>
      </c>
      <c r="F3085" s="5" t="s">
        <v>7436</v>
      </c>
      <c r="I3085" s="11">
        <v>4</v>
      </c>
      <c r="K3085" s="12"/>
      <c r="O3085" s="14">
        <v>18812</v>
      </c>
      <c r="P3085" s="13">
        <v>3934</v>
      </c>
      <c r="Q3085" s="13">
        <v>3611</v>
      </c>
      <c r="S3085" s="13">
        <v>3875</v>
      </c>
      <c r="U3085" s="13">
        <v>3875</v>
      </c>
      <c r="AC3085" s="10" t="s">
        <v>7437</v>
      </c>
      <c r="AD3085" s="5" t="s">
        <v>1947</v>
      </c>
      <c r="AE3085" s="5" t="s">
        <v>7360</v>
      </c>
    </row>
    <row r="3086" spans="1:32" ht="10" customHeight="1" x14ac:dyDescent="0.2">
      <c r="A3086" s="5" t="s">
        <v>7149</v>
      </c>
      <c r="B3086" s="5" t="s">
        <v>41</v>
      </c>
      <c r="D3086" s="5" t="s">
        <v>7438</v>
      </c>
      <c r="E3086" s="10" t="s">
        <v>53</v>
      </c>
      <c r="F3086" s="5" t="s">
        <v>7436</v>
      </c>
      <c r="I3086" s="11">
        <v>4</v>
      </c>
      <c r="K3086" s="12"/>
      <c r="O3086" s="12"/>
      <c r="P3086" s="13">
        <v>5112</v>
      </c>
      <c r="Q3086" s="13">
        <v>7502</v>
      </c>
      <c r="S3086" s="13">
        <v>4632</v>
      </c>
      <c r="U3086" s="13">
        <v>4632</v>
      </c>
      <c r="AC3086" s="10" t="s">
        <v>7439</v>
      </c>
      <c r="AD3086" s="5" t="s">
        <v>1947</v>
      </c>
      <c r="AE3086" s="5" t="s">
        <v>7360</v>
      </c>
    </row>
    <row r="3087" spans="1:32" ht="10" customHeight="1" x14ac:dyDescent="0.2">
      <c r="A3087" s="5" t="s">
        <v>7149</v>
      </c>
      <c r="B3087" s="5" t="s">
        <v>41</v>
      </c>
      <c r="D3087" s="5" t="s">
        <v>7440</v>
      </c>
      <c r="E3087" s="10" t="s">
        <v>53</v>
      </c>
      <c r="F3087" s="5" t="s">
        <v>7364</v>
      </c>
      <c r="I3087" s="11">
        <v>4</v>
      </c>
      <c r="K3087" s="10" t="s">
        <v>46</v>
      </c>
      <c r="L3087" s="5" t="s">
        <v>47</v>
      </c>
      <c r="M3087" s="5" t="s">
        <v>48</v>
      </c>
      <c r="N3087" s="5" t="s">
        <v>49</v>
      </c>
      <c r="O3087" s="14">
        <v>34137</v>
      </c>
      <c r="P3087" s="13">
        <v>82497</v>
      </c>
      <c r="Q3087" s="13">
        <v>85079</v>
      </c>
      <c r="S3087" s="13">
        <v>127209</v>
      </c>
      <c r="U3087" s="13">
        <v>127209</v>
      </c>
      <c r="AC3087" s="10" t="s">
        <v>7441</v>
      </c>
      <c r="AD3087" s="5" t="s">
        <v>1956</v>
      </c>
      <c r="AE3087" s="5" t="s">
        <v>7360</v>
      </c>
      <c r="AF3087" s="5" t="s">
        <v>7440</v>
      </c>
    </row>
    <row r="3088" spans="1:32" ht="10" customHeight="1" x14ac:dyDescent="0.2">
      <c r="A3088" s="5" t="s">
        <v>7149</v>
      </c>
      <c r="B3088" s="5" t="s">
        <v>41</v>
      </c>
      <c r="D3088" s="5" t="s">
        <v>7442</v>
      </c>
      <c r="E3088" s="10" t="s">
        <v>53</v>
      </c>
      <c r="F3088" s="5" t="s">
        <v>7443</v>
      </c>
      <c r="I3088" s="11">
        <v>4</v>
      </c>
      <c r="K3088" s="12"/>
      <c r="O3088" s="14">
        <v>21023</v>
      </c>
      <c r="P3088" s="13">
        <v>18822</v>
      </c>
      <c r="Q3088" s="13">
        <v>19198</v>
      </c>
      <c r="S3088" s="13">
        <v>19581</v>
      </c>
      <c r="U3088" s="13">
        <v>19581</v>
      </c>
      <c r="AC3088" s="10" t="s">
        <v>7444</v>
      </c>
      <c r="AD3088" s="5" t="s">
        <v>1956</v>
      </c>
      <c r="AE3088" s="5" t="s">
        <v>7360</v>
      </c>
    </row>
    <row r="3089" spans="1:33" ht="10" customHeight="1" x14ac:dyDescent="0.2">
      <c r="A3089" s="5" t="s">
        <v>7149</v>
      </c>
      <c r="B3089" s="5" t="s">
        <v>41</v>
      </c>
      <c r="D3089" s="5" t="s">
        <v>7445</v>
      </c>
      <c r="E3089" s="10" t="s">
        <v>53</v>
      </c>
      <c r="F3089" s="5" t="s">
        <v>7443</v>
      </c>
      <c r="I3089" s="11">
        <v>4</v>
      </c>
      <c r="K3089" s="12"/>
      <c r="O3089" s="14">
        <v>8957</v>
      </c>
      <c r="P3089" s="13">
        <v>24552</v>
      </c>
      <c r="Q3089" s="13">
        <v>26392</v>
      </c>
      <c r="S3089" s="13">
        <v>32077</v>
      </c>
      <c r="U3089" s="13">
        <v>32077</v>
      </c>
      <c r="AC3089" s="10" t="s">
        <v>7446</v>
      </c>
      <c r="AD3089" s="5" t="s">
        <v>1956</v>
      </c>
      <c r="AE3089" s="5" t="s">
        <v>7360</v>
      </c>
    </row>
    <row r="3090" spans="1:33" ht="10" customHeight="1" x14ac:dyDescent="0.2">
      <c r="A3090" s="5" t="s">
        <v>7149</v>
      </c>
      <c r="B3090" s="5" t="s">
        <v>41</v>
      </c>
      <c r="D3090" s="5" t="s">
        <v>7447</v>
      </c>
      <c r="E3090" s="10" t="s">
        <v>53</v>
      </c>
      <c r="F3090" s="5" t="s">
        <v>7443</v>
      </c>
      <c r="I3090" s="11">
        <v>6</v>
      </c>
      <c r="K3090" s="12"/>
      <c r="O3090" s="14">
        <v>2682</v>
      </c>
      <c r="P3090" s="13">
        <v>20802</v>
      </c>
      <c r="Q3090" s="13">
        <v>20802</v>
      </c>
      <c r="S3090" s="13">
        <v>21218</v>
      </c>
      <c r="U3090" s="13">
        <v>21218</v>
      </c>
      <c r="AC3090" s="10" t="s">
        <v>7448</v>
      </c>
      <c r="AD3090" s="5" t="s">
        <v>1956</v>
      </c>
      <c r="AE3090" s="5" t="s">
        <v>7360</v>
      </c>
    </row>
    <row r="3091" spans="1:33" ht="10" customHeight="1" x14ac:dyDescent="0.2">
      <c r="A3091" s="5" t="s">
        <v>7149</v>
      </c>
      <c r="B3091" s="5" t="s">
        <v>41</v>
      </c>
      <c r="D3091" s="5" t="s">
        <v>7449</v>
      </c>
      <c r="E3091" s="10" t="s">
        <v>53</v>
      </c>
      <c r="F3091" s="5" t="s">
        <v>7443</v>
      </c>
      <c r="I3091" s="11">
        <v>4</v>
      </c>
      <c r="K3091" s="12"/>
      <c r="O3091" s="14">
        <v>1475</v>
      </c>
      <c r="P3091" s="13">
        <v>18321</v>
      </c>
      <c r="Q3091" s="13">
        <v>18687</v>
      </c>
      <c r="S3091" s="13">
        <v>18493</v>
      </c>
      <c r="U3091" s="13">
        <v>18493</v>
      </c>
      <c r="AC3091" s="10" t="s">
        <v>7450</v>
      </c>
      <c r="AD3091" s="5" t="s">
        <v>1956</v>
      </c>
      <c r="AE3091" s="5" t="s">
        <v>7360</v>
      </c>
    </row>
    <row r="3092" spans="1:33" ht="10" customHeight="1" x14ac:dyDescent="0.2">
      <c r="A3092" s="5" t="s">
        <v>7149</v>
      </c>
      <c r="B3092" s="5" t="s">
        <v>41</v>
      </c>
      <c r="D3092" s="5" t="s">
        <v>7451</v>
      </c>
      <c r="E3092" s="10" t="s">
        <v>53</v>
      </c>
      <c r="F3092" s="5" t="s">
        <v>7443</v>
      </c>
      <c r="I3092" s="11">
        <v>4</v>
      </c>
      <c r="K3092" s="12"/>
      <c r="O3092" s="12"/>
      <c r="S3092" s="13">
        <v>35840</v>
      </c>
      <c r="U3092" s="13">
        <v>35840</v>
      </c>
      <c r="AC3092" s="10" t="s">
        <v>7452</v>
      </c>
      <c r="AD3092" s="5" t="s">
        <v>1956</v>
      </c>
      <c r="AE3092" s="5" t="s">
        <v>7360</v>
      </c>
    </row>
    <row r="3093" spans="1:33" ht="10" customHeight="1" x14ac:dyDescent="0.2">
      <c r="A3093" s="5" t="s">
        <v>7149</v>
      </c>
      <c r="B3093" s="5" t="s">
        <v>41</v>
      </c>
      <c r="D3093" s="5" t="s">
        <v>7371</v>
      </c>
      <c r="E3093" s="10" t="s">
        <v>53</v>
      </c>
      <c r="F3093" s="5" t="s">
        <v>7364</v>
      </c>
      <c r="I3093" s="11">
        <v>6</v>
      </c>
      <c r="K3093" s="12"/>
      <c r="O3093" s="14">
        <v>164476</v>
      </c>
      <c r="P3093" s="13">
        <v>12029</v>
      </c>
      <c r="Q3093" s="13">
        <v>12269</v>
      </c>
      <c r="S3093" s="13">
        <v>12514</v>
      </c>
      <c r="U3093" s="13">
        <v>12514</v>
      </c>
      <c r="AC3093" s="10" t="s">
        <v>7453</v>
      </c>
      <c r="AD3093" s="5" t="s">
        <v>4651</v>
      </c>
      <c r="AE3093" s="5" t="s">
        <v>7360</v>
      </c>
      <c r="AF3093" s="5" t="s">
        <v>7371</v>
      </c>
    </row>
    <row r="3094" spans="1:33" ht="10" customHeight="1" x14ac:dyDescent="0.2">
      <c r="A3094" s="5" t="s">
        <v>7149</v>
      </c>
      <c r="B3094" s="5" t="s">
        <v>41</v>
      </c>
      <c r="D3094" s="5" t="s">
        <v>7454</v>
      </c>
      <c r="E3094" s="10" t="s">
        <v>53</v>
      </c>
      <c r="F3094" s="5" t="s">
        <v>7364</v>
      </c>
      <c r="I3094" s="11">
        <v>1</v>
      </c>
      <c r="J3094" s="5" t="s">
        <v>246</v>
      </c>
      <c r="K3094" s="10" t="s">
        <v>46</v>
      </c>
      <c r="L3094" s="5" t="s">
        <v>47</v>
      </c>
      <c r="M3094" s="5" t="s">
        <v>48</v>
      </c>
      <c r="N3094" s="5" t="s">
        <v>49</v>
      </c>
      <c r="O3094" s="14">
        <v>38054</v>
      </c>
      <c r="P3094" s="13">
        <v>61393</v>
      </c>
      <c r="Q3094" s="13">
        <v>56790</v>
      </c>
      <c r="S3094" s="13">
        <v>200317</v>
      </c>
      <c r="U3094" s="13">
        <v>200317</v>
      </c>
      <c r="AC3094" s="10" t="s">
        <v>7455</v>
      </c>
      <c r="AD3094" s="5" t="s">
        <v>86</v>
      </c>
      <c r="AE3094" s="5" t="s">
        <v>7360</v>
      </c>
      <c r="AF3094" s="5" t="s">
        <v>7454</v>
      </c>
    </row>
    <row r="3095" spans="1:33" ht="10" customHeight="1" x14ac:dyDescent="0.2">
      <c r="A3095" s="5" t="s">
        <v>7149</v>
      </c>
      <c r="B3095" s="5" t="s">
        <v>41</v>
      </c>
      <c r="D3095" s="5" t="s">
        <v>7456</v>
      </c>
      <c r="E3095" s="10" t="s">
        <v>53</v>
      </c>
      <c r="F3095" s="5" t="s">
        <v>7454</v>
      </c>
      <c r="I3095" s="11">
        <v>1</v>
      </c>
      <c r="J3095" s="5" t="s">
        <v>246</v>
      </c>
      <c r="K3095" s="10" t="s">
        <v>46</v>
      </c>
      <c r="L3095" s="5" t="s">
        <v>47</v>
      </c>
      <c r="M3095" s="5" t="s">
        <v>48</v>
      </c>
      <c r="N3095" s="5" t="s">
        <v>49</v>
      </c>
      <c r="O3095" s="14">
        <v>17119</v>
      </c>
      <c r="P3095" s="13">
        <v>54451</v>
      </c>
      <c r="Q3095" s="13">
        <v>45524</v>
      </c>
      <c r="S3095" s="13">
        <v>198119</v>
      </c>
      <c r="U3095" s="13">
        <v>198119</v>
      </c>
      <c r="AC3095" s="10" t="s">
        <v>7457</v>
      </c>
      <c r="AD3095" s="5" t="s">
        <v>86</v>
      </c>
      <c r="AE3095" s="5" t="s">
        <v>7360</v>
      </c>
      <c r="AF3095" s="5" t="s">
        <v>7454</v>
      </c>
    </row>
    <row r="3096" spans="1:33" ht="10" customHeight="1" x14ac:dyDescent="0.2">
      <c r="A3096" s="5" t="s">
        <v>7149</v>
      </c>
      <c r="B3096" s="5" t="s">
        <v>41</v>
      </c>
      <c r="D3096" s="5" t="s">
        <v>7458</v>
      </c>
      <c r="E3096" s="10" t="s">
        <v>53</v>
      </c>
      <c r="F3096" s="5" t="s">
        <v>7454</v>
      </c>
      <c r="I3096" s="11">
        <v>6</v>
      </c>
      <c r="K3096" s="10" t="s">
        <v>46</v>
      </c>
      <c r="L3096" s="5" t="s">
        <v>47</v>
      </c>
      <c r="M3096" s="5" t="s">
        <v>48</v>
      </c>
      <c r="N3096" s="5" t="s">
        <v>49</v>
      </c>
      <c r="O3096" s="14">
        <v>20935</v>
      </c>
      <c r="P3096" s="13">
        <v>6942</v>
      </c>
      <c r="Q3096" s="13">
        <v>11266</v>
      </c>
      <c r="S3096" s="13">
        <v>2198</v>
      </c>
      <c r="U3096" s="13">
        <v>2198</v>
      </c>
      <c r="AC3096" s="10" t="s">
        <v>7459</v>
      </c>
      <c r="AD3096" s="5" t="s">
        <v>86</v>
      </c>
      <c r="AE3096" s="5" t="s">
        <v>7360</v>
      </c>
      <c r="AF3096" s="5" t="s">
        <v>7371</v>
      </c>
    </row>
    <row r="3097" spans="1:33" ht="10" customHeight="1" x14ac:dyDescent="0.2">
      <c r="A3097" s="5" t="s">
        <v>7149</v>
      </c>
      <c r="B3097" s="5" t="s">
        <v>41</v>
      </c>
      <c r="C3097" s="5" t="s">
        <v>7460</v>
      </c>
      <c r="D3097" s="5" t="s">
        <v>7461</v>
      </c>
      <c r="E3097" s="10" t="s">
        <v>44</v>
      </c>
      <c r="I3097" s="11">
        <v>4</v>
      </c>
      <c r="K3097" s="10" t="s">
        <v>46</v>
      </c>
      <c r="L3097" s="5" t="s">
        <v>47</v>
      </c>
      <c r="M3097" s="5" t="s">
        <v>48</v>
      </c>
      <c r="N3097" s="5" t="s">
        <v>84</v>
      </c>
      <c r="O3097" s="14">
        <v>1296814</v>
      </c>
      <c r="P3097" s="13">
        <v>143975</v>
      </c>
      <c r="Q3097" s="13">
        <v>153237</v>
      </c>
      <c r="S3097" s="13">
        <v>102954</v>
      </c>
      <c r="T3097" s="13">
        <v>0</v>
      </c>
      <c r="U3097" s="13">
        <v>102954</v>
      </c>
      <c r="Z3097" s="13">
        <v>165416</v>
      </c>
      <c r="AB3097" s="13">
        <v>165416</v>
      </c>
      <c r="AC3097" s="10" t="s">
        <v>7462</v>
      </c>
      <c r="AD3097" s="5" t="s">
        <v>2015</v>
      </c>
      <c r="AE3097" s="5" t="s">
        <v>7460</v>
      </c>
    </row>
    <row r="3098" spans="1:33" ht="10" customHeight="1" x14ac:dyDescent="0.2">
      <c r="A3098" s="5" t="s">
        <v>7149</v>
      </c>
      <c r="B3098" s="5" t="s">
        <v>41</v>
      </c>
      <c r="C3098" s="5" t="s">
        <v>7463</v>
      </c>
      <c r="D3098" s="5" t="s">
        <v>7464</v>
      </c>
      <c r="E3098" s="10" t="s">
        <v>53</v>
      </c>
      <c r="F3098" s="5" t="s">
        <v>7465</v>
      </c>
      <c r="I3098" s="11">
        <v>4</v>
      </c>
      <c r="K3098" s="10" t="s">
        <v>46</v>
      </c>
      <c r="L3098" s="5" t="s">
        <v>47</v>
      </c>
      <c r="M3098" s="5" t="s">
        <v>48</v>
      </c>
      <c r="O3098" s="14">
        <v>475193</v>
      </c>
      <c r="P3098" s="13">
        <v>52110</v>
      </c>
      <c r="Q3098" s="13">
        <v>62224</v>
      </c>
      <c r="S3098" s="13">
        <v>33321</v>
      </c>
      <c r="U3098" s="13">
        <v>33321</v>
      </c>
      <c r="AC3098" s="10" t="s">
        <v>7466</v>
      </c>
      <c r="AD3098" s="5" t="s">
        <v>2089</v>
      </c>
      <c r="AE3098" s="5" t="s">
        <v>7460</v>
      </c>
      <c r="AF3098" s="5" t="s">
        <v>7467</v>
      </c>
      <c r="AG3098" s="5" t="s">
        <v>7463</v>
      </c>
    </row>
    <row r="3099" spans="1:33" ht="10" customHeight="1" x14ac:dyDescent="0.2">
      <c r="A3099" s="5" t="s">
        <v>7149</v>
      </c>
      <c r="B3099" s="5" t="s">
        <v>41</v>
      </c>
      <c r="C3099" s="5" t="s">
        <v>7463</v>
      </c>
      <c r="D3099" s="5" t="s">
        <v>7468</v>
      </c>
      <c r="E3099" s="10" t="s">
        <v>53</v>
      </c>
      <c r="F3099" s="5" t="s">
        <v>7469</v>
      </c>
      <c r="I3099" s="11">
        <v>4</v>
      </c>
      <c r="K3099" s="10" t="s">
        <v>46</v>
      </c>
      <c r="L3099" s="5" t="s">
        <v>47</v>
      </c>
      <c r="M3099" s="5" t="s">
        <v>48</v>
      </c>
      <c r="O3099" s="14">
        <v>141231</v>
      </c>
      <c r="P3099" s="13">
        <v>22994</v>
      </c>
      <c r="Q3099" s="13">
        <v>28484</v>
      </c>
      <c r="S3099" s="13">
        <v>22202</v>
      </c>
      <c r="U3099" s="13">
        <v>22202</v>
      </c>
      <c r="AC3099" s="10" t="s">
        <v>7470</v>
      </c>
      <c r="AD3099" s="5" t="s">
        <v>2089</v>
      </c>
      <c r="AE3099" s="5" t="s">
        <v>7460</v>
      </c>
      <c r="AF3099" s="5" t="s">
        <v>7467</v>
      </c>
      <c r="AG3099" s="5" t="s">
        <v>7463</v>
      </c>
    </row>
    <row r="3100" spans="1:33" ht="10" customHeight="1" x14ac:dyDescent="0.2">
      <c r="A3100" s="5" t="s">
        <v>7149</v>
      </c>
      <c r="B3100" s="5" t="s">
        <v>41</v>
      </c>
      <c r="C3100" s="5" t="s">
        <v>7463</v>
      </c>
      <c r="D3100" s="5" t="s">
        <v>7471</v>
      </c>
      <c r="E3100" s="10" t="s">
        <v>53</v>
      </c>
      <c r="F3100" s="5" t="s">
        <v>7469</v>
      </c>
      <c r="I3100" s="11">
        <v>4</v>
      </c>
      <c r="K3100" s="12"/>
      <c r="O3100" s="14">
        <v>32727</v>
      </c>
      <c r="Q3100" s="13">
        <v>2097</v>
      </c>
      <c r="S3100" s="13">
        <v>2732</v>
      </c>
      <c r="U3100" s="13">
        <v>2732</v>
      </c>
      <c r="AC3100" s="10" t="s">
        <v>7472</v>
      </c>
      <c r="AD3100" s="5" t="s">
        <v>2089</v>
      </c>
      <c r="AE3100" s="5" t="s">
        <v>7460</v>
      </c>
      <c r="AF3100" s="5" t="s">
        <v>7467</v>
      </c>
      <c r="AG3100" s="5" t="s">
        <v>7463</v>
      </c>
    </row>
    <row r="3101" spans="1:33" ht="10" customHeight="1" x14ac:dyDescent="0.2">
      <c r="A3101" s="5" t="s">
        <v>7149</v>
      </c>
      <c r="B3101" s="5" t="s">
        <v>41</v>
      </c>
      <c r="C3101" s="5" t="s">
        <v>7463</v>
      </c>
      <c r="D3101" s="5" t="s">
        <v>7473</v>
      </c>
      <c r="E3101" s="10" t="s">
        <v>53</v>
      </c>
      <c r="F3101" s="5" t="s">
        <v>7469</v>
      </c>
      <c r="I3101" s="11">
        <v>4</v>
      </c>
      <c r="K3101" s="12"/>
      <c r="O3101" s="14">
        <v>60228</v>
      </c>
      <c r="P3101" s="13">
        <v>12379</v>
      </c>
      <c r="Q3101" s="13">
        <v>14573</v>
      </c>
      <c r="S3101" s="13">
        <v>8387</v>
      </c>
      <c r="U3101" s="13">
        <v>8387</v>
      </c>
      <c r="AC3101" s="10" t="s">
        <v>7474</v>
      </c>
      <c r="AD3101" s="5" t="s">
        <v>2089</v>
      </c>
      <c r="AE3101" s="5" t="s">
        <v>7460</v>
      </c>
      <c r="AF3101" s="5" t="s">
        <v>7467</v>
      </c>
      <c r="AG3101" s="5" t="s">
        <v>7463</v>
      </c>
    </row>
    <row r="3102" spans="1:33" ht="10" customHeight="1" x14ac:dyDescent="0.2">
      <c r="A3102" s="5" t="s">
        <v>7149</v>
      </c>
      <c r="B3102" s="5" t="s">
        <v>41</v>
      </c>
      <c r="C3102" s="5" t="s">
        <v>7475</v>
      </c>
      <c r="D3102" s="5" t="s">
        <v>7476</v>
      </c>
      <c r="E3102" s="10" t="s">
        <v>53</v>
      </c>
      <c r="F3102" s="5" t="s">
        <v>7465</v>
      </c>
      <c r="I3102" s="11">
        <v>6</v>
      </c>
      <c r="K3102" s="12"/>
      <c r="O3102" s="14">
        <v>72788</v>
      </c>
      <c r="P3102" s="13">
        <v>1939</v>
      </c>
      <c r="Q3102" s="13">
        <v>1977</v>
      </c>
      <c r="S3102" s="13">
        <v>1431</v>
      </c>
      <c r="U3102" s="13">
        <v>1431</v>
      </c>
      <c r="AC3102" s="10" t="s">
        <v>7477</v>
      </c>
      <c r="AD3102" s="5" t="s">
        <v>97</v>
      </c>
      <c r="AE3102" s="5" t="s">
        <v>7460</v>
      </c>
      <c r="AF3102" s="5" t="s">
        <v>7478</v>
      </c>
      <c r="AG3102" s="5" t="s">
        <v>7475</v>
      </c>
    </row>
    <row r="3103" spans="1:33" ht="10" customHeight="1" x14ac:dyDescent="0.2">
      <c r="A3103" s="5" t="s">
        <v>7149</v>
      </c>
      <c r="B3103" s="5" t="s">
        <v>41</v>
      </c>
      <c r="C3103" s="5" t="s">
        <v>7479</v>
      </c>
      <c r="D3103" s="5" t="s">
        <v>7480</v>
      </c>
      <c r="E3103" s="10" t="s">
        <v>53</v>
      </c>
      <c r="F3103" s="5" t="s">
        <v>7465</v>
      </c>
      <c r="I3103" s="11">
        <v>4</v>
      </c>
      <c r="K3103" s="10" t="s">
        <v>46</v>
      </c>
      <c r="L3103" s="5" t="s">
        <v>47</v>
      </c>
      <c r="M3103" s="5" t="s">
        <v>48</v>
      </c>
      <c r="N3103" s="5" t="s">
        <v>4748</v>
      </c>
      <c r="O3103" s="14">
        <v>0</v>
      </c>
      <c r="P3103" s="13">
        <v>9680</v>
      </c>
      <c r="Q3103" s="13">
        <v>16735</v>
      </c>
      <c r="S3103" s="13">
        <v>13870</v>
      </c>
      <c r="U3103" s="13">
        <v>13870</v>
      </c>
      <c r="AC3103" s="10" t="s">
        <v>7481</v>
      </c>
      <c r="AD3103" s="5" t="s">
        <v>102</v>
      </c>
      <c r="AE3103" s="5" t="s">
        <v>7460</v>
      </c>
      <c r="AF3103" s="5" t="s">
        <v>7482</v>
      </c>
      <c r="AG3103" s="5" t="s">
        <v>7479</v>
      </c>
    </row>
    <row r="3104" spans="1:33" ht="10" customHeight="1" x14ac:dyDescent="0.2">
      <c r="A3104" s="5" t="s">
        <v>7149</v>
      </c>
      <c r="B3104" s="5" t="s">
        <v>41</v>
      </c>
      <c r="C3104" s="5" t="s">
        <v>7479</v>
      </c>
      <c r="D3104" s="5" t="s">
        <v>7483</v>
      </c>
      <c r="E3104" s="10" t="s">
        <v>53</v>
      </c>
      <c r="F3104" s="5" t="s">
        <v>7465</v>
      </c>
      <c r="I3104" s="11">
        <v>4</v>
      </c>
      <c r="K3104" s="10" t="s">
        <v>46</v>
      </c>
      <c r="L3104" s="5" t="s">
        <v>47</v>
      </c>
      <c r="M3104" s="5" t="s">
        <v>48</v>
      </c>
      <c r="N3104" s="5" t="s">
        <v>84</v>
      </c>
      <c r="O3104" s="14">
        <v>46057</v>
      </c>
      <c r="P3104" s="13">
        <v>8101</v>
      </c>
      <c r="Q3104" s="13">
        <v>6238</v>
      </c>
      <c r="S3104" s="13">
        <v>0</v>
      </c>
      <c r="U3104" s="13">
        <v>0</v>
      </c>
      <c r="AC3104" s="10" t="s">
        <v>7484</v>
      </c>
      <c r="AD3104" s="5" t="s">
        <v>4802</v>
      </c>
      <c r="AE3104" s="5" t="s">
        <v>7460</v>
      </c>
      <c r="AF3104" s="5" t="s">
        <v>7482</v>
      </c>
      <c r="AG3104" s="5" t="s">
        <v>7479</v>
      </c>
    </row>
    <row r="3105" spans="1:33" ht="10" customHeight="1" x14ac:dyDescent="0.2">
      <c r="A3105" s="5" t="s">
        <v>7149</v>
      </c>
      <c r="B3105" s="5" t="s">
        <v>41</v>
      </c>
      <c r="C3105" s="5" t="s">
        <v>7479</v>
      </c>
      <c r="D3105" s="5" t="s">
        <v>7485</v>
      </c>
      <c r="E3105" s="10" t="s">
        <v>53</v>
      </c>
      <c r="F3105" s="5" t="s">
        <v>7465</v>
      </c>
      <c r="I3105" s="11">
        <v>4</v>
      </c>
      <c r="K3105" s="10" t="s">
        <v>46</v>
      </c>
      <c r="L3105" s="5" t="s">
        <v>47</v>
      </c>
      <c r="M3105" s="5" t="s">
        <v>48</v>
      </c>
      <c r="N3105" s="5" t="s">
        <v>84</v>
      </c>
      <c r="O3105" s="14">
        <v>337082</v>
      </c>
      <c r="P3105" s="13">
        <v>31059</v>
      </c>
      <c r="Q3105" s="13">
        <v>4465</v>
      </c>
      <c r="S3105" s="13">
        <v>0</v>
      </c>
      <c r="U3105" s="13">
        <v>0</v>
      </c>
      <c r="AC3105" s="10" t="s">
        <v>7486</v>
      </c>
      <c r="AD3105" s="5" t="s">
        <v>7487</v>
      </c>
      <c r="AE3105" s="5" t="s">
        <v>7460</v>
      </c>
      <c r="AF3105" s="5" t="s">
        <v>7482</v>
      </c>
      <c r="AG3105" s="5" t="s">
        <v>7479</v>
      </c>
    </row>
    <row r="3106" spans="1:33" ht="10" customHeight="1" x14ac:dyDescent="0.2">
      <c r="A3106" s="5" t="s">
        <v>7149</v>
      </c>
      <c r="B3106" s="5" t="s">
        <v>41</v>
      </c>
      <c r="C3106" s="5" t="s">
        <v>7479</v>
      </c>
      <c r="D3106" s="5" t="s">
        <v>7488</v>
      </c>
      <c r="E3106" s="10" t="s">
        <v>53</v>
      </c>
      <c r="F3106" s="5" t="s">
        <v>7465</v>
      </c>
      <c r="I3106" s="11">
        <v>4</v>
      </c>
      <c r="K3106" s="10" t="s">
        <v>46</v>
      </c>
      <c r="L3106" s="5" t="s">
        <v>47</v>
      </c>
      <c r="M3106" s="5" t="s">
        <v>48</v>
      </c>
      <c r="N3106" s="5" t="s">
        <v>84</v>
      </c>
      <c r="O3106" s="14">
        <v>151568</v>
      </c>
      <c r="P3106" s="13">
        <v>10095</v>
      </c>
      <c r="Q3106" s="13">
        <v>10656</v>
      </c>
      <c r="S3106" s="13">
        <v>12787</v>
      </c>
      <c r="U3106" s="13">
        <v>12787</v>
      </c>
      <c r="AC3106" s="10" t="s">
        <v>7489</v>
      </c>
      <c r="AD3106" s="5" t="s">
        <v>2163</v>
      </c>
      <c r="AE3106" s="5" t="s">
        <v>7460</v>
      </c>
      <c r="AF3106" s="5" t="s">
        <v>7482</v>
      </c>
      <c r="AG3106" s="5" t="s">
        <v>7479</v>
      </c>
    </row>
    <row r="3107" spans="1:33" ht="10" customHeight="1" x14ac:dyDescent="0.2">
      <c r="A3107" s="5" t="s">
        <v>7149</v>
      </c>
      <c r="B3107" s="5" t="s">
        <v>41</v>
      </c>
      <c r="C3107" s="5" t="s">
        <v>7479</v>
      </c>
      <c r="D3107" s="5" t="s">
        <v>7490</v>
      </c>
      <c r="E3107" s="10" t="s">
        <v>53</v>
      </c>
      <c r="F3107" s="5" t="s">
        <v>7465</v>
      </c>
      <c r="I3107" s="11">
        <v>4</v>
      </c>
      <c r="K3107" s="10" t="s">
        <v>46</v>
      </c>
      <c r="L3107" s="5" t="s">
        <v>47</v>
      </c>
      <c r="M3107" s="5" t="s">
        <v>48</v>
      </c>
      <c r="N3107" s="5" t="s">
        <v>84</v>
      </c>
      <c r="O3107" s="14">
        <v>58734</v>
      </c>
      <c r="P3107" s="13">
        <v>20391</v>
      </c>
      <c r="Q3107" s="13">
        <v>38394</v>
      </c>
      <c r="S3107" s="13">
        <v>27173</v>
      </c>
      <c r="U3107" s="13">
        <v>27173</v>
      </c>
      <c r="AC3107" s="10" t="s">
        <v>7491</v>
      </c>
      <c r="AD3107" s="5" t="s">
        <v>2207</v>
      </c>
      <c r="AE3107" s="5" t="s">
        <v>7460</v>
      </c>
      <c r="AF3107" s="5" t="s">
        <v>7482</v>
      </c>
      <c r="AG3107" s="5" t="s">
        <v>7479</v>
      </c>
    </row>
    <row r="3108" spans="1:33" ht="10" customHeight="1" x14ac:dyDescent="0.2">
      <c r="A3108" s="5" t="s">
        <v>7149</v>
      </c>
      <c r="B3108" s="5" t="s">
        <v>41</v>
      </c>
      <c r="C3108" s="5" t="s">
        <v>7479</v>
      </c>
      <c r="D3108" s="5" t="s">
        <v>7492</v>
      </c>
      <c r="E3108" s="10" t="s">
        <v>53</v>
      </c>
      <c r="F3108" s="5" t="s">
        <v>7465</v>
      </c>
      <c r="I3108" s="11">
        <v>1</v>
      </c>
      <c r="J3108" s="5" t="s">
        <v>246</v>
      </c>
      <c r="K3108" s="10" t="s">
        <v>46</v>
      </c>
      <c r="L3108" s="5" t="s">
        <v>47</v>
      </c>
      <c r="M3108" s="5" t="s">
        <v>48</v>
      </c>
      <c r="N3108" s="5" t="s">
        <v>49</v>
      </c>
      <c r="O3108" s="14">
        <v>0</v>
      </c>
      <c r="P3108" s="13">
        <v>0</v>
      </c>
      <c r="Q3108" s="13">
        <v>0</v>
      </c>
      <c r="S3108" s="13">
        <v>8610</v>
      </c>
      <c r="U3108" s="13">
        <v>8610</v>
      </c>
      <c r="AC3108" s="10" t="s">
        <v>7493</v>
      </c>
      <c r="AD3108" s="5" t="s">
        <v>2260</v>
      </c>
      <c r="AE3108" s="5" t="s">
        <v>7460</v>
      </c>
      <c r="AF3108" s="5" t="s">
        <v>7482</v>
      </c>
      <c r="AG3108" s="5" t="s">
        <v>7479</v>
      </c>
    </row>
    <row r="3109" spans="1:33" ht="10" customHeight="1" x14ac:dyDescent="0.2">
      <c r="A3109" s="5" t="s">
        <v>7149</v>
      </c>
      <c r="B3109" s="5" t="s">
        <v>41</v>
      </c>
      <c r="C3109" s="5" t="s">
        <v>7479</v>
      </c>
      <c r="D3109" s="5" t="s">
        <v>7494</v>
      </c>
      <c r="E3109" s="10" t="s">
        <v>53</v>
      </c>
      <c r="F3109" s="5" t="s">
        <v>7465</v>
      </c>
      <c r="I3109" s="11">
        <v>4</v>
      </c>
      <c r="K3109" s="10" t="s">
        <v>46</v>
      </c>
      <c r="L3109" s="5" t="s">
        <v>47</v>
      </c>
      <c r="M3109" s="5" t="s">
        <v>48</v>
      </c>
      <c r="N3109" s="5" t="s">
        <v>84</v>
      </c>
      <c r="O3109" s="14">
        <v>0</v>
      </c>
      <c r="P3109" s="13">
        <v>0</v>
      </c>
      <c r="Q3109" s="13">
        <v>8397</v>
      </c>
      <c r="S3109" s="13">
        <v>5762</v>
      </c>
      <c r="U3109" s="13">
        <v>5762</v>
      </c>
      <c r="AC3109" s="10" t="s">
        <v>7495</v>
      </c>
      <c r="AD3109" s="5" t="s">
        <v>2302</v>
      </c>
      <c r="AE3109" s="5" t="s">
        <v>7460</v>
      </c>
      <c r="AF3109" s="5" t="s">
        <v>7482</v>
      </c>
      <c r="AG3109" s="5" t="s">
        <v>7479</v>
      </c>
    </row>
    <row r="3110" spans="1:33" ht="10" customHeight="1" x14ac:dyDescent="0.2">
      <c r="A3110" s="5" t="s">
        <v>7149</v>
      </c>
      <c r="B3110" s="5" t="s">
        <v>41</v>
      </c>
      <c r="C3110" s="5" t="s">
        <v>7496</v>
      </c>
      <c r="D3110" s="5" t="s">
        <v>7497</v>
      </c>
      <c r="E3110" s="10" t="s">
        <v>44</v>
      </c>
      <c r="I3110" s="11">
        <v>4</v>
      </c>
      <c r="K3110" s="12"/>
      <c r="O3110" s="14">
        <v>219227</v>
      </c>
      <c r="P3110" s="13">
        <v>37301</v>
      </c>
      <c r="Q3110" s="13">
        <v>25362</v>
      </c>
      <c r="S3110" s="13">
        <v>25721</v>
      </c>
      <c r="T3110" s="13">
        <v>0</v>
      </c>
      <c r="U3110" s="13">
        <v>25721</v>
      </c>
      <c r="Z3110" s="13">
        <v>25105</v>
      </c>
      <c r="AB3110" s="13">
        <v>25105</v>
      </c>
      <c r="AC3110" s="10" t="s">
        <v>7498</v>
      </c>
      <c r="AD3110" s="5" t="s">
        <v>2346</v>
      </c>
      <c r="AE3110" s="5" t="s">
        <v>7496</v>
      </c>
    </row>
    <row r="3111" spans="1:33" ht="10" customHeight="1" x14ac:dyDescent="0.2">
      <c r="A3111" s="5" t="s">
        <v>7149</v>
      </c>
      <c r="B3111" s="5" t="s">
        <v>41</v>
      </c>
      <c r="D3111" s="5" t="s">
        <v>7499</v>
      </c>
      <c r="E3111" s="10" t="s">
        <v>53</v>
      </c>
      <c r="F3111" s="5" t="s">
        <v>7500</v>
      </c>
      <c r="I3111" s="11">
        <v>4</v>
      </c>
      <c r="K3111" s="10" t="s">
        <v>46</v>
      </c>
      <c r="L3111" s="5" t="s">
        <v>47</v>
      </c>
      <c r="M3111" s="5" t="s">
        <v>115</v>
      </c>
      <c r="O3111" s="14">
        <v>33769</v>
      </c>
      <c r="P3111" s="13">
        <v>7017</v>
      </c>
      <c r="Q3111" s="13">
        <v>5664</v>
      </c>
      <c r="S3111" s="13">
        <v>5773</v>
      </c>
      <c r="U3111" s="13">
        <v>5773</v>
      </c>
      <c r="AC3111" s="10" t="s">
        <v>7501</v>
      </c>
      <c r="AD3111" s="5" t="s">
        <v>2405</v>
      </c>
      <c r="AE3111" s="5" t="s">
        <v>7496</v>
      </c>
    </row>
    <row r="3112" spans="1:33" ht="10" customHeight="1" x14ac:dyDescent="0.2">
      <c r="A3112" s="5" t="s">
        <v>7149</v>
      </c>
      <c r="B3112" s="5" t="s">
        <v>41</v>
      </c>
      <c r="C3112" s="5" t="s">
        <v>7502</v>
      </c>
      <c r="D3112" s="5" t="s">
        <v>7503</v>
      </c>
      <c r="E3112" s="10" t="s">
        <v>53</v>
      </c>
      <c r="F3112" s="5" t="s">
        <v>7504</v>
      </c>
      <c r="I3112" s="11">
        <v>4</v>
      </c>
      <c r="K3112" s="10" t="s">
        <v>46</v>
      </c>
      <c r="L3112" s="5" t="s">
        <v>47</v>
      </c>
      <c r="M3112" s="5" t="s">
        <v>115</v>
      </c>
      <c r="O3112" s="14">
        <v>16696</v>
      </c>
      <c r="P3112" s="13">
        <v>2007</v>
      </c>
      <c r="Q3112" s="13">
        <v>2047</v>
      </c>
      <c r="S3112" s="13">
        <v>2088</v>
      </c>
      <c r="U3112" s="13">
        <v>2088</v>
      </c>
      <c r="AC3112" s="10" t="s">
        <v>7505</v>
      </c>
      <c r="AD3112" s="5" t="s">
        <v>2414</v>
      </c>
      <c r="AE3112" s="5" t="s">
        <v>7496</v>
      </c>
      <c r="AG3112" s="5" t="s">
        <v>7502</v>
      </c>
    </row>
    <row r="3113" spans="1:33" ht="10" customHeight="1" x14ac:dyDescent="0.2">
      <c r="A3113" s="5" t="s">
        <v>7149</v>
      </c>
      <c r="B3113" s="5" t="s">
        <v>41</v>
      </c>
      <c r="C3113" s="5" t="s">
        <v>7506</v>
      </c>
      <c r="D3113" s="5" t="s">
        <v>7507</v>
      </c>
      <c r="E3113" s="10" t="s">
        <v>53</v>
      </c>
      <c r="F3113" s="5" t="s">
        <v>7504</v>
      </c>
      <c r="I3113" s="11">
        <v>4</v>
      </c>
      <c r="K3113" s="10" t="s">
        <v>46</v>
      </c>
      <c r="L3113" s="5" t="s">
        <v>47</v>
      </c>
      <c r="M3113" s="5" t="s">
        <v>115</v>
      </c>
      <c r="O3113" s="14">
        <v>14266</v>
      </c>
      <c r="P3113" s="13">
        <v>4678</v>
      </c>
      <c r="Q3113" s="13">
        <v>3279</v>
      </c>
      <c r="S3113" s="13">
        <v>3341</v>
      </c>
      <c r="U3113" s="13">
        <v>3341</v>
      </c>
      <c r="AC3113" s="10" t="s">
        <v>7508</v>
      </c>
      <c r="AD3113" s="5" t="s">
        <v>2414</v>
      </c>
      <c r="AE3113" s="5" t="s">
        <v>7496</v>
      </c>
      <c r="AG3113" s="5" t="s">
        <v>7506</v>
      </c>
    </row>
    <row r="3114" spans="1:33" ht="10" customHeight="1" x14ac:dyDescent="0.2">
      <c r="A3114" s="5" t="s">
        <v>7149</v>
      </c>
      <c r="B3114" s="5" t="s">
        <v>41</v>
      </c>
      <c r="C3114" s="5" t="s">
        <v>7509</v>
      </c>
      <c r="D3114" s="5" t="s">
        <v>7510</v>
      </c>
      <c r="E3114" s="10" t="s">
        <v>53</v>
      </c>
      <c r="F3114" s="5" t="s">
        <v>7504</v>
      </c>
      <c r="I3114" s="11">
        <v>6</v>
      </c>
      <c r="K3114" s="12"/>
      <c r="O3114" s="14">
        <v>869</v>
      </c>
      <c r="P3114" s="13">
        <v>100</v>
      </c>
      <c r="Q3114" s="13">
        <v>102</v>
      </c>
      <c r="S3114" s="13">
        <v>104</v>
      </c>
      <c r="U3114" s="13">
        <v>104</v>
      </c>
      <c r="AC3114" s="10" t="s">
        <v>7511</v>
      </c>
      <c r="AD3114" s="5" t="s">
        <v>2423</v>
      </c>
      <c r="AE3114" s="5" t="s">
        <v>7496</v>
      </c>
      <c r="AG3114" s="5" t="s">
        <v>7509</v>
      </c>
    </row>
    <row r="3115" spans="1:33" ht="10" customHeight="1" x14ac:dyDescent="0.2">
      <c r="A3115" s="5" t="s">
        <v>7149</v>
      </c>
      <c r="B3115" s="5" t="s">
        <v>41</v>
      </c>
      <c r="C3115" s="5" t="s">
        <v>7512</v>
      </c>
      <c r="D3115" s="5" t="s">
        <v>7513</v>
      </c>
      <c r="E3115" s="10" t="s">
        <v>53</v>
      </c>
      <c r="F3115" s="5" t="s">
        <v>7504</v>
      </c>
      <c r="I3115" s="11">
        <v>4</v>
      </c>
      <c r="K3115" s="12"/>
      <c r="O3115" s="14">
        <v>1938</v>
      </c>
      <c r="P3115" s="13">
        <v>232</v>
      </c>
      <c r="Q3115" s="13">
        <v>236</v>
      </c>
      <c r="S3115" s="13">
        <v>240</v>
      </c>
      <c r="U3115" s="13">
        <v>240</v>
      </c>
      <c r="AC3115" s="10" t="s">
        <v>7514</v>
      </c>
      <c r="AD3115" s="5" t="s">
        <v>2423</v>
      </c>
      <c r="AE3115" s="5" t="s">
        <v>7496</v>
      </c>
      <c r="AF3115" s="5" t="s">
        <v>7515</v>
      </c>
    </row>
    <row r="3116" spans="1:33" ht="10" customHeight="1" x14ac:dyDescent="0.2">
      <c r="A3116" s="5" t="s">
        <v>7149</v>
      </c>
      <c r="B3116" s="5" t="s">
        <v>41</v>
      </c>
      <c r="D3116" s="5" t="s">
        <v>7516</v>
      </c>
      <c r="E3116" s="10" t="s">
        <v>53</v>
      </c>
      <c r="F3116" s="5" t="s">
        <v>7500</v>
      </c>
      <c r="I3116" s="11">
        <v>6</v>
      </c>
      <c r="K3116" s="12"/>
      <c r="O3116" s="14">
        <v>153555</v>
      </c>
      <c r="P3116" s="13">
        <v>26918</v>
      </c>
      <c r="Q3116" s="13">
        <v>18095</v>
      </c>
      <c r="S3116" s="13">
        <v>18317</v>
      </c>
      <c r="U3116" s="13">
        <v>18317</v>
      </c>
      <c r="AC3116" s="10" t="s">
        <v>7517</v>
      </c>
      <c r="AD3116" s="5" t="s">
        <v>2436</v>
      </c>
      <c r="AE3116" s="5" t="s">
        <v>7496</v>
      </c>
    </row>
    <row r="3117" spans="1:33" ht="10" customHeight="1" x14ac:dyDescent="0.2">
      <c r="A3117" s="5" t="s">
        <v>7149</v>
      </c>
      <c r="B3117" s="5" t="s">
        <v>41</v>
      </c>
      <c r="C3117" s="5" t="s">
        <v>7518</v>
      </c>
      <c r="D3117" s="5" t="s">
        <v>7519</v>
      </c>
      <c r="E3117" s="10" t="s">
        <v>53</v>
      </c>
      <c r="F3117" s="5" t="s">
        <v>7520</v>
      </c>
      <c r="I3117" s="11">
        <v>6</v>
      </c>
      <c r="K3117" s="12"/>
      <c r="O3117" s="14">
        <v>23759</v>
      </c>
      <c r="P3117" s="13">
        <v>3124</v>
      </c>
      <c r="Q3117" s="13">
        <v>3181</v>
      </c>
      <c r="S3117" s="13">
        <v>3241</v>
      </c>
      <c r="U3117" s="13">
        <v>3241</v>
      </c>
      <c r="AC3117" s="10" t="s">
        <v>7521</v>
      </c>
      <c r="AD3117" s="5" t="s">
        <v>2436</v>
      </c>
      <c r="AE3117" s="5" t="s">
        <v>7496</v>
      </c>
      <c r="AG3117" s="5" t="s">
        <v>7518</v>
      </c>
    </row>
    <row r="3118" spans="1:33" ht="10" customHeight="1" x14ac:dyDescent="0.2">
      <c r="A3118" s="5" t="s">
        <v>7149</v>
      </c>
      <c r="B3118" s="5" t="s">
        <v>41</v>
      </c>
      <c r="C3118" s="5" t="s">
        <v>7522</v>
      </c>
      <c r="D3118" s="5" t="s">
        <v>7523</v>
      </c>
      <c r="E3118" s="10" t="s">
        <v>53</v>
      </c>
      <c r="F3118" s="5" t="s">
        <v>7520</v>
      </c>
      <c r="I3118" s="11">
        <v>6</v>
      </c>
      <c r="K3118" s="12"/>
      <c r="O3118" s="14">
        <v>26345</v>
      </c>
      <c r="P3118" s="13">
        <v>11915</v>
      </c>
      <c r="Q3118" s="13">
        <v>2817</v>
      </c>
      <c r="S3118" s="13">
        <v>2647</v>
      </c>
      <c r="U3118" s="13">
        <v>2647</v>
      </c>
      <c r="AC3118" s="10" t="s">
        <v>7524</v>
      </c>
      <c r="AD3118" s="5" t="s">
        <v>2436</v>
      </c>
      <c r="AE3118" s="5" t="s">
        <v>7496</v>
      </c>
      <c r="AG3118" s="5" t="s">
        <v>7522</v>
      </c>
    </row>
    <row r="3119" spans="1:33" ht="10" customHeight="1" x14ac:dyDescent="0.2">
      <c r="A3119" s="5" t="s">
        <v>7149</v>
      </c>
      <c r="B3119" s="5" t="s">
        <v>41</v>
      </c>
      <c r="C3119" s="5" t="s">
        <v>7525</v>
      </c>
      <c r="D3119" s="5" t="s">
        <v>7526</v>
      </c>
      <c r="E3119" s="10" t="s">
        <v>53</v>
      </c>
      <c r="F3119" s="5" t="s">
        <v>7520</v>
      </c>
      <c r="I3119" s="11">
        <v>6</v>
      </c>
      <c r="K3119" s="12"/>
      <c r="O3119" s="14">
        <v>9024</v>
      </c>
      <c r="P3119" s="13">
        <v>1037</v>
      </c>
      <c r="Q3119" s="13">
        <v>1064</v>
      </c>
      <c r="S3119" s="13">
        <v>1098</v>
      </c>
      <c r="U3119" s="13">
        <v>1098</v>
      </c>
      <c r="AC3119" s="10" t="s">
        <v>7527</v>
      </c>
      <c r="AD3119" s="5" t="s">
        <v>2436</v>
      </c>
      <c r="AE3119" s="5" t="s">
        <v>7496</v>
      </c>
      <c r="AG3119" s="5" t="s">
        <v>7525</v>
      </c>
    </row>
    <row r="3120" spans="1:33" ht="10" customHeight="1" x14ac:dyDescent="0.2">
      <c r="A3120" s="5" t="s">
        <v>7149</v>
      </c>
      <c r="B3120" s="5" t="s">
        <v>41</v>
      </c>
      <c r="C3120" s="5" t="s">
        <v>7528</v>
      </c>
      <c r="D3120" s="5" t="s">
        <v>7529</v>
      </c>
      <c r="E3120" s="10" t="s">
        <v>53</v>
      </c>
      <c r="F3120" s="5" t="s">
        <v>7520</v>
      </c>
      <c r="I3120" s="11">
        <v>6</v>
      </c>
      <c r="K3120" s="12"/>
      <c r="O3120" s="14">
        <v>1511</v>
      </c>
      <c r="P3120" s="13">
        <v>194</v>
      </c>
      <c r="Q3120" s="13">
        <v>200</v>
      </c>
      <c r="S3120" s="13">
        <v>201</v>
      </c>
      <c r="U3120" s="13">
        <v>201</v>
      </c>
      <c r="AC3120" s="10" t="s">
        <v>7530</v>
      </c>
      <c r="AD3120" s="5" t="s">
        <v>2436</v>
      </c>
      <c r="AE3120" s="5" t="s">
        <v>7496</v>
      </c>
      <c r="AG3120" s="5" t="s">
        <v>7528</v>
      </c>
    </row>
    <row r="3121" spans="1:33" ht="10" customHeight="1" x14ac:dyDescent="0.2">
      <c r="A3121" s="5" t="s">
        <v>7149</v>
      </c>
      <c r="B3121" s="5" t="s">
        <v>41</v>
      </c>
      <c r="C3121" s="5" t="s">
        <v>7531</v>
      </c>
      <c r="D3121" s="5" t="s">
        <v>7532</v>
      </c>
      <c r="E3121" s="10" t="s">
        <v>53</v>
      </c>
      <c r="F3121" s="5" t="s">
        <v>7520</v>
      </c>
      <c r="I3121" s="11">
        <v>6</v>
      </c>
      <c r="K3121" s="12"/>
      <c r="O3121" s="14">
        <v>81379</v>
      </c>
      <c r="P3121" s="13">
        <v>9273</v>
      </c>
      <c r="Q3121" s="13">
        <v>10100</v>
      </c>
      <c r="S3121" s="13">
        <v>10397</v>
      </c>
      <c r="U3121" s="13">
        <v>10397</v>
      </c>
      <c r="AC3121" s="10" t="s">
        <v>7533</v>
      </c>
      <c r="AD3121" s="5" t="s">
        <v>2436</v>
      </c>
      <c r="AE3121" s="5" t="s">
        <v>7496</v>
      </c>
      <c r="AG3121" s="5" t="s">
        <v>7531</v>
      </c>
    </row>
    <row r="3122" spans="1:33" ht="10" customHeight="1" x14ac:dyDescent="0.2">
      <c r="A3122" s="5" t="s">
        <v>7149</v>
      </c>
      <c r="B3122" s="5" t="s">
        <v>41</v>
      </c>
      <c r="C3122" s="5" t="s">
        <v>7534</v>
      </c>
      <c r="D3122" s="5" t="s">
        <v>7535</v>
      </c>
      <c r="E3122" s="10" t="s">
        <v>53</v>
      </c>
      <c r="F3122" s="5" t="s">
        <v>7520</v>
      </c>
      <c r="I3122" s="11">
        <v>6</v>
      </c>
      <c r="K3122" s="12"/>
      <c r="O3122" s="14">
        <v>7170</v>
      </c>
      <c r="P3122" s="13">
        <v>883</v>
      </c>
      <c r="Q3122" s="13">
        <v>537</v>
      </c>
      <c r="S3122" s="13">
        <v>533</v>
      </c>
      <c r="U3122" s="13">
        <v>533</v>
      </c>
      <c r="AC3122" s="10" t="s">
        <v>7536</v>
      </c>
      <c r="AD3122" s="5" t="s">
        <v>2436</v>
      </c>
      <c r="AE3122" s="5" t="s">
        <v>7496</v>
      </c>
      <c r="AF3122" s="5" t="s">
        <v>7537</v>
      </c>
      <c r="AG3122" s="5" t="s">
        <v>7534</v>
      </c>
    </row>
    <row r="3123" spans="1:33" ht="10" customHeight="1" x14ac:dyDescent="0.2">
      <c r="A3123" s="5" t="s">
        <v>7149</v>
      </c>
      <c r="B3123" s="5" t="s">
        <v>41</v>
      </c>
      <c r="C3123" s="5" t="s">
        <v>7538</v>
      </c>
      <c r="D3123" s="5" t="s">
        <v>7539</v>
      </c>
      <c r="E3123" s="10" t="s">
        <v>53</v>
      </c>
      <c r="F3123" s="5" t="s">
        <v>7520</v>
      </c>
      <c r="I3123" s="11">
        <v>6</v>
      </c>
      <c r="K3123" s="12"/>
      <c r="O3123" s="14">
        <v>1365</v>
      </c>
      <c r="P3123" s="13">
        <v>144</v>
      </c>
      <c r="Q3123" s="13">
        <v>196</v>
      </c>
      <c r="S3123" s="13">
        <v>200</v>
      </c>
      <c r="U3123" s="13">
        <v>200</v>
      </c>
      <c r="AC3123" s="10" t="s">
        <v>7540</v>
      </c>
      <c r="AD3123" s="5" t="s">
        <v>2436</v>
      </c>
      <c r="AE3123" s="5" t="s">
        <v>7496</v>
      </c>
      <c r="AF3123" s="5" t="s">
        <v>7541</v>
      </c>
      <c r="AG3123" s="5" t="s">
        <v>7538</v>
      </c>
    </row>
    <row r="3124" spans="1:33" ht="10" customHeight="1" x14ac:dyDescent="0.2">
      <c r="A3124" s="5" t="s">
        <v>7149</v>
      </c>
      <c r="B3124" s="5" t="s">
        <v>41</v>
      </c>
      <c r="C3124" s="5" t="s">
        <v>7542</v>
      </c>
      <c r="D3124" s="5" t="s">
        <v>7543</v>
      </c>
      <c r="E3124" s="10" t="s">
        <v>53</v>
      </c>
      <c r="F3124" s="5" t="s">
        <v>7500</v>
      </c>
      <c r="I3124" s="11">
        <v>4</v>
      </c>
      <c r="K3124" s="12"/>
      <c r="O3124" s="14">
        <v>11600</v>
      </c>
      <c r="P3124" s="13">
        <v>3366</v>
      </c>
      <c r="Q3124" s="13">
        <v>1603</v>
      </c>
      <c r="S3124" s="13">
        <v>1631</v>
      </c>
      <c r="U3124" s="13">
        <v>1631</v>
      </c>
      <c r="AC3124" s="10" t="s">
        <v>7544</v>
      </c>
      <c r="AD3124" s="5" t="s">
        <v>2462</v>
      </c>
      <c r="AE3124" s="5" t="s">
        <v>7496</v>
      </c>
      <c r="AF3124" s="5" t="s">
        <v>7545</v>
      </c>
      <c r="AG3124" s="5" t="s">
        <v>7542</v>
      </c>
    </row>
    <row r="3125" spans="1:33" ht="10" customHeight="1" x14ac:dyDescent="0.2">
      <c r="A3125" s="5" t="s">
        <v>7149</v>
      </c>
      <c r="B3125" s="5" t="s">
        <v>41</v>
      </c>
      <c r="C3125" s="5" t="s">
        <v>7546</v>
      </c>
      <c r="D3125" s="5" t="s">
        <v>7547</v>
      </c>
      <c r="E3125" s="10" t="s">
        <v>44</v>
      </c>
      <c r="I3125" s="11">
        <v>4</v>
      </c>
      <c r="K3125" s="12"/>
      <c r="O3125" s="14">
        <v>813164</v>
      </c>
      <c r="P3125" s="13">
        <v>25573</v>
      </c>
      <c r="Q3125" s="13">
        <v>26725</v>
      </c>
      <c r="S3125" s="13">
        <v>24822</v>
      </c>
      <c r="T3125" s="13">
        <v>0</v>
      </c>
      <c r="U3125" s="13">
        <v>24822</v>
      </c>
      <c r="Z3125" s="13">
        <v>20575</v>
      </c>
      <c r="AB3125" s="13">
        <v>20575</v>
      </c>
      <c r="AC3125" s="10" t="s">
        <v>7548</v>
      </c>
      <c r="AD3125" s="5" t="s">
        <v>2518</v>
      </c>
      <c r="AE3125" s="5" t="s">
        <v>7546</v>
      </c>
      <c r="AF3125" s="5" t="s">
        <v>7549</v>
      </c>
    </row>
    <row r="3126" spans="1:33" ht="10" customHeight="1" x14ac:dyDescent="0.2">
      <c r="A3126" s="5" t="s">
        <v>7149</v>
      </c>
      <c r="B3126" s="5" t="s">
        <v>41</v>
      </c>
      <c r="C3126" s="5" t="s">
        <v>7550</v>
      </c>
      <c r="D3126" s="5" t="s">
        <v>7551</v>
      </c>
      <c r="E3126" s="10" t="s">
        <v>53</v>
      </c>
      <c r="F3126" s="5" t="s">
        <v>7552</v>
      </c>
      <c r="I3126" s="11">
        <v>4</v>
      </c>
      <c r="K3126" s="12"/>
      <c r="O3126" s="14">
        <v>54955</v>
      </c>
      <c r="P3126" s="13">
        <v>1774</v>
      </c>
      <c r="Q3126" s="13">
        <v>5032</v>
      </c>
      <c r="S3126" s="13">
        <v>4586</v>
      </c>
      <c r="U3126" s="13">
        <v>4586</v>
      </c>
      <c r="AC3126" s="10" t="s">
        <v>7553</v>
      </c>
      <c r="AD3126" s="5" t="s">
        <v>112</v>
      </c>
      <c r="AE3126" s="5" t="s">
        <v>7546</v>
      </c>
      <c r="AF3126" s="5" t="s">
        <v>7549</v>
      </c>
      <c r="AG3126" s="5" t="s">
        <v>7550</v>
      </c>
    </row>
    <row r="3127" spans="1:33" ht="10" customHeight="1" x14ac:dyDescent="0.2">
      <c r="A3127" s="5" t="s">
        <v>7149</v>
      </c>
      <c r="B3127" s="5" t="s">
        <v>41</v>
      </c>
      <c r="C3127" s="5" t="s">
        <v>7554</v>
      </c>
      <c r="D3127" s="5" t="s">
        <v>7555</v>
      </c>
      <c r="E3127" s="10" t="s">
        <v>53</v>
      </c>
      <c r="F3127" s="5" t="s">
        <v>7552</v>
      </c>
      <c r="I3127" s="11">
        <v>4</v>
      </c>
      <c r="K3127" s="12"/>
      <c r="O3127" s="14">
        <v>8137</v>
      </c>
      <c r="P3127" s="13">
        <v>3489</v>
      </c>
      <c r="Q3127" s="13">
        <v>963</v>
      </c>
      <c r="S3127" s="13">
        <v>988</v>
      </c>
      <c r="U3127" s="13">
        <v>988</v>
      </c>
      <c r="AC3127" s="10" t="s">
        <v>7556</v>
      </c>
      <c r="AD3127" s="5" t="s">
        <v>7557</v>
      </c>
      <c r="AE3127" s="5" t="s">
        <v>7546</v>
      </c>
      <c r="AF3127" s="5" t="s">
        <v>7549</v>
      </c>
      <c r="AG3127" s="5" t="s">
        <v>7554</v>
      </c>
    </row>
    <row r="3128" spans="1:33" ht="10" customHeight="1" x14ac:dyDescent="0.2">
      <c r="A3128" s="5" t="s">
        <v>7149</v>
      </c>
      <c r="B3128" s="5" t="s">
        <v>41</v>
      </c>
      <c r="D3128" s="5" t="s">
        <v>7558</v>
      </c>
      <c r="E3128" s="10" t="s">
        <v>53</v>
      </c>
      <c r="F3128" s="5" t="s">
        <v>7552</v>
      </c>
      <c r="I3128" s="11">
        <v>4</v>
      </c>
      <c r="K3128" s="12"/>
      <c r="O3128" s="14">
        <v>64350</v>
      </c>
      <c r="Q3128" s="13">
        <v>14460</v>
      </c>
      <c r="S3128" s="13">
        <v>19248</v>
      </c>
      <c r="U3128" s="13">
        <v>19248</v>
      </c>
      <c r="AC3128" s="10" t="s">
        <v>7559</v>
      </c>
      <c r="AD3128" s="5" t="s">
        <v>7560</v>
      </c>
      <c r="AE3128" s="5" t="s">
        <v>7546</v>
      </c>
      <c r="AF3128" s="5" t="s">
        <v>7549</v>
      </c>
    </row>
    <row r="3129" spans="1:33" ht="10" customHeight="1" x14ac:dyDescent="0.2">
      <c r="A3129" s="5" t="s">
        <v>7149</v>
      </c>
      <c r="B3129" s="5" t="s">
        <v>41</v>
      </c>
      <c r="D3129" s="5" t="s">
        <v>7561</v>
      </c>
      <c r="E3129" s="10" t="s">
        <v>53</v>
      </c>
      <c r="F3129" s="5" t="s">
        <v>7552</v>
      </c>
      <c r="I3129" s="11">
        <v>4</v>
      </c>
      <c r="K3129" s="10" t="s">
        <v>46</v>
      </c>
      <c r="L3129" s="5" t="s">
        <v>47</v>
      </c>
      <c r="M3129" s="5" t="s">
        <v>48</v>
      </c>
      <c r="O3129" s="12"/>
      <c r="P3129" s="13">
        <v>3258</v>
      </c>
      <c r="AC3129" s="10" t="s">
        <v>7562</v>
      </c>
      <c r="AD3129" s="5" t="s">
        <v>7560</v>
      </c>
      <c r="AE3129" s="5" t="s">
        <v>7546</v>
      </c>
      <c r="AF3129" s="5" t="s">
        <v>7549</v>
      </c>
    </row>
    <row r="3130" spans="1:33" ht="10" customHeight="1" x14ac:dyDescent="0.2">
      <c r="A3130" s="5" t="s">
        <v>7149</v>
      </c>
      <c r="B3130" s="5" t="s">
        <v>41</v>
      </c>
      <c r="D3130" s="5" t="s">
        <v>7563</v>
      </c>
      <c r="E3130" s="10" t="s">
        <v>53</v>
      </c>
      <c r="F3130" s="5" t="s">
        <v>7552</v>
      </c>
      <c r="I3130" s="11">
        <v>4</v>
      </c>
      <c r="K3130" s="10" t="s">
        <v>46</v>
      </c>
      <c r="L3130" s="5" t="s">
        <v>47</v>
      </c>
      <c r="M3130" s="5" t="s">
        <v>65</v>
      </c>
      <c r="O3130" s="12"/>
      <c r="P3130" s="13">
        <v>2528</v>
      </c>
      <c r="AC3130" s="10" t="s">
        <v>7564</v>
      </c>
      <c r="AD3130" s="5" t="s">
        <v>7560</v>
      </c>
      <c r="AE3130" s="5" t="s">
        <v>7546</v>
      </c>
      <c r="AF3130" s="5" t="s">
        <v>7549</v>
      </c>
    </row>
    <row r="3131" spans="1:33" ht="10" customHeight="1" x14ac:dyDescent="0.2">
      <c r="A3131" s="5" t="s">
        <v>7149</v>
      </c>
      <c r="B3131" s="5" t="s">
        <v>41</v>
      </c>
      <c r="C3131" s="5" t="s">
        <v>7565</v>
      </c>
      <c r="D3131" s="5" t="s">
        <v>7566</v>
      </c>
      <c r="E3131" s="10" t="s">
        <v>44</v>
      </c>
      <c r="I3131" s="11">
        <v>4</v>
      </c>
      <c r="K3131" s="10" t="s">
        <v>46</v>
      </c>
      <c r="L3131" s="5" t="s">
        <v>47</v>
      </c>
      <c r="M3131" s="5" t="s">
        <v>115</v>
      </c>
      <c r="N3131" s="5" t="s">
        <v>116</v>
      </c>
      <c r="O3131" s="14">
        <v>0</v>
      </c>
      <c r="P3131" s="13">
        <v>0</v>
      </c>
      <c r="Q3131" s="13">
        <v>3817</v>
      </c>
      <c r="S3131" s="13">
        <v>2976</v>
      </c>
      <c r="T3131" s="13">
        <v>0</v>
      </c>
      <c r="U3131" s="13">
        <v>2976</v>
      </c>
      <c r="AC3131" s="10" t="s">
        <v>7567</v>
      </c>
      <c r="AD3131" s="5" t="s">
        <v>2665</v>
      </c>
      <c r="AE3131" s="5" t="s">
        <v>7565</v>
      </c>
      <c r="AF3131" s="5" t="s">
        <v>7568</v>
      </c>
    </row>
    <row r="3132" spans="1:33" ht="10" customHeight="1" x14ac:dyDescent="0.2">
      <c r="A3132" s="5" t="s">
        <v>7149</v>
      </c>
      <c r="B3132" s="5" t="s">
        <v>41</v>
      </c>
      <c r="C3132" s="5" t="s">
        <v>7569</v>
      </c>
      <c r="D3132" s="5" t="s">
        <v>7570</v>
      </c>
      <c r="E3132" s="10" t="s">
        <v>53</v>
      </c>
      <c r="F3132" s="5" t="s">
        <v>7571</v>
      </c>
      <c r="I3132" s="11">
        <v>6</v>
      </c>
      <c r="K3132" s="10" t="s">
        <v>46</v>
      </c>
      <c r="L3132" s="5" t="s">
        <v>47</v>
      </c>
      <c r="M3132" s="5" t="s">
        <v>115</v>
      </c>
      <c r="N3132" s="5" t="s">
        <v>116</v>
      </c>
      <c r="O3132" s="12"/>
      <c r="S3132" s="13">
        <v>500</v>
      </c>
      <c r="U3132" s="13">
        <v>500</v>
      </c>
      <c r="AC3132" s="10" t="s">
        <v>7572</v>
      </c>
      <c r="AD3132" s="5" t="s">
        <v>2680</v>
      </c>
      <c r="AE3132" s="5" t="s">
        <v>7565</v>
      </c>
      <c r="AF3132" s="5" t="s">
        <v>7568</v>
      </c>
      <c r="AG3132" s="5" t="s">
        <v>7569</v>
      </c>
    </row>
    <row r="3133" spans="1:33" ht="10" customHeight="1" x14ac:dyDescent="0.2">
      <c r="A3133" s="5" t="s">
        <v>7149</v>
      </c>
      <c r="B3133" s="5" t="s">
        <v>41</v>
      </c>
      <c r="C3133" s="5" t="s">
        <v>7569</v>
      </c>
      <c r="D3133" s="5" t="s">
        <v>7573</v>
      </c>
      <c r="E3133" s="10" t="s">
        <v>53</v>
      </c>
      <c r="F3133" s="5" t="s">
        <v>7571</v>
      </c>
      <c r="I3133" s="11">
        <v>4</v>
      </c>
      <c r="K3133" s="10" t="s">
        <v>46</v>
      </c>
      <c r="L3133" s="5" t="s">
        <v>47</v>
      </c>
      <c r="M3133" s="5" t="s">
        <v>115</v>
      </c>
      <c r="N3133" s="5" t="s">
        <v>116</v>
      </c>
      <c r="O3133" s="12"/>
      <c r="S3133" s="13">
        <v>800</v>
      </c>
      <c r="U3133" s="13">
        <v>800</v>
      </c>
      <c r="AC3133" s="10" t="s">
        <v>7574</v>
      </c>
      <c r="AD3133" s="5" t="s">
        <v>2680</v>
      </c>
      <c r="AE3133" s="5" t="s">
        <v>7565</v>
      </c>
      <c r="AF3133" s="5" t="s">
        <v>7568</v>
      </c>
      <c r="AG3133" s="5" t="s">
        <v>7569</v>
      </c>
    </row>
    <row r="3134" spans="1:33" ht="10" customHeight="1" x14ac:dyDescent="0.2">
      <c r="A3134" s="5" t="s">
        <v>7149</v>
      </c>
      <c r="B3134" s="5" t="s">
        <v>41</v>
      </c>
      <c r="C3134" s="5" t="s">
        <v>7569</v>
      </c>
      <c r="D3134" s="5" t="s">
        <v>7575</v>
      </c>
      <c r="E3134" s="10" t="s">
        <v>53</v>
      </c>
      <c r="F3134" s="5" t="s">
        <v>7571</v>
      </c>
      <c r="I3134" s="11">
        <v>6</v>
      </c>
      <c r="K3134" s="12"/>
      <c r="O3134" s="12"/>
      <c r="S3134" s="13">
        <v>1576</v>
      </c>
      <c r="U3134" s="13">
        <v>1576</v>
      </c>
      <c r="AC3134" s="10" t="s">
        <v>7576</v>
      </c>
      <c r="AD3134" s="5" t="s">
        <v>2680</v>
      </c>
      <c r="AE3134" s="5" t="s">
        <v>7565</v>
      </c>
      <c r="AF3134" s="5" t="s">
        <v>7568</v>
      </c>
      <c r="AG3134" s="5" t="s">
        <v>7569</v>
      </c>
    </row>
    <row r="3135" spans="1:33" ht="10" customHeight="1" x14ac:dyDescent="0.2">
      <c r="A3135" s="5" t="s">
        <v>7149</v>
      </c>
      <c r="B3135" s="5" t="s">
        <v>41</v>
      </c>
      <c r="C3135" s="5" t="s">
        <v>7569</v>
      </c>
      <c r="D3135" s="5" t="s">
        <v>7577</v>
      </c>
      <c r="E3135" s="10" t="s">
        <v>53</v>
      </c>
      <c r="F3135" s="5" t="s">
        <v>7571</v>
      </c>
      <c r="I3135" s="11">
        <v>4</v>
      </c>
      <c r="K3135" s="12"/>
      <c r="O3135" s="12"/>
      <c r="S3135" s="13">
        <v>100</v>
      </c>
      <c r="U3135" s="13">
        <v>100</v>
      </c>
      <c r="AC3135" s="10" t="s">
        <v>7578</v>
      </c>
      <c r="AD3135" s="5" t="s">
        <v>2680</v>
      </c>
      <c r="AE3135" s="5" t="s">
        <v>7565</v>
      </c>
      <c r="AF3135" s="5" t="s">
        <v>7568</v>
      </c>
      <c r="AG3135" s="5" t="s">
        <v>7569</v>
      </c>
    </row>
    <row r="3136" spans="1:33" ht="10" customHeight="1" x14ac:dyDescent="0.2">
      <c r="A3136" s="5" t="s">
        <v>7149</v>
      </c>
      <c r="B3136" s="5" t="s">
        <v>41</v>
      </c>
      <c r="C3136" s="5" t="s">
        <v>7579</v>
      </c>
      <c r="D3136" s="5" t="s">
        <v>6365</v>
      </c>
      <c r="E3136" s="10" t="s">
        <v>44</v>
      </c>
      <c r="I3136" s="11">
        <v>4</v>
      </c>
      <c r="K3136" s="12"/>
      <c r="O3136" s="14">
        <v>106809</v>
      </c>
      <c r="P3136" s="13">
        <v>4767</v>
      </c>
      <c r="Q3136" s="13">
        <v>3193</v>
      </c>
      <c r="S3136" s="13">
        <v>3635</v>
      </c>
      <c r="T3136" s="13">
        <v>0</v>
      </c>
      <c r="U3136" s="13">
        <v>3635</v>
      </c>
      <c r="Z3136" s="13">
        <v>69425</v>
      </c>
      <c r="AB3136" s="13">
        <v>69425</v>
      </c>
      <c r="AC3136" s="10" t="s">
        <v>7580</v>
      </c>
      <c r="AD3136" s="5" t="s">
        <v>2701</v>
      </c>
      <c r="AE3136" s="5" t="s">
        <v>7579</v>
      </c>
    </row>
    <row r="3137" spans="1:33" ht="10" customHeight="1" x14ac:dyDescent="0.2">
      <c r="A3137" s="5" t="s">
        <v>7149</v>
      </c>
      <c r="B3137" s="5" t="s">
        <v>41</v>
      </c>
      <c r="C3137" s="5" t="s">
        <v>7581</v>
      </c>
      <c r="D3137" s="5" t="s">
        <v>7582</v>
      </c>
      <c r="E3137" s="10" t="s">
        <v>53</v>
      </c>
      <c r="F3137" s="5" t="s">
        <v>7583</v>
      </c>
      <c r="I3137" s="11">
        <v>6</v>
      </c>
      <c r="K3137" s="10" t="s">
        <v>46</v>
      </c>
      <c r="L3137" s="5" t="s">
        <v>47</v>
      </c>
      <c r="M3137" s="5" t="s">
        <v>4680</v>
      </c>
      <c r="O3137" s="14">
        <v>25310</v>
      </c>
      <c r="P3137" s="13">
        <v>2805</v>
      </c>
      <c r="Q3137" s="13">
        <v>2646</v>
      </c>
      <c r="S3137" s="13">
        <v>3074</v>
      </c>
      <c r="U3137" s="13">
        <v>3074</v>
      </c>
      <c r="AC3137" s="10" t="s">
        <v>7584</v>
      </c>
      <c r="AD3137" s="5" t="s">
        <v>2708</v>
      </c>
      <c r="AE3137" s="5" t="s">
        <v>7579</v>
      </c>
      <c r="AG3137" s="5" t="s">
        <v>7581</v>
      </c>
    </row>
    <row r="3138" spans="1:33" ht="10" customHeight="1" x14ac:dyDescent="0.2">
      <c r="A3138" s="5" t="s">
        <v>7149</v>
      </c>
      <c r="B3138" s="5" t="s">
        <v>41</v>
      </c>
      <c r="C3138" s="5" t="s">
        <v>7585</v>
      </c>
      <c r="D3138" s="5" t="s">
        <v>7586</v>
      </c>
      <c r="E3138" s="10" t="s">
        <v>53</v>
      </c>
      <c r="F3138" s="5" t="s">
        <v>7583</v>
      </c>
      <c r="I3138" s="11">
        <v>6</v>
      </c>
      <c r="K3138" s="12"/>
      <c r="O3138" s="14">
        <v>11731</v>
      </c>
      <c r="P3138" s="13">
        <v>541</v>
      </c>
      <c r="Q3138" s="13">
        <v>547</v>
      </c>
      <c r="S3138" s="13">
        <v>561</v>
      </c>
      <c r="U3138" s="13">
        <v>561</v>
      </c>
      <c r="AC3138" s="10" t="s">
        <v>7587</v>
      </c>
      <c r="AD3138" s="5" t="s">
        <v>2717</v>
      </c>
      <c r="AE3138" s="5" t="s">
        <v>7579</v>
      </c>
      <c r="AG3138" s="5" t="s">
        <v>7585</v>
      </c>
    </row>
    <row r="3139" spans="1:33" ht="10" customHeight="1" x14ac:dyDescent="0.2">
      <c r="A3139" s="5" t="s">
        <v>7149</v>
      </c>
      <c r="B3139" s="5" t="s">
        <v>41</v>
      </c>
      <c r="C3139" s="5" t="s">
        <v>7588</v>
      </c>
      <c r="D3139" s="5" t="s">
        <v>7589</v>
      </c>
      <c r="E3139" s="10" t="s">
        <v>44</v>
      </c>
      <c r="I3139" s="11">
        <v>4</v>
      </c>
      <c r="K3139" s="12"/>
      <c r="O3139" s="14">
        <v>247010</v>
      </c>
      <c r="P3139" s="13">
        <v>51100</v>
      </c>
      <c r="Q3139" s="13">
        <v>75614</v>
      </c>
      <c r="S3139" s="13">
        <v>19129</v>
      </c>
      <c r="T3139" s="13">
        <v>0</v>
      </c>
      <c r="U3139" s="13">
        <v>19129</v>
      </c>
      <c r="Z3139" s="13">
        <v>606241</v>
      </c>
      <c r="AB3139" s="13">
        <v>606241</v>
      </c>
      <c r="AC3139" s="10" t="s">
        <v>7590</v>
      </c>
      <c r="AD3139" s="5" t="s">
        <v>2731</v>
      </c>
      <c r="AE3139" s="5" t="s">
        <v>7588</v>
      </c>
    </row>
    <row r="3140" spans="1:33" ht="10" customHeight="1" x14ac:dyDescent="0.2">
      <c r="A3140" s="5" t="s">
        <v>7149</v>
      </c>
      <c r="B3140" s="5" t="s">
        <v>41</v>
      </c>
      <c r="C3140" s="5" t="s">
        <v>7591</v>
      </c>
      <c r="D3140" s="5" t="s">
        <v>7592</v>
      </c>
      <c r="E3140" s="10" t="s">
        <v>53</v>
      </c>
      <c r="F3140" s="5" t="s">
        <v>7593</v>
      </c>
      <c r="I3140" s="11">
        <v>4</v>
      </c>
      <c r="K3140" s="12"/>
      <c r="O3140" s="14">
        <v>8981</v>
      </c>
      <c r="P3140" s="13">
        <v>5550</v>
      </c>
      <c r="Q3140" s="13">
        <v>1583</v>
      </c>
      <c r="S3140" s="13">
        <v>1613</v>
      </c>
      <c r="U3140" s="13">
        <v>1613</v>
      </c>
      <c r="AC3140" s="10" t="s">
        <v>7594</v>
      </c>
      <c r="AD3140" s="5" t="s">
        <v>2744</v>
      </c>
      <c r="AE3140" s="5" t="s">
        <v>7588</v>
      </c>
      <c r="AF3140" s="5" t="s">
        <v>7595</v>
      </c>
      <c r="AG3140" s="5" t="s">
        <v>7591</v>
      </c>
    </row>
    <row r="3141" spans="1:33" ht="10" customHeight="1" x14ac:dyDescent="0.2">
      <c r="A3141" s="5" t="s">
        <v>7149</v>
      </c>
      <c r="B3141" s="5" t="s">
        <v>41</v>
      </c>
      <c r="C3141" s="5" t="s">
        <v>7591</v>
      </c>
      <c r="D3141" s="5" t="s">
        <v>7596</v>
      </c>
      <c r="E3141" s="10" t="s">
        <v>53</v>
      </c>
      <c r="F3141" s="5" t="s">
        <v>7593</v>
      </c>
      <c r="I3141" s="11">
        <v>6</v>
      </c>
      <c r="K3141" s="12"/>
      <c r="O3141" s="14">
        <v>17695</v>
      </c>
      <c r="P3141" s="13">
        <v>9006</v>
      </c>
      <c r="Q3141" s="13">
        <v>3255</v>
      </c>
      <c r="S3141" s="13">
        <v>3312</v>
      </c>
      <c r="U3141" s="13">
        <v>3312</v>
      </c>
      <c r="AC3141" s="10" t="s">
        <v>7597</v>
      </c>
      <c r="AD3141" s="5" t="s">
        <v>2744</v>
      </c>
      <c r="AE3141" s="5" t="s">
        <v>7588</v>
      </c>
      <c r="AF3141" s="5" t="s">
        <v>7595</v>
      </c>
      <c r="AG3141" s="5" t="s">
        <v>7591</v>
      </c>
    </row>
    <row r="3142" spans="1:33" ht="10" customHeight="1" x14ac:dyDescent="0.2">
      <c r="A3142" s="5" t="s">
        <v>7149</v>
      </c>
      <c r="B3142" s="5" t="s">
        <v>41</v>
      </c>
      <c r="C3142" s="5" t="s">
        <v>7598</v>
      </c>
      <c r="D3142" s="5" t="s">
        <v>7599</v>
      </c>
      <c r="E3142" s="10" t="s">
        <v>53</v>
      </c>
      <c r="F3142" s="5" t="s">
        <v>7593</v>
      </c>
      <c r="I3142" s="11">
        <v>6</v>
      </c>
      <c r="K3142" s="12"/>
      <c r="O3142" s="14">
        <v>10489</v>
      </c>
      <c r="P3142" s="13">
        <v>2006</v>
      </c>
      <c r="Q3142" s="13">
        <v>4348</v>
      </c>
      <c r="S3142" s="13">
        <v>1451</v>
      </c>
      <c r="U3142" s="13">
        <v>1451</v>
      </c>
      <c r="AC3142" s="10" t="s">
        <v>7600</v>
      </c>
      <c r="AD3142" s="5" t="s">
        <v>2749</v>
      </c>
      <c r="AE3142" s="5" t="s">
        <v>7588</v>
      </c>
      <c r="AF3142" s="5" t="s">
        <v>7601</v>
      </c>
      <c r="AG3142" s="5" t="s">
        <v>7598</v>
      </c>
    </row>
    <row r="3143" spans="1:33" ht="10" customHeight="1" x14ac:dyDescent="0.2">
      <c r="A3143" s="5" t="s">
        <v>7149</v>
      </c>
      <c r="B3143" s="5" t="s">
        <v>41</v>
      </c>
      <c r="C3143" s="5" t="s">
        <v>7602</v>
      </c>
      <c r="D3143" s="5" t="s">
        <v>7603</v>
      </c>
      <c r="E3143" s="10" t="s">
        <v>53</v>
      </c>
      <c r="F3143" s="5" t="s">
        <v>7593</v>
      </c>
      <c r="I3143" s="11">
        <v>4</v>
      </c>
      <c r="K3143" s="12"/>
      <c r="O3143" s="14">
        <v>49986</v>
      </c>
      <c r="P3143" s="13">
        <v>1296</v>
      </c>
      <c r="Q3143" s="13">
        <v>13666</v>
      </c>
      <c r="S3143" s="13">
        <v>0</v>
      </c>
      <c r="U3143" s="13">
        <v>0</v>
      </c>
      <c r="AC3143" s="10" t="s">
        <v>7604</v>
      </c>
      <c r="AD3143" s="5" t="s">
        <v>2749</v>
      </c>
      <c r="AE3143" s="5" t="s">
        <v>7588</v>
      </c>
      <c r="AF3143" s="5" t="s">
        <v>7605</v>
      </c>
      <c r="AG3143" s="5" t="s">
        <v>7602</v>
      </c>
    </row>
    <row r="3144" spans="1:33" ht="10" customHeight="1" x14ac:dyDescent="0.2">
      <c r="A3144" s="5" t="s">
        <v>7149</v>
      </c>
      <c r="B3144" s="5" t="s">
        <v>41</v>
      </c>
      <c r="C3144" s="5" t="s">
        <v>7606</v>
      </c>
      <c r="D3144" s="5" t="s">
        <v>7607</v>
      </c>
      <c r="E3144" s="10" t="s">
        <v>53</v>
      </c>
      <c r="F3144" s="5" t="s">
        <v>7593</v>
      </c>
      <c r="I3144" s="11">
        <v>4</v>
      </c>
      <c r="K3144" s="10" t="s">
        <v>46</v>
      </c>
      <c r="L3144" s="5" t="s">
        <v>47</v>
      </c>
      <c r="M3144" s="5" t="s">
        <v>115</v>
      </c>
      <c r="O3144" s="14">
        <v>48623</v>
      </c>
      <c r="P3144" s="13">
        <v>28828</v>
      </c>
      <c r="Q3144" s="13">
        <v>10511</v>
      </c>
      <c r="S3144" s="13">
        <v>0</v>
      </c>
      <c r="U3144" s="13">
        <v>0</v>
      </c>
      <c r="AC3144" s="10" t="s">
        <v>7608</v>
      </c>
      <c r="AD3144" s="5" t="s">
        <v>2757</v>
      </c>
      <c r="AE3144" s="5" t="s">
        <v>7588</v>
      </c>
      <c r="AF3144" s="5" t="s">
        <v>7609</v>
      </c>
      <c r="AG3144" s="5" t="s">
        <v>7606</v>
      </c>
    </row>
    <row r="3145" spans="1:33" ht="10" customHeight="1" x14ac:dyDescent="0.2">
      <c r="A3145" s="5" t="s">
        <v>7149</v>
      </c>
      <c r="B3145" s="5" t="s">
        <v>41</v>
      </c>
      <c r="C3145" s="5" t="s">
        <v>7610</v>
      </c>
      <c r="D3145" s="5" t="s">
        <v>7611</v>
      </c>
      <c r="E3145" s="10" t="s">
        <v>53</v>
      </c>
      <c r="F3145" s="5" t="s">
        <v>7593</v>
      </c>
      <c r="I3145" s="11">
        <v>4</v>
      </c>
      <c r="K3145" s="12"/>
      <c r="O3145" s="14">
        <v>37557</v>
      </c>
      <c r="Q3145" s="13">
        <v>7000</v>
      </c>
      <c r="S3145" s="13">
        <v>0</v>
      </c>
      <c r="U3145" s="13">
        <v>0</v>
      </c>
      <c r="AC3145" s="10" t="s">
        <v>7612</v>
      </c>
      <c r="AD3145" s="5" t="s">
        <v>2757</v>
      </c>
      <c r="AE3145" s="5" t="s">
        <v>7588</v>
      </c>
      <c r="AF3145" s="5" t="s">
        <v>7613</v>
      </c>
      <c r="AG3145" s="5" t="s">
        <v>7610</v>
      </c>
    </row>
    <row r="3146" spans="1:33" ht="10" customHeight="1" x14ac:dyDescent="0.2">
      <c r="A3146" s="5" t="s">
        <v>7149</v>
      </c>
      <c r="B3146" s="5" t="s">
        <v>41</v>
      </c>
      <c r="C3146" s="5" t="s">
        <v>7614</v>
      </c>
      <c r="D3146" s="5" t="s">
        <v>7615</v>
      </c>
      <c r="E3146" s="10" t="s">
        <v>53</v>
      </c>
      <c r="F3146" s="5" t="s">
        <v>7593</v>
      </c>
      <c r="I3146" s="11">
        <v>4</v>
      </c>
      <c r="K3146" s="10" t="s">
        <v>46</v>
      </c>
      <c r="L3146" s="5" t="s">
        <v>47</v>
      </c>
      <c r="M3146" s="5" t="s">
        <v>115</v>
      </c>
      <c r="N3146" s="5" t="s">
        <v>116</v>
      </c>
      <c r="O3146" s="14">
        <v>0</v>
      </c>
      <c r="Q3146" s="13">
        <v>35251</v>
      </c>
      <c r="S3146" s="13">
        <v>6377</v>
      </c>
      <c r="U3146" s="13">
        <v>6377</v>
      </c>
      <c r="AC3146" s="10" t="s">
        <v>7616</v>
      </c>
      <c r="AD3146" s="5" t="s">
        <v>2764</v>
      </c>
      <c r="AE3146" s="5" t="s">
        <v>7588</v>
      </c>
      <c r="AF3146" s="5" t="s">
        <v>7615</v>
      </c>
      <c r="AG3146" s="5" t="s">
        <v>7614</v>
      </c>
    </row>
    <row r="3147" spans="1:33" ht="10" customHeight="1" x14ac:dyDescent="0.2">
      <c r="A3147" s="5" t="s">
        <v>7149</v>
      </c>
      <c r="B3147" s="5" t="s">
        <v>41</v>
      </c>
      <c r="D3147" s="5" t="s">
        <v>7617</v>
      </c>
      <c r="E3147" s="10" t="s">
        <v>53</v>
      </c>
      <c r="F3147" s="5" t="s">
        <v>7618</v>
      </c>
      <c r="I3147" s="11">
        <v>4</v>
      </c>
      <c r="K3147" s="10" t="s">
        <v>46</v>
      </c>
      <c r="L3147" s="5" t="s">
        <v>47</v>
      </c>
      <c r="M3147" s="5" t="s">
        <v>115</v>
      </c>
      <c r="N3147" s="5" t="s">
        <v>116</v>
      </c>
      <c r="O3147" s="12"/>
      <c r="Q3147" s="13">
        <v>23000</v>
      </c>
      <c r="S3147" s="13">
        <v>2615</v>
      </c>
      <c r="U3147" s="13">
        <v>2615</v>
      </c>
      <c r="AC3147" s="10" t="s">
        <v>7619</v>
      </c>
      <c r="AD3147" s="5" t="s">
        <v>2764</v>
      </c>
      <c r="AE3147" s="5" t="s">
        <v>7588</v>
      </c>
    </row>
    <row r="3148" spans="1:33" ht="10" customHeight="1" x14ac:dyDescent="0.2">
      <c r="A3148" s="5" t="s">
        <v>7149</v>
      </c>
      <c r="B3148" s="5" t="s">
        <v>41</v>
      </c>
      <c r="D3148" s="5" t="s">
        <v>7620</v>
      </c>
      <c r="E3148" s="10" t="s">
        <v>53</v>
      </c>
      <c r="F3148" s="5" t="s">
        <v>7618</v>
      </c>
      <c r="I3148" s="11">
        <v>4</v>
      </c>
      <c r="K3148" s="10" t="s">
        <v>46</v>
      </c>
      <c r="L3148" s="5" t="s">
        <v>47</v>
      </c>
      <c r="M3148" s="5" t="s">
        <v>115</v>
      </c>
      <c r="N3148" s="5" t="s">
        <v>116</v>
      </c>
      <c r="O3148" s="12"/>
      <c r="Q3148" s="13">
        <v>9551</v>
      </c>
      <c r="S3148" s="13">
        <v>3762</v>
      </c>
      <c r="U3148" s="13">
        <v>3762</v>
      </c>
      <c r="AC3148" s="10" t="s">
        <v>7621</v>
      </c>
      <c r="AD3148" s="5" t="s">
        <v>2764</v>
      </c>
      <c r="AE3148" s="5" t="s">
        <v>7588</v>
      </c>
    </row>
    <row r="3149" spans="1:33" ht="10" customHeight="1" x14ac:dyDescent="0.2">
      <c r="A3149" s="5" t="s">
        <v>7149</v>
      </c>
      <c r="B3149" s="5" t="s">
        <v>41</v>
      </c>
      <c r="C3149" s="5" t="s">
        <v>7622</v>
      </c>
      <c r="D3149" s="5" t="s">
        <v>7623</v>
      </c>
      <c r="E3149" s="10" t="s">
        <v>53</v>
      </c>
      <c r="F3149" s="5" t="s">
        <v>7593</v>
      </c>
      <c r="I3149" s="11">
        <v>4</v>
      </c>
      <c r="K3149" s="12"/>
      <c r="O3149" s="14">
        <v>0</v>
      </c>
      <c r="S3149" s="13">
        <v>6376</v>
      </c>
      <c r="U3149" s="13">
        <v>6376</v>
      </c>
      <c r="AC3149" s="10" t="s">
        <v>7624</v>
      </c>
      <c r="AD3149" s="5" t="s">
        <v>2767</v>
      </c>
      <c r="AE3149" s="5" t="s">
        <v>7588</v>
      </c>
      <c r="AF3149" s="5" t="s">
        <v>7623</v>
      </c>
      <c r="AG3149" s="5" t="s">
        <v>7622</v>
      </c>
    </row>
    <row r="3150" spans="1:33" ht="10" customHeight="1" x14ac:dyDescent="0.2">
      <c r="A3150" s="5" t="s">
        <v>7149</v>
      </c>
      <c r="B3150" s="5" t="s">
        <v>41</v>
      </c>
      <c r="D3150" s="5" t="s">
        <v>7625</v>
      </c>
      <c r="E3150" s="10" t="s">
        <v>53</v>
      </c>
      <c r="F3150" s="5" t="s">
        <v>7626</v>
      </c>
      <c r="I3150" s="11">
        <v>6</v>
      </c>
      <c r="K3150" s="12"/>
      <c r="O3150" s="12"/>
      <c r="S3150" s="13">
        <v>1865</v>
      </c>
      <c r="U3150" s="13">
        <v>1865</v>
      </c>
      <c r="AC3150" s="10" t="s">
        <v>7627</v>
      </c>
      <c r="AD3150" s="5" t="s">
        <v>2767</v>
      </c>
      <c r="AE3150" s="5" t="s">
        <v>7588</v>
      </c>
    </row>
    <row r="3151" spans="1:33" ht="10" customHeight="1" x14ac:dyDescent="0.2">
      <c r="A3151" s="5" t="s">
        <v>7149</v>
      </c>
      <c r="B3151" s="5" t="s">
        <v>41</v>
      </c>
      <c r="D3151" s="5" t="s">
        <v>7628</v>
      </c>
      <c r="E3151" s="10" t="s">
        <v>53</v>
      </c>
      <c r="F3151" s="5" t="s">
        <v>7626</v>
      </c>
      <c r="I3151" s="11">
        <v>4</v>
      </c>
      <c r="K3151" s="12"/>
      <c r="O3151" s="12"/>
      <c r="S3151" s="13">
        <v>1250</v>
      </c>
      <c r="U3151" s="13">
        <v>1250</v>
      </c>
      <c r="AC3151" s="10" t="s">
        <v>7629</v>
      </c>
      <c r="AD3151" s="5" t="s">
        <v>2767</v>
      </c>
      <c r="AE3151" s="5" t="s">
        <v>7588</v>
      </c>
    </row>
    <row r="3152" spans="1:33" ht="10" customHeight="1" x14ac:dyDescent="0.2">
      <c r="A3152" s="5" t="s">
        <v>7149</v>
      </c>
      <c r="B3152" s="5" t="s">
        <v>41</v>
      </c>
      <c r="D3152" s="5" t="s">
        <v>7630</v>
      </c>
      <c r="E3152" s="10" t="s">
        <v>53</v>
      </c>
      <c r="F3152" s="5" t="s">
        <v>7626</v>
      </c>
      <c r="I3152" s="11">
        <v>6</v>
      </c>
      <c r="K3152" s="12"/>
      <c r="O3152" s="12"/>
      <c r="S3152" s="13">
        <v>3261</v>
      </c>
      <c r="U3152" s="13">
        <v>3261</v>
      </c>
      <c r="AC3152" s="10" t="s">
        <v>7631</v>
      </c>
      <c r="AD3152" s="5" t="s">
        <v>2767</v>
      </c>
      <c r="AE3152" s="5" t="s">
        <v>7588</v>
      </c>
    </row>
    <row r="3153" spans="1:33" ht="10" customHeight="1" x14ac:dyDescent="0.2">
      <c r="A3153" s="5" t="s">
        <v>7149</v>
      </c>
      <c r="B3153" s="5" t="s">
        <v>41</v>
      </c>
      <c r="C3153" s="5" t="s">
        <v>7632</v>
      </c>
      <c r="D3153" s="5" t="s">
        <v>7633</v>
      </c>
      <c r="E3153" s="10" t="s">
        <v>44</v>
      </c>
      <c r="I3153" s="11">
        <v>6</v>
      </c>
      <c r="K3153" s="10" t="s">
        <v>46</v>
      </c>
      <c r="L3153" s="5" t="s">
        <v>47</v>
      </c>
      <c r="M3153" s="5" t="s">
        <v>48</v>
      </c>
      <c r="N3153" s="5" t="s">
        <v>84</v>
      </c>
      <c r="O3153" s="14">
        <v>501698</v>
      </c>
      <c r="P3153" s="13">
        <v>76903</v>
      </c>
      <c r="Q3153" s="13">
        <v>80248</v>
      </c>
      <c r="S3153" s="13">
        <v>77889</v>
      </c>
      <c r="T3153" s="13">
        <v>0</v>
      </c>
      <c r="U3153" s="13">
        <v>77889</v>
      </c>
      <c r="Z3153" s="13">
        <v>73681</v>
      </c>
      <c r="AB3153" s="13">
        <v>73681</v>
      </c>
      <c r="AC3153" s="10" t="s">
        <v>7634</v>
      </c>
      <c r="AD3153" s="5" t="s">
        <v>2773</v>
      </c>
      <c r="AE3153" s="5" t="s">
        <v>7632</v>
      </c>
    </row>
    <row r="3154" spans="1:33" ht="10" customHeight="1" x14ac:dyDescent="0.2">
      <c r="A3154" s="5" t="s">
        <v>7149</v>
      </c>
      <c r="B3154" s="5" t="s">
        <v>41</v>
      </c>
      <c r="D3154" s="5" t="s">
        <v>7635</v>
      </c>
      <c r="E3154" s="10" t="s">
        <v>53</v>
      </c>
      <c r="F3154" s="5" t="s">
        <v>7636</v>
      </c>
      <c r="I3154" s="11">
        <v>6</v>
      </c>
      <c r="K3154" s="10" t="s">
        <v>46</v>
      </c>
      <c r="L3154" s="5" t="s">
        <v>47</v>
      </c>
      <c r="M3154" s="5" t="s">
        <v>48</v>
      </c>
      <c r="O3154" s="14">
        <v>297318</v>
      </c>
      <c r="P3154" s="13">
        <v>65021</v>
      </c>
      <c r="Q3154" s="13">
        <v>68129</v>
      </c>
      <c r="S3154" s="13">
        <v>65529</v>
      </c>
      <c r="U3154" s="13">
        <v>65529</v>
      </c>
      <c r="AC3154" s="10" t="s">
        <v>7637</v>
      </c>
      <c r="AD3154" s="5" t="s">
        <v>7638</v>
      </c>
      <c r="AE3154" s="5" t="s">
        <v>7632</v>
      </c>
    </row>
    <row r="3155" spans="1:33" ht="10" customHeight="1" x14ac:dyDescent="0.2">
      <c r="A3155" s="5" t="s">
        <v>7149</v>
      </c>
      <c r="B3155" s="5" t="s">
        <v>41</v>
      </c>
      <c r="C3155" s="5" t="s">
        <v>7639</v>
      </c>
      <c r="D3155" s="5" t="s">
        <v>7640</v>
      </c>
      <c r="E3155" s="10" t="s">
        <v>53</v>
      </c>
      <c r="F3155" s="5" t="s">
        <v>7641</v>
      </c>
      <c r="I3155" s="11">
        <v>6</v>
      </c>
      <c r="K3155" s="10" t="s">
        <v>46</v>
      </c>
      <c r="L3155" s="5" t="s">
        <v>47</v>
      </c>
      <c r="M3155" s="5" t="s">
        <v>48</v>
      </c>
      <c r="O3155" s="14">
        <v>37900</v>
      </c>
      <c r="P3155" s="13">
        <v>7619</v>
      </c>
      <c r="Q3155" s="13">
        <v>7822</v>
      </c>
      <c r="S3155" s="13">
        <v>7977</v>
      </c>
      <c r="U3155" s="13">
        <v>7977</v>
      </c>
      <c r="AC3155" s="10" t="s">
        <v>7642</v>
      </c>
      <c r="AD3155" s="5" t="s">
        <v>7643</v>
      </c>
      <c r="AE3155" s="5" t="s">
        <v>7632</v>
      </c>
      <c r="AF3155" s="5" t="s">
        <v>7644</v>
      </c>
    </row>
    <row r="3156" spans="1:33" ht="10" customHeight="1" x14ac:dyDescent="0.2">
      <c r="A3156" s="5" t="s">
        <v>7149</v>
      </c>
      <c r="B3156" s="5" t="s">
        <v>41</v>
      </c>
      <c r="D3156" s="5" t="s">
        <v>7645</v>
      </c>
      <c r="E3156" s="10" t="s">
        <v>53</v>
      </c>
      <c r="F3156" s="5" t="s">
        <v>7646</v>
      </c>
      <c r="I3156" s="11">
        <v>6</v>
      </c>
      <c r="K3156" s="12"/>
      <c r="O3156" s="14">
        <v>7045</v>
      </c>
      <c r="P3156" s="13">
        <v>3660</v>
      </c>
      <c r="Q3156" s="13">
        <v>3733</v>
      </c>
      <c r="S3156" s="13">
        <v>3807</v>
      </c>
      <c r="U3156" s="13">
        <v>3807</v>
      </c>
      <c r="AC3156" s="10" t="s">
        <v>7647</v>
      </c>
      <c r="AD3156" s="5" t="s">
        <v>7643</v>
      </c>
    </row>
    <row r="3157" spans="1:33" ht="10" customHeight="1" x14ac:dyDescent="0.2">
      <c r="A3157" s="5" t="s">
        <v>7149</v>
      </c>
      <c r="B3157" s="5" t="s">
        <v>41</v>
      </c>
      <c r="D3157" s="5" t="s">
        <v>7648</v>
      </c>
      <c r="E3157" s="10" t="s">
        <v>53</v>
      </c>
      <c r="F3157" s="5" t="s">
        <v>7646</v>
      </c>
      <c r="I3157" s="11">
        <v>6</v>
      </c>
      <c r="K3157" s="12"/>
      <c r="O3157" s="14">
        <v>24176</v>
      </c>
      <c r="P3157" s="13">
        <v>1645</v>
      </c>
      <c r="Q3157" s="13">
        <v>1729</v>
      </c>
      <c r="S3157" s="13">
        <v>1763</v>
      </c>
      <c r="U3157" s="13">
        <v>1763</v>
      </c>
      <c r="AC3157" s="10" t="s">
        <v>7649</v>
      </c>
      <c r="AD3157" s="5" t="s">
        <v>7643</v>
      </c>
    </row>
    <row r="3158" spans="1:33" ht="10" customHeight="1" x14ac:dyDescent="0.2">
      <c r="A3158" s="5" t="s">
        <v>7149</v>
      </c>
      <c r="B3158" s="5" t="s">
        <v>41</v>
      </c>
      <c r="D3158" s="5" t="s">
        <v>7650</v>
      </c>
      <c r="E3158" s="10" t="s">
        <v>53</v>
      </c>
      <c r="F3158" s="5" t="s">
        <v>7646</v>
      </c>
      <c r="I3158" s="11">
        <v>6</v>
      </c>
      <c r="K3158" s="12"/>
      <c r="O3158" s="14">
        <v>6679</v>
      </c>
      <c r="P3158" s="13">
        <v>2314</v>
      </c>
      <c r="Q3158" s="13">
        <v>2360</v>
      </c>
      <c r="S3158" s="13">
        <v>2407</v>
      </c>
      <c r="U3158" s="13">
        <v>2407</v>
      </c>
      <c r="AC3158" s="10" t="s">
        <v>7651</v>
      </c>
      <c r="AD3158" s="5" t="s">
        <v>7643</v>
      </c>
    </row>
    <row r="3159" spans="1:33" ht="10" customHeight="1" x14ac:dyDescent="0.2">
      <c r="A3159" s="5" t="s">
        <v>7149</v>
      </c>
      <c r="B3159" s="5" t="s">
        <v>41</v>
      </c>
      <c r="C3159" s="5" t="s">
        <v>7652</v>
      </c>
      <c r="D3159" s="5" t="s">
        <v>7653</v>
      </c>
      <c r="E3159" s="10" t="s">
        <v>53</v>
      </c>
      <c r="F3159" s="5" t="s">
        <v>7641</v>
      </c>
      <c r="I3159" s="11">
        <v>6</v>
      </c>
      <c r="K3159" s="12"/>
      <c r="O3159" s="14">
        <v>52167</v>
      </c>
      <c r="P3159" s="13">
        <v>6348</v>
      </c>
      <c r="Q3159" s="13">
        <v>6473</v>
      </c>
      <c r="S3159" s="13">
        <v>5832</v>
      </c>
      <c r="U3159" s="13">
        <v>5832</v>
      </c>
      <c r="AC3159" s="10" t="s">
        <v>7654</v>
      </c>
      <c r="AD3159" s="5" t="s">
        <v>7655</v>
      </c>
      <c r="AE3159" s="5" t="s">
        <v>7632</v>
      </c>
      <c r="AF3159" s="5" t="s">
        <v>7656</v>
      </c>
      <c r="AG3159" s="5" t="s">
        <v>7652</v>
      </c>
    </row>
    <row r="3160" spans="1:33" ht="10" customHeight="1" x14ac:dyDescent="0.2">
      <c r="A3160" s="5" t="s">
        <v>7149</v>
      </c>
      <c r="B3160" s="5" t="s">
        <v>41</v>
      </c>
      <c r="D3160" s="5" t="s">
        <v>7657</v>
      </c>
      <c r="E3160" s="10" t="s">
        <v>53</v>
      </c>
      <c r="F3160" s="5" t="s">
        <v>7658</v>
      </c>
      <c r="I3160" s="11">
        <v>6</v>
      </c>
      <c r="K3160" s="12"/>
      <c r="O3160" s="14">
        <v>38652</v>
      </c>
      <c r="P3160" s="13">
        <v>3623</v>
      </c>
      <c r="Q3160" s="13">
        <v>3695</v>
      </c>
      <c r="S3160" s="13">
        <v>3000</v>
      </c>
      <c r="U3160" s="13">
        <v>3000</v>
      </c>
      <c r="AC3160" s="10" t="s">
        <v>7659</v>
      </c>
      <c r="AD3160" s="5" t="s">
        <v>7655</v>
      </c>
    </row>
    <row r="3161" spans="1:33" ht="10" customHeight="1" x14ac:dyDescent="0.2">
      <c r="A3161" s="5" t="s">
        <v>7149</v>
      </c>
      <c r="B3161" s="5" t="s">
        <v>41</v>
      </c>
      <c r="D3161" s="5" t="s">
        <v>7660</v>
      </c>
      <c r="E3161" s="10" t="s">
        <v>53</v>
      </c>
      <c r="F3161" s="5" t="s">
        <v>7658</v>
      </c>
      <c r="I3161" s="11">
        <v>6</v>
      </c>
      <c r="K3161" s="12"/>
      <c r="O3161" s="14">
        <v>12149</v>
      </c>
      <c r="P3161" s="13">
        <v>1893</v>
      </c>
      <c r="Q3161" s="13">
        <v>1930</v>
      </c>
      <c r="S3161" s="13">
        <v>1968</v>
      </c>
      <c r="U3161" s="13">
        <v>1968</v>
      </c>
      <c r="AC3161" s="10" t="s">
        <v>7661</v>
      </c>
      <c r="AD3161" s="5" t="s">
        <v>7655</v>
      </c>
    </row>
    <row r="3162" spans="1:33" ht="10" customHeight="1" x14ac:dyDescent="0.2">
      <c r="A3162" s="5" t="s">
        <v>7149</v>
      </c>
      <c r="B3162" s="5" t="s">
        <v>41</v>
      </c>
      <c r="D3162" s="5" t="s">
        <v>7662</v>
      </c>
      <c r="E3162" s="10" t="s">
        <v>53</v>
      </c>
      <c r="F3162" s="5" t="s">
        <v>7658</v>
      </c>
      <c r="I3162" s="11">
        <v>6</v>
      </c>
      <c r="K3162" s="12"/>
      <c r="O3162" s="14">
        <v>1366</v>
      </c>
      <c r="P3162" s="13">
        <v>832</v>
      </c>
      <c r="Q3162" s="13">
        <v>848</v>
      </c>
      <c r="S3162" s="13">
        <v>864</v>
      </c>
      <c r="U3162" s="13">
        <v>864</v>
      </c>
      <c r="AC3162" s="10" t="s">
        <v>7663</v>
      </c>
      <c r="AD3162" s="5" t="s">
        <v>7655</v>
      </c>
    </row>
    <row r="3163" spans="1:33" ht="10" customHeight="1" x14ac:dyDescent="0.2">
      <c r="A3163" s="5" t="s">
        <v>7149</v>
      </c>
      <c r="B3163" s="5" t="s">
        <v>41</v>
      </c>
      <c r="C3163" s="5" t="s">
        <v>7664</v>
      </c>
      <c r="D3163" s="5" t="s">
        <v>7665</v>
      </c>
      <c r="E3163" s="10" t="s">
        <v>53</v>
      </c>
      <c r="F3163" s="5" t="s">
        <v>7641</v>
      </c>
      <c r="I3163" s="11">
        <v>6</v>
      </c>
      <c r="K3163" s="10" t="s">
        <v>46</v>
      </c>
      <c r="L3163" s="5" t="s">
        <v>47</v>
      </c>
      <c r="M3163" s="5" t="s">
        <v>48</v>
      </c>
      <c r="O3163" s="14">
        <v>40763</v>
      </c>
      <c r="P3163" s="13">
        <v>11425</v>
      </c>
      <c r="Q3163" s="13">
        <v>11277</v>
      </c>
      <c r="S3163" s="13">
        <v>13651</v>
      </c>
      <c r="U3163" s="13">
        <v>13651</v>
      </c>
      <c r="AC3163" s="10" t="s">
        <v>7666</v>
      </c>
      <c r="AD3163" s="5" t="s">
        <v>2787</v>
      </c>
      <c r="AE3163" s="5" t="s">
        <v>7632</v>
      </c>
      <c r="AF3163" s="5" t="s">
        <v>7667</v>
      </c>
    </row>
    <row r="3164" spans="1:33" ht="10" customHeight="1" x14ac:dyDescent="0.2">
      <c r="A3164" s="5" t="s">
        <v>7149</v>
      </c>
      <c r="B3164" s="5" t="s">
        <v>41</v>
      </c>
      <c r="D3164" s="5" t="s">
        <v>7668</v>
      </c>
      <c r="E3164" s="10" t="s">
        <v>53</v>
      </c>
      <c r="F3164" s="5" t="s">
        <v>7669</v>
      </c>
      <c r="I3164" s="11">
        <v>6</v>
      </c>
      <c r="K3164" s="10" t="s">
        <v>46</v>
      </c>
      <c r="L3164" s="5" t="s">
        <v>47</v>
      </c>
      <c r="M3164" s="5" t="s">
        <v>48</v>
      </c>
      <c r="O3164" s="14">
        <v>22407</v>
      </c>
      <c r="P3164" s="13">
        <v>7768</v>
      </c>
      <c r="Q3164" s="13">
        <v>7922</v>
      </c>
      <c r="S3164" s="13">
        <v>8080</v>
      </c>
      <c r="U3164" s="13">
        <v>8080</v>
      </c>
      <c r="AC3164" s="10" t="s">
        <v>7670</v>
      </c>
      <c r="AD3164" s="5" t="s">
        <v>2787</v>
      </c>
    </row>
    <row r="3165" spans="1:33" ht="10" customHeight="1" x14ac:dyDescent="0.2">
      <c r="A3165" s="5" t="s">
        <v>7149</v>
      </c>
      <c r="B3165" s="5" t="s">
        <v>41</v>
      </c>
      <c r="D3165" s="5" t="s">
        <v>7671</v>
      </c>
      <c r="E3165" s="10" t="s">
        <v>53</v>
      </c>
      <c r="F3165" s="5" t="s">
        <v>7669</v>
      </c>
      <c r="I3165" s="11">
        <v>6</v>
      </c>
      <c r="K3165" s="10" t="s">
        <v>46</v>
      </c>
      <c r="L3165" s="5" t="s">
        <v>47</v>
      </c>
      <c r="M3165" s="5" t="s">
        <v>48</v>
      </c>
      <c r="O3165" s="14">
        <v>14035</v>
      </c>
      <c r="P3165" s="13">
        <v>1860</v>
      </c>
      <c r="Q3165" s="13">
        <v>1523</v>
      </c>
      <c r="S3165" s="13">
        <v>703</v>
      </c>
      <c r="U3165" s="13">
        <v>703</v>
      </c>
      <c r="AC3165" s="10" t="s">
        <v>7672</v>
      </c>
      <c r="AD3165" s="5" t="s">
        <v>2787</v>
      </c>
    </row>
    <row r="3166" spans="1:33" ht="10" customHeight="1" x14ac:dyDescent="0.2">
      <c r="A3166" s="5" t="s">
        <v>7149</v>
      </c>
      <c r="B3166" s="5" t="s">
        <v>41</v>
      </c>
      <c r="D3166" s="5" t="s">
        <v>7673</v>
      </c>
      <c r="E3166" s="10" t="s">
        <v>53</v>
      </c>
      <c r="F3166" s="5" t="s">
        <v>7669</v>
      </c>
      <c r="I3166" s="11">
        <v>6</v>
      </c>
      <c r="K3166" s="10" t="s">
        <v>46</v>
      </c>
      <c r="L3166" s="5" t="s">
        <v>47</v>
      </c>
      <c r="M3166" s="5" t="s">
        <v>48</v>
      </c>
      <c r="N3166" s="5" t="s">
        <v>49</v>
      </c>
      <c r="O3166" s="12"/>
      <c r="S3166" s="13">
        <v>3000</v>
      </c>
      <c r="U3166" s="13">
        <v>3000</v>
      </c>
      <c r="AC3166" s="10" t="s">
        <v>7674</v>
      </c>
      <c r="AD3166" s="5" t="s">
        <v>2787</v>
      </c>
    </row>
    <row r="3167" spans="1:33" ht="10" customHeight="1" x14ac:dyDescent="0.2">
      <c r="A3167" s="5" t="s">
        <v>7149</v>
      </c>
      <c r="B3167" s="5" t="s">
        <v>41</v>
      </c>
      <c r="D3167" s="5" t="s">
        <v>7675</v>
      </c>
      <c r="E3167" s="10" t="s">
        <v>53</v>
      </c>
      <c r="F3167" s="5" t="s">
        <v>7669</v>
      </c>
      <c r="I3167" s="11">
        <v>6</v>
      </c>
      <c r="K3167" s="12"/>
      <c r="O3167" s="14">
        <v>4321</v>
      </c>
      <c r="P3167" s="13">
        <v>1797</v>
      </c>
      <c r="Q3167" s="13">
        <v>1832</v>
      </c>
      <c r="S3167" s="13">
        <v>1868</v>
      </c>
      <c r="U3167" s="13">
        <v>1868</v>
      </c>
      <c r="AC3167" s="10" t="s">
        <v>7676</v>
      </c>
      <c r="AD3167" s="5" t="s">
        <v>2787</v>
      </c>
    </row>
    <row r="3168" spans="1:33" ht="10" customHeight="1" x14ac:dyDescent="0.2">
      <c r="A3168" s="5" t="s">
        <v>7149</v>
      </c>
      <c r="B3168" s="5" t="s">
        <v>41</v>
      </c>
      <c r="C3168" s="5" t="s">
        <v>7677</v>
      </c>
      <c r="D3168" s="5" t="s">
        <v>7678</v>
      </c>
      <c r="E3168" s="10" t="s">
        <v>53</v>
      </c>
      <c r="F3168" s="5" t="s">
        <v>7641</v>
      </c>
      <c r="I3168" s="11">
        <v>6</v>
      </c>
      <c r="K3168" s="10" t="s">
        <v>46</v>
      </c>
      <c r="L3168" s="5" t="s">
        <v>47</v>
      </c>
      <c r="M3168" s="5" t="s">
        <v>48</v>
      </c>
      <c r="O3168" s="14">
        <v>18760</v>
      </c>
      <c r="P3168" s="13">
        <v>4582</v>
      </c>
      <c r="Q3168" s="13">
        <v>7553</v>
      </c>
      <c r="S3168" s="13">
        <v>2366</v>
      </c>
      <c r="U3168" s="13">
        <v>2366</v>
      </c>
      <c r="AC3168" s="10" t="s">
        <v>7679</v>
      </c>
      <c r="AD3168" s="5" t="s">
        <v>6555</v>
      </c>
      <c r="AE3168" s="5" t="s">
        <v>7632</v>
      </c>
      <c r="AF3168" s="5" t="s">
        <v>7680</v>
      </c>
    </row>
    <row r="3169" spans="1:33" ht="10" customHeight="1" x14ac:dyDescent="0.2">
      <c r="A3169" s="5" t="s">
        <v>7149</v>
      </c>
      <c r="B3169" s="5" t="s">
        <v>41</v>
      </c>
      <c r="D3169" s="5" t="s">
        <v>7681</v>
      </c>
      <c r="E3169" s="10" t="s">
        <v>53</v>
      </c>
      <c r="F3169" s="5" t="s">
        <v>7682</v>
      </c>
      <c r="I3169" s="11">
        <v>6</v>
      </c>
      <c r="K3169" s="12"/>
      <c r="O3169" s="14">
        <v>17334</v>
      </c>
      <c r="P3169" s="13">
        <v>3848</v>
      </c>
      <c r="Q3169" s="13">
        <v>6541</v>
      </c>
      <c r="S3169" s="13">
        <v>1334</v>
      </c>
      <c r="U3169" s="13">
        <v>1334</v>
      </c>
      <c r="AC3169" s="10" t="s">
        <v>7683</v>
      </c>
      <c r="AD3169" s="5" t="s">
        <v>6555</v>
      </c>
    </row>
    <row r="3170" spans="1:33" ht="10" customHeight="1" x14ac:dyDescent="0.2">
      <c r="A3170" s="5" t="s">
        <v>7149</v>
      </c>
      <c r="B3170" s="5" t="s">
        <v>41</v>
      </c>
      <c r="D3170" s="5" t="s">
        <v>7684</v>
      </c>
      <c r="E3170" s="10" t="s">
        <v>53</v>
      </c>
      <c r="F3170" s="5" t="s">
        <v>7682</v>
      </c>
      <c r="I3170" s="11">
        <v>6</v>
      </c>
      <c r="K3170" s="10" t="s">
        <v>46</v>
      </c>
      <c r="L3170" s="5" t="s">
        <v>47</v>
      </c>
      <c r="M3170" s="5" t="s">
        <v>48</v>
      </c>
      <c r="N3170" s="5" t="s">
        <v>84</v>
      </c>
      <c r="O3170" s="14">
        <v>1426</v>
      </c>
      <c r="P3170" s="13">
        <v>734</v>
      </c>
      <c r="Q3170" s="13">
        <v>1012</v>
      </c>
      <c r="S3170" s="13">
        <v>1032</v>
      </c>
      <c r="U3170" s="13">
        <v>1032</v>
      </c>
      <c r="AC3170" s="10" t="s">
        <v>7685</v>
      </c>
      <c r="AD3170" s="5" t="s">
        <v>6555</v>
      </c>
    </row>
    <row r="3171" spans="1:33" ht="10" customHeight="1" x14ac:dyDescent="0.2">
      <c r="A3171" s="5" t="s">
        <v>7149</v>
      </c>
      <c r="B3171" s="5" t="s">
        <v>41</v>
      </c>
      <c r="C3171" s="5" t="s">
        <v>7686</v>
      </c>
      <c r="D3171" s="5" t="s">
        <v>7687</v>
      </c>
      <c r="E3171" s="10" t="s">
        <v>53</v>
      </c>
      <c r="F3171" s="5" t="s">
        <v>7641</v>
      </c>
      <c r="I3171" s="11">
        <v>6</v>
      </c>
      <c r="K3171" s="10" t="s">
        <v>46</v>
      </c>
      <c r="L3171" s="5" t="s">
        <v>47</v>
      </c>
      <c r="M3171" s="5" t="s">
        <v>48</v>
      </c>
      <c r="O3171" s="14">
        <v>147728</v>
      </c>
      <c r="P3171" s="13">
        <v>35047</v>
      </c>
      <c r="Q3171" s="13">
        <v>35004</v>
      </c>
      <c r="S3171" s="13">
        <v>35703</v>
      </c>
      <c r="U3171" s="13">
        <v>35703</v>
      </c>
      <c r="AC3171" s="10" t="s">
        <v>7688</v>
      </c>
      <c r="AD3171" s="5" t="s">
        <v>2816</v>
      </c>
      <c r="AE3171" s="5" t="s">
        <v>7632</v>
      </c>
      <c r="AF3171" s="5" t="s">
        <v>7689</v>
      </c>
    </row>
    <row r="3172" spans="1:33" ht="10" customHeight="1" x14ac:dyDescent="0.2">
      <c r="A3172" s="5" t="s">
        <v>7149</v>
      </c>
      <c r="B3172" s="5" t="s">
        <v>41</v>
      </c>
      <c r="D3172" s="5" t="s">
        <v>7690</v>
      </c>
      <c r="E3172" s="10" t="s">
        <v>53</v>
      </c>
      <c r="F3172" s="5" t="s">
        <v>7691</v>
      </c>
      <c r="I3172" s="11">
        <v>6</v>
      </c>
      <c r="K3172" s="10" t="s">
        <v>46</v>
      </c>
      <c r="L3172" s="5" t="s">
        <v>47</v>
      </c>
      <c r="M3172" s="5" t="s">
        <v>48</v>
      </c>
      <c r="O3172" s="14">
        <v>69442</v>
      </c>
      <c r="P3172" s="13">
        <v>24076</v>
      </c>
      <c r="Q3172" s="13">
        <v>24550</v>
      </c>
      <c r="S3172" s="13">
        <v>25041</v>
      </c>
      <c r="U3172" s="13">
        <v>25041</v>
      </c>
      <c r="AC3172" s="10" t="s">
        <v>7692</v>
      </c>
      <c r="AD3172" s="5" t="s">
        <v>2816</v>
      </c>
    </row>
    <row r="3173" spans="1:33" ht="10" customHeight="1" x14ac:dyDescent="0.2">
      <c r="A3173" s="5" t="s">
        <v>7149</v>
      </c>
      <c r="B3173" s="5" t="s">
        <v>41</v>
      </c>
      <c r="D3173" s="5" t="s">
        <v>7693</v>
      </c>
      <c r="E3173" s="10" t="s">
        <v>53</v>
      </c>
      <c r="F3173" s="5" t="s">
        <v>7691</v>
      </c>
      <c r="I3173" s="11">
        <v>6</v>
      </c>
      <c r="K3173" s="10" t="s">
        <v>46</v>
      </c>
      <c r="L3173" s="5" t="s">
        <v>47</v>
      </c>
      <c r="M3173" s="5" t="s">
        <v>48</v>
      </c>
      <c r="O3173" s="14">
        <v>18151</v>
      </c>
      <c r="P3173" s="13">
        <v>7522</v>
      </c>
      <c r="Q3173" s="13">
        <v>7672</v>
      </c>
      <c r="S3173" s="13">
        <v>7825</v>
      </c>
      <c r="U3173" s="13">
        <v>7825</v>
      </c>
      <c r="AC3173" s="10" t="s">
        <v>7694</v>
      </c>
      <c r="AD3173" s="5" t="s">
        <v>2816</v>
      </c>
    </row>
    <row r="3174" spans="1:33" ht="10" customHeight="1" x14ac:dyDescent="0.2">
      <c r="A3174" s="5" t="s">
        <v>7149</v>
      </c>
      <c r="B3174" s="5" t="s">
        <v>41</v>
      </c>
      <c r="D3174" s="5" t="s">
        <v>7695</v>
      </c>
      <c r="E3174" s="10" t="s">
        <v>53</v>
      </c>
      <c r="F3174" s="5" t="s">
        <v>7691</v>
      </c>
      <c r="I3174" s="11">
        <v>6</v>
      </c>
      <c r="K3174" s="10" t="s">
        <v>46</v>
      </c>
      <c r="L3174" s="5" t="s">
        <v>47</v>
      </c>
      <c r="M3174" s="5" t="s">
        <v>48</v>
      </c>
      <c r="N3174" s="5" t="s">
        <v>84</v>
      </c>
      <c r="O3174" s="14">
        <v>60135</v>
      </c>
      <c r="P3174" s="13">
        <v>3449</v>
      </c>
      <c r="Q3174" s="13">
        <v>2782</v>
      </c>
      <c r="S3174" s="13">
        <v>2837</v>
      </c>
      <c r="U3174" s="13">
        <v>2837</v>
      </c>
      <c r="AC3174" s="10" t="s">
        <v>7696</v>
      </c>
      <c r="AD3174" s="5" t="s">
        <v>2816</v>
      </c>
    </row>
    <row r="3175" spans="1:33" ht="10" customHeight="1" x14ac:dyDescent="0.2">
      <c r="A3175" s="5" t="s">
        <v>7149</v>
      </c>
      <c r="B3175" s="5" t="s">
        <v>41</v>
      </c>
      <c r="D3175" s="5" t="s">
        <v>7697</v>
      </c>
      <c r="E3175" s="10" t="s">
        <v>53</v>
      </c>
      <c r="F3175" s="5" t="s">
        <v>7636</v>
      </c>
      <c r="I3175" s="11">
        <v>4</v>
      </c>
      <c r="K3175" s="10" t="s">
        <v>46</v>
      </c>
      <c r="L3175" s="5" t="s">
        <v>47</v>
      </c>
      <c r="M3175" s="5" t="s">
        <v>48</v>
      </c>
      <c r="O3175" s="14">
        <v>204380</v>
      </c>
      <c r="P3175" s="13">
        <v>11882</v>
      </c>
      <c r="Q3175" s="13">
        <v>12119</v>
      </c>
      <c r="S3175" s="13">
        <v>12360</v>
      </c>
      <c r="U3175" s="13">
        <v>12360</v>
      </c>
      <c r="AC3175" s="10" t="s">
        <v>7698</v>
      </c>
      <c r="AD3175" s="5" t="s">
        <v>7699</v>
      </c>
      <c r="AE3175" s="5" t="s">
        <v>7632</v>
      </c>
      <c r="AG3175" s="5" t="s">
        <v>7700</v>
      </c>
    </row>
    <row r="3176" spans="1:33" ht="10" customHeight="1" x14ac:dyDescent="0.2">
      <c r="A3176" s="5" t="s">
        <v>7149</v>
      </c>
      <c r="B3176" s="5" t="s">
        <v>41</v>
      </c>
      <c r="D3176" s="5" t="s">
        <v>7701</v>
      </c>
      <c r="E3176" s="10" t="s">
        <v>53</v>
      </c>
      <c r="F3176" s="5" t="s">
        <v>7702</v>
      </c>
      <c r="I3176" s="11">
        <v>4</v>
      </c>
      <c r="K3176" s="10" t="s">
        <v>46</v>
      </c>
      <c r="L3176" s="5" t="s">
        <v>47</v>
      </c>
      <c r="M3176" s="5" t="s">
        <v>48</v>
      </c>
      <c r="O3176" s="14">
        <v>195382</v>
      </c>
      <c r="P3176" s="13">
        <v>11046</v>
      </c>
      <c r="Q3176" s="13">
        <v>11266</v>
      </c>
      <c r="S3176" s="13">
        <v>11491</v>
      </c>
      <c r="U3176" s="13">
        <v>11491</v>
      </c>
      <c r="AC3176" s="10" t="s">
        <v>7703</v>
      </c>
      <c r="AD3176" s="5" t="s">
        <v>7699</v>
      </c>
      <c r="AG3176" s="5" t="s">
        <v>7704</v>
      </c>
    </row>
    <row r="3177" spans="1:33" ht="10" customHeight="1" x14ac:dyDescent="0.2">
      <c r="A3177" s="5" t="s">
        <v>7149</v>
      </c>
      <c r="B3177" s="5" t="s">
        <v>41</v>
      </c>
      <c r="D3177" s="5" t="s">
        <v>7705</v>
      </c>
      <c r="E3177" s="10" t="s">
        <v>53</v>
      </c>
      <c r="F3177" s="5" t="s">
        <v>7702</v>
      </c>
      <c r="I3177" s="11">
        <v>4</v>
      </c>
      <c r="K3177" s="10" t="s">
        <v>46</v>
      </c>
      <c r="L3177" s="5" t="s">
        <v>47</v>
      </c>
      <c r="M3177" s="5" t="s">
        <v>48</v>
      </c>
      <c r="O3177" s="14">
        <v>8998</v>
      </c>
      <c r="P3177" s="13">
        <v>836</v>
      </c>
      <c r="Q3177" s="13">
        <v>853</v>
      </c>
      <c r="S3177" s="13">
        <v>869</v>
      </c>
      <c r="U3177" s="13">
        <v>869</v>
      </c>
      <c r="AC3177" s="10" t="s">
        <v>7706</v>
      </c>
      <c r="AD3177" s="5" t="s">
        <v>7699</v>
      </c>
      <c r="AG3177" s="5" t="s">
        <v>7707</v>
      </c>
    </row>
    <row r="3178" spans="1:33" ht="10" customHeight="1" x14ac:dyDescent="0.2">
      <c r="A3178" s="5" t="s">
        <v>7149</v>
      </c>
      <c r="B3178" s="5" t="s">
        <v>41</v>
      </c>
      <c r="C3178" s="5" t="s">
        <v>7708</v>
      </c>
      <c r="D3178" s="5" t="s">
        <v>7709</v>
      </c>
      <c r="E3178" s="10" t="s">
        <v>44</v>
      </c>
      <c r="I3178" s="11">
        <v>6</v>
      </c>
      <c r="K3178" s="12"/>
      <c r="O3178" s="14">
        <v>936322</v>
      </c>
      <c r="P3178" s="13">
        <v>207231</v>
      </c>
      <c r="Q3178" s="13">
        <v>179974</v>
      </c>
      <c r="S3178" s="13">
        <v>186085</v>
      </c>
      <c r="T3178" s="13">
        <v>0</v>
      </c>
      <c r="U3178" s="13">
        <v>186085</v>
      </c>
      <c r="W3178" s="13">
        <v>8200</v>
      </c>
      <c r="X3178" s="13">
        <v>177885</v>
      </c>
      <c r="Y3178" s="13">
        <v>186085</v>
      </c>
      <c r="Z3178" s="13">
        <v>218181</v>
      </c>
      <c r="AB3178" s="13">
        <v>218181</v>
      </c>
      <c r="AC3178" s="10" t="s">
        <v>7710</v>
      </c>
      <c r="AD3178" s="5" t="s">
        <v>2867</v>
      </c>
      <c r="AE3178" s="5" t="s">
        <v>7708</v>
      </c>
      <c r="AF3178" s="5" t="s">
        <v>7711</v>
      </c>
    </row>
    <row r="3179" spans="1:33" ht="10" customHeight="1" x14ac:dyDescent="0.2">
      <c r="A3179" s="5" t="s">
        <v>7149</v>
      </c>
      <c r="B3179" s="5" t="s">
        <v>41</v>
      </c>
      <c r="D3179" s="5" t="s">
        <v>7712</v>
      </c>
      <c r="E3179" s="10" t="s">
        <v>53</v>
      </c>
      <c r="F3179" s="5" t="s">
        <v>7713</v>
      </c>
      <c r="I3179" s="11">
        <v>6</v>
      </c>
      <c r="K3179" s="12"/>
      <c r="O3179" s="14">
        <v>119472</v>
      </c>
      <c r="P3179" s="13">
        <v>19201</v>
      </c>
      <c r="Q3179" s="13">
        <v>19770</v>
      </c>
      <c r="S3179" s="13">
        <v>15510</v>
      </c>
      <c r="U3179" s="13">
        <v>15510</v>
      </c>
      <c r="AC3179" s="10" t="s">
        <v>7714</v>
      </c>
      <c r="AD3179" s="5" t="s">
        <v>2960</v>
      </c>
      <c r="AE3179" s="5" t="s">
        <v>7708</v>
      </c>
    </row>
    <row r="3180" spans="1:33" ht="10" customHeight="1" x14ac:dyDescent="0.2">
      <c r="A3180" s="5" t="s">
        <v>7149</v>
      </c>
      <c r="B3180" s="5" t="s">
        <v>41</v>
      </c>
      <c r="D3180" s="5" t="s">
        <v>7715</v>
      </c>
      <c r="E3180" s="10" t="s">
        <v>53</v>
      </c>
      <c r="F3180" s="5" t="s">
        <v>7716</v>
      </c>
      <c r="I3180" s="11">
        <v>6</v>
      </c>
      <c r="K3180" s="12"/>
      <c r="O3180" s="14">
        <v>27852</v>
      </c>
      <c r="P3180" s="13">
        <v>1118</v>
      </c>
      <c r="Q3180" s="13">
        <v>428</v>
      </c>
      <c r="S3180" s="13">
        <v>2482</v>
      </c>
      <c r="U3180" s="13">
        <v>2482</v>
      </c>
      <c r="AC3180" s="10" t="s">
        <v>7717</v>
      </c>
      <c r="AD3180" s="5" t="s">
        <v>2960</v>
      </c>
      <c r="AE3180" s="5" t="s">
        <v>7708</v>
      </c>
    </row>
    <row r="3181" spans="1:33" ht="10" customHeight="1" x14ac:dyDescent="0.2">
      <c r="A3181" s="5" t="s">
        <v>7149</v>
      </c>
      <c r="B3181" s="5" t="s">
        <v>41</v>
      </c>
      <c r="D3181" s="5" t="s">
        <v>7718</v>
      </c>
      <c r="E3181" s="10" t="s">
        <v>53</v>
      </c>
      <c r="F3181" s="5" t="s">
        <v>7716</v>
      </c>
      <c r="I3181" s="11">
        <v>6</v>
      </c>
      <c r="K3181" s="12"/>
      <c r="O3181" s="14">
        <v>17576</v>
      </c>
      <c r="P3181" s="13">
        <v>834</v>
      </c>
      <c r="Q3181" s="13">
        <v>833</v>
      </c>
      <c r="S3181" s="13">
        <v>833</v>
      </c>
      <c r="U3181" s="13">
        <v>833</v>
      </c>
      <c r="AC3181" s="10" t="s">
        <v>7719</v>
      </c>
      <c r="AD3181" s="5" t="s">
        <v>2960</v>
      </c>
      <c r="AE3181" s="5" t="s">
        <v>7708</v>
      </c>
    </row>
    <row r="3182" spans="1:33" ht="10" customHeight="1" x14ac:dyDescent="0.2">
      <c r="A3182" s="5" t="s">
        <v>7149</v>
      </c>
      <c r="B3182" s="5" t="s">
        <v>41</v>
      </c>
      <c r="D3182" s="5" t="s">
        <v>7720</v>
      </c>
      <c r="E3182" s="10" t="s">
        <v>53</v>
      </c>
      <c r="F3182" s="5" t="s">
        <v>7716</v>
      </c>
      <c r="I3182" s="11">
        <v>6</v>
      </c>
      <c r="K3182" s="12"/>
      <c r="O3182" s="14">
        <v>48338</v>
      </c>
      <c r="P3182" s="13">
        <v>2496</v>
      </c>
      <c r="Q3182" s="13">
        <v>1225</v>
      </c>
      <c r="S3182" s="13">
        <v>1225</v>
      </c>
      <c r="U3182" s="13">
        <v>1225</v>
      </c>
      <c r="AC3182" s="10" t="s">
        <v>7721</v>
      </c>
      <c r="AD3182" s="5" t="s">
        <v>2960</v>
      </c>
      <c r="AE3182" s="5" t="s">
        <v>7708</v>
      </c>
    </row>
    <row r="3183" spans="1:33" ht="10" customHeight="1" x14ac:dyDescent="0.2">
      <c r="A3183" s="5" t="s">
        <v>7149</v>
      </c>
      <c r="B3183" s="5" t="s">
        <v>41</v>
      </c>
      <c r="D3183" s="5" t="s">
        <v>7722</v>
      </c>
      <c r="E3183" s="10" t="s">
        <v>53</v>
      </c>
      <c r="F3183" s="5" t="s">
        <v>7716</v>
      </c>
      <c r="I3183" s="11">
        <v>6</v>
      </c>
      <c r="K3183" s="12"/>
      <c r="O3183" s="14">
        <v>19094</v>
      </c>
      <c r="P3183" s="13">
        <v>828</v>
      </c>
      <c r="Q3183" s="13">
        <v>5600</v>
      </c>
      <c r="S3183" s="13">
        <v>535</v>
      </c>
      <c r="U3183" s="13">
        <v>535</v>
      </c>
      <c r="AC3183" s="10" t="s">
        <v>7723</v>
      </c>
      <c r="AD3183" s="5" t="s">
        <v>2960</v>
      </c>
      <c r="AE3183" s="5" t="s">
        <v>7708</v>
      </c>
    </row>
    <row r="3184" spans="1:33" ht="10" customHeight="1" x14ac:dyDescent="0.2">
      <c r="A3184" s="5" t="s">
        <v>7149</v>
      </c>
      <c r="B3184" s="5" t="s">
        <v>41</v>
      </c>
      <c r="D3184" s="5" t="s">
        <v>7724</v>
      </c>
      <c r="E3184" s="10" t="s">
        <v>53</v>
      </c>
      <c r="F3184" s="5" t="s">
        <v>7716</v>
      </c>
      <c r="I3184" s="11">
        <v>6</v>
      </c>
      <c r="K3184" s="12"/>
      <c r="O3184" s="14">
        <v>5592</v>
      </c>
      <c r="P3184" s="13">
        <v>1600</v>
      </c>
      <c r="S3184" s="13">
        <v>435</v>
      </c>
      <c r="U3184" s="13">
        <v>435</v>
      </c>
      <c r="AC3184" s="10" t="s">
        <v>7725</v>
      </c>
      <c r="AD3184" s="5" t="s">
        <v>2960</v>
      </c>
      <c r="AE3184" s="5" t="s">
        <v>7708</v>
      </c>
    </row>
    <row r="3185" spans="1:33" ht="10" customHeight="1" x14ac:dyDescent="0.2">
      <c r="A3185" s="5" t="s">
        <v>7149</v>
      </c>
      <c r="B3185" s="5" t="s">
        <v>41</v>
      </c>
      <c r="D3185" s="5" t="s">
        <v>7726</v>
      </c>
      <c r="E3185" s="10" t="s">
        <v>53</v>
      </c>
      <c r="F3185" s="5" t="s">
        <v>7716</v>
      </c>
      <c r="I3185" s="11">
        <v>6</v>
      </c>
      <c r="K3185" s="12"/>
      <c r="O3185" s="12"/>
      <c r="P3185" s="13">
        <v>409</v>
      </c>
      <c r="Q3185" s="13">
        <v>1616</v>
      </c>
      <c r="S3185" s="13">
        <v>10000</v>
      </c>
      <c r="U3185" s="13">
        <v>10000</v>
      </c>
      <c r="AC3185" s="10" t="s">
        <v>7727</v>
      </c>
      <c r="AD3185" s="5" t="s">
        <v>2960</v>
      </c>
      <c r="AE3185" s="5" t="s">
        <v>7708</v>
      </c>
    </row>
    <row r="3186" spans="1:33" ht="10" customHeight="1" x14ac:dyDescent="0.2">
      <c r="A3186" s="5" t="s">
        <v>7149</v>
      </c>
      <c r="B3186" s="5" t="s">
        <v>41</v>
      </c>
      <c r="D3186" s="5" t="s">
        <v>7728</v>
      </c>
      <c r="E3186" s="10" t="s">
        <v>53</v>
      </c>
      <c r="F3186" s="5" t="s">
        <v>7713</v>
      </c>
      <c r="I3186" s="11">
        <v>6</v>
      </c>
      <c r="K3186" s="10" t="s">
        <v>46</v>
      </c>
      <c r="L3186" s="5" t="s">
        <v>47</v>
      </c>
      <c r="M3186" s="5" t="s">
        <v>115</v>
      </c>
      <c r="O3186" s="14">
        <v>45594</v>
      </c>
      <c r="P3186" s="13">
        <v>7741</v>
      </c>
      <c r="Q3186" s="13">
        <v>29523</v>
      </c>
      <c r="S3186" s="13">
        <v>30126</v>
      </c>
      <c r="U3186" s="13">
        <v>30126</v>
      </c>
      <c r="AC3186" s="10" t="s">
        <v>7729</v>
      </c>
      <c r="AD3186" s="5" t="s">
        <v>2975</v>
      </c>
      <c r="AE3186" s="5" t="s">
        <v>7708</v>
      </c>
      <c r="AF3186" s="5" t="s">
        <v>7730</v>
      </c>
    </row>
    <row r="3187" spans="1:33" ht="10" customHeight="1" x14ac:dyDescent="0.2">
      <c r="A3187" s="5" t="s">
        <v>7149</v>
      </c>
      <c r="B3187" s="5" t="s">
        <v>41</v>
      </c>
      <c r="D3187" s="5" t="s">
        <v>7731</v>
      </c>
      <c r="E3187" s="10" t="s">
        <v>53</v>
      </c>
      <c r="F3187" s="5" t="s">
        <v>7732</v>
      </c>
      <c r="I3187" s="11">
        <v>6</v>
      </c>
      <c r="K3187" s="12"/>
      <c r="O3187" s="14">
        <v>10059</v>
      </c>
      <c r="Q3187" s="13">
        <v>1542</v>
      </c>
      <c r="S3187" s="13">
        <v>1388</v>
      </c>
      <c r="U3187" s="13">
        <v>1388</v>
      </c>
      <c r="AC3187" s="10" t="s">
        <v>7733</v>
      </c>
      <c r="AD3187" s="5" t="s">
        <v>2975</v>
      </c>
      <c r="AE3187" s="5" t="s">
        <v>7708</v>
      </c>
      <c r="AF3187" s="5" t="s">
        <v>7734</v>
      </c>
      <c r="AG3187" s="5" t="s">
        <v>7735</v>
      </c>
    </row>
    <row r="3188" spans="1:33" ht="10" customHeight="1" x14ac:dyDescent="0.2">
      <c r="A3188" s="5" t="s">
        <v>7149</v>
      </c>
      <c r="B3188" s="5" t="s">
        <v>41</v>
      </c>
      <c r="D3188" s="5" t="s">
        <v>7736</v>
      </c>
      <c r="E3188" s="10" t="s">
        <v>53</v>
      </c>
      <c r="F3188" s="5" t="s">
        <v>7732</v>
      </c>
      <c r="I3188" s="11">
        <v>6</v>
      </c>
      <c r="K3188" s="12"/>
      <c r="O3188" s="14">
        <v>21751</v>
      </c>
      <c r="Q3188" s="13">
        <v>13521</v>
      </c>
      <c r="S3188" s="13">
        <v>3314</v>
      </c>
      <c r="U3188" s="13">
        <v>3314</v>
      </c>
      <c r="AC3188" s="10" t="s">
        <v>7737</v>
      </c>
      <c r="AD3188" s="5" t="s">
        <v>2975</v>
      </c>
      <c r="AE3188" s="5" t="s">
        <v>7708</v>
      </c>
      <c r="AF3188" s="5" t="s">
        <v>7734</v>
      </c>
      <c r="AG3188" s="5" t="s">
        <v>7735</v>
      </c>
    </row>
    <row r="3189" spans="1:33" ht="10" customHeight="1" x14ac:dyDescent="0.2">
      <c r="A3189" s="5" t="s">
        <v>7149</v>
      </c>
      <c r="B3189" s="5" t="s">
        <v>41</v>
      </c>
      <c r="D3189" s="5" t="s">
        <v>7738</v>
      </c>
      <c r="E3189" s="10" t="s">
        <v>53</v>
      </c>
      <c r="F3189" s="5" t="s">
        <v>7732</v>
      </c>
      <c r="I3189" s="11">
        <v>6</v>
      </c>
      <c r="K3189" s="12"/>
      <c r="O3189" s="12"/>
      <c r="P3189" s="13">
        <v>3692</v>
      </c>
      <c r="Q3189" s="13">
        <v>14460</v>
      </c>
      <c r="S3189" s="13">
        <v>25424</v>
      </c>
      <c r="U3189" s="13">
        <v>25424</v>
      </c>
      <c r="AC3189" s="10" t="s">
        <v>7739</v>
      </c>
      <c r="AD3189" s="5" t="s">
        <v>2975</v>
      </c>
      <c r="AE3189" s="5" t="s">
        <v>7708</v>
      </c>
      <c r="AF3189" s="5" t="s">
        <v>7734</v>
      </c>
      <c r="AG3189" s="5" t="s">
        <v>7735</v>
      </c>
    </row>
    <row r="3190" spans="1:33" ht="10" customHeight="1" x14ac:dyDescent="0.2">
      <c r="A3190" s="5" t="s">
        <v>7149</v>
      </c>
      <c r="B3190" s="5" t="s">
        <v>41</v>
      </c>
      <c r="D3190" s="5" t="s">
        <v>7711</v>
      </c>
      <c r="E3190" s="10" t="s">
        <v>53</v>
      </c>
      <c r="F3190" s="5" t="s">
        <v>7713</v>
      </c>
      <c r="I3190" s="11">
        <v>6</v>
      </c>
      <c r="K3190" s="10" t="s">
        <v>46</v>
      </c>
      <c r="L3190" s="5" t="s">
        <v>47</v>
      </c>
      <c r="M3190" s="5" t="s">
        <v>65</v>
      </c>
      <c r="N3190" s="5" t="s">
        <v>66</v>
      </c>
      <c r="O3190" s="14">
        <v>35254</v>
      </c>
      <c r="P3190" s="13">
        <v>2428</v>
      </c>
      <c r="Q3190" s="13">
        <v>2474</v>
      </c>
      <c r="S3190" s="13">
        <v>880</v>
      </c>
      <c r="U3190" s="13">
        <v>880</v>
      </c>
      <c r="AC3190" s="10" t="s">
        <v>7740</v>
      </c>
      <c r="AD3190" s="5" t="s">
        <v>2987</v>
      </c>
      <c r="AE3190" s="5" t="s">
        <v>7708</v>
      </c>
      <c r="AF3190" s="5" t="s">
        <v>7711</v>
      </c>
    </row>
    <row r="3191" spans="1:33" ht="10" customHeight="1" x14ac:dyDescent="0.2">
      <c r="A3191" s="5" t="s">
        <v>7149</v>
      </c>
      <c r="B3191" s="5" t="s">
        <v>41</v>
      </c>
      <c r="D3191" s="5" t="s">
        <v>7741</v>
      </c>
      <c r="E3191" s="10" t="s">
        <v>53</v>
      </c>
      <c r="F3191" s="5" t="s">
        <v>7713</v>
      </c>
      <c r="I3191" s="11">
        <v>6</v>
      </c>
      <c r="K3191" s="10" t="s">
        <v>46</v>
      </c>
      <c r="L3191" s="5" t="s">
        <v>235</v>
      </c>
      <c r="M3191" s="5" t="s">
        <v>236</v>
      </c>
      <c r="N3191" s="5" t="s">
        <v>283</v>
      </c>
      <c r="O3191" s="14">
        <v>13167</v>
      </c>
      <c r="P3191" s="13">
        <v>15317</v>
      </c>
      <c r="Q3191" s="13">
        <v>10687</v>
      </c>
      <c r="S3191" s="13">
        <v>1620</v>
      </c>
      <c r="U3191" s="13">
        <v>1620</v>
      </c>
      <c r="AC3191" s="10" t="s">
        <v>7742</v>
      </c>
      <c r="AD3191" s="5" t="s">
        <v>2987</v>
      </c>
      <c r="AE3191" s="5" t="s">
        <v>7708</v>
      </c>
      <c r="AF3191" s="5" t="s">
        <v>7741</v>
      </c>
    </row>
    <row r="3192" spans="1:33" ht="10" customHeight="1" x14ac:dyDescent="0.2">
      <c r="A3192" s="5" t="s">
        <v>7149</v>
      </c>
      <c r="B3192" s="5" t="s">
        <v>41</v>
      </c>
      <c r="D3192" s="5" t="s">
        <v>7743</v>
      </c>
      <c r="E3192" s="10" t="s">
        <v>53</v>
      </c>
      <c r="F3192" s="5" t="s">
        <v>7713</v>
      </c>
      <c r="I3192" s="11">
        <v>6</v>
      </c>
      <c r="K3192" s="12"/>
      <c r="O3192" s="14">
        <v>0</v>
      </c>
      <c r="S3192" s="13">
        <v>4764</v>
      </c>
      <c r="U3192" s="13">
        <v>4764</v>
      </c>
      <c r="AC3192" s="10" t="s">
        <v>7744</v>
      </c>
      <c r="AD3192" s="5" t="s">
        <v>2997</v>
      </c>
      <c r="AE3192" s="5" t="s">
        <v>7708</v>
      </c>
      <c r="AF3192" s="5" t="s">
        <v>7745</v>
      </c>
    </row>
    <row r="3193" spans="1:33" ht="10" customHeight="1" x14ac:dyDescent="0.2">
      <c r="A3193" s="5" t="s">
        <v>7149</v>
      </c>
      <c r="B3193" s="5" t="s">
        <v>41</v>
      </c>
      <c r="C3193" s="5" t="s">
        <v>7746</v>
      </c>
      <c r="D3193" s="5" t="s">
        <v>7747</v>
      </c>
      <c r="E3193" s="10" t="s">
        <v>53</v>
      </c>
      <c r="F3193" s="5" t="s">
        <v>7713</v>
      </c>
      <c r="I3193" s="11">
        <v>6</v>
      </c>
      <c r="K3193" s="12"/>
      <c r="O3193" s="14">
        <v>551504</v>
      </c>
      <c r="P3193" s="13">
        <v>134366</v>
      </c>
      <c r="Q3193" s="13">
        <v>83905</v>
      </c>
      <c r="S3193" s="13">
        <v>105860</v>
      </c>
      <c r="U3193" s="13">
        <v>105860</v>
      </c>
      <c r="AC3193" s="10" t="s">
        <v>7748</v>
      </c>
      <c r="AD3193" s="5" t="s">
        <v>3009</v>
      </c>
      <c r="AE3193" s="5" t="s">
        <v>7708</v>
      </c>
      <c r="AF3193" s="5" t="s">
        <v>7749</v>
      </c>
      <c r="AG3193" s="5" t="s">
        <v>7746</v>
      </c>
    </row>
    <row r="3194" spans="1:33" ht="10" customHeight="1" x14ac:dyDescent="0.2">
      <c r="A3194" s="5" t="s">
        <v>7149</v>
      </c>
      <c r="B3194" s="5" t="s">
        <v>41</v>
      </c>
      <c r="D3194" s="5" t="s">
        <v>7750</v>
      </c>
      <c r="E3194" s="10" t="s">
        <v>53</v>
      </c>
      <c r="F3194" s="5" t="s">
        <v>7751</v>
      </c>
      <c r="I3194" s="11">
        <v>6</v>
      </c>
      <c r="K3194" s="12"/>
      <c r="O3194" s="14">
        <v>148855</v>
      </c>
      <c r="P3194" s="13">
        <v>20777</v>
      </c>
      <c r="Q3194" s="13">
        <v>15637</v>
      </c>
      <c r="S3194" s="13">
        <v>15203</v>
      </c>
      <c r="U3194" s="13">
        <v>15203</v>
      </c>
      <c r="AC3194" s="10" t="s">
        <v>7752</v>
      </c>
      <c r="AD3194" s="5" t="s">
        <v>7753</v>
      </c>
      <c r="AE3194" s="5" t="s">
        <v>7708</v>
      </c>
    </row>
    <row r="3195" spans="1:33" ht="10" customHeight="1" x14ac:dyDescent="0.2">
      <c r="A3195" s="5" t="s">
        <v>7149</v>
      </c>
      <c r="B3195" s="5" t="s">
        <v>41</v>
      </c>
      <c r="D3195" s="5" t="s">
        <v>7754</v>
      </c>
      <c r="E3195" s="10" t="s">
        <v>53</v>
      </c>
      <c r="F3195" s="5" t="s">
        <v>7751</v>
      </c>
      <c r="I3195" s="11">
        <v>6</v>
      </c>
      <c r="K3195" s="10" t="s">
        <v>46</v>
      </c>
      <c r="L3195" s="5" t="s">
        <v>47</v>
      </c>
      <c r="M3195" s="5" t="s">
        <v>115</v>
      </c>
      <c r="O3195" s="14">
        <v>34738</v>
      </c>
      <c r="P3195" s="13">
        <v>700</v>
      </c>
      <c r="Q3195" s="13">
        <v>700</v>
      </c>
      <c r="S3195" s="13">
        <v>700</v>
      </c>
      <c r="U3195" s="13">
        <v>700</v>
      </c>
      <c r="AC3195" s="10" t="s">
        <v>7755</v>
      </c>
      <c r="AD3195" s="5" t="s">
        <v>7753</v>
      </c>
      <c r="AE3195" s="5" t="s">
        <v>7708</v>
      </c>
    </row>
    <row r="3196" spans="1:33" ht="10" customHeight="1" x14ac:dyDescent="0.2">
      <c r="A3196" s="5" t="s">
        <v>7149</v>
      </c>
      <c r="B3196" s="5" t="s">
        <v>41</v>
      </c>
      <c r="D3196" s="5" t="s">
        <v>7756</v>
      </c>
      <c r="E3196" s="10" t="s">
        <v>53</v>
      </c>
      <c r="F3196" s="5" t="s">
        <v>7751</v>
      </c>
      <c r="I3196" s="11">
        <v>6</v>
      </c>
      <c r="K3196" s="10" t="s">
        <v>46</v>
      </c>
      <c r="L3196" s="5" t="s">
        <v>47</v>
      </c>
      <c r="M3196" s="5" t="s">
        <v>115</v>
      </c>
      <c r="O3196" s="14">
        <v>146460</v>
      </c>
      <c r="P3196" s="13">
        <v>14979</v>
      </c>
      <c r="Q3196" s="13">
        <v>20000</v>
      </c>
      <c r="S3196" s="13">
        <v>19410</v>
      </c>
      <c r="U3196" s="13">
        <v>19410</v>
      </c>
      <c r="AC3196" s="10" t="s">
        <v>7757</v>
      </c>
      <c r="AD3196" s="5" t="s">
        <v>7753</v>
      </c>
      <c r="AE3196" s="5" t="s">
        <v>7708</v>
      </c>
    </row>
    <row r="3197" spans="1:33" ht="10" customHeight="1" x14ac:dyDescent="0.2">
      <c r="A3197" s="5" t="s">
        <v>7149</v>
      </c>
      <c r="B3197" s="5" t="s">
        <v>41</v>
      </c>
      <c r="D3197" s="5" t="s">
        <v>7758</v>
      </c>
      <c r="E3197" s="10" t="s">
        <v>53</v>
      </c>
      <c r="F3197" s="5" t="s">
        <v>7751</v>
      </c>
      <c r="I3197" s="11">
        <v>6</v>
      </c>
      <c r="K3197" s="12"/>
      <c r="O3197" s="14">
        <v>45893</v>
      </c>
      <c r="P3197" s="13">
        <v>7775</v>
      </c>
      <c r="Q3197" s="13">
        <v>1500</v>
      </c>
      <c r="S3197" s="13">
        <v>850</v>
      </c>
      <c r="U3197" s="13">
        <v>850</v>
      </c>
      <c r="AC3197" s="10" t="s">
        <v>7759</v>
      </c>
      <c r="AD3197" s="5" t="s">
        <v>7753</v>
      </c>
      <c r="AE3197" s="5" t="s">
        <v>7708</v>
      </c>
    </row>
    <row r="3198" spans="1:33" ht="10" customHeight="1" x14ac:dyDescent="0.2">
      <c r="A3198" s="5" t="s">
        <v>7149</v>
      </c>
      <c r="B3198" s="5" t="s">
        <v>41</v>
      </c>
      <c r="D3198" s="5" t="s">
        <v>7760</v>
      </c>
      <c r="E3198" s="10" t="s">
        <v>53</v>
      </c>
      <c r="F3198" s="5" t="s">
        <v>7751</v>
      </c>
      <c r="I3198" s="11">
        <v>6</v>
      </c>
      <c r="K3198" s="12"/>
      <c r="O3198" s="12"/>
      <c r="P3198" s="13">
        <v>15950</v>
      </c>
      <c r="Q3198" s="13">
        <v>15760</v>
      </c>
      <c r="S3198" s="13">
        <v>6075</v>
      </c>
      <c r="U3198" s="13">
        <v>6075</v>
      </c>
      <c r="AC3198" s="10" t="s">
        <v>7761</v>
      </c>
      <c r="AD3198" s="5" t="s">
        <v>7753</v>
      </c>
      <c r="AE3198" s="5" t="s">
        <v>7708</v>
      </c>
    </row>
    <row r="3199" spans="1:33" ht="10" customHeight="1" x14ac:dyDescent="0.2">
      <c r="A3199" s="5" t="s">
        <v>7149</v>
      </c>
      <c r="B3199" s="5" t="s">
        <v>41</v>
      </c>
      <c r="D3199" s="5" t="s">
        <v>7762</v>
      </c>
      <c r="E3199" s="10" t="s">
        <v>53</v>
      </c>
      <c r="F3199" s="5" t="s">
        <v>7751</v>
      </c>
      <c r="I3199" s="11">
        <v>4</v>
      </c>
      <c r="K3199" s="12"/>
      <c r="O3199" s="14">
        <v>153411</v>
      </c>
      <c r="P3199" s="13">
        <v>70088</v>
      </c>
      <c r="Q3199" s="13">
        <v>26755</v>
      </c>
      <c r="S3199" s="13">
        <v>60380</v>
      </c>
      <c r="U3199" s="13">
        <v>60380</v>
      </c>
      <c r="AC3199" s="10" t="s">
        <v>7763</v>
      </c>
      <c r="AD3199" s="5" t="s">
        <v>3023</v>
      </c>
      <c r="AE3199" s="5" t="s">
        <v>7708</v>
      </c>
    </row>
    <row r="3200" spans="1:33" ht="10" customHeight="1" x14ac:dyDescent="0.2">
      <c r="A3200" s="5" t="s">
        <v>7149</v>
      </c>
      <c r="B3200" s="5" t="s">
        <v>41</v>
      </c>
      <c r="D3200" s="5" t="s">
        <v>7764</v>
      </c>
      <c r="E3200" s="10" t="s">
        <v>53</v>
      </c>
      <c r="F3200" s="5" t="s">
        <v>7751</v>
      </c>
      <c r="I3200" s="11">
        <v>6</v>
      </c>
      <c r="K3200" s="12"/>
      <c r="O3200" s="14">
        <v>11407</v>
      </c>
      <c r="P3200" s="13">
        <v>1670</v>
      </c>
      <c r="Q3200" s="13">
        <v>1660</v>
      </c>
      <c r="S3200" s="13">
        <v>1670</v>
      </c>
      <c r="U3200" s="13">
        <v>1670</v>
      </c>
      <c r="AC3200" s="10" t="s">
        <v>7765</v>
      </c>
      <c r="AD3200" s="5" t="s">
        <v>3023</v>
      </c>
      <c r="AE3200" s="5" t="s">
        <v>7708</v>
      </c>
    </row>
    <row r="3201" spans="1:33" ht="10" customHeight="1" x14ac:dyDescent="0.2">
      <c r="A3201" s="5" t="s">
        <v>7149</v>
      </c>
      <c r="B3201" s="5" t="s">
        <v>41</v>
      </c>
      <c r="D3201" s="5" t="s">
        <v>7766</v>
      </c>
      <c r="E3201" s="10" t="s">
        <v>53</v>
      </c>
      <c r="F3201" s="5" t="s">
        <v>7751</v>
      </c>
      <c r="I3201" s="11">
        <v>6</v>
      </c>
      <c r="K3201" s="12"/>
      <c r="O3201" s="14">
        <v>5350</v>
      </c>
      <c r="P3201" s="13">
        <v>1600</v>
      </c>
      <c r="Q3201" s="13">
        <v>1050</v>
      </c>
      <c r="S3201" s="13">
        <v>1300</v>
      </c>
      <c r="U3201" s="13">
        <v>1300</v>
      </c>
      <c r="AC3201" s="10" t="s">
        <v>7767</v>
      </c>
      <c r="AD3201" s="5" t="s">
        <v>3023</v>
      </c>
      <c r="AE3201" s="5" t="s">
        <v>7708</v>
      </c>
    </row>
    <row r="3202" spans="1:33" ht="10" customHeight="1" x14ac:dyDescent="0.2">
      <c r="A3202" s="5" t="s">
        <v>7149</v>
      </c>
      <c r="B3202" s="5" t="s">
        <v>41</v>
      </c>
      <c r="D3202" s="5" t="s">
        <v>7768</v>
      </c>
      <c r="E3202" s="10" t="s">
        <v>53</v>
      </c>
      <c r="F3202" s="5" t="s">
        <v>7713</v>
      </c>
      <c r="I3202" s="11">
        <v>4</v>
      </c>
      <c r="K3202" s="10" t="s">
        <v>46</v>
      </c>
      <c r="L3202" s="5" t="s">
        <v>47</v>
      </c>
      <c r="M3202" s="5" t="s">
        <v>115</v>
      </c>
      <c r="O3202" s="14">
        <v>99059</v>
      </c>
      <c r="P3202" s="13">
        <v>13000</v>
      </c>
      <c r="Q3202" s="13">
        <v>14400</v>
      </c>
      <c r="S3202" s="13">
        <v>11230</v>
      </c>
      <c r="U3202" s="13">
        <v>11230</v>
      </c>
      <c r="AC3202" s="10" t="s">
        <v>7769</v>
      </c>
      <c r="AD3202" s="5" t="s">
        <v>3049</v>
      </c>
      <c r="AE3202" s="5" t="s">
        <v>7708</v>
      </c>
      <c r="AF3202" s="5" t="s">
        <v>7734</v>
      </c>
      <c r="AG3202" s="5" t="s">
        <v>7735</v>
      </c>
    </row>
    <row r="3203" spans="1:33" ht="10" customHeight="1" x14ac:dyDescent="0.2">
      <c r="A3203" s="5" t="s">
        <v>7149</v>
      </c>
      <c r="B3203" s="5" t="s">
        <v>41</v>
      </c>
      <c r="D3203" s="5" t="s">
        <v>7770</v>
      </c>
      <c r="E3203" s="10" t="s">
        <v>53</v>
      </c>
      <c r="F3203" s="5" t="s">
        <v>7771</v>
      </c>
      <c r="I3203" s="11">
        <v>4</v>
      </c>
      <c r="K3203" s="12"/>
      <c r="O3203" s="14">
        <v>66094</v>
      </c>
      <c r="P3203" s="13">
        <v>9000</v>
      </c>
      <c r="Q3203" s="13">
        <v>9900</v>
      </c>
      <c r="S3203" s="13">
        <v>5950</v>
      </c>
      <c r="U3203" s="13">
        <v>5950</v>
      </c>
      <c r="AC3203" s="10" t="s">
        <v>7772</v>
      </c>
      <c r="AD3203" s="5" t="s">
        <v>3061</v>
      </c>
      <c r="AE3203" s="5" t="s">
        <v>7708</v>
      </c>
      <c r="AG3203" s="5" t="s">
        <v>7773</v>
      </c>
    </row>
    <row r="3204" spans="1:33" ht="10" customHeight="1" x14ac:dyDescent="0.2">
      <c r="A3204" s="5" t="s">
        <v>7149</v>
      </c>
      <c r="B3204" s="5" t="s">
        <v>41</v>
      </c>
      <c r="D3204" s="5" t="s">
        <v>7774</v>
      </c>
      <c r="E3204" s="10" t="s">
        <v>53</v>
      </c>
      <c r="F3204" s="5" t="s">
        <v>7771</v>
      </c>
      <c r="I3204" s="11">
        <v>4</v>
      </c>
      <c r="K3204" s="12"/>
      <c r="O3204" s="14">
        <v>32965</v>
      </c>
      <c r="P3204" s="13">
        <v>4000</v>
      </c>
      <c r="Q3204" s="13">
        <v>4500</v>
      </c>
      <c r="S3204" s="13">
        <v>5280</v>
      </c>
      <c r="U3204" s="13">
        <v>5280</v>
      </c>
      <c r="AC3204" s="10" t="s">
        <v>7775</v>
      </c>
      <c r="AD3204" s="5" t="s">
        <v>3061</v>
      </c>
      <c r="AE3204" s="5" t="s">
        <v>7708</v>
      </c>
      <c r="AG3204" s="5" t="s">
        <v>7776</v>
      </c>
    </row>
    <row r="3205" spans="1:33" ht="10" customHeight="1" x14ac:dyDescent="0.2">
      <c r="A3205" s="5" t="s">
        <v>7149</v>
      </c>
      <c r="B3205" s="5" t="s">
        <v>41</v>
      </c>
      <c r="D3205" s="5" t="s">
        <v>7777</v>
      </c>
      <c r="E3205" s="10" t="s">
        <v>53</v>
      </c>
      <c r="F3205" s="5" t="s">
        <v>7713</v>
      </c>
      <c r="I3205" s="11">
        <v>4</v>
      </c>
      <c r="K3205" s="10" t="s">
        <v>46</v>
      </c>
      <c r="L3205" s="5" t="s">
        <v>47</v>
      </c>
      <c r="M3205" s="5" t="s">
        <v>115</v>
      </c>
      <c r="O3205" s="14">
        <v>72272</v>
      </c>
      <c r="P3205" s="13">
        <v>15178</v>
      </c>
      <c r="Q3205" s="13">
        <v>19215</v>
      </c>
      <c r="S3205" s="13">
        <v>16095</v>
      </c>
      <c r="U3205" s="13">
        <v>16095</v>
      </c>
      <c r="AC3205" s="10" t="s">
        <v>7778</v>
      </c>
      <c r="AD3205" s="5" t="s">
        <v>3082</v>
      </c>
      <c r="AE3205" s="5" t="s">
        <v>7708</v>
      </c>
      <c r="AF3205" s="5" t="s">
        <v>7734</v>
      </c>
      <c r="AG3205" s="5" t="s">
        <v>7735</v>
      </c>
    </row>
    <row r="3206" spans="1:33" ht="10" customHeight="1" x14ac:dyDescent="0.2">
      <c r="A3206" s="5" t="s">
        <v>7149</v>
      </c>
      <c r="B3206" s="5" t="s">
        <v>41</v>
      </c>
      <c r="D3206" s="5" t="s">
        <v>7779</v>
      </c>
      <c r="E3206" s="10" t="s">
        <v>53</v>
      </c>
      <c r="F3206" s="5" t="s">
        <v>7780</v>
      </c>
      <c r="I3206" s="11">
        <v>4</v>
      </c>
      <c r="K3206" s="12"/>
      <c r="O3206" s="14">
        <v>26775</v>
      </c>
      <c r="P3206" s="13">
        <v>6651</v>
      </c>
      <c r="Q3206" s="13">
        <v>8621</v>
      </c>
      <c r="S3206" s="13">
        <v>7331</v>
      </c>
      <c r="U3206" s="13">
        <v>7331</v>
      </c>
      <c r="AC3206" s="10" t="s">
        <v>7781</v>
      </c>
      <c r="AD3206" s="5" t="s">
        <v>3094</v>
      </c>
      <c r="AE3206" s="5" t="s">
        <v>7708</v>
      </c>
      <c r="AG3206" s="5" t="s">
        <v>7782</v>
      </c>
    </row>
    <row r="3207" spans="1:33" ht="10" customHeight="1" x14ac:dyDescent="0.2">
      <c r="A3207" s="5" t="s">
        <v>7149</v>
      </c>
      <c r="B3207" s="5" t="s">
        <v>41</v>
      </c>
      <c r="D3207" s="5" t="s">
        <v>7783</v>
      </c>
      <c r="E3207" s="10" t="s">
        <v>53</v>
      </c>
      <c r="F3207" s="5" t="s">
        <v>7780</v>
      </c>
      <c r="I3207" s="11">
        <v>4</v>
      </c>
      <c r="K3207" s="12"/>
      <c r="O3207" s="14">
        <v>45497</v>
      </c>
      <c r="P3207" s="13">
        <v>8527</v>
      </c>
      <c r="Q3207" s="13">
        <v>10594</v>
      </c>
      <c r="S3207" s="13">
        <v>8764</v>
      </c>
      <c r="U3207" s="13">
        <v>8764</v>
      </c>
      <c r="AC3207" s="10" t="s">
        <v>7784</v>
      </c>
      <c r="AD3207" s="5" t="s">
        <v>3094</v>
      </c>
      <c r="AE3207" s="5" t="s">
        <v>7708</v>
      </c>
      <c r="AG3207" s="5" t="s">
        <v>7785</v>
      </c>
    </row>
    <row r="3208" spans="1:33" ht="10" customHeight="1" x14ac:dyDescent="0.2">
      <c r="A3208" s="5" t="s">
        <v>7786</v>
      </c>
      <c r="B3208" s="5" t="s">
        <v>41</v>
      </c>
      <c r="C3208" s="5" t="s">
        <v>7787</v>
      </c>
      <c r="D3208" s="5" t="s">
        <v>7788</v>
      </c>
      <c r="E3208" s="10" t="s">
        <v>345</v>
      </c>
      <c r="K3208" s="12"/>
      <c r="O3208" s="12"/>
      <c r="P3208" s="13">
        <v>906795</v>
      </c>
      <c r="Q3208" s="13">
        <v>889155</v>
      </c>
      <c r="S3208" s="13">
        <v>814932</v>
      </c>
      <c r="T3208" s="13">
        <v>80000</v>
      </c>
      <c r="U3208" s="13">
        <v>894932</v>
      </c>
      <c r="AC3208" s="10" t="s">
        <v>7789</v>
      </c>
      <c r="AD3208" s="5" t="s">
        <v>152</v>
      </c>
    </row>
    <row r="3209" spans="1:33" ht="10" customHeight="1" x14ac:dyDescent="0.2">
      <c r="A3209" s="5" t="s">
        <v>7786</v>
      </c>
      <c r="B3209" s="5" t="s">
        <v>41</v>
      </c>
      <c r="C3209" s="5" t="s">
        <v>1445</v>
      </c>
      <c r="D3209" s="5" t="s">
        <v>6982</v>
      </c>
      <c r="E3209" s="12"/>
      <c r="I3209" s="11">
        <v>4</v>
      </c>
      <c r="K3209" s="10" t="s">
        <v>46</v>
      </c>
      <c r="L3209" s="5" t="s">
        <v>47</v>
      </c>
      <c r="M3209" s="5" t="s">
        <v>65</v>
      </c>
      <c r="N3209" s="5" t="s">
        <v>66</v>
      </c>
      <c r="O3209" s="12"/>
      <c r="P3209" s="13">
        <v>12376</v>
      </c>
      <c r="Q3209" s="13">
        <v>2244</v>
      </c>
      <c r="S3209" s="13">
        <v>4484</v>
      </c>
      <c r="T3209" s="13">
        <v>0</v>
      </c>
      <c r="U3209" s="13">
        <v>4484</v>
      </c>
      <c r="Z3209" s="13">
        <v>23551</v>
      </c>
      <c r="AB3209" s="13">
        <v>23551</v>
      </c>
      <c r="AC3209" s="10" t="s">
        <v>7790</v>
      </c>
      <c r="AD3209" s="5" t="s">
        <v>7791</v>
      </c>
      <c r="AE3209" s="5" t="s">
        <v>6984</v>
      </c>
      <c r="AF3209" s="5" t="s">
        <v>6982</v>
      </c>
    </row>
    <row r="3210" spans="1:33" ht="10" customHeight="1" x14ac:dyDescent="0.2">
      <c r="A3210" s="5" t="s">
        <v>7786</v>
      </c>
      <c r="B3210" s="5" t="s">
        <v>41</v>
      </c>
      <c r="C3210" s="5" t="s">
        <v>81</v>
      </c>
      <c r="D3210" s="5" t="s">
        <v>7000</v>
      </c>
      <c r="E3210" s="12"/>
      <c r="I3210" s="11">
        <v>4</v>
      </c>
      <c r="K3210" s="10" t="s">
        <v>46</v>
      </c>
      <c r="L3210" s="5" t="s">
        <v>47</v>
      </c>
      <c r="M3210" s="5" t="s">
        <v>65</v>
      </c>
      <c r="N3210" s="5" t="s">
        <v>66</v>
      </c>
      <c r="O3210" s="12"/>
      <c r="P3210" s="13">
        <v>17472</v>
      </c>
      <c r="Q3210" s="13">
        <v>14702</v>
      </c>
      <c r="S3210" s="13">
        <v>16294</v>
      </c>
      <c r="T3210" s="13">
        <v>0</v>
      </c>
      <c r="U3210" s="13">
        <v>16294</v>
      </c>
      <c r="Z3210" s="13">
        <v>36908</v>
      </c>
      <c r="AB3210" s="13">
        <v>36908</v>
      </c>
      <c r="AC3210" s="10" t="s">
        <v>7790</v>
      </c>
      <c r="AD3210" s="5" t="s">
        <v>6373</v>
      </c>
      <c r="AE3210" s="5" t="s">
        <v>7002</v>
      </c>
      <c r="AF3210" s="5" t="s">
        <v>7000</v>
      </c>
    </row>
    <row r="3211" spans="1:33" ht="10" customHeight="1" x14ac:dyDescent="0.2">
      <c r="A3211" s="5" t="s">
        <v>7786</v>
      </c>
      <c r="B3211" s="5" t="s">
        <v>41</v>
      </c>
      <c r="C3211" s="5" t="s">
        <v>1538</v>
      </c>
      <c r="D3211" s="5" t="s">
        <v>7108</v>
      </c>
      <c r="E3211" s="12"/>
      <c r="I3211" s="11">
        <v>4</v>
      </c>
      <c r="K3211" s="10" t="s">
        <v>46</v>
      </c>
      <c r="L3211" s="5" t="s">
        <v>47</v>
      </c>
      <c r="M3211" s="5" t="s">
        <v>65</v>
      </c>
      <c r="N3211" s="5" t="s">
        <v>66</v>
      </c>
      <c r="O3211" s="12"/>
      <c r="P3211" s="13">
        <v>143612</v>
      </c>
      <c r="Q3211" s="13">
        <v>119561</v>
      </c>
      <c r="S3211" s="13">
        <v>189553</v>
      </c>
      <c r="T3211" s="13">
        <v>0</v>
      </c>
      <c r="U3211" s="13">
        <v>189553</v>
      </c>
      <c r="Z3211" s="13">
        <v>211216</v>
      </c>
      <c r="AB3211" s="13">
        <v>211216</v>
      </c>
      <c r="AC3211" s="10" t="s">
        <v>7790</v>
      </c>
      <c r="AD3211" s="5" t="s">
        <v>6373</v>
      </c>
      <c r="AE3211" s="5" t="s">
        <v>7110</v>
      </c>
      <c r="AF3211" s="5" t="s">
        <v>7108</v>
      </c>
    </row>
    <row r="3212" spans="1:33" ht="10" customHeight="1" x14ac:dyDescent="0.2">
      <c r="A3212" s="5" t="s">
        <v>7786</v>
      </c>
      <c r="B3212" s="5" t="s">
        <v>41</v>
      </c>
      <c r="C3212" s="5" t="s">
        <v>7792</v>
      </c>
      <c r="D3212" s="5" t="s">
        <v>7793</v>
      </c>
      <c r="E3212" s="10" t="s">
        <v>345</v>
      </c>
      <c r="K3212" s="12"/>
      <c r="O3212" s="12"/>
      <c r="P3212" s="13">
        <v>186641</v>
      </c>
      <c r="Q3212" s="13">
        <v>260583</v>
      </c>
      <c r="S3212" s="13">
        <v>347308</v>
      </c>
      <c r="T3212" s="13">
        <v>0</v>
      </c>
      <c r="U3212" s="13">
        <v>347308</v>
      </c>
      <c r="AC3212" s="10" t="s">
        <v>7794</v>
      </c>
      <c r="AD3212" s="5" t="s">
        <v>6397</v>
      </c>
    </row>
    <row r="3213" spans="1:33" ht="10" customHeight="1" x14ac:dyDescent="0.2">
      <c r="A3213" s="5" t="s">
        <v>7786</v>
      </c>
      <c r="B3213" s="5" t="s">
        <v>41</v>
      </c>
      <c r="C3213" s="5" t="s">
        <v>1879</v>
      </c>
      <c r="D3213" s="5" t="s">
        <v>7795</v>
      </c>
      <c r="E3213" s="12"/>
      <c r="I3213" s="11">
        <v>7</v>
      </c>
      <c r="K3213" s="10" t="s">
        <v>46</v>
      </c>
      <c r="L3213" s="5" t="s">
        <v>47</v>
      </c>
      <c r="M3213" s="5" t="s">
        <v>178</v>
      </c>
      <c r="N3213" s="5" t="s">
        <v>6071</v>
      </c>
      <c r="O3213" s="12"/>
      <c r="P3213" s="13">
        <v>4501</v>
      </c>
      <c r="Q3213" s="13">
        <v>6454</v>
      </c>
      <c r="S3213" s="13">
        <v>38073</v>
      </c>
      <c r="T3213" s="13">
        <v>0</v>
      </c>
      <c r="U3213" s="13">
        <v>38073</v>
      </c>
      <c r="X3213" s="13">
        <v>38073</v>
      </c>
      <c r="Y3213" s="13">
        <v>38073</v>
      </c>
      <c r="Z3213" s="13">
        <v>53916</v>
      </c>
      <c r="AB3213" s="13">
        <v>53916</v>
      </c>
      <c r="AC3213" s="10" t="s">
        <v>7796</v>
      </c>
      <c r="AD3213" s="5" t="s">
        <v>1466</v>
      </c>
      <c r="AE3213" s="5" t="s">
        <v>7797</v>
      </c>
      <c r="AF3213" s="5" t="s">
        <v>7795</v>
      </c>
    </row>
    <row r="3214" spans="1:33" ht="10" customHeight="1" x14ac:dyDescent="0.2">
      <c r="A3214" s="5" t="s">
        <v>7786</v>
      </c>
      <c r="B3214" s="5" t="s">
        <v>41</v>
      </c>
      <c r="C3214" s="5" t="s">
        <v>7798</v>
      </c>
      <c r="D3214" s="5" t="s">
        <v>7799</v>
      </c>
      <c r="E3214" s="10" t="s">
        <v>345</v>
      </c>
      <c r="K3214" s="12"/>
      <c r="O3214" s="12"/>
      <c r="P3214" s="13">
        <v>698653</v>
      </c>
      <c r="Q3214" s="13">
        <v>1063444</v>
      </c>
      <c r="S3214" s="13">
        <v>688659</v>
      </c>
      <c r="T3214" s="13">
        <v>0</v>
      </c>
      <c r="U3214" s="13">
        <v>688659</v>
      </c>
      <c r="AC3214" s="10" t="s">
        <v>7800</v>
      </c>
      <c r="AD3214" s="5" t="s">
        <v>6397</v>
      </c>
    </row>
    <row r="3215" spans="1:33" ht="10" customHeight="1" x14ac:dyDescent="0.2">
      <c r="A3215" s="5" t="s">
        <v>7786</v>
      </c>
      <c r="B3215" s="5" t="s">
        <v>41</v>
      </c>
      <c r="C3215" s="5" t="s">
        <v>1938</v>
      </c>
      <c r="D3215" s="5" t="s">
        <v>7801</v>
      </c>
      <c r="E3215" s="10" t="s">
        <v>44</v>
      </c>
      <c r="I3215" s="11">
        <v>7</v>
      </c>
      <c r="K3215" s="12"/>
      <c r="O3215" s="12"/>
      <c r="P3215" s="13">
        <v>33236</v>
      </c>
      <c r="Q3215" s="13">
        <v>56585</v>
      </c>
      <c r="S3215" s="13">
        <v>38838</v>
      </c>
      <c r="T3215" s="13">
        <v>0</v>
      </c>
      <c r="U3215" s="13">
        <v>38838</v>
      </c>
      <c r="W3215" s="13">
        <v>40800</v>
      </c>
      <c r="X3215" s="13">
        <v>0</v>
      </c>
      <c r="Y3215" s="13">
        <v>40800</v>
      </c>
      <c r="Z3215" s="13">
        <v>67828</v>
      </c>
      <c r="AB3215" s="13">
        <v>67828</v>
      </c>
      <c r="AC3215" s="10" t="s">
        <v>7802</v>
      </c>
      <c r="AD3215" s="5" t="s">
        <v>102</v>
      </c>
      <c r="AE3215" s="5" t="s">
        <v>7803</v>
      </c>
      <c r="AF3215" s="5" t="s">
        <v>7801</v>
      </c>
    </row>
    <row r="3216" spans="1:33" ht="10" customHeight="1" x14ac:dyDescent="0.2">
      <c r="A3216" s="5" t="s">
        <v>7786</v>
      </c>
      <c r="B3216" s="5" t="s">
        <v>41</v>
      </c>
      <c r="C3216" s="5" t="s">
        <v>7804</v>
      </c>
      <c r="D3216" s="5" t="s">
        <v>7805</v>
      </c>
      <c r="E3216" s="10" t="s">
        <v>53</v>
      </c>
      <c r="F3216" s="5" t="s">
        <v>7806</v>
      </c>
      <c r="I3216" s="11">
        <v>7</v>
      </c>
      <c r="K3216" s="12"/>
      <c r="O3216" s="12"/>
      <c r="P3216" s="13">
        <v>11944</v>
      </c>
      <c r="Q3216" s="13">
        <v>24890</v>
      </c>
      <c r="S3216" s="13">
        <v>33325</v>
      </c>
      <c r="T3216" s="13">
        <v>0</v>
      </c>
      <c r="U3216" s="13">
        <v>33325</v>
      </c>
      <c r="AC3216" s="10" t="s">
        <v>7807</v>
      </c>
      <c r="AD3216" s="5" t="s">
        <v>102</v>
      </c>
    </row>
    <row r="3217" spans="1:32" ht="10" customHeight="1" x14ac:dyDescent="0.2">
      <c r="A3217" s="5" t="s">
        <v>7786</v>
      </c>
      <c r="B3217" s="5" t="s">
        <v>41</v>
      </c>
      <c r="C3217" s="5" t="s">
        <v>1956</v>
      </c>
      <c r="D3217" s="5" t="s">
        <v>7808</v>
      </c>
      <c r="E3217" s="12"/>
      <c r="I3217" s="11">
        <v>4</v>
      </c>
      <c r="K3217" s="12"/>
      <c r="O3217" s="12"/>
      <c r="P3217" s="13">
        <v>659095</v>
      </c>
      <c r="Q3217" s="13">
        <v>1000996</v>
      </c>
      <c r="S3217" s="13">
        <v>643618</v>
      </c>
      <c r="T3217" s="13">
        <v>0</v>
      </c>
      <c r="U3217" s="13">
        <v>643618</v>
      </c>
      <c r="X3217" s="13">
        <v>666618</v>
      </c>
      <c r="Y3217" s="13">
        <v>666618</v>
      </c>
      <c r="Z3217" s="13">
        <v>323644</v>
      </c>
      <c r="AB3217" s="13">
        <v>323644</v>
      </c>
      <c r="AC3217" s="10" t="s">
        <v>7809</v>
      </c>
      <c r="AD3217" s="5" t="s">
        <v>2302</v>
      </c>
      <c r="AE3217" s="5" t="s">
        <v>7810</v>
      </c>
      <c r="AF3217" s="5" t="s">
        <v>7808</v>
      </c>
    </row>
    <row r="3218" spans="1:32" ht="10" customHeight="1" x14ac:dyDescent="0.2">
      <c r="A3218" s="5" t="s">
        <v>7786</v>
      </c>
      <c r="B3218" s="5" t="s">
        <v>41</v>
      </c>
      <c r="C3218" s="5" t="s">
        <v>7811</v>
      </c>
      <c r="D3218" s="5" t="s">
        <v>7812</v>
      </c>
      <c r="E3218" s="10" t="s">
        <v>345</v>
      </c>
      <c r="K3218" s="12"/>
      <c r="O3218" s="12"/>
      <c r="P3218" s="13">
        <v>600986</v>
      </c>
      <c r="Q3218" s="13">
        <v>555677</v>
      </c>
      <c r="S3218" s="13">
        <v>672347</v>
      </c>
      <c r="T3218" s="13">
        <v>232000</v>
      </c>
      <c r="U3218" s="13">
        <v>904347</v>
      </c>
      <c r="AC3218" s="10" t="s">
        <v>7813</v>
      </c>
      <c r="AD3218" s="5" t="s">
        <v>5166</v>
      </c>
    </row>
    <row r="3219" spans="1:32" ht="10" customHeight="1" x14ac:dyDescent="0.2">
      <c r="A3219" s="5" t="s">
        <v>7786</v>
      </c>
      <c r="B3219" s="5" t="s">
        <v>41</v>
      </c>
      <c r="C3219" s="5" t="s">
        <v>1961</v>
      </c>
      <c r="D3219" s="5" t="s">
        <v>7814</v>
      </c>
      <c r="E3219" s="12"/>
      <c r="I3219" s="11">
        <v>6</v>
      </c>
      <c r="K3219" s="12"/>
      <c r="O3219" s="12"/>
      <c r="P3219" s="13">
        <v>17521</v>
      </c>
      <c r="Q3219" s="13">
        <v>10122</v>
      </c>
      <c r="S3219" s="13">
        <v>12256</v>
      </c>
      <c r="T3219" s="13">
        <v>0</v>
      </c>
      <c r="U3219" s="13">
        <v>12256</v>
      </c>
      <c r="X3219" s="13">
        <v>24256</v>
      </c>
      <c r="Y3219" s="13">
        <v>24256</v>
      </c>
      <c r="Z3219" s="13">
        <v>54862</v>
      </c>
      <c r="AB3219" s="13">
        <v>54862</v>
      </c>
      <c r="AC3219" s="10" t="s">
        <v>7815</v>
      </c>
      <c r="AD3219" s="5" t="s">
        <v>2923</v>
      </c>
      <c r="AE3219" s="5" t="s">
        <v>7816</v>
      </c>
    </row>
    <row r="3220" spans="1:32" ht="10" customHeight="1" x14ac:dyDescent="0.2">
      <c r="A3220" s="5" t="s">
        <v>7786</v>
      </c>
      <c r="B3220" s="5" t="s">
        <v>41</v>
      </c>
      <c r="C3220" s="5" t="s">
        <v>7817</v>
      </c>
      <c r="D3220" s="5" t="s">
        <v>7818</v>
      </c>
      <c r="E3220" s="10" t="s">
        <v>345</v>
      </c>
      <c r="K3220" s="12"/>
      <c r="O3220" s="12"/>
      <c r="P3220" s="13">
        <v>1215461</v>
      </c>
      <c r="Q3220" s="13">
        <v>705144</v>
      </c>
      <c r="S3220" s="13">
        <v>585865</v>
      </c>
      <c r="T3220" s="13">
        <v>297765</v>
      </c>
      <c r="U3220" s="13">
        <v>883630</v>
      </c>
      <c r="AC3220" s="10" t="s">
        <v>7819</v>
      </c>
      <c r="AD3220" s="5" t="s">
        <v>6419</v>
      </c>
    </row>
    <row r="3221" spans="1:32" ht="10" customHeight="1" x14ac:dyDescent="0.2">
      <c r="A3221" s="5" t="s">
        <v>7786</v>
      </c>
      <c r="B3221" s="5" t="s">
        <v>41</v>
      </c>
      <c r="C3221" s="5" t="s">
        <v>7144</v>
      </c>
      <c r="D3221" s="5" t="s">
        <v>5447</v>
      </c>
      <c r="E3221" s="10" t="s">
        <v>44</v>
      </c>
      <c r="I3221" s="11">
        <v>6</v>
      </c>
      <c r="K3221" s="12"/>
      <c r="O3221" s="12"/>
      <c r="P3221" s="13">
        <v>736770</v>
      </c>
      <c r="Q3221" s="13">
        <v>705144</v>
      </c>
      <c r="S3221" s="13">
        <v>585865</v>
      </c>
      <c r="T3221" s="13">
        <v>297765</v>
      </c>
      <c r="U3221" s="13">
        <v>883630</v>
      </c>
      <c r="Z3221" s="13">
        <v>765711</v>
      </c>
      <c r="AB3221" s="13">
        <v>765711</v>
      </c>
      <c r="AC3221" s="10" t="s">
        <v>7820</v>
      </c>
      <c r="AD3221" s="5" t="s">
        <v>174</v>
      </c>
      <c r="AE3221" s="5" t="s">
        <v>7146</v>
      </c>
    </row>
    <row r="3222" spans="1:32" ht="10" customHeight="1" x14ac:dyDescent="0.2">
      <c r="A3222" s="5" t="s">
        <v>7786</v>
      </c>
      <c r="B3222" s="5" t="s">
        <v>41</v>
      </c>
      <c r="C3222" s="5" t="s">
        <v>4802</v>
      </c>
      <c r="D3222" s="5" t="s">
        <v>7821</v>
      </c>
      <c r="E3222" s="10" t="s">
        <v>44</v>
      </c>
      <c r="I3222" s="11">
        <v>6</v>
      </c>
      <c r="K3222" s="10" t="s">
        <v>46</v>
      </c>
      <c r="L3222" s="5" t="s">
        <v>47</v>
      </c>
      <c r="M3222" s="5" t="s">
        <v>48</v>
      </c>
      <c r="N3222" s="5" t="s">
        <v>84</v>
      </c>
      <c r="O3222" s="12"/>
      <c r="P3222" s="13">
        <v>478691</v>
      </c>
      <c r="Q3222" s="13">
        <v>0</v>
      </c>
      <c r="S3222" s="13">
        <v>0</v>
      </c>
      <c r="T3222" s="13">
        <v>0</v>
      </c>
      <c r="U3222" s="13">
        <v>0</v>
      </c>
      <c r="AC3222" s="10" t="s">
        <v>7822</v>
      </c>
      <c r="AD3222" s="5" t="s">
        <v>195</v>
      </c>
      <c r="AE3222" s="5" t="s">
        <v>7148</v>
      </c>
    </row>
    <row r="3223" spans="1:32" ht="10" customHeight="1" x14ac:dyDescent="0.2">
      <c r="A3223" s="5" t="s">
        <v>7786</v>
      </c>
      <c r="B3223" s="5" t="s">
        <v>41</v>
      </c>
      <c r="C3223" s="5" t="s">
        <v>7823</v>
      </c>
      <c r="D3223" s="5" t="s">
        <v>7824</v>
      </c>
      <c r="E3223" s="10" t="s">
        <v>53</v>
      </c>
      <c r="F3223" s="5" t="s">
        <v>7825</v>
      </c>
      <c r="I3223" s="11">
        <v>6</v>
      </c>
      <c r="K3223" s="12"/>
      <c r="O3223" s="12"/>
      <c r="P3223" s="13">
        <v>255329</v>
      </c>
      <c r="Q3223" s="13">
        <v>281755</v>
      </c>
      <c r="S3223" s="13">
        <v>194461</v>
      </c>
      <c r="T3223" s="13">
        <v>0</v>
      </c>
      <c r="U3223" s="13">
        <v>194461</v>
      </c>
      <c r="AC3223" s="10" t="s">
        <v>7826</v>
      </c>
      <c r="AD3223" s="5" t="s">
        <v>189</v>
      </c>
      <c r="AE3223" s="5" t="s">
        <v>7827</v>
      </c>
    </row>
    <row r="3224" spans="1:32" ht="10" customHeight="1" x14ac:dyDescent="0.2">
      <c r="A3224" s="5" t="s">
        <v>7786</v>
      </c>
      <c r="B3224" s="5" t="s">
        <v>41</v>
      </c>
      <c r="C3224" s="5" t="s">
        <v>7828</v>
      </c>
      <c r="D3224" s="5" t="s">
        <v>7829</v>
      </c>
      <c r="E3224" s="10" t="s">
        <v>53</v>
      </c>
      <c r="F3224" s="5" t="s">
        <v>7825</v>
      </c>
      <c r="I3224" s="11">
        <v>6</v>
      </c>
      <c r="K3224" s="10" t="s">
        <v>46</v>
      </c>
      <c r="L3224" s="5" t="s">
        <v>47</v>
      </c>
      <c r="M3224" s="5" t="s">
        <v>48</v>
      </c>
      <c r="O3224" s="12"/>
      <c r="P3224" s="13">
        <v>46657</v>
      </c>
      <c r="Q3224" s="13">
        <v>46565</v>
      </c>
      <c r="S3224" s="13">
        <v>28865</v>
      </c>
      <c r="T3224" s="13">
        <v>0</v>
      </c>
      <c r="U3224" s="13">
        <v>28865</v>
      </c>
      <c r="AC3224" s="10" t="s">
        <v>7830</v>
      </c>
      <c r="AD3224" s="5" t="s">
        <v>189</v>
      </c>
      <c r="AE3224" s="5" t="s">
        <v>6270</v>
      </c>
    </row>
    <row r="3225" spans="1:32" ht="10" customHeight="1" x14ac:dyDescent="0.2">
      <c r="A3225" s="5" t="s">
        <v>7786</v>
      </c>
      <c r="B3225" s="5" t="s">
        <v>41</v>
      </c>
      <c r="C3225" s="5" t="s">
        <v>7831</v>
      </c>
      <c r="D3225" s="5" t="s">
        <v>7832</v>
      </c>
      <c r="E3225" s="10" t="s">
        <v>53</v>
      </c>
      <c r="F3225" s="5" t="s">
        <v>7825</v>
      </c>
      <c r="I3225" s="11">
        <v>6</v>
      </c>
      <c r="K3225" s="10" t="s">
        <v>46</v>
      </c>
      <c r="L3225" s="5" t="s">
        <v>47</v>
      </c>
      <c r="M3225" s="5" t="s">
        <v>115</v>
      </c>
      <c r="N3225" s="5" t="s">
        <v>116</v>
      </c>
      <c r="O3225" s="12"/>
      <c r="P3225" s="13">
        <v>13413</v>
      </c>
      <c r="Q3225" s="13">
        <v>10335</v>
      </c>
      <c r="S3225" s="13">
        <v>23948</v>
      </c>
      <c r="T3225" s="13">
        <v>0</v>
      </c>
      <c r="U3225" s="13">
        <v>23948</v>
      </c>
      <c r="AC3225" s="10" t="s">
        <v>7833</v>
      </c>
      <c r="AD3225" s="5" t="s">
        <v>189</v>
      </c>
      <c r="AE3225" s="5" t="s">
        <v>6274</v>
      </c>
    </row>
    <row r="3226" spans="1:32" ht="10" customHeight="1" x14ac:dyDescent="0.2">
      <c r="A3226" s="5" t="s">
        <v>7786</v>
      </c>
      <c r="B3226" s="5" t="s">
        <v>41</v>
      </c>
      <c r="C3226" s="5" t="s">
        <v>7834</v>
      </c>
      <c r="D3226" s="5" t="s">
        <v>7835</v>
      </c>
      <c r="E3226" s="10" t="s">
        <v>53</v>
      </c>
      <c r="F3226" s="5" t="s">
        <v>7825</v>
      </c>
      <c r="I3226" s="11">
        <v>6</v>
      </c>
      <c r="K3226" s="12"/>
      <c r="O3226" s="12"/>
      <c r="P3226" s="13">
        <v>0</v>
      </c>
      <c r="Q3226" s="13">
        <v>236</v>
      </c>
      <c r="S3226" s="13">
        <v>22543</v>
      </c>
      <c r="T3226" s="13">
        <v>0</v>
      </c>
      <c r="U3226" s="13">
        <v>22543</v>
      </c>
      <c r="AC3226" s="10" t="s">
        <v>7836</v>
      </c>
      <c r="AD3226" s="5" t="s">
        <v>189</v>
      </c>
      <c r="AE3226" s="5" t="s">
        <v>7837</v>
      </c>
    </row>
    <row r="3227" spans="1:32" ht="10" customHeight="1" x14ac:dyDescent="0.2">
      <c r="A3227" s="5" t="s">
        <v>7786</v>
      </c>
      <c r="B3227" s="5" t="s">
        <v>41</v>
      </c>
      <c r="C3227" s="5" t="s">
        <v>7838</v>
      </c>
      <c r="D3227" s="5" t="s">
        <v>7839</v>
      </c>
      <c r="E3227" s="10" t="s">
        <v>53</v>
      </c>
      <c r="F3227" s="5" t="s">
        <v>7825</v>
      </c>
      <c r="I3227" s="11">
        <v>6</v>
      </c>
      <c r="K3227" s="10" t="s">
        <v>46</v>
      </c>
      <c r="L3227" s="5" t="s">
        <v>47</v>
      </c>
      <c r="M3227" s="5" t="s">
        <v>115</v>
      </c>
      <c r="O3227" s="12"/>
      <c r="P3227" s="13">
        <v>9602</v>
      </c>
      <c r="Q3227" s="13">
        <v>7595</v>
      </c>
      <c r="S3227" s="13">
        <v>21562</v>
      </c>
      <c r="T3227" s="13">
        <v>0</v>
      </c>
      <c r="U3227" s="13">
        <v>21562</v>
      </c>
      <c r="AC3227" s="10" t="s">
        <v>7840</v>
      </c>
      <c r="AD3227" s="5" t="s">
        <v>4082</v>
      </c>
      <c r="AE3227" s="5" t="s">
        <v>7183</v>
      </c>
    </row>
    <row r="3228" spans="1:32" ht="10" customHeight="1" x14ac:dyDescent="0.2">
      <c r="A3228" s="5" t="s">
        <v>7786</v>
      </c>
      <c r="B3228" s="5" t="s">
        <v>41</v>
      </c>
      <c r="C3228" s="5" t="s">
        <v>7841</v>
      </c>
      <c r="D3228" s="5" t="s">
        <v>7842</v>
      </c>
      <c r="E3228" s="10" t="s">
        <v>53</v>
      </c>
      <c r="F3228" s="5" t="s">
        <v>7825</v>
      </c>
      <c r="I3228" s="11">
        <v>6</v>
      </c>
      <c r="K3228" s="10" t="s">
        <v>46</v>
      </c>
      <c r="L3228" s="5" t="s">
        <v>47</v>
      </c>
      <c r="M3228" s="5" t="s">
        <v>48</v>
      </c>
      <c r="O3228" s="12"/>
      <c r="P3228" s="13">
        <v>117331</v>
      </c>
      <c r="Q3228" s="13">
        <v>25544</v>
      </c>
      <c r="S3228" s="13">
        <v>19721</v>
      </c>
      <c r="T3228" s="13">
        <v>0</v>
      </c>
      <c r="U3228" s="13">
        <v>19721</v>
      </c>
      <c r="AC3228" s="10" t="s">
        <v>7843</v>
      </c>
      <c r="AD3228" s="5" t="s">
        <v>189</v>
      </c>
      <c r="AE3228" s="5" t="s">
        <v>6490</v>
      </c>
    </row>
    <row r="3229" spans="1:32" ht="10" customHeight="1" x14ac:dyDescent="0.2">
      <c r="A3229" s="5" t="s">
        <v>7786</v>
      </c>
      <c r="B3229" s="5" t="s">
        <v>41</v>
      </c>
      <c r="C3229" s="5" t="s">
        <v>7844</v>
      </c>
      <c r="D3229" s="5" t="s">
        <v>7845</v>
      </c>
      <c r="E3229" s="10" t="s">
        <v>53</v>
      </c>
      <c r="F3229" s="5" t="s">
        <v>7825</v>
      </c>
      <c r="I3229" s="11">
        <v>6</v>
      </c>
      <c r="K3229" s="10" t="s">
        <v>46</v>
      </c>
      <c r="L3229" s="5" t="s">
        <v>47</v>
      </c>
      <c r="M3229" s="5" t="s">
        <v>115</v>
      </c>
      <c r="O3229" s="12"/>
      <c r="P3229" s="13">
        <v>10135</v>
      </c>
      <c r="Q3229" s="13">
        <v>26957</v>
      </c>
      <c r="S3229" s="13">
        <v>16874</v>
      </c>
      <c r="T3229" s="13">
        <v>0</v>
      </c>
      <c r="U3229" s="13">
        <v>16874</v>
      </c>
      <c r="AC3229" s="10" t="s">
        <v>7846</v>
      </c>
      <c r="AD3229" s="5" t="s">
        <v>189</v>
      </c>
      <c r="AE3229" s="5" t="s">
        <v>6542</v>
      </c>
    </row>
    <row r="3230" spans="1:32" ht="10" customHeight="1" x14ac:dyDescent="0.2">
      <c r="A3230" s="5" t="s">
        <v>7786</v>
      </c>
      <c r="B3230" s="5" t="s">
        <v>41</v>
      </c>
      <c r="C3230" s="5" t="s">
        <v>7847</v>
      </c>
      <c r="D3230" s="5" t="s">
        <v>7848</v>
      </c>
      <c r="E3230" s="10" t="s">
        <v>53</v>
      </c>
      <c r="F3230" s="5" t="s">
        <v>7825</v>
      </c>
      <c r="I3230" s="11">
        <v>6</v>
      </c>
      <c r="K3230" s="10" t="s">
        <v>46</v>
      </c>
      <c r="L3230" s="5" t="s">
        <v>47</v>
      </c>
      <c r="M3230" s="5" t="s">
        <v>115</v>
      </c>
      <c r="O3230" s="12"/>
      <c r="P3230" s="13">
        <v>3339</v>
      </c>
      <c r="Q3230" s="13">
        <v>3846</v>
      </c>
      <c r="S3230" s="13">
        <v>14954</v>
      </c>
      <c r="T3230" s="13">
        <v>0</v>
      </c>
      <c r="U3230" s="13">
        <v>14954</v>
      </c>
      <c r="AC3230" s="10" t="s">
        <v>7849</v>
      </c>
      <c r="AD3230" s="5" t="s">
        <v>189</v>
      </c>
      <c r="AE3230" s="5" t="s">
        <v>6432</v>
      </c>
      <c r="AF3230" s="5" t="s">
        <v>6433</v>
      </c>
    </row>
    <row r="3231" spans="1:32" ht="10" customHeight="1" x14ac:dyDescent="0.2">
      <c r="A3231" s="5" t="s">
        <v>7786</v>
      </c>
      <c r="B3231" s="5" t="s">
        <v>41</v>
      </c>
      <c r="C3231" s="5" t="s">
        <v>7850</v>
      </c>
      <c r="D3231" s="5" t="s">
        <v>7851</v>
      </c>
      <c r="E3231" s="10" t="s">
        <v>53</v>
      </c>
      <c r="F3231" s="5" t="s">
        <v>7825</v>
      </c>
      <c r="I3231" s="11">
        <v>6</v>
      </c>
      <c r="K3231" s="10" t="s">
        <v>46</v>
      </c>
      <c r="L3231" s="5" t="s">
        <v>47</v>
      </c>
      <c r="M3231" s="5" t="s">
        <v>115</v>
      </c>
      <c r="O3231" s="12"/>
      <c r="P3231" s="13">
        <v>476</v>
      </c>
      <c r="Q3231" s="13">
        <v>9862</v>
      </c>
      <c r="S3231" s="13">
        <v>13778</v>
      </c>
      <c r="T3231" s="13">
        <v>0</v>
      </c>
      <c r="U3231" s="13">
        <v>13778</v>
      </c>
      <c r="AC3231" s="10" t="s">
        <v>7852</v>
      </c>
      <c r="AD3231" s="5" t="s">
        <v>7853</v>
      </c>
      <c r="AE3231" s="5" t="s">
        <v>6578</v>
      </c>
    </row>
    <row r="3232" spans="1:32" ht="10" customHeight="1" x14ac:dyDescent="0.2">
      <c r="A3232" s="5" t="s">
        <v>7786</v>
      </c>
      <c r="B3232" s="5" t="s">
        <v>41</v>
      </c>
      <c r="C3232" s="5" t="s">
        <v>7854</v>
      </c>
      <c r="D3232" s="5" t="s">
        <v>7855</v>
      </c>
      <c r="E3232" s="10" t="s">
        <v>53</v>
      </c>
      <c r="F3232" s="5" t="s">
        <v>7825</v>
      </c>
      <c r="I3232" s="11">
        <v>6</v>
      </c>
      <c r="K3232" s="12"/>
      <c r="O3232" s="12"/>
      <c r="P3232" s="13">
        <v>5418</v>
      </c>
      <c r="Q3232" s="13">
        <v>8302</v>
      </c>
      <c r="S3232" s="13">
        <v>9277</v>
      </c>
      <c r="T3232" s="13">
        <v>0</v>
      </c>
      <c r="U3232" s="13">
        <v>9277</v>
      </c>
      <c r="AC3232" s="10" t="s">
        <v>7856</v>
      </c>
      <c r="AD3232" s="5" t="s">
        <v>189</v>
      </c>
      <c r="AE3232" s="5" t="s">
        <v>1260</v>
      </c>
    </row>
    <row r="3233" spans="1:32" ht="10" customHeight="1" x14ac:dyDescent="0.2">
      <c r="A3233" s="5" t="s">
        <v>7786</v>
      </c>
      <c r="B3233" s="5" t="s">
        <v>41</v>
      </c>
      <c r="C3233" s="5" t="s">
        <v>7857</v>
      </c>
      <c r="D3233" s="5" t="s">
        <v>7858</v>
      </c>
      <c r="E3233" s="10" t="s">
        <v>53</v>
      </c>
      <c r="F3233" s="5" t="s">
        <v>7825</v>
      </c>
      <c r="I3233" s="11">
        <v>6</v>
      </c>
      <c r="K3233" s="10" t="s">
        <v>46</v>
      </c>
      <c r="L3233" s="5" t="s">
        <v>47</v>
      </c>
      <c r="M3233" s="5" t="s">
        <v>115</v>
      </c>
      <c r="O3233" s="12"/>
      <c r="P3233" s="13">
        <v>4508</v>
      </c>
      <c r="Q3233" s="13">
        <v>0</v>
      </c>
      <c r="S3233" s="13">
        <v>8199</v>
      </c>
      <c r="T3233" s="13">
        <v>0</v>
      </c>
      <c r="U3233" s="13">
        <v>8199</v>
      </c>
      <c r="AC3233" s="10" t="s">
        <v>7859</v>
      </c>
      <c r="AD3233" s="5" t="s">
        <v>189</v>
      </c>
      <c r="AE3233" s="5" t="s">
        <v>6443</v>
      </c>
    </row>
    <row r="3234" spans="1:32" ht="10" customHeight="1" x14ac:dyDescent="0.2">
      <c r="A3234" s="5" t="s">
        <v>7786</v>
      </c>
      <c r="B3234" s="5" t="s">
        <v>41</v>
      </c>
      <c r="C3234" s="5" t="s">
        <v>7860</v>
      </c>
      <c r="D3234" s="5" t="s">
        <v>7861</v>
      </c>
      <c r="E3234" s="10" t="s">
        <v>53</v>
      </c>
      <c r="F3234" s="5" t="s">
        <v>7825</v>
      </c>
      <c r="I3234" s="11">
        <v>6</v>
      </c>
      <c r="K3234" s="12"/>
      <c r="O3234" s="12"/>
      <c r="P3234" s="13">
        <v>5730</v>
      </c>
      <c r="Q3234" s="13">
        <v>9195</v>
      </c>
      <c r="S3234" s="13">
        <v>7219</v>
      </c>
      <c r="T3234" s="13">
        <v>0</v>
      </c>
      <c r="U3234" s="13">
        <v>7219</v>
      </c>
      <c r="AC3234" s="10" t="s">
        <v>7862</v>
      </c>
      <c r="AD3234" s="5" t="s">
        <v>7853</v>
      </c>
      <c r="AE3234" s="5" t="s">
        <v>7863</v>
      </c>
    </row>
    <row r="3235" spans="1:32" ht="10" customHeight="1" x14ac:dyDescent="0.2">
      <c r="A3235" s="5" t="s">
        <v>7786</v>
      </c>
      <c r="B3235" s="5" t="s">
        <v>41</v>
      </c>
      <c r="C3235" s="5" t="s">
        <v>7864</v>
      </c>
      <c r="D3235" s="5" t="s">
        <v>7865</v>
      </c>
      <c r="E3235" s="10" t="s">
        <v>53</v>
      </c>
      <c r="F3235" s="5" t="s">
        <v>7825</v>
      </c>
      <c r="I3235" s="11">
        <v>6</v>
      </c>
      <c r="K3235" s="10" t="s">
        <v>46</v>
      </c>
      <c r="L3235" s="5" t="s">
        <v>4671</v>
      </c>
      <c r="M3235" s="5" t="s">
        <v>4672</v>
      </c>
      <c r="O3235" s="12"/>
      <c r="P3235" s="13">
        <v>7367</v>
      </c>
      <c r="Q3235" s="13">
        <v>8681</v>
      </c>
      <c r="S3235" s="13">
        <v>6588</v>
      </c>
      <c r="T3235" s="13">
        <v>0</v>
      </c>
      <c r="U3235" s="13">
        <v>6588</v>
      </c>
      <c r="AC3235" s="10" t="s">
        <v>7866</v>
      </c>
      <c r="AD3235" s="5" t="s">
        <v>189</v>
      </c>
      <c r="AE3235" s="5" t="s">
        <v>6449</v>
      </c>
      <c r="AF3235" s="5" t="s">
        <v>6445</v>
      </c>
    </row>
    <row r="3236" spans="1:32" ht="10" customHeight="1" x14ac:dyDescent="0.2">
      <c r="A3236" s="5" t="s">
        <v>7786</v>
      </c>
      <c r="B3236" s="5" t="s">
        <v>41</v>
      </c>
      <c r="C3236" s="5" t="s">
        <v>7867</v>
      </c>
      <c r="D3236" s="5" t="s">
        <v>7868</v>
      </c>
      <c r="E3236" s="10" t="s">
        <v>53</v>
      </c>
      <c r="F3236" s="5" t="s">
        <v>7825</v>
      </c>
      <c r="I3236" s="11">
        <v>6</v>
      </c>
      <c r="K3236" s="10" t="s">
        <v>46</v>
      </c>
      <c r="L3236" s="5" t="s">
        <v>47</v>
      </c>
      <c r="M3236" s="5" t="s">
        <v>115</v>
      </c>
      <c r="O3236" s="12"/>
      <c r="P3236" s="13">
        <v>5877</v>
      </c>
      <c r="Q3236" s="13">
        <v>3709</v>
      </c>
      <c r="S3236" s="13">
        <v>6328</v>
      </c>
      <c r="T3236" s="13">
        <v>0</v>
      </c>
      <c r="U3236" s="13">
        <v>6328</v>
      </c>
      <c r="AC3236" s="10" t="s">
        <v>7869</v>
      </c>
      <c r="AD3236" s="5" t="s">
        <v>189</v>
      </c>
      <c r="AE3236" s="5" t="s">
        <v>6468</v>
      </c>
    </row>
    <row r="3237" spans="1:32" ht="10" customHeight="1" x14ac:dyDescent="0.2">
      <c r="A3237" s="5" t="s">
        <v>7786</v>
      </c>
      <c r="B3237" s="5" t="s">
        <v>41</v>
      </c>
      <c r="C3237" s="5" t="s">
        <v>7870</v>
      </c>
      <c r="D3237" s="5" t="s">
        <v>7871</v>
      </c>
      <c r="E3237" s="10" t="s">
        <v>53</v>
      </c>
      <c r="F3237" s="5" t="s">
        <v>7825</v>
      </c>
      <c r="I3237" s="11">
        <v>6</v>
      </c>
      <c r="K3237" s="10" t="s">
        <v>46</v>
      </c>
      <c r="L3237" s="5" t="s">
        <v>47</v>
      </c>
      <c r="M3237" s="5" t="s">
        <v>48</v>
      </c>
      <c r="O3237" s="12"/>
      <c r="P3237" s="13">
        <v>1095</v>
      </c>
      <c r="Q3237" s="13">
        <v>1484</v>
      </c>
      <c r="S3237" s="13">
        <v>3966</v>
      </c>
      <c r="T3237" s="13">
        <v>0</v>
      </c>
      <c r="U3237" s="13">
        <v>3966</v>
      </c>
      <c r="AC3237" s="10" t="s">
        <v>7872</v>
      </c>
      <c r="AD3237" s="5" t="s">
        <v>189</v>
      </c>
      <c r="AE3237" s="5" t="s">
        <v>6521</v>
      </c>
    </row>
    <row r="3238" spans="1:32" ht="10" customHeight="1" x14ac:dyDescent="0.2">
      <c r="A3238" s="5" t="s">
        <v>7786</v>
      </c>
      <c r="B3238" s="5" t="s">
        <v>41</v>
      </c>
      <c r="C3238" s="5" t="s">
        <v>7873</v>
      </c>
      <c r="D3238" s="5" t="s">
        <v>7874</v>
      </c>
      <c r="E3238" s="10" t="s">
        <v>53</v>
      </c>
      <c r="F3238" s="5" t="s">
        <v>7825</v>
      </c>
      <c r="I3238" s="11">
        <v>6</v>
      </c>
      <c r="K3238" s="10" t="s">
        <v>46</v>
      </c>
      <c r="L3238" s="5" t="s">
        <v>47</v>
      </c>
      <c r="M3238" s="5" t="s">
        <v>145</v>
      </c>
      <c r="O3238" s="12"/>
      <c r="P3238" s="13">
        <v>0</v>
      </c>
      <c r="Q3238" s="13">
        <v>342</v>
      </c>
      <c r="S3238" s="13">
        <v>3672</v>
      </c>
      <c r="T3238" s="13">
        <v>0</v>
      </c>
      <c r="U3238" s="13">
        <v>3672</v>
      </c>
      <c r="AC3238" s="10" t="s">
        <v>7875</v>
      </c>
      <c r="AD3238" s="5" t="s">
        <v>189</v>
      </c>
      <c r="AE3238" s="5" t="s">
        <v>2741</v>
      </c>
    </row>
    <row r="3239" spans="1:32" ht="10" customHeight="1" x14ac:dyDescent="0.2">
      <c r="A3239" s="5" t="s">
        <v>7786</v>
      </c>
      <c r="B3239" s="5" t="s">
        <v>41</v>
      </c>
      <c r="C3239" s="5" t="s">
        <v>7876</v>
      </c>
      <c r="D3239" s="5" t="s">
        <v>7877</v>
      </c>
      <c r="E3239" s="10" t="s">
        <v>53</v>
      </c>
      <c r="F3239" s="5" t="s">
        <v>7825</v>
      </c>
      <c r="I3239" s="11">
        <v>6</v>
      </c>
      <c r="K3239" s="12"/>
      <c r="O3239" s="12"/>
      <c r="P3239" s="13">
        <v>0</v>
      </c>
      <c r="Q3239" s="13">
        <v>0</v>
      </c>
      <c r="S3239" s="13">
        <v>3419</v>
      </c>
      <c r="T3239" s="13">
        <v>0</v>
      </c>
      <c r="U3239" s="13">
        <v>3419</v>
      </c>
      <c r="AC3239" s="10" t="s">
        <v>7878</v>
      </c>
      <c r="AD3239" s="5" t="s">
        <v>189</v>
      </c>
      <c r="AE3239" s="5" t="s">
        <v>6408</v>
      </c>
    </row>
    <row r="3240" spans="1:32" ht="10" customHeight="1" x14ac:dyDescent="0.2">
      <c r="A3240" s="5" t="s">
        <v>7786</v>
      </c>
      <c r="B3240" s="5" t="s">
        <v>41</v>
      </c>
      <c r="C3240" s="5" t="s">
        <v>7879</v>
      </c>
      <c r="D3240" s="5" t="s">
        <v>7880</v>
      </c>
      <c r="E3240" s="10" t="s">
        <v>53</v>
      </c>
      <c r="F3240" s="5" t="s">
        <v>7825</v>
      </c>
      <c r="I3240" s="11">
        <v>6</v>
      </c>
      <c r="K3240" s="12"/>
      <c r="O3240" s="12"/>
      <c r="P3240" s="13">
        <v>0</v>
      </c>
      <c r="Q3240" s="13">
        <v>0</v>
      </c>
      <c r="S3240" s="13">
        <v>2930</v>
      </c>
      <c r="T3240" s="13">
        <v>0</v>
      </c>
      <c r="U3240" s="13">
        <v>2930</v>
      </c>
      <c r="AC3240" s="10" t="s">
        <v>7881</v>
      </c>
      <c r="AD3240" s="5" t="s">
        <v>189</v>
      </c>
      <c r="AE3240" s="5" t="s">
        <v>6517</v>
      </c>
    </row>
    <row r="3241" spans="1:32" ht="10" customHeight="1" x14ac:dyDescent="0.2">
      <c r="A3241" s="5" t="s">
        <v>7786</v>
      </c>
      <c r="B3241" s="5" t="s">
        <v>41</v>
      </c>
      <c r="C3241" s="5" t="s">
        <v>7882</v>
      </c>
      <c r="D3241" s="5" t="s">
        <v>7883</v>
      </c>
      <c r="E3241" s="10" t="s">
        <v>53</v>
      </c>
      <c r="F3241" s="5" t="s">
        <v>7825</v>
      </c>
      <c r="I3241" s="11">
        <v>6</v>
      </c>
      <c r="K3241" s="10" t="s">
        <v>186</v>
      </c>
      <c r="L3241" s="5" t="s">
        <v>47</v>
      </c>
      <c r="M3241" s="5" t="s">
        <v>210</v>
      </c>
      <c r="N3241" s="5" t="s">
        <v>211</v>
      </c>
      <c r="O3241" s="12"/>
      <c r="P3241" s="13">
        <v>3344</v>
      </c>
      <c r="Q3241" s="13">
        <v>2448</v>
      </c>
      <c r="S3241" s="13">
        <v>2802</v>
      </c>
      <c r="T3241" s="13">
        <v>0</v>
      </c>
      <c r="U3241" s="13">
        <v>2802</v>
      </c>
      <c r="AC3241" s="10" t="s">
        <v>7884</v>
      </c>
      <c r="AD3241" s="5" t="s">
        <v>189</v>
      </c>
      <c r="AE3241" s="5" t="s">
        <v>6531</v>
      </c>
    </row>
    <row r="3242" spans="1:32" ht="10" customHeight="1" x14ac:dyDescent="0.2">
      <c r="A3242" s="5" t="s">
        <v>7786</v>
      </c>
      <c r="B3242" s="5" t="s">
        <v>41</v>
      </c>
      <c r="C3242" s="5" t="s">
        <v>7885</v>
      </c>
      <c r="D3242" s="5" t="s">
        <v>7886</v>
      </c>
      <c r="E3242" s="10" t="s">
        <v>53</v>
      </c>
      <c r="F3242" s="5" t="s">
        <v>7825</v>
      </c>
      <c r="I3242" s="11">
        <v>6</v>
      </c>
      <c r="K3242" s="10" t="s">
        <v>46</v>
      </c>
      <c r="L3242" s="5" t="s">
        <v>47</v>
      </c>
      <c r="M3242" s="5" t="s">
        <v>115</v>
      </c>
      <c r="O3242" s="12"/>
      <c r="P3242" s="13">
        <v>3411</v>
      </c>
      <c r="Q3242" s="13">
        <v>3986</v>
      </c>
      <c r="S3242" s="13">
        <v>2651</v>
      </c>
      <c r="T3242" s="13">
        <v>0</v>
      </c>
      <c r="U3242" s="13">
        <v>2651</v>
      </c>
      <c r="AC3242" s="10" t="s">
        <v>7887</v>
      </c>
      <c r="AD3242" s="5" t="s">
        <v>189</v>
      </c>
      <c r="AE3242" s="5" t="s">
        <v>6262</v>
      </c>
    </row>
    <row r="3243" spans="1:32" ht="10" customHeight="1" x14ac:dyDescent="0.2">
      <c r="A3243" s="5" t="s">
        <v>7786</v>
      </c>
      <c r="B3243" s="5" t="s">
        <v>41</v>
      </c>
      <c r="C3243" s="5" t="s">
        <v>7888</v>
      </c>
      <c r="D3243" s="5" t="s">
        <v>7889</v>
      </c>
      <c r="E3243" s="10" t="s">
        <v>53</v>
      </c>
      <c r="F3243" s="5" t="s">
        <v>7825</v>
      </c>
      <c r="I3243" s="11">
        <v>6</v>
      </c>
      <c r="K3243" s="12"/>
      <c r="O3243" s="12"/>
      <c r="P3243" s="13">
        <v>2438</v>
      </c>
      <c r="Q3243" s="13">
        <v>1318</v>
      </c>
      <c r="S3243" s="13">
        <v>2268</v>
      </c>
      <c r="T3243" s="13">
        <v>0</v>
      </c>
      <c r="U3243" s="13">
        <v>2268</v>
      </c>
      <c r="AC3243" s="10" t="s">
        <v>7890</v>
      </c>
      <c r="AD3243" s="5" t="s">
        <v>7853</v>
      </c>
      <c r="AE3243" s="5" t="s">
        <v>176</v>
      </c>
      <c r="AF3243" s="5" t="s">
        <v>6710</v>
      </c>
    </row>
    <row r="3244" spans="1:32" ht="10" customHeight="1" x14ac:dyDescent="0.2">
      <c r="A3244" s="5" t="s">
        <v>7786</v>
      </c>
      <c r="B3244" s="5" t="s">
        <v>41</v>
      </c>
      <c r="C3244" s="5" t="s">
        <v>7891</v>
      </c>
      <c r="D3244" s="5" t="s">
        <v>7892</v>
      </c>
      <c r="E3244" s="10" t="s">
        <v>53</v>
      </c>
      <c r="F3244" s="5" t="s">
        <v>7825</v>
      </c>
      <c r="I3244" s="11">
        <v>6</v>
      </c>
      <c r="K3244" s="12"/>
      <c r="O3244" s="12"/>
      <c r="P3244" s="13">
        <v>1880</v>
      </c>
      <c r="Q3244" s="13">
        <v>357</v>
      </c>
      <c r="S3244" s="13">
        <v>2104</v>
      </c>
      <c r="T3244" s="13">
        <v>0</v>
      </c>
      <c r="U3244" s="13">
        <v>2104</v>
      </c>
      <c r="AC3244" s="10" t="s">
        <v>7893</v>
      </c>
      <c r="AD3244" s="5" t="s">
        <v>189</v>
      </c>
      <c r="AE3244" s="5" t="s">
        <v>6362</v>
      </c>
    </row>
    <row r="3245" spans="1:32" ht="10" customHeight="1" x14ac:dyDescent="0.2">
      <c r="A3245" s="5" t="s">
        <v>7786</v>
      </c>
      <c r="B3245" s="5" t="s">
        <v>41</v>
      </c>
      <c r="C3245" s="5" t="s">
        <v>7894</v>
      </c>
      <c r="D3245" s="5" t="s">
        <v>7895</v>
      </c>
      <c r="E3245" s="10" t="s">
        <v>53</v>
      </c>
      <c r="F3245" s="5" t="s">
        <v>7825</v>
      </c>
      <c r="I3245" s="11">
        <v>6</v>
      </c>
      <c r="K3245" s="10" t="s">
        <v>46</v>
      </c>
      <c r="L3245" s="5" t="s">
        <v>47</v>
      </c>
      <c r="M3245" s="5" t="s">
        <v>48</v>
      </c>
      <c r="N3245" s="5" t="s">
        <v>84</v>
      </c>
      <c r="O3245" s="12"/>
      <c r="P3245" s="13">
        <v>0</v>
      </c>
      <c r="Q3245" s="13">
        <v>0</v>
      </c>
      <c r="S3245" s="13">
        <v>1963</v>
      </c>
      <c r="T3245" s="13">
        <v>0</v>
      </c>
      <c r="U3245" s="13">
        <v>1963</v>
      </c>
      <c r="AC3245" s="10" t="s">
        <v>7896</v>
      </c>
      <c r="AD3245" s="5" t="s">
        <v>189</v>
      </c>
      <c r="AE3245" s="5" t="s">
        <v>6319</v>
      </c>
    </row>
    <row r="3246" spans="1:32" ht="10" customHeight="1" x14ac:dyDescent="0.2">
      <c r="A3246" s="5" t="s">
        <v>7786</v>
      </c>
      <c r="B3246" s="5" t="s">
        <v>41</v>
      </c>
      <c r="C3246" s="5" t="s">
        <v>7897</v>
      </c>
      <c r="D3246" s="5" t="s">
        <v>7898</v>
      </c>
      <c r="E3246" s="10" t="s">
        <v>53</v>
      </c>
      <c r="F3246" s="5" t="s">
        <v>7825</v>
      </c>
      <c r="I3246" s="11">
        <v>6</v>
      </c>
      <c r="K3246" s="10" t="s">
        <v>46</v>
      </c>
      <c r="L3246" s="5" t="s">
        <v>47</v>
      </c>
      <c r="M3246" s="5" t="s">
        <v>115</v>
      </c>
      <c r="O3246" s="12"/>
      <c r="P3246" s="13">
        <v>4523</v>
      </c>
      <c r="Q3246" s="13">
        <v>0</v>
      </c>
      <c r="S3246" s="13">
        <v>1954</v>
      </c>
      <c r="T3246" s="13">
        <v>0</v>
      </c>
      <c r="U3246" s="13">
        <v>1954</v>
      </c>
      <c r="AC3246" s="10" t="s">
        <v>7899</v>
      </c>
      <c r="AD3246" s="5" t="s">
        <v>189</v>
      </c>
      <c r="AE3246" s="5" t="s">
        <v>6438</v>
      </c>
    </row>
    <row r="3247" spans="1:32" ht="10" customHeight="1" x14ac:dyDescent="0.2">
      <c r="A3247" s="5" t="s">
        <v>7786</v>
      </c>
      <c r="B3247" s="5" t="s">
        <v>41</v>
      </c>
      <c r="C3247" s="5" t="s">
        <v>7900</v>
      </c>
      <c r="D3247" s="5" t="s">
        <v>7901</v>
      </c>
      <c r="E3247" s="10" t="s">
        <v>53</v>
      </c>
      <c r="F3247" s="5" t="s">
        <v>7825</v>
      </c>
      <c r="I3247" s="11">
        <v>6</v>
      </c>
      <c r="K3247" s="10" t="s">
        <v>46</v>
      </c>
      <c r="L3247" s="5" t="s">
        <v>47</v>
      </c>
      <c r="M3247" s="5" t="s">
        <v>48</v>
      </c>
      <c r="O3247" s="12"/>
      <c r="P3247" s="13">
        <v>5641</v>
      </c>
      <c r="Q3247" s="13">
        <v>8512</v>
      </c>
      <c r="S3247" s="13">
        <v>14862</v>
      </c>
      <c r="T3247" s="13">
        <v>0</v>
      </c>
      <c r="U3247" s="13">
        <v>14862</v>
      </c>
      <c r="AC3247" s="10" t="s">
        <v>7902</v>
      </c>
      <c r="AD3247" s="5" t="s">
        <v>189</v>
      </c>
      <c r="AE3247" s="5" t="s">
        <v>6270</v>
      </c>
    </row>
    <row r="3248" spans="1:32" ht="10" customHeight="1" x14ac:dyDescent="0.2">
      <c r="A3248" s="5" t="s">
        <v>7786</v>
      </c>
      <c r="B3248" s="5" t="s">
        <v>41</v>
      </c>
      <c r="C3248" s="5" t="s">
        <v>7903</v>
      </c>
      <c r="D3248" s="5" t="s">
        <v>7904</v>
      </c>
      <c r="E3248" s="10" t="s">
        <v>53</v>
      </c>
      <c r="F3248" s="5" t="s">
        <v>7825</v>
      </c>
      <c r="I3248" s="11">
        <v>6</v>
      </c>
      <c r="K3248" s="10" t="s">
        <v>46</v>
      </c>
      <c r="L3248" s="5" t="s">
        <v>47</v>
      </c>
      <c r="M3248" s="5" t="s">
        <v>48</v>
      </c>
      <c r="N3248" s="5" t="s">
        <v>4748</v>
      </c>
      <c r="O3248" s="12"/>
      <c r="P3248" s="13">
        <v>9882</v>
      </c>
      <c r="Q3248" s="13">
        <v>10157</v>
      </c>
      <c r="S3248" s="13">
        <v>9296</v>
      </c>
      <c r="T3248" s="13">
        <v>0</v>
      </c>
      <c r="U3248" s="13">
        <v>9296</v>
      </c>
      <c r="AC3248" s="10" t="s">
        <v>7905</v>
      </c>
      <c r="AD3248" s="5" t="s">
        <v>189</v>
      </c>
      <c r="AE3248" s="5" t="s">
        <v>6346</v>
      </c>
    </row>
    <row r="3249" spans="1:32" ht="10" customHeight="1" x14ac:dyDescent="0.2">
      <c r="A3249" s="5" t="s">
        <v>7786</v>
      </c>
      <c r="B3249" s="5" t="s">
        <v>41</v>
      </c>
      <c r="C3249" s="5" t="s">
        <v>7906</v>
      </c>
      <c r="D3249" s="5" t="s">
        <v>7907</v>
      </c>
      <c r="E3249" s="10" t="s">
        <v>53</v>
      </c>
      <c r="F3249" s="5" t="s">
        <v>7825</v>
      </c>
      <c r="I3249" s="11">
        <v>6</v>
      </c>
      <c r="K3249" s="10" t="s">
        <v>46</v>
      </c>
      <c r="L3249" s="5" t="s">
        <v>47</v>
      </c>
      <c r="M3249" s="5" t="s">
        <v>115</v>
      </c>
      <c r="O3249" s="12"/>
      <c r="P3249" s="13">
        <v>8393</v>
      </c>
      <c r="Q3249" s="13">
        <v>6479</v>
      </c>
      <c r="S3249" s="13">
        <v>6411</v>
      </c>
      <c r="T3249" s="13">
        <v>0</v>
      </c>
      <c r="U3249" s="13">
        <v>6411</v>
      </c>
      <c r="AC3249" s="10" t="s">
        <v>7908</v>
      </c>
      <c r="AD3249" s="5" t="s">
        <v>4082</v>
      </c>
      <c r="AE3249" s="5" t="s">
        <v>7150</v>
      </c>
    </row>
    <row r="3250" spans="1:32" ht="10" customHeight="1" x14ac:dyDescent="0.2">
      <c r="A3250" s="5" t="s">
        <v>7786</v>
      </c>
      <c r="B3250" s="5" t="s">
        <v>41</v>
      </c>
      <c r="C3250" s="5" t="s">
        <v>7909</v>
      </c>
      <c r="D3250" s="5" t="s">
        <v>7910</v>
      </c>
      <c r="E3250" s="10" t="s">
        <v>53</v>
      </c>
      <c r="F3250" s="5" t="s">
        <v>7825</v>
      </c>
      <c r="I3250" s="11">
        <v>6</v>
      </c>
      <c r="K3250" s="10" t="s">
        <v>46</v>
      </c>
      <c r="L3250" s="5" t="s">
        <v>47</v>
      </c>
      <c r="M3250" s="5" t="s">
        <v>48</v>
      </c>
      <c r="N3250" s="5" t="s">
        <v>4748</v>
      </c>
      <c r="O3250" s="12"/>
      <c r="P3250" s="13">
        <v>3954</v>
      </c>
      <c r="Q3250" s="13">
        <v>3951</v>
      </c>
      <c r="S3250" s="13">
        <v>5308</v>
      </c>
      <c r="T3250" s="13">
        <v>0</v>
      </c>
      <c r="U3250" s="13">
        <v>5308</v>
      </c>
      <c r="AC3250" s="10" t="s">
        <v>7911</v>
      </c>
      <c r="AD3250" s="5" t="s">
        <v>7912</v>
      </c>
      <c r="AE3250" s="5" t="s">
        <v>7360</v>
      </c>
    </row>
    <row r="3251" spans="1:32" ht="10" customHeight="1" x14ac:dyDescent="0.2">
      <c r="A3251" s="5" t="s">
        <v>7786</v>
      </c>
      <c r="B3251" s="5" t="s">
        <v>41</v>
      </c>
      <c r="C3251" s="5" t="s">
        <v>7913</v>
      </c>
      <c r="D3251" s="5" t="s">
        <v>7914</v>
      </c>
      <c r="E3251" s="10" t="s">
        <v>53</v>
      </c>
      <c r="F3251" s="5" t="s">
        <v>7825</v>
      </c>
      <c r="I3251" s="11">
        <v>6</v>
      </c>
      <c r="K3251" s="10" t="s">
        <v>46</v>
      </c>
      <c r="L3251" s="5" t="s">
        <v>47</v>
      </c>
      <c r="M3251" s="5" t="s">
        <v>4680</v>
      </c>
      <c r="N3251" s="5" t="s">
        <v>4681</v>
      </c>
      <c r="O3251" s="12"/>
      <c r="P3251" s="13">
        <v>1851</v>
      </c>
      <c r="Q3251" s="13">
        <v>2139</v>
      </c>
      <c r="S3251" s="13">
        <v>2688</v>
      </c>
      <c r="T3251" s="13">
        <v>0</v>
      </c>
      <c r="U3251" s="13">
        <v>2688</v>
      </c>
      <c r="AC3251" s="10" t="s">
        <v>7915</v>
      </c>
      <c r="AD3251" s="5" t="s">
        <v>7912</v>
      </c>
      <c r="AE3251" s="5" t="s">
        <v>6591</v>
      </c>
      <c r="AF3251" s="5" t="s">
        <v>6594</v>
      </c>
    </row>
    <row r="3252" spans="1:32" ht="10" customHeight="1" x14ac:dyDescent="0.2">
      <c r="A3252" s="5" t="s">
        <v>7786</v>
      </c>
      <c r="B3252" s="5" t="s">
        <v>41</v>
      </c>
      <c r="C3252" s="5" t="s">
        <v>7916</v>
      </c>
      <c r="D3252" s="5" t="s">
        <v>7917</v>
      </c>
      <c r="E3252" s="10" t="s">
        <v>53</v>
      </c>
      <c r="F3252" s="5" t="s">
        <v>7825</v>
      </c>
      <c r="I3252" s="11">
        <v>6</v>
      </c>
      <c r="K3252" s="10" t="s">
        <v>46</v>
      </c>
      <c r="L3252" s="5" t="s">
        <v>47</v>
      </c>
      <c r="M3252" s="5" t="s">
        <v>48</v>
      </c>
      <c r="O3252" s="12"/>
      <c r="P3252" s="13">
        <v>1622</v>
      </c>
      <c r="Q3252" s="13">
        <v>2046</v>
      </c>
      <c r="S3252" s="13">
        <v>2679</v>
      </c>
      <c r="T3252" s="13">
        <v>0</v>
      </c>
      <c r="U3252" s="13">
        <v>2679</v>
      </c>
      <c r="AC3252" s="10" t="s">
        <v>7918</v>
      </c>
      <c r="AD3252" s="5" t="s">
        <v>189</v>
      </c>
      <c r="AE3252" s="5" t="s">
        <v>6521</v>
      </c>
    </row>
    <row r="3253" spans="1:32" ht="10" customHeight="1" x14ac:dyDescent="0.2">
      <c r="A3253" s="5" t="s">
        <v>7786</v>
      </c>
      <c r="B3253" s="5" t="s">
        <v>41</v>
      </c>
      <c r="C3253" s="5" t="s">
        <v>7919</v>
      </c>
      <c r="D3253" s="5" t="s">
        <v>7920</v>
      </c>
      <c r="E3253" s="10" t="s">
        <v>53</v>
      </c>
      <c r="F3253" s="5" t="s">
        <v>7825</v>
      </c>
      <c r="I3253" s="11">
        <v>6</v>
      </c>
      <c r="K3253" s="12"/>
      <c r="O3253" s="12"/>
      <c r="P3253" s="13">
        <v>2324</v>
      </c>
      <c r="Q3253" s="13">
        <v>2515</v>
      </c>
      <c r="S3253" s="13">
        <v>2023</v>
      </c>
      <c r="T3253" s="13">
        <v>0</v>
      </c>
      <c r="U3253" s="13">
        <v>2023</v>
      </c>
      <c r="AC3253" s="10" t="s">
        <v>7921</v>
      </c>
      <c r="AD3253" s="5" t="s">
        <v>7912</v>
      </c>
      <c r="AE3253" s="5" t="s">
        <v>7496</v>
      </c>
    </row>
    <row r="3254" spans="1:32" ht="10" customHeight="1" x14ac:dyDescent="0.2">
      <c r="A3254" s="5" t="s">
        <v>7786</v>
      </c>
      <c r="B3254" s="5" t="s">
        <v>41</v>
      </c>
      <c r="C3254" s="5" t="s">
        <v>7922</v>
      </c>
      <c r="D3254" s="5" t="s">
        <v>7923</v>
      </c>
      <c r="E3254" s="10" t="s">
        <v>53</v>
      </c>
      <c r="F3254" s="5" t="s">
        <v>7825</v>
      </c>
      <c r="I3254" s="11">
        <v>6</v>
      </c>
      <c r="K3254" s="10" t="s">
        <v>46</v>
      </c>
      <c r="L3254" s="5" t="s">
        <v>47</v>
      </c>
      <c r="M3254" s="5" t="s">
        <v>115</v>
      </c>
      <c r="O3254" s="12"/>
      <c r="P3254" s="13">
        <v>1874</v>
      </c>
      <c r="Q3254" s="13">
        <v>1000</v>
      </c>
      <c r="S3254" s="13">
        <v>1929</v>
      </c>
      <c r="T3254" s="13">
        <v>0</v>
      </c>
      <c r="U3254" s="13">
        <v>1929</v>
      </c>
      <c r="AC3254" s="10" t="s">
        <v>7924</v>
      </c>
      <c r="AD3254" s="5" t="s">
        <v>189</v>
      </c>
      <c r="AE3254" s="5" t="s">
        <v>6438</v>
      </c>
    </row>
    <row r="3255" spans="1:32" ht="10" customHeight="1" x14ac:dyDescent="0.2">
      <c r="A3255" s="5" t="s">
        <v>7786</v>
      </c>
      <c r="B3255" s="5" t="s">
        <v>41</v>
      </c>
      <c r="C3255" s="5" t="s">
        <v>7925</v>
      </c>
      <c r="D3255" s="5" t="s">
        <v>7926</v>
      </c>
      <c r="E3255" s="10" t="s">
        <v>53</v>
      </c>
      <c r="F3255" s="5" t="s">
        <v>7927</v>
      </c>
      <c r="I3255" s="11">
        <v>6</v>
      </c>
      <c r="K3255" s="10" t="s">
        <v>46</v>
      </c>
      <c r="L3255" s="5" t="s">
        <v>47</v>
      </c>
      <c r="M3255" s="5" t="s">
        <v>48</v>
      </c>
      <c r="N3255" s="5" t="s">
        <v>84</v>
      </c>
      <c r="O3255" s="12"/>
      <c r="P3255" s="13">
        <v>478691</v>
      </c>
      <c r="Q3255" s="13">
        <v>0</v>
      </c>
      <c r="S3255" s="13">
        <v>0</v>
      </c>
      <c r="T3255" s="13">
        <v>0</v>
      </c>
      <c r="U3255" s="13">
        <v>0</v>
      </c>
      <c r="AC3255" s="10" t="s">
        <v>7928</v>
      </c>
      <c r="AD3255" s="5" t="s">
        <v>7929</v>
      </c>
      <c r="AE3255" s="5" t="s">
        <v>7930</v>
      </c>
    </row>
    <row r="3256" spans="1:32" ht="10" customHeight="1" x14ac:dyDescent="0.2">
      <c r="A3256" s="5" t="s">
        <v>7931</v>
      </c>
      <c r="B3256" s="5" t="s">
        <v>41</v>
      </c>
      <c r="C3256" s="5" t="s">
        <v>7932</v>
      </c>
      <c r="D3256" s="5" t="s">
        <v>7933</v>
      </c>
      <c r="E3256" s="10" t="s">
        <v>44</v>
      </c>
      <c r="I3256" s="11">
        <v>4</v>
      </c>
      <c r="K3256" s="10" t="s">
        <v>46</v>
      </c>
      <c r="L3256" s="5" t="s">
        <v>47</v>
      </c>
      <c r="M3256" s="5" t="s">
        <v>48</v>
      </c>
      <c r="N3256" s="5" t="s">
        <v>49</v>
      </c>
      <c r="O3256" s="12"/>
      <c r="P3256" s="13">
        <v>1284705</v>
      </c>
      <c r="Q3256" s="13">
        <v>1793867</v>
      </c>
      <c r="S3256" s="13">
        <v>2582029</v>
      </c>
      <c r="T3256" s="13">
        <v>62000</v>
      </c>
      <c r="U3256" s="13">
        <v>2644029</v>
      </c>
      <c r="W3256" s="13">
        <v>137000</v>
      </c>
      <c r="X3256" s="13">
        <v>2541712</v>
      </c>
      <c r="Y3256" s="13">
        <v>2678712</v>
      </c>
      <c r="Z3256" s="13">
        <v>3912267</v>
      </c>
      <c r="AB3256" s="13">
        <v>3912267</v>
      </c>
      <c r="AC3256" s="10" t="s">
        <v>7934</v>
      </c>
      <c r="AD3256" s="5" t="s">
        <v>51</v>
      </c>
      <c r="AE3256" s="5" t="s">
        <v>7932</v>
      </c>
    </row>
    <row r="3257" spans="1:32" ht="10" customHeight="1" x14ac:dyDescent="0.2">
      <c r="A3257" s="5" t="s">
        <v>7931</v>
      </c>
      <c r="B3257" s="5" t="s">
        <v>41</v>
      </c>
      <c r="D3257" s="5" t="s">
        <v>7935</v>
      </c>
      <c r="E3257" s="10" t="s">
        <v>53</v>
      </c>
      <c r="F3257" s="5" t="s">
        <v>7936</v>
      </c>
      <c r="I3257" s="11">
        <v>4</v>
      </c>
      <c r="K3257" s="10" t="s">
        <v>46</v>
      </c>
      <c r="L3257" s="5" t="s">
        <v>47</v>
      </c>
      <c r="M3257" s="5" t="s">
        <v>48</v>
      </c>
      <c r="N3257" s="5" t="s">
        <v>4748</v>
      </c>
      <c r="O3257" s="12"/>
      <c r="P3257" s="13">
        <v>304115</v>
      </c>
      <c r="Q3257" s="13">
        <v>209997</v>
      </c>
      <c r="S3257" s="13">
        <v>94372</v>
      </c>
      <c r="U3257" s="13">
        <v>94372</v>
      </c>
      <c r="AC3257" s="10" t="s">
        <v>7937</v>
      </c>
      <c r="AD3257" s="5" t="s">
        <v>474</v>
      </c>
      <c r="AE3257" s="5" t="s">
        <v>7932</v>
      </c>
      <c r="AF3257" s="5" t="s">
        <v>7938</v>
      </c>
    </row>
    <row r="3258" spans="1:32" ht="10" customHeight="1" x14ac:dyDescent="0.2">
      <c r="A3258" s="5" t="s">
        <v>7931</v>
      </c>
      <c r="B3258" s="5" t="s">
        <v>41</v>
      </c>
      <c r="D3258" s="5" t="s">
        <v>7939</v>
      </c>
      <c r="E3258" s="10" t="s">
        <v>53</v>
      </c>
      <c r="F3258" s="5" t="s">
        <v>7936</v>
      </c>
      <c r="I3258" s="11">
        <v>4</v>
      </c>
      <c r="K3258" s="10" t="s">
        <v>46</v>
      </c>
      <c r="L3258" s="5" t="s">
        <v>47</v>
      </c>
      <c r="M3258" s="5" t="s">
        <v>48</v>
      </c>
      <c r="O3258" s="12"/>
      <c r="P3258" s="13">
        <v>716119</v>
      </c>
      <c r="Q3258" s="13">
        <v>777853</v>
      </c>
      <c r="S3258" s="13">
        <v>873363</v>
      </c>
      <c r="U3258" s="13">
        <v>873363</v>
      </c>
      <c r="AC3258" s="10" t="s">
        <v>7940</v>
      </c>
      <c r="AD3258" s="5" t="s">
        <v>817</v>
      </c>
      <c r="AE3258" s="5" t="s">
        <v>7932</v>
      </c>
      <c r="AF3258" s="5" t="s">
        <v>7941</v>
      </c>
    </row>
    <row r="3259" spans="1:32" ht="10" customHeight="1" x14ac:dyDescent="0.2">
      <c r="A3259" s="5" t="s">
        <v>7931</v>
      </c>
      <c r="B3259" s="5" t="s">
        <v>41</v>
      </c>
      <c r="D3259" s="5" t="s">
        <v>7942</v>
      </c>
      <c r="E3259" s="10" t="s">
        <v>53</v>
      </c>
      <c r="F3259" s="5" t="s">
        <v>7936</v>
      </c>
      <c r="I3259" s="11">
        <v>4</v>
      </c>
      <c r="K3259" s="10" t="s">
        <v>46</v>
      </c>
      <c r="L3259" s="5" t="s">
        <v>47</v>
      </c>
      <c r="M3259" s="5" t="s">
        <v>48</v>
      </c>
      <c r="N3259" s="5" t="s">
        <v>49</v>
      </c>
      <c r="O3259" s="12"/>
      <c r="P3259" s="13">
        <v>264471</v>
      </c>
      <c r="Q3259" s="13">
        <v>806017</v>
      </c>
      <c r="S3259" s="13">
        <v>1614294</v>
      </c>
      <c r="U3259" s="13">
        <v>1614294</v>
      </c>
      <c r="AC3259" s="10" t="s">
        <v>7943</v>
      </c>
      <c r="AD3259" s="5" t="s">
        <v>1000</v>
      </c>
      <c r="AE3259" s="5" t="s">
        <v>7932</v>
      </c>
      <c r="AF3259" s="5" t="s">
        <v>7938</v>
      </c>
    </row>
    <row r="3260" spans="1:32" ht="10" customHeight="1" x14ac:dyDescent="0.2">
      <c r="A3260" s="5" t="s">
        <v>7931</v>
      </c>
      <c r="B3260" s="5" t="s">
        <v>41</v>
      </c>
      <c r="C3260" s="5" t="s">
        <v>7944</v>
      </c>
      <c r="D3260" s="5" t="s">
        <v>7945</v>
      </c>
      <c r="E3260" s="10" t="s">
        <v>184</v>
      </c>
      <c r="I3260" s="11">
        <v>6</v>
      </c>
      <c r="K3260" s="10" t="s">
        <v>46</v>
      </c>
      <c r="L3260" s="5" t="s">
        <v>47</v>
      </c>
      <c r="M3260" s="5" t="s">
        <v>48</v>
      </c>
      <c r="O3260" s="12"/>
      <c r="P3260" s="13">
        <v>7954</v>
      </c>
      <c r="Q3260" s="13">
        <v>8133</v>
      </c>
      <c r="S3260" s="13">
        <v>0</v>
      </c>
      <c r="U3260" s="13">
        <v>0</v>
      </c>
      <c r="W3260" s="13">
        <v>225000</v>
      </c>
      <c r="X3260" s="13">
        <v>127222</v>
      </c>
      <c r="Y3260" s="13">
        <v>352222</v>
      </c>
      <c r="AC3260" s="10" t="s">
        <v>7946</v>
      </c>
      <c r="AD3260" s="5" t="s">
        <v>1105</v>
      </c>
      <c r="AE3260" s="5" t="s">
        <v>7944</v>
      </c>
      <c r="AF3260" s="5" t="s">
        <v>7945</v>
      </c>
    </row>
    <row r="3261" spans="1:32" ht="10" customHeight="1" x14ac:dyDescent="0.2">
      <c r="A3261" s="5" t="s">
        <v>7931</v>
      </c>
      <c r="B3261" s="5" t="s">
        <v>41</v>
      </c>
      <c r="C3261" s="5" t="s">
        <v>7947</v>
      </c>
      <c r="D3261" s="5" t="s">
        <v>7948</v>
      </c>
      <c r="E3261" s="12"/>
      <c r="I3261" s="11">
        <v>4</v>
      </c>
      <c r="K3261" s="12"/>
      <c r="O3261" s="12"/>
      <c r="P3261" s="13">
        <v>77904</v>
      </c>
      <c r="Q3261" s="13">
        <v>32677</v>
      </c>
      <c r="S3261" s="13">
        <v>12593</v>
      </c>
      <c r="T3261" s="13">
        <v>193977</v>
      </c>
      <c r="U3261" s="13">
        <v>206570</v>
      </c>
      <c r="W3261" s="13">
        <v>679695</v>
      </c>
      <c r="X3261" s="13">
        <v>7193</v>
      </c>
      <c r="Y3261" s="13">
        <v>686888</v>
      </c>
      <c r="Z3261" s="13">
        <v>1015106</v>
      </c>
      <c r="AA3261" s="13">
        <v>1993803</v>
      </c>
      <c r="AB3261" s="13">
        <v>3008909</v>
      </c>
      <c r="AC3261" s="10" t="s">
        <v>7949</v>
      </c>
      <c r="AD3261" s="5" t="s">
        <v>1153</v>
      </c>
      <c r="AE3261" s="5" t="s">
        <v>7947</v>
      </c>
      <c r="AF3261" s="5" t="s">
        <v>7948</v>
      </c>
    </row>
    <row r="3262" spans="1:32" ht="10" customHeight="1" x14ac:dyDescent="0.2">
      <c r="A3262" s="5" t="s">
        <v>7931</v>
      </c>
      <c r="B3262" s="5" t="s">
        <v>41</v>
      </c>
      <c r="C3262" s="5" t="s">
        <v>7950</v>
      </c>
      <c r="D3262" s="5" t="s">
        <v>7951</v>
      </c>
      <c r="E3262" s="10" t="s">
        <v>184</v>
      </c>
      <c r="I3262" s="11">
        <v>4</v>
      </c>
      <c r="K3262" s="12"/>
      <c r="O3262" s="12"/>
      <c r="P3262" s="13">
        <v>385678</v>
      </c>
      <c r="Q3262" s="13">
        <v>191493</v>
      </c>
      <c r="S3262" s="13">
        <v>69913</v>
      </c>
      <c r="U3262" s="13">
        <v>69913</v>
      </c>
      <c r="AC3262" s="10" t="s">
        <v>7952</v>
      </c>
      <c r="AD3262" s="5" t="s">
        <v>1286</v>
      </c>
      <c r="AE3262" s="5" t="s">
        <v>7950</v>
      </c>
      <c r="AF3262" s="5" t="s">
        <v>7951</v>
      </c>
    </row>
    <row r="3263" spans="1:32" ht="10" customHeight="1" x14ac:dyDescent="0.2">
      <c r="A3263" s="5" t="s">
        <v>7931</v>
      </c>
      <c r="B3263" s="5" t="s">
        <v>41</v>
      </c>
      <c r="C3263" s="5" t="s">
        <v>7953</v>
      </c>
      <c r="D3263" s="5" t="s">
        <v>7954</v>
      </c>
      <c r="E3263" s="10" t="s">
        <v>184</v>
      </c>
      <c r="I3263" s="11">
        <v>4</v>
      </c>
      <c r="K3263" s="12"/>
      <c r="O3263" s="12"/>
      <c r="P3263" s="13">
        <v>197650</v>
      </c>
      <c r="Q3263" s="13">
        <v>86023</v>
      </c>
      <c r="S3263" s="13">
        <v>84713</v>
      </c>
      <c r="U3263" s="13">
        <v>84713</v>
      </c>
      <c r="AC3263" s="10" t="s">
        <v>7955</v>
      </c>
      <c r="AD3263" s="5" t="s">
        <v>77</v>
      </c>
      <c r="AE3263" s="5" t="s">
        <v>7953</v>
      </c>
      <c r="AF3263" s="5" t="s">
        <v>7956</v>
      </c>
    </row>
    <row r="3264" spans="1:32" ht="10" customHeight="1" x14ac:dyDescent="0.2">
      <c r="A3264" s="5" t="s">
        <v>7931</v>
      </c>
      <c r="B3264" s="5" t="s">
        <v>41</v>
      </c>
      <c r="C3264" s="5" t="s">
        <v>6521</v>
      </c>
      <c r="D3264" s="5" t="s">
        <v>7957</v>
      </c>
      <c r="E3264" s="10" t="s">
        <v>184</v>
      </c>
      <c r="I3264" s="11">
        <v>4</v>
      </c>
      <c r="K3264" s="12"/>
      <c r="O3264" s="12"/>
      <c r="P3264" s="13">
        <v>0</v>
      </c>
      <c r="Q3264" s="13">
        <v>0</v>
      </c>
      <c r="S3264" s="13">
        <v>301858</v>
      </c>
      <c r="U3264" s="13">
        <v>301858</v>
      </c>
      <c r="AC3264" s="10" t="s">
        <v>7958</v>
      </c>
      <c r="AD3264" s="5" t="s">
        <v>1746</v>
      </c>
      <c r="AE3264" s="5" t="s">
        <v>6521</v>
      </c>
    </row>
    <row r="3265" spans="1:32" ht="10" customHeight="1" x14ac:dyDescent="0.2">
      <c r="A3265" s="5" t="s">
        <v>7931</v>
      </c>
      <c r="B3265" s="5" t="s">
        <v>41</v>
      </c>
      <c r="C3265" s="5" t="s">
        <v>7959</v>
      </c>
      <c r="D3265" s="5" t="s">
        <v>7960</v>
      </c>
      <c r="E3265" s="12"/>
      <c r="I3265" s="11">
        <v>4</v>
      </c>
      <c r="K3265" s="10" t="s">
        <v>46</v>
      </c>
      <c r="L3265" s="5" t="s">
        <v>47</v>
      </c>
      <c r="M3265" s="5" t="s">
        <v>115</v>
      </c>
      <c r="N3265" s="5" t="s">
        <v>116</v>
      </c>
      <c r="O3265" s="12"/>
      <c r="P3265" s="13">
        <v>939327</v>
      </c>
      <c r="Q3265" s="13">
        <v>524960</v>
      </c>
      <c r="S3265" s="13">
        <v>187420</v>
      </c>
      <c r="T3265" s="13">
        <v>630000</v>
      </c>
      <c r="U3265" s="13">
        <v>817420</v>
      </c>
      <c r="W3265" s="13">
        <v>630000</v>
      </c>
      <c r="X3265" s="13">
        <v>378875</v>
      </c>
      <c r="Y3265" s="13">
        <v>1008875</v>
      </c>
      <c r="Z3265" s="13">
        <v>733159</v>
      </c>
      <c r="AA3265" s="13">
        <v>3599221</v>
      </c>
      <c r="AB3265" s="13">
        <v>4332380</v>
      </c>
      <c r="AC3265" s="10" t="s">
        <v>7961</v>
      </c>
      <c r="AD3265" s="5" t="s">
        <v>1769</v>
      </c>
      <c r="AE3265" s="5" t="s">
        <v>7959</v>
      </c>
      <c r="AF3265" s="5" t="s">
        <v>7962</v>
      </c>
    </row>
    <row r="3266" spans="1:32" ht="10" customHeight="1" x14ac:dyDescent="0.2">
      <c r="A3266" s="5" t="s">
        <v>7931</v>
      </c>
      <c r="B3266" s="5" t="s">
        <v>41</v>
      </c>
      <c r="C3266" s="5" t="s">
        <v>7959</v>
      </c>
      <c r="D3266" s="5" t="s">
        <v>7963</v>
      </c>
      <c r="E3266" s="10" t="s">
        <v>53</v>
      </c>
      <c r="F3266" s="5" t="s">
        <v>7964</v>
      </c>
      <c r="I3266" s="11">
        <v>4</v>
      </c>
      <c r="K3266" s="10" t="s">
        <v>46</v>
      </c>
      <c r="L3266" s="5" t="s">
        <v>47</v>
      </c>
      <c r="M3266" s="5" t="s">
        <v>115</v>
      </c>
      <c r="O3266" s="12"/>
      <c r="P3266" s="13">
        <v>117620</v>
      </c>
      <c r="Q3266" s="13">
        <v>107830</v>
      </c>
      <c r="S3266" s="13">
        <v>0</v>
      </c>
      <c r="U3266" s="13">
        <v>0</v>
      </c>
      <c r="AC3266" s="10" t="s">
        <v>7965</v>
      </c>
      <c r="AD3266" s="5" t="s">
        <v>86</v>
      </c>
      <c r="AE3266" s="5" t="s">
        <v>7959</v>
      </c>
      <c r="AF3266" s="5" t="s">
        <v>7962</v>
      </c>
    </row>
    <row r="3267" spans="1:32" ht="10" customHeight="1" x14ac:dyDescent="0.2">
      <c r="A3267" s="5" t="s">
        <v>7931</v>
      </c>
      <c r="B3267" s="5" t="s">
        <v>41</v>
      </c>
      <c r="C3267" s="5" t="s">
        <v>7966</v>
      </c>
      <c r="D3267" s="5" t="s">
        <v>7967</v>
      </c>
      <c r="E3267" s="10" t="s">
        <v>184</v>
      </c>
      <c r="I3267" s="11">
        <v>4</v>
      </c>
      <c r="K3267" s="12"/>
      <c r="O3267" s="12"/>
      <c r="P3267" s="13">
        <v>63035</v>
      </c>
      <c r="Q3267" s="13">
        <v>76108</v>
      </c>
      <c r="S3267" s="13">
        <v>86255</v>
      </c>
      <c r="U3267" s="13">
        <v>86255</v>
      </c>
      <c r="AC3267" s="10" t="s">
        <v>7968</v>
      </c>
      <c r="AD3267" s="5" t="s">
        <v>1997</v>
      </c>
      <c r="AE3267" s="5" t="s">
        <v>7966</v>
      </c>
      <c r="AF3267" s="5" t="s">
        <v>7967</v>
      </c>
    </row>
    <row r="3268" spans="1:32" ht="10" customHeight="1" x14ac:dyDescent="0.2">
      <c r="A3268" s="5" t="s">
        <v>7931</v>
      </c>
      <c r="B3268" s="5" t="s">
        <v>41</v>
      </c>
      <c r="C3268" s="5" t="s">
        <v>7969</v>
      </c>
      <c r="D3268" s="5" t="s">
        <v>7970</v>
      </c>
      <c r="E3268" s="12"/>
      <c r="I3268" s="11">
        <v>4</v>
      </c>
      <c r="K3268" s="12"/>
      <c r="O3268" s="12"/>
      <c r="P3268" s="13">
        <v>165221</v>
      </c>
      <c r="Q3268" s="13">
        <v>141021</v>
      </c>
      <c r="S3268" s="13">
        <v>122372</v>
      </c>
      <c r="U3268" s="13">
        <v>122372</v>
      </c>
      <c r="Z3268" s="13">
        <v>119166</v>
      </c>
      <c r="AB3268" s="13">
        <v>119166</v>
      </c>
      <c r="AC3268" s="10" t="s">
        <v>7971</v>
      </c>
      <c r="AD3268" s="5" t="s">
        <v>97</v>
      </c>
      <c r="AE3268" s="5" t="s">
        <v>7969</v>
      </c>
      <c r="AF3268" s="5" t="s">
        <v>7970</v>
      </c>
    </row>
    <row r="3269" spans="1:32" ht="10" customHeight="1" x14ac:dyDescent="0.2">
      <c r="A3269" s="5" t="s">
        <v>7931</v>
      </c>
      <c r="B3269" s="5" t="s">
        <v>41</v>
      </c>
      <c r="D3269" s="5" t="s">
        <v>7972</v>
      </c>
      <c r="E3269" s="10" t="s">
        <v>184</v>
      </c>
      <c r="I3269" s="11">
        <v>4</v>
      </c>
      <c r="K3269" s="12"/>
      <c r="O3269" s="12"/>
      <c r="P3269" s="13">
        <v>0</v>
      </c>
      <c r="Q3269" s="13">
        <v>0</v>
      </c>
      <c r="S3269" s="13">
        <v>0</v>
      </c>
      <c r="T3269" s="13">
        <v>47000</v>
      </c>
      <c r="U3269" s="13">
        <v>47000</v>
      </c>
      <c r="AC3269" s="10" t="s">
        <v>7973</v>
      </c>
      <c r="AD3269" s="5" t="s">
        <v>72</v>
      </c>
    </row>
    <row r="3270" spans="1:32" ht="10" customHeight="1" x14ac:dyDescent="0.2">
      <c r="A3270" s="5" t="s">
        <v>7931</v>
      </c>
      <c r="B3270" s="5" t="s">
        <v>41</v>
      </c>
      <c r="C3270" s="5" t="s">
        <v>7974</v>
      </c>
      <c r="D3270" s="5" t="s">
        <v>7975</v>
      </c>
      <c r="E3270" s="10" t="s">
        <v>184</v>
      </c>
      <c r="I3270" s="11">
        <v>4</v>
      </c>
      <c r="K3270" s="12"/>
      <c r="O3270" s="12"/>
      <c r="P3270" s="13">
        <v>73924</v>
      </c>
      <c r="Q3270" s="13">
        <v>55315</v>
      </c>
      <c r="S3270" s="13">
        <v>74152</v>
      </c>
      <c r="U3270" s="13">
        <v>74152</v>
      </c>
      <c r="AC3270" s="10" t="s">
        <v>7976</v>
      </c>
      <c r="AD3270" s="5" t="s">
        <v>2260</v>
      </c>
      <c r="AE3270" s="5" t="s">
        <v>7974</v>
      </c>
      <c r="AF3270" s="5" t="s">
        <v>7975</v>
      </c>
    </row>
    <row r="3271" spans="1:32" ht="10" customHeight="1" x14ac:dyDescent="0.2">
      <c r="A3271" s="5" t="s">
        <v>7931</v>
      </c>
      <c r="B3271" s="5" t="s">
        <v>41</v>
      </c>
      <c r="C3271" s="5" t="s">
        <v>7977</v>
      </c>
      <c r="D3271" s="5" t="s">
        <v>7978</v>
      </c>
      <c r="E3271" s="10" t="s">
        <v>184</v>
      </c>
      <c r="I3271" s="11">
        <v>4</v>
      </c>
      <c r="K3271" s="12"/>
      <c r="O3271" s="12"/>
      <c r="P3271" s="13">
        <v>6923</v>
      </c>
      <c r="Q3271" s="13">
        <v>0</v>
      </c>
      <c r="S3271" s="13">
        <v>0</v>
      </c>
      <c r="U3271" s="13">
        <v>0</v>
      </c>
      <c r="AC3271" s="10" t="s">
        <v>7979</v>
      </c>
      <c r="AD3271" s="5" t="s">
        <v>2392</v>
      </c>
      <c r="AE3271" s="5" t="s">
        <v>7977</v>
      </c>
      <c r="AF3271" s="5" t="s">
        <v>7980</v>
      </c>
    </row>
    <row r="3272" spans="1:32" ht="10" customHeight="1" x14ac:dyDescent="0.2">
      <c r="A3272" s="5" t="s">
        <v>7931</v>
      </c>
      <c r="B3272" s="5" t="s">
        <v>41</v>
      </c>
      <c r="C3272" s="5" t="s">
        <v>7981</v>
      </c>
      <c r="D3272" s="5" t="s">
        <v>7982</v>
      </c>
      <c r="E3272" s="10" t="s">
        <v>44</v>
      </c>
      <c r="I3272" s="11">
        <v>6</v>
      </c>
      <c r="K3272" s="12"/>
      <c r="O3272" s="12"/>
      <c r="P3272" s="13">
        <v>174725</v>
      </c>
      <c r="Q3272" s="13">
        <v>180233</v>
      </c>
      <c r="S3272" s="13">
        <v>182704</v>
      </c>
      <c r="U3272" s="13">
        <v>182704</v>
      </c>
      <c r="Z3272" s="13">
        <v>179931</v>
      </c>
      <c r="AB3272" s="13">
        <v>179931</v>
      </c>
      <c r="AC3272" s="10" t="s">
        <v>7983</v>
      </c>
      <c r="AD3272" s="5" t="s">
        <v>2462</v>
      </c>
      <c r="AE3272" s="5" t="s">
        <v>7981</v>
      </c>
      <c r="AF3272" s="5" t="s">
        <v>7984</v>
      </c>
    </row>
    <row r="3273" spans="1:32" ht="10" customHeight="1" x14ac:dyDescent="0.2">
      <c r="A3273" s="5" t="s">
        <v>7931</v>
      </c>
      <c r="B3273" s="5" t="s">
        <v>41</v>
      </c>
      <c r="D3273" s="5" t="s">
        <v>7985</v>
      </c>
      <c r="E3273" s="10" t="s">
        <v>53</v>
      </c>
      <c r="F3273" s="5" t="s">
        <v>7986</v>
      </c>
      <c r="I3273" s="11">
        <v>6</v>
      </c>
      <c r="K3273" s="12"/>
      <c r="O3273" s="12"/>
      <c r="P3273" s="13">
        <v>75899</v>
      </c>
      <c r="Q3273" s="13">
        <v>74836</v>
      </c>
      <c r="S3273" s="13">
        <v>76110</v>
      </c>
      <c r="U3273" s="13">
        <v>76110</v>
      </c>
      <c r="AC3273" s="10" t="s">
        <v>7987</v>
      </c>
      <c r="AD3273" s="5" t="s">
        <v>2505</v>
      </c>
      <c r="AE3273" s="5" t="s">
        <v>7981</v>
      </c>
      <c r="AF3273" s="5" t="s">
        <v>7984</v>
      </c>
    </row>
    <row r="3274" spans="1:32" ht="10" customHeight="1" x14ac:dyDescent="0.2">
      <c r="A3274" s="5" t="s">
        <v>7931</v>
      </c>
      <c r="B3274" s="5" t="s">
        <v>41</v>
      </c>
      <c r="D3274" s="5" t="s">
        <v>7988</v>
      </c>
      <c r="E3274" s="10" t="s">
        <v>53</v>
      </c>
      <c r="F3274" s="5" t="s">
        <v>7986</v>
      </c>
      <c r="I3274" s="11">
        <v>6</v>
      </c>
      <c r="K3274" s="12"/>
      <c r="O3274" s="12"/>
      <c r="P3274" s="13">
        <v>70118</v>
      </c>
      <c r="Q3274" s="13">
        <v>78791</v>
      </c>
      <c r="S3274" s="13">
        <v>80015</v>
      </c>
      <c r="U3274" s="13">
        <v>80015</v>
      </c>
      <c r="AC3274" s="10" t="s">
        <v>7989</v>
      </c>
      <c r="AD3274" s="5" t="s">
        <v>7560</v>
      </c>
      <c r="AE3274" s="5" t="s">
        <v>7981</v>
      </c>
      <c r="AF3274" s="5" t="s">
        <v>7990</v>
      </c>
    </row>
    <row r="3275" spans="1:32" ht="10" customHeight="1" x14ac:dyDescent="0.2">
      <c r="A3275" s="5" t="s">
        <v>7931</v>
      </c>
      <c r="B3275" s="5" t="s">
        <v>41</v>
      </c>
      <c r="D3275" s="5" t="s">
        <v>7991</v>
      </c>
      <c r="E3275" s="10" t="s">
        <v>53</v>
      </c>
      <c r="F3275" s="5" t="s">
        <v>7986</v>
      </c>
      <c r="I3275" s="11">
        <v>6</v>
      </c>
      <c r="K3275" s="12"/>
      <c r="O3275" s="12"/>
      <c r="P3275" s="13">
        <v>432</v>
      </c>
      <c r="AC3275" s="10" t="s">
        <v>7992</v>
      </c>
      <c r="AD3275" s="5" t="s">
        <v>2701</v>
      </c>
      <c r="AE3275" s="5" t="s">
        <v>7981</v>
      </c>
      <c r="AF3275" s="5" t="s">
        <v>7993</v>
      </c>
    </row>
    <row r="3276" spans="1:32" ht="10" customHeight="1" x14ac:dyDescent="0.2">
      <c r="A3276" s="5" t="s">
        <v>7931</v>
      </c>
      <c r="B3276" s="5" t="s">
        <v>41</v>
      </c>
      <c r="D3276" s="5" t="s">
        <v>7994</v>
      </c>
      <c r="E3276" s="10" t="s">
        <v>53</v>
      </c>
      <c r="F3276" s="5" t="s">
        <v>7986</v>
      </c>
      <c r="I3276" s="11">
        <v>6</v>
      </c>
      <c r="K3276" s="12"/>
      <c r="O3276" s="12"/>
      <c r="P3276" s="13">
        <v>28276</v>
      </c>
      <c r="Q3276" s="13">
        <v>26606</v>
      </c>
      <c r="S3276" s="13">
        <v>26579</v>
      </c>
      <c r="U3276" s="13">
        <v>26579</v>
      </c>
      <c r="AC3276" s="10" t="s">
        <v>7995</v>
      </c>
      <c r="AD3276" s="5" t="s">
        <v>2708</v>
      </c>
      <c r="AE3276" s="5" t="s">
        <v>7981</v>
      </c>
      <c r="AF3276" s="5" t="s">
        <v>7996</v>
      </c>
    </row>
    <row r="3277" spans="1:32" ht="10" customHeight="1" x14ac:dyDescent="0.2">
      <c r="A3277" s="5" t="s">
        <v>7931</v>
      </c>
      <c r="B3277" s="5" t="s">
        <v>41</v>
      </c>
      <c r="C3277" s="5" t="s">
        <v>7997</v>
      </c>
      <c r="D3277" s="5" t="s">
        <v>7998</v>
      </c>
      <c r="E3277" s="12"/>
      <c r="I3277" s="11">
        <v>6</v>
      </c>
      <c r="K3277" s="10" t="s">
        <v>46</v>
      </c>
      <c r="L3277" s="5" t="s">
        <v>47</v>
      </c>
      <c r="M3277" s="5" t="s">
        <v>115</v>
      </c>
      <c r="N3277" s="5" t="s">
        <v>116</v>
      </c>
      <c r="O3277" s="12"/>
      <c r="P3277" s="13">
        <v>3687</v>
      </c>
      <c r="Q3277" s="13">
        <v>3411</v>
      </c>
      <c r="S3277" s="13">
        <v>3490</v>
      </c>
      <c r="U3277" s="13">
        <v>3490</v>
      </c>
      <c r="Z3277" s="13">
        <v>3877</v>
      </c>
      <c r="AB3277" s="13">
        <v>3877</v>
      </c>
      <c r="AC3277" s="10" t="s">
        <v>7999</v>
      </c>
      <c r="AD3277" s="5" t="s">
        <v>2731</v>
      </c>
      <c r="AE3277" s="5" t="s">
        <v>7997</v>
      </c>
      <c r="AF3277" s="5" t="s">
        <v>7998</v>
      </c>
    </row>
    <row r="3278" spans="1:32" ht="10" customHeight="1" x14ac:dyDescent="0.2">
      <c r="A3278" s="5" t="s">
        <v>7931</v>
      </c>
      <c r="B3278" s="5" t="s">
        <v>41</v>
      </c>
      <c r="C3278" s="5" t="s">
        <v>8000</v>
      </c>
      <c r="D3278" s="5" t="s">
        <v>8001</v>
      </c>
      <c r="E3278" s="10" t="s">
        <v>44</v>
      </c>
      <c r="I3278" s="11">
        <v>4</v>
      </c>
      <c r="K3278" s="12"/>
      <c r="O3278" s="12"/>
      <c r="P3278" s="13">
        <v>599636</v>
      </c>
      <c r="Q3278" s="13">
        <v>326435</v>
      </c>
      <c r="S3278" s="13">
        <v>243217</v>
      </c>
      <c r="T3278" s="13">
        <v>288225</v>
      </c>
      <c r="U3278" s="13">
        <v>531442</v>
      </c>
      <c r="Z3278" s="13">
        <v>670456</v>
      </c>
      <c r="AA3278" s="13">
        <v>236389</v>
      </c>
      <c r="AB3278" s="13">
        <v>906845</v>
      </c>
      <c r="AC3278" s="10" t="s">
        <v>8002</v>
      </c>
      <c r="AD3278" s="5" t="s">
        <v>2757</v>
      </c>
      <c r="AE3278" s="5" t="s">
        <v>8000</v>
      </c>
      <c r="AF3278" s="5" t="s">
        <v>8003</v>
      </c>
    </row>
    <row r="3279" spans="1:32" ht="10" customHeight="1" x14ac:dyDescent="0.2">
      <c r="A3279" s="5" t="s">
        <v>7931</v>
      </c>
      <c r="B3279" s="5" t="s">
        <v>41</v>
      </c>
      <c r="D3279" s="5" t="s">
        <v>8004</v>
      </c>
      <c r="E3279" s="10" t="s">
        <v>53</v>
      </c>
      <c r="F3279" s="5" t="s">
        <v>8005</v>
      </c>
      <c r="I3279" s="11">
        <v>4</v>
      </c>
      <c r="K3279" s="12"/>
      <c r="O3279" s="12"/>
      <c r="P3279" s="13">
        <v>543955</v>
      </c>
      <c r="Q3279" s="13">
        <v>150850</v>
      </c>
      <c r="S3279" s="13">
        <v>108621</v>
      </c>
      <c r="U3279" s="13">
        <v>108621</v>
      </c>
      <c r="AC3279" s="10" t="s">
        <v>8006</v>
      </c>
      <c r="AD3279" s="5" t="s">
        <v>2770</v>
      </c>
      <c r="AE3279" s="5" t="s">
        <v>8000</v>
      </c>
      <c r="AF3279" s="5" t="s">
        <v>8003</v>
      </c>
    </row>
    <row r="3280" spans="1:32" ht="10" customHeight="1" x14ac:dyDescent="0.2">
      <c r="A3280" s="5" t="s">
        <v>7931</v>
      </c>
      <c r="B3280" s="5" t="s">
        <v>41</v>
      </c>
      <c r="D3280" s="5" t="s">
        <v>8007</v>
      </c>
      <c r="E3280" s="10" t="s">
        <v>53</v>
      </c>
      <c r="F3280" s="5" t="s">
        <v>8005</v>
      </c>
      <c r="I3280" s="11">
        <v>4</v>
      </c>
      <c r="K3280" s="12"/>
      <c r="O3280" s="12"/>
      <c r="P3280" s="13">
        <v>55681</v>
      </c>
      <c r="Q3280" s="13">
        <v>175585</v>
      </c>
      <c r="S3280" s="13">
        <v>134596</v>
      </c>
      <c r="U3280" s="13">
        <v>134596</v>
      </c>
      <c r="AC3280" s="10" t="s">
        <v>8008</v>
      </c>
      <c r="AD3280" s="5" t="s">
        <v>6555</v>
      </c>
      <c r="AE3280" s="5" t="s">
        <v>8000</v>
      </c>
      <c r="AF3280" s="5" t="s">
        <v>8009</v>
      </c>
    </row>
    <row r="3281" spans="1:32" ht="10" customHeight="1" x14ac:dyDescent="0.2">
      <c r="A3281" s="5" t="s">
        <v>7931</v>
      </c>
      <c r="B3281" s="5" t="s">
        <v>41</v>
      </c>
      <c r="C3281" s="5" t="s">
        <v>8010</v>
      </c>
      <c r="D3281" s="5" t="s">
        <v>8011</v>
      </c>
      <c r="E3281" s="12"/>
      <c r="I3281" s="11">
        <v>4</v>
      </c>
      <c r="K3281" s="10" t="s">
        <v>46</v>
      </c>
      <c r="L3281" s="5" t="s">
        <v>47</v>
      </c>
      <c r="M3281" s="5" t="s">
        <v>115</v>
      </c>
      <c r="N3281" s="5" t="s">
        <v>135</v>
      </c>
      <c r="O3281" s="12"/>
      <c r="P3281" s="13">
        <v>25551</v>
      </c>
      <c r="Q3281" s="13">
        <v>24882</v>
      </c>
      <c r="S3281" s="13">
        <v>32238</v>
      </c>
      <c r="U3281" s="13">
        <v>32238</v>
      </c>
      <c r="Z3281" s="13">
        <v>79801</v>
      </c>
      <c r="AB3281" s="13">
        <v>79801</v>
      </c>
      <c r="AC3281" s="10" t="s">
        <v>8012</v>
      </c>
      <c r="AD3281" s="5" t="s">
        <v>2923</v>
      </c>
      <c r="AE3281" s="5" t="s">
        <v>8010</v>
      </c>
      <c r="AF3281" s="5" t="s">
        <v>8011</v>
      </c>
    </row>
    <row r="3282" spans="1:32" ht="10" customHeight="1" x14ac:dyDescent="0.2">
      <c r="A3282" s="5" t="s">
        <v>7931</v>
      </c>
      <c r="B3282" s="5" t="s">
        <v>41</v>
      </c>
      <c r="C3282" s="5" t="s">
        <v>8010</v>
      </c>
      <c r="D3282" s="5" t="s">
        <v>8013</v>
      </c>
      <c r="E3282" s="10" t="s">
        <v>53</v>
      </c>
      <c r="F3282" s="5" t="s">
        <v>8014</v>
      </c>
      <c r="I3282" s="11">
        <v>4</v>
      </c>
      <c r="K3282" s="10" t="s">
        <v>46</v>
      </c>
      <c r="L3282" s="5" t="s">
        <v>47</v>
      </c>
      <c r="M3282" s="5" t="s">
        <v>115</v>
      </c>
      <c r="O3282" s="12"/>
      <c r="P3282" s="13">
        <v>5755</v>
      </c>
      <c r="Q3282" s="13">
        <v>4412</v>
      </c>
      <c r="S3282" s="13">
        <v>3059</v>
      </c>
      <c r="U3282" s="13">
        <v>3059</v>
      </c>
      <c r="AC3282" s="10" t="s">
        <v>8015</v>
      </c>
      <c r="AD3282" s="5" t="s">
        <v>3082</v>
      </c>
      <c r="AE3282" s="5" t="s">
        <v>8010</v>
      </c>
      <c r="AF3282" s="5" t="s">
        <v>8011</v>
      </c>
    </row>
    <row r="3283" spans="1:32" ht="10" customHeight="1" x14ac:dyDescent="0.2">
      <c r="A3283" s="5" t="s">
        <v>7931</v>
      </c>
      <c r="B3283" s="5" t="s">
        <v>41</v>
      </c>
      <c r="C3283" s="5" t="s">
        <v>8016</v>
      </c>
      <c r="D3283" s="5" t="s">
        <v>8017</v>
      </c>
      <c r="E3283" s="12"/>
      <c r="I3283" s="11">
        <v>4</v>
      </c>
      <c r="K3283" s="12"/>
      <c r="O3283" s="12"/>
      <c r="P3283" s="13">
        <v>494799</v>
      </c>
      <c r="Q3283" s="13">
        <v>296839</v>
      </c>
      <c r="S3283" s="13">
        <v>6283</v>
      </c>
      <c r="T3283" s="13">
        <v>473848</v>
      </c>
      <c r="U3283" s="13">
        <v>480131</v>
      </c>
      <c r="W3283" s="13">
        <v>44574</v>
      </c>
      <c r="X3283" s="13">
        <v>6283</v>
      </c>
      <c r="Y3283" s="13">
        <v>50857</v>
      </c>
      <c r="Z3283" s="13">
        <v>799139</v>
      </c>
      <c r="AA3283" s="13">
        <v>724675</v>
      </c>
      <c r="AB3283" s="13">
        <v>1523814</v>
      </c>
      <c r="AC3283" s="10" t="s">
        <v>8018</v>
      </c>
      <c r="AD3283" s="5" t="s">
        <v>6565</v>
      </c>
      <c r="AE3283" s="5" t="s">
        <v>8016</v>
      </c>
      <c r="AF3283" s="5" t="s">
        <v>8019</v>
      </c>
    </row>
    <row r="3284" spans="1:32" ht="10" customHeight="1" x14ac:dyDescent="0.2">
      <c r="A3284" s="5" t="s">
        <v>7931</v>
      </c>
      <c r="B3284" s="5" t="s">
        <v>41</v>
      </c>
      <c r="C3284" s="5" t="s">
        <v>8020</v>
      </c>
      <c r="D3284" s="5" t="s">
        <v>8021</v>
      </c>
      <c r="E3284" s="12"/>
      <c r="I3284" s="11">
        <v>4</v>
      </c>
      <c r="K3284" s="12"/>
      <c r="O3284" s="12"/>
      <c r="P3284" s="13">
        <v>296829</v>
      </c>
      <c r="Q3284" s="13">
        <v>622551</v>
      </c>
      <c r="S3284" s="13">
        <v>503381</v>
      </c>
      <c r="U3284" s="13">
        <v>503381</v>
      </c>
      <c r="Z3284" s="13">
        <v>521006</v>
      </c>
      <c r="AB3284" s="13">
        <v>521006</v>
      </c>
      <c r="AC3284" s="10" t="s">
        <v>8022</v>
      </c>
      <c r="AD3284" s="5" t="s">
        <v>3248</v>
      </c>
      <c r="AE3284" s="5" t="s">
        <v>8020</v>
      </c>
      <c r="AF3284" s="5" t="s">
        <v>8021</v>
      </c>
    </row>
    <row r="3285" spans="1:32" ht="10" customHeight="1" x14ac:dyDescent="0.2">
      <c r="A3285" s="5" t="s">
        <v>7931</v>
      </c>
      <c r="B3285" s="5" t="s">
        <v>41</v>
      </c>
      <c r="C3285" s="5" t="s">
        <v>8023</v>
      </c>
      <c r="D3285" s="5" t="s">
        <v>8024</v>
      </c>
      <c r="E3285" s="10" t="s">
        <v>184</v>
      </c>
      <c r="I3285" s="11">
        <v>4</v>
      </c>
      <c r="K3285" s="12"/>
      <c r="O3285" s="12"/>
      <c r="P3285" s="13">
        <v>167429</v>
      </c>
      <c r="Q3285" s="13">
        <v>193213</v>
      </c>
      <c r="S3285" s="13">
        <v>261041</v>
      </c>
      <c r="U3285" s="13">
        <v>261041</v>
      </c>
      <c r="AC3285" s="10" t="s">
        <v>8025</v>
      </c>
      <c r="AD3285" s="5" t="s">
        <v>3442</v>
      </c>
      <c r="AE3285" s="5" t="s">
        <v>8023</v>
      </c>
      <c r="AF3285" s="5" t="s">
        <v>8024</v>
      </c>
    </row>
    <row r="3286" spans="1:32" ht="10" customHeight="1" x14ac:dyDescent="0.2">
      <c r="A3286" s="5" t="s">
        <v>7931</v>
      </c>
      <c r="B3286" s="5" t="s">
        <v>41</v>
      </c>
      <c r="D3286" s="5" t="s">
        <v>8026</v>
      </c>
      <c r="E3286" s="10" t="s">
        <v>53</v>
      </c>
      <c r="F3286" s="5" t="s">
        <v>8027</v>
      </c>
      <c r="I3286" s="11">
        <v>4</v>
      </c>
      <c r="K3286" s="12"/>
      <c r="O3286" s="12"/>
      <c r="P3286" s="13">
        <v>167429</v>
      </c>
      <c r="Q3286" s="13">
        <v>193213</v>
      </c>
      <c r="S3286" s="13">
        <v>261041</v>
      </c>
      <c r="U3286" s="13">
        <v>261041</v>
      </c>
      <c r="AC3286" s="10" t="s">
        <v>8028</v>
      </c>
      <c r="AD3286" s="5" t="s">
        <v>3468</v>
      </c>
      <c r="AE3286" s="5" t="s">
        <v>8023</v>
      </c>
    </row>
    <row r="3287" spans="1:32" ht="10" customHeight="1" x14ac:dyDescent="0.2">
      <c r="A3287" s="5" t="s">
        <v>7931</v>
      </c>
      <c r="B3287" s="5" t="s">
        <v>41</v>
      </c>
      <c r="D3287" s="5" t="s">
        <v>8029</v>
      </c>
      <c r="E3287" s="10" t="s">
        <v>184</v>
      </c>
      <c r="F3287" s="5" t="s">
        <v>8027</v>
      </c>
      <c r="I3287" s="11">
        <v>4</v>
      </c>
      <c r="K3287" s="12"/>
      <c r="O3287" s="12"/>
      <c r="AC3287" s="10" t="s">
        <v>8030</v>
      </c>
      <c r="AD3287" s="5" t="s">
        <v>3620</v>
      </c>
      <c r="AE3287" s="5" t="s">
        <v>8023</v>
      </c>
    </row>
    <row r="3288" spans="1:32" ht="10" customHeight="1" x14ac:dyDescent="0.2">
      <c r="A3288" s="5" t="s">
        <v>7931</v>
      </c>
      <c r="B3288" s="5" t="s">
        <v>41</v>
      </c>
      <c r="C3288" s="5" t="s">
        <v>8023</v>
      </c>
      <c r="D3288" s="5" t="s">
        <v>8031</v>
      </c>
      <c r="E3288" s="10" t="s">
        <v>53</v>
      </c>
      <c r="F3288" s="5" t="s">
        <v>8032</v>
      </c>
      <c r="I3288" s="11">
        <v>4</v>
      </c>
      <c r="K3288" s="12"/>
      <c r="O3288" s="12"/>
      <c r="P3288" s="13">
        <v>33273</v>
      </c>
      <c r="Q3288" s="13">
        <v>34604</v>
      </c>
      <c r="S3288" s="13">
        <v>24284</v>
      </c>
      <c r="U3288" s="13">
        <v>24284</v>
      </c>
      <c r="AC3288" s="10" t="s">
        <v>8033</v>
      </c>
      <c r="AD3288" s="5" t="s">
        <v>159</v>
      </c>
      <c r="AE3288" s="5" t="s">
        <v>8023</v>
      </c>
    </row>
    <row r="3289" spans="1:32" ht="10" customHeight="1" x14ac:dyDescent="0.2">
      <c r="A3289" s="5" t="s">
        <v>7931</v>
      </c>
      <c r="B3289" s="5" t="s">
        <v>41</v>
      </c>
      <c r="C3289" s="5" t="s">
        <v>8034</v>
      </c>
      <c r="D3289" s="5" t="s">
        <v>8035</v>
      </c>
      <c r="E3289" s="12"/>
      <c r="I3289" s="11">
        <v>4</v>
      </c>
      <c r="K3289" s="10" t="s">
        <v>46</v>
      </c>
      <c r="L3289" s="5" t="s">
        <v>47</v>
      </c>
      <c r="M3289" s="5" t="s">
        <v>115</v>
      </c>
      <c r="N3289" s="5" t="s">
        <v>116</v>
      </c>
      <c r="O3289" s="12"/>
      <c r="P3289" s="13">
        <v>80536</v>
      </c>
      <c r="Q3289" s="13">
        <v>61667</v>
      </c>
      <c r="S3289" s="13">
        <v>32127</v>
      </c>
      <c r="U3289" s="13">
        <v>32127</v>
      </c>
      <c r="Z3289" s="13">
        <v>69579</v>
      </c>
      <c r="AB3289" s="13">
        <v>69579</v>
      </c>
      <c r="AC3289" s="10" t="s">
        <v>8036</v>
      </c>
      <c r="AD3289" s="5" t="s">
        <v>8037</v>
      </c>
      <c r="AE3289" s="5" t="s">
        <v>8034</v>
      </c>
      <c r="AF3289" s="5" t="s">
        <v>8035</v>
      </c>
    </row>
    <row r="3290" spans="1:32" ht="10" customHeight="1" x14ac:dyDescent="0.2">
      <c r="A3290" s="5" t="s">
        <v>7931</v>
      </c>
      <c r="B3290" s="5" t="s">
        <v>41</v>
      </c>
      <c r="C3290" s="5" t="s">
        <v>8038</v>
      </c>
      <c r="D3290" s="5" t="s">
        <v>8039</v>
      </c>
      <c r="E3290" s="10" t="s">
        <v>184</v>
      </c>
      <c r="I3290" s="11">
        <v>6</v>
      </c>
      <c r="K3290" s="12"/>
      <c r="O3290" s="12"/>
      <c r="P3290" s="13">
        <v>179011</v>
      </c>
      <c r="Q3290" s="13">
        <v>81490</v>
      </c>
      <c r="S3290" s="13">
        <v>127222</v>
      </c>
      <c r="U3290" s="13">
        <v>127222</v>
      </c>
      <c r="AC3290" s="10" t="s">
        <v>8040</v>
      </c>
      <c r="AD3290" s="5" t="s">
        <v>3941</v>
      </c>
      <c r="AE3290" s="5" t="s">
        <v>8038</v>
      </c>
      <c r="AF3290" s="5" t="s">
        <v>8039</v>
      </c>
    </row>
    <row r="3291" spans="1:32" ht="10" customHeight="1" x14ac:dyDescent="0.2">
      <c r="A3291" s="5" t="s">
        <v>7931</v>
      </c>
      <c r="B3291" s="5" t="s">
        <v>41</v>
      </c>
      <c r="C3291" s="5" t="s">
        <v>8041</v>
      </c>
      <c r="D3291" s="5" t="s">
        <v>8042</v>
      </c>
      <c r="E3291" s="10" t="s">
        <v>184</v>
      </c>
      <c r="I3291" s="11">
        <v>4</v>
      </c>
      <c r="K3291" s="12"/>
      <c r="O3291" s="12"/>
      <c r="P3291" s="13">
        <v>168654</v>
      </c>
      <c r="Q3291" s="13">
        <v>351488</v>
      </c>
      <c r="S3291" s="13">
        <v>37059</v>
      </c>
      <c r="U3291" s="13">
        <v>37059</v>
      </c>
      <c r="AC3291" s="10" t="s">
        <v>8043</v>
      </c>
      <c r="AD3291" s="5" t="s">
        <v>3983</v>
      </c>
      <c r="AE3291" s="5" t="s">
        <v>8041</v>
      </c>
      <c r="AF3291" s="5" t="s">
        <v>8042</v>
      </c>
    </row>
    <row r="3292" spans="1:32" ht="10" customHeight="1" x14ac:dyDescent="0.2">
      <c r="A3292" s="5" t="s">
        <v>7931</v>
      </c>
      <c r="B3292" s="5" t="s">
        <v>41</v>
      </c>
      <c r="C3292" s="5" t="s">
        <v>8044</v>
      </c>
      <c r="D3292" s="5" t="s">
        <v>8045</v>
      </c>
      <c r="E3292" s="12"/>
      <c r="I3292" s="11">
        <v>4</v>
      </c>
      <c r="K3292" s="12"/>
      <c r="O3292" s="12"/>
      <c r="P3292" s="13">
        <v>4830</v>
      </c>
      <c r="Q3292" s="13">
        <v>4317</v>
      </c>
      <c r="S3292" s="13">
        <v>4789</v>
      </c>
      <c r="U3292" s="13">
        <v>4789</v>
      </c>
      <c r="Z3292" s="13">
        <v>3969</v>
      </c>
      <c r="AB3292" s="13">
        <v>3969</v>
      </c>
      <c r="AC3292" s="10" t="s">
        <v>8046</v>
      </c>
      <c r="AD3292" s="5" t="s">
        <v>4032</v>
      </c>
      <c r="AE3292" s="5" t="s">
        <v>8044</v>
      </c>
      <c r="AF3292" s="5" t="s">
        <v>6525</v>
      </c>
    </row>
    <row r="3293" spans="1:32" ht="10" customHeight="1" x14ac:dyDescent="0.2">
      <c r="A3293" s="5" t="s">
        <v>7931</v>
      </c>
      <c r="B3293" s="5" t="s">
        <v>41</v>
      </c>
      <c r="C3293" s="5" t="s">
        <v>8047</v>
      </c>
      <c r="D3293" s="5" t="s">
        <v>8048</v>
      </c>
      <c r="E3293" s="12"/>
      <c r="I3293" s="11">
        <v>4</v>
      </c>
      <c r="K3293" s="10" t="s">
        <v>46</v>
      </c>
      <c r="L3293" s="5" t="s">
        <v>47</v>
      </c>
      <c r="M3293" s="5" t="s">
        <v>48</v>
      </c>
      <c r="N3293" s="5" t="s">
        <v>84</v>
      </c>
      <c r="O3293" s="12"/>
      <c r="P3293" s="13">
        <v>296347</v>
      </c>
      <c r="Q3293" s="13">
        <v>352047</v>
      </c>
      <c r="S3293" s="13">
        <v>7081</v>
      </c>
      <c r="T3293" s="13">
        <v>261240</v>
      </c>
      <c r="U3293" s="13">
        <v>268321</v>
      </c>
      <c r="Z3293" s="13">
        <v>571274</v>
      </c>
      <c r="AB3293" s="13">
        <v>571274</v>
      </c>
      <c r="AC3293" s="10" t="s">
        <v>8049</v>
      </c>
      <c r="AD3293" s="5" t="s">
        <v>181</v>
      </c>
      <c r="AE3293" s="5" t="s">
        <v>8047</v>
      </c>
      <c r="AF3293" s="5" t="s">
        <v>8048</v>
      </c>
    </row>
    <row r="3294" spans="1:32" ht="10" customHeight="1" x14ac:dyDescent="0.2">
      <c r="A3294" s="5" t="s">
        <v>7931</v>
      </c>
      <c r="B3294" s="5" t="s">
        <v>41</v>
      </c>
      <c r="C3294" s="5" t="s">
        <v>8050</v>
      </c>
      <c r="D3294" s="5" t="s">
        <v>8051</v>
      </c>
      <c r="E3294" s="10" t="s">
        <v>184</v>
      </c>
      <c r="I3294" s="11">
        <v>6</v>
      </c>
      <c r="K3294" s="10" t="s">
        <v>46</v>
      </c>
      <c r="N3294" s="5" t="s">
        <v>140</v>
      </c>
      <c r="O3294" s="12"/>
      <c r="P3294" s="13">
        <v>24817</v>
      </c>
      <c r="Q3294" s="13">
        <v>30476</v>
      </c>
      <c r="S3294" s="13">
        <v>38386</v>
      </c>
      <c r="U3294" s="13">
        <v>38386</v>
      </c>
      <c r="AC3294" s="10" t="s">
        <v>8052</v>
      </c>
      <c r="AD3294" s="5" t="s">
        <v>4219</v>
      </c>
      <c r="AE3294" s="5" t="s">
        <v>8050</v>
      </c>
      <c r="AF3294" s="5" t="s">
        <v>8053</v>
      </c>
    </row>
    <row r="3295" spans="1:32" ht="10" customHeight="1" x14ac:dyDescent="0.2">
      <c r="A3295" s="5" t="s">
        <v>7931</v>
      </c>
      <c r="B3295" s="5" t="s">
        <v>41</v>
      </c>
      <c r="C3295" s="5" t="s">
        <v>6739</v>
      </c>
      <c r="D3295" s="5" t="s">
        <v>8054</v>
      </c>
      <c r="E3295" s="12"/>
      <c r="I3295" s="11">
        <v>4</v>
      </c>
      <c r="K3295" s="10" t="s">
        <v>46</v>
      </c>
      <c r="L3295" s="5" t="s">
        <v>47</v>
      </c>
      <c r="M3295" s="5" t="s">
        <v>115</v>
      </c>
      <c r="N3295" s="5" t="s">
        <v>116</v>
      </c>
      <c r="O3295" s="12"/>
      <c r="P3295" s="13">
        <v>104086</v>
      </c>
      <c r="Q3295" s="13">
        <v>81614</v>
      </c>
      <c r="S3295" s="13">
        <v>1692</v>
      </c>
      <c r="T3295" s="13">
        <v>111821</v>
      </c>
      <c r="U3295" s="13">
        <v>113513</v>
      </c>
      <c r="W3295" s="13">
        <v>111821</v>
      </c>
      <c r="X3295" s="13">
        <v>16692</v>
      </c>
      <c r="Y3295" s="13">
        <v>128513</v>
      </c>
      <c r="Z3295" s="13">
        <v>112126</v>
      </c>
      <c r="AB3295" s="13">
        <v>112126</v>
      </c>
      <c r="AC3295" s="10" t="s">
        <v>8055</v>
      </c>
      <c r="AD3295" s="5" t="s">
        <v>248</v>
      </c>
      <c r="AE3295" s="5" t="s">
        <v>6739</v>
      </c>
    </row>
    <row r="3296" spans="1:32" ht="10" customHeight="1" x14ac:dyDescent="0.2">
      <c r="A3296" s="5" t="s">
        <v>7931</v>
      </c>
      <c r="B3296" s="5" t="s">
        <v>41</v>
      </c>
      <c r="C3296" s="5" t="s">
        <v>8056</v>
      </c>
      <c r="D3296" s="5" t="s">
        <v>8057</v>
      </c>
      <c r="E3296" s="12"/>
      <c r="I3296" s="11">
        <v>4</v>
      </c>
      <c r="K3296" s="10" t="s">
        <v>46</v>
      </c>
      <c r="L3296" s="5" t="s">
        <v>47</v>
      </c>
      <c r="M3296" s="5" t="s">
        <v>48</v>
      </c>
      <c r="N3296" s="5" t="s">
        <v>84</v>
      </c>
      <c r="O3296" s="12"/>
      <c r="P3296" s="13">
        <v>20714</v>
      </c>
      <c r="Q3296" s="13">
        <v>17363</v>
      </c>
      <c r="S3296" s="13">
        <v>31479</v>
      </c>
      <c r="U3296" s="13">
        <v>31479</v>
      </c>
      <c r="Z3296" s="13">
        <v>67279</v>
      </c>
      <c r="AB3296" s="13">
        <v>67279</v>
      </c>
      <c r="AC3296" s="10" t="s">
        <v>8058</v>
      </c>
      <c r="AD3296" s="5" t="s">
        <v>4283</v>
      </c>
      <c r="AE3296" s="5" t="s">
        <v>8056</v>
      </c>
      <c r="AF3296" s="5" t="s">
        <v>8057</v>
      </c>
    </row>
    <row r="3297" spans="1:32" ht="10" customHeight="1" x14ac:dyDescent="0.2">
      <c r="A3297" s="5" t="s">
        <v>7931</v>
      </c>
      <c r="B3297" s="5" t="s">
        <v>41</v>
      </c>
      <c r="C3297" s="5" t="s">
        <v>8059</v>
      </c>
      <c r="D3297" s="5" t="s">
        <v>8060</v>
      </c>
      <c r="E3297" s="10" t="s">
        <v>44</v>
      </c>
      <c r="I3297" s="11">
        <v>4</v>
      </c>
      <c r="K3297" s="12"/>
      <c r="O3297" s="12"/>
      <c r="P3297" s="13">
        <v>58731</v>
      </c>
      <c r="Q3297" s="13">
        <v>100065</v>
      </c>
      <c r="S3297" s="13">
        <v>0</v>
      </c>
      <c r="T3297" s="13">
        <v>179351</v>
      </c>
      <c r="U3297" s="13">
        <v>179351</v>
      </c>
      <c r="W3297" s="13">
        <v>179351</v>
      </c>
      <c r="X3297" s="13">
        <v>0</v>
      </c>
      <c r="Y3297" s="13">
        <v>179351</v>
      </c>
      <c r="Z3297" s="13">
        <v>251724</v>
      </c>
      <c r="AB3297" s="13">
        <v>251724</v>
      </c>
      <c r="AC3297" s="10" t="s">
        <v>8061</v>
      </c>
      <c r="AD3297" s="5" t="s">
        <v>4312</v>
      </c>
      <c r="AE3297" s="5" t="s">
        <v>8059</v>
      </c>
    </row>
    <row r="3298" spans="1:32" ht="10" customHeight="1" x14ac:dyDescent="0.2">
      <c r="A3298" s="5" t="s">
        <v>7931</v>
      </c>
      <c r="B3298" s="5" t="s">
        <v>41</v>
      </c>
      <c r="D3298" s="5" t="s">
        <v>8062</v>
      </c>
      <c r="E3298" s="10" t="s">
        <v>53</v>
      </c>
      <c r="F3298" s="5" t="s">
        <v>8063</v>
      </c>
      <c r="I3298" s="11">
        <v>4</v>
      </c>
      <c r="K3298" s="12"/>
      <c r="O3298" s="12"/>
      <c r="P3298" s="13">
        <v>5507</v>
      </c>
      <c r="Q3298" s="13">
        <v>5942</v>
      </c>
      <c r="AC3298" s="10" t="s">
        <v>8064</v>
      </c>
      <c r="AD3298" s="5" t="s">
        <v>5252</v>
      </c>
      <c r="AE3298" s="5" t="s">
        <v>8059</v>
      </c>
      <c r="AF3298" s="5" t="s">
        <v>8065</v>
      </c>
    </row>
    <row r="3299" spans="1:32" ht="10" customHeight="1" x14ac:dyDescent="0.2">
      <c r="A3299" s="5" t="s">
        <v>7931</v>
      </c>
      <c r="B3299" s="5" t="s">
        <v>41</v>
      </c>
      <c r="D3299" s="5" t="s">
        <v>8066</v>
      </c>
      <c r="E3299" s="10" t="s">
        <v>53</v>
      </c>
      <c r="F3299" s="5" t="s">
        <v>8063</v>
      </c>
      <c r="I3299" s="11">
        <v>4</v>
      </c>
      <c r="K3299" s="12"/>
      <c r="O3299" s="12"/>
      <c r="P3299" s="13">
        <v>28453</v>
      </c>
      <c r="Q3299" s="13">
        <v>46900</v>
      </c>
      <c r="AC3299" s="10" t="s">
        <v>8067</v>
      </c>
      <c r="AD3299" s="5" t="s">
        <v>8068</v>
      </c>
      <c r="AE3299" s="5" t="s">
        <v>8059</v>
      </c>
      <c r="AF3299" s="5" t="s">
        <v>8069</v>
      </c>
    </row>
    <row r="3300" spans="1:32" ht="10" customHeight="1" x14ac:dyDescent="0.2">
      <c r="A3300" s="5" t="s">
        <v>7931</v>
      </c>
      <c r="B3300" s="5" t="s">
        <v>41</v>
      </c>
      <c r="D3300" s="5" t="s">
        <v>8070</v>
      </c>
      <c r="E3300" s="10" t="s">
        <v>53</v>
      </c>
      <c r="F3300" s="5" t="s">
        <v>8063</v>
      </c>
      <c r="I3300" s="11">
        <v>4</v>
      </c>
      <c r="K3300" s="12"/>
      <c r="O3300" s="12"/>
      <c r="P3300" s="13">
        <v>24771</v>
      </c>
      <c r="Q3300" s="13">
        <v>24923</v>
      </c>
      <c r="AC3300" s="10" t="s">
        <v>8071</v>
      </c>
      <c r="AD3300" s="5" t="s">
        <v>8072</v>
      </c>
      <c r="AE3300" s="5" t="s">
        <v>8059</v>
      </c>
      <c r="AF3300" s="5" t="s">
        <v>8073</v>
      </c>
    </row>
    <row r="3301" spans="1:32" ht="10" customHeight="1" x14ac:dyDescent="0.2">
      <c r="A3301" s="5" t="s">
        <v>7931</v>
      </c>
      <c r="B3301" s="5" t="s">
        <v>41</v>
      </c>
      <c r="D3301" s="5" t="s">
        <v>8074</v>
      </c>
      <c r="E3301" s="10" t="s">
        <v>53</v>
      </c>
      <c r="F3301" s="5" t="s">
        <v>8063</v>
      </c>
      <c r="I3301" s="11">
        <v>4</v>
      </c>
      <c r="K3301" s="12"/>
      <c r="O3301" s="12"/>
      <c r="Q3301" s="13">
        <v>22300</v>
      </c>
      <c r="AC3301" s="10" t="s">
        <v>8075</v>
      </c>
      <c r="AD3301" s="5" t="s">
        <v>5281</v>
      </c>
      <c r="AE3301" s="5" t="s">
        <v>8059</v>
      </c>
      <c r="AF3301" s="5" t="s">
        <v>8076</v>
      </c>
    </row>
    <row r="3302" spans="1:32" ht="10" customHeight="1" x14ac:dyDescent="0.2">
      <c r="A3302" s="5" t="s">
        <v>7931</v>
      </c>
      <c r="B3302" s="5" t="s">
        <v>41</v>
      </c>
      <c r="C3302" s="5" t="s">
        <v>8077</v>
      </c>
      <c r="D3302" s="5" t="s">
        <v>8078</v>
      </c>
      <c r="E3302" s="10" t="s">
        <v>44</v>
      </c>
      <c r="I3302" s="11">
        <v>6</v>
      </c>
      <c r="K3302" s="12"/>
      <c r="O3302" s="12"/>
      <c r="P3302" s="13">
        <v>133187</v>
      </c>
      <c r="Q3302" s="13">
        <v>145655</v>
      </c>
      <c r="S3302" s="13">
        <v>161218</v>
      </c>
      <c r="U3302" s="13">
        <v>161218</v>
      </c>
      <c r="Z3302" s="13">
        <v>160445</v>
      </c>
      <c r="AB3302" s="13">
        <v>160445</v>
      </c>
      <c r="AC3302" s="10" t="s">
        <v>8079</v>
      </c>
      <c r="AD3302" s="5" t="s">
        <v>5281</v>
      </c>
      <c r="AE3302" s="5" t="s">
        <v>8077</v>
      </c>
      <c r="AF3302" s="5" t="s">
        <v>8080</v>
      </c>
    </row>
    <row r="3303" spans="1:32" ht="10" customHeight="1" x14ac:dyDescent="0.2">
      <c r="A3303" s="5" t="s">
        <v>7931</v>
      </c>
      <c r="B3303" s="5" t="s">
        <v>41</v>
      </c>
      <c r="D3303" s="5" t="s">
        <v>8081</v>
      </c>
      <c r="E3303" s="10" t="s">
        <v>53</v>
      </c>
      <c r="F3303" s="5" t="s">
        <v>8082</v>
      </c>
      <c r="I3303" s="11">
        <v>6</v>
      </c>
      <c r="K3303" s="10" t="s">
        <v>46</v>
      </c>
      <c r="L3303" s="5" t="s">
        <v>47</v>
      </c>
      <c r="M3303" s="5" t="s">
        <v>115</v>
      </c>
      <c r="O3303" s="12"/>
      <c r="P3303" s="13">
        <v>31315</v>
      </c>
      <c r="Q3303" s="13">
        <v>31904</v>
      </c>
      <c r="S3303" s="13">
        <v>36208</v>
      </c>
      <c r="U3303" s="13">
        <v>36208</v>
      </c>
      <c r="AC3303" s="10" t="s">
        <v>8083</v>
      </c>
      <c r="AD3303" s="5" t="s">
        <v>8084</v>
      </c>
      <c r="AE3303" s="5" t="s">
        <v>8077</v>
      </c>
      <c r="AF3303" s="5" t="s">
        <v>8080</v>
      </c>
    </row>
    <row r="3304" spans="1:32" ht="10" customHeight="1" x14ac:dyDescent="0.2">
      <c r="A3304" s="5" t="s">
        <v>7931</v>
      </c>
      <c r="B3304" s="5" t="s">
        <v>41</v>
      </c>
      <c r="D3304" s="5" t="s">
        <v>8085</v>
      </c>
      <c r="E3304" s="10" t="s">
        <v>53</v>
      </c>
      <c r="F3304" s="5" t="s">
        <v>8086</v>
      </c>
      <c r="I3304" s="11">
        <v>6</v>
      </c>
      <c r="K3304" s="12"/>
      <c r="O3304" s="12"/>
      <c r="AC3304" s="10" t="s">
        <v>8087</v>
      </c>
      <c r="AD3304" s="5" t="s">
        <v>8088</v>
      </c>
      <c r="AE3304" s="5" t="s">
        <v>8077</v>
      </c>
      <c r="AF3304" s="5" t="s">
        <v>8089</v>
      </c>
    </row>
    <row r="3305" spans="1:32" ht="10" customHeight="1" x14ac:dyDescent="0.2">
      <c r="A3305" s="5" t="s">
        <v>7931</v>
      </c>
      <c r="B3305" s="5" t="s">
        <v>41</v>
      </c>
      <c r="D3305" s="5" t="s">
        <v>8090</v>
      </c>
      <c r="E3305" s="10" t="s">
        <v>53</v>
      </c>
      <c r="F3305" s="5" t="s">
        <v>8082</v>
      </c>
      <c r="I3305" s="11">
        <v>6</v>
      </c>
      <c r="K3305" s="10" t="s">
        <v>46</v>
      </c>
      <c r="L3305" s="5" t="s">
        <v>47</v>
      </c>
      <c r="M3305" s="5" t="s">
        <v>48</v>
      </c>
      <c r="O3305" s="12"/>
      <c r="P3305" s="13">
        <v>101872</v>
      </c>
      <c r="Q3305" s="13">
        <v>113751</v>
      </c>
      <c r="S3305" s="13">
        <v>125010</v>
      </c>
      <c r="U3305" s="13">
        <v>125010</v>
      </c>
      <c r="AC3305" s="10" t="s">
        <v>8091</v>
      </c>
      <c r="AD3305" s="5" t="s">
        <v>6357</v>
      </c>
      <c r="AE3305" s="5" t="s">
        <v>8077</v>
      </c>
      <c r="AF3305" s="5" t="s">
        <v>8080</v>
      </c>
    </row>
    <row r="3306" spans="1:32" ht="10" customHeight="1" x14ac:dyDescent="0.2">
      <c r="A3306" s="5" t="s">
        <v>7931</v>
      </c>
      <c r="B3306" s="5" t="s">
        <v>41</v>
      </c>
      <c r="C3306" s="5" t="s">
        <v>6766</v>
      </c>
      <c r="D3306" s="5" t="s">
        <v>7520</v>
      </c>
      <c r="E3306" s="10" t="s">
        <v>184</v>
      </c>
      <c r="I3306" s="11">
        <v>6</v>
      </c>
      <c r="K3306" s="12"/>
      <c r="O3306" s="12"/>
      <c r="P3306" s="13">
        <v>4146</v>
      </c>
      <c r="Q3306" s="13">
        <v>4039</v>
      </c>
      <c r="S3306" s="13">
        <v>4328</v>
      </c>
      <c r="U3306" s="13">
        <v>4328</v>
      </c>
      <c r="AC3306" s="10" t="s">
        <v>8092</v>
      </c>
      <c r="AD3306" s="5" t="s">
        <v>8093</v>
      </c>
      <c r="AE3306" s="5" t="s">
        <v>6766</v>
      </c>
      <c r="AF3306" s="5" t="s">
        <v>6770</v>
      </c>
    </row>
    <row r="3307" spans="1:32" ht="10" customHeight="1" x14ac:dyDescent="0.2">
      <c r="A3307" s="5" t="s">
        <v>7931</v>
      </c>
      <c r="B3307" s="5" t="s">
        <v>41</v>
      </c>
      <c r="C3307" s="5" t="s">
        <v>8094</v>
      </c>
      <c r="D3307" s="5" t="s">
        <v>8095</v>
      </c>
      <c r="E3307" s="10" t="s">
        <v>184</v>
      </c>
      <c r="I3307" s="11">
        <v>7</v>
      </c>
      <c r="K3307" s="12"/>
      <c r="O3307" s="12"/>
      <c r="P3307" s="13">
        <v>5811</v>
      </c>
      <c r="Q3307" s="13">
        <v>5669</v>
      </c>
      <c r="S3307" s="13">
        <v>5346</v>
      </c>
      <c r="U3307" s="13">
        <v>5346</v>
      </c>
      <c r="AC3307" s="10" t="s">
        <v>8096</v>
      </c>
      <c r="AD3307" s="5" t="s">
        <v>8097</v>
      </c>
      <c r="AE3307" s="5" t="s">
        <v>8094</v>
      </c>
      <c r="AF3307" s="5" t="s">
        <v>8098</v>
      </c>
    </row>
    <row r="3308" spans="1:32" ht="10" customHeight="1" x14ac:dyDescent="0.2">
      <c r="A3308" s="5" t="s">
        <v>7931</v>
      </c>
      <c r="B3308" s="5" t="s">
        <v>41</v>
      </c>
      <c r="C3308" s="5" t="s">
        <v>8099</v>
      </c>
      <c r="D3308" s="5" t="s">
        <v>8100</v>
      </c>
      <c r="E3308" s="10" t="s">
        <v>44</v>
      </c>
      <c r="I3308" s="11">
        <v>4</v>
      </c>
      <c r="K3308" s="12"/>
      <c r="O3308" s="12"/>
      <c r="P3308" s="13">
        <v>16565</v>
      </c>
      <c r="Q3308" s="13">
        <v>12513</v>
      </c>
      <c r="S3308" s="13">
        <v>9987</v>
      </c>
      <c r="U3308" s="13">
        <v>9987</v>
      </c>
      <c r="Z3308" s="13">
        <v>13946</v>
      </c>
      <c r="AB3308" s="13">
        <v>13946</v>
      </c>
      <c r="AC3308" s="10" t="s">
        <v>8101</v>
      </c>
      <c r="AD3308" s="5" t="s">
        <v>8102</v>
      </c>
      <c r="AE3308" s="5" t="s">
        <v>8099</v>
      </c>
    </row>
    <row r="3309" spans="1:32" ht="10" customHeight="1" x14ac:dyDescent="0.2">
      <c r="A3309" s="5" t="s">
        <v>7931</v>
      </c>
      <c r="B3309" s="5" t="s">
        <v>41</v>
      </c>
      <c r="D3309" s="5" t="s">
        <v>8103</v>
      </c>
      <c r="E3309" s="10" t="s">
        <v>53</v>
      </c>
      <c r="F3309" s="5" t="s">
        <v>8104</v>
      </c>
      <c r="I3309" s="11">
        <v>4</v>
      </c>
      <c r="K3309" s="12"/>
      <c r="O3309" s="12"/>
      <c r="P3309" s="13">
        <v>10607</v>
      </c>
      <c r="Q3309" s="13">
        <v>6828</v>
      </c>
      <c r="S3309" s="13">
        <v>5357</v>
      </c>
      <c r="U3309" s="13">
        <v>5357</v>
      </c>
      <c r="AC3309" s="10" t="s">
        <v>8105</v>
      </c>
      <c r="AD3309" s="5" t="s">
        <v>6367</v>
      </c>
      <c r="AE3309" s="5" t="s">
        <v>8099</v>
      </c>
      <c r="AF3309" s="5" t="s">
        <v>8106</v>
      </c>
    </row>
    <row r="3310" spans="1:32" ht="10" customHeight="1" x14ac:dyDescent="0.2">
      <c r="A3310" s="5" t="s">
        <v>7931</v>
      </c>
      <c r="B3310" s="5" t="s">
        <v>41</v>
      </c>
      <c r="D3310" s="5" t="s">
        <v>8107</v>
      </c>
      <c r="E3310" s="10" t="s">
        <v>53</v>
      </c>
      <c r="F3310" s="5" t="s">
        <v>8104</v>
      </c>
      <c r="I3310" s="11">
        <v>4</v>
      </c>
      <c r="K3310" s="12"/>
      <c r="O3310" s="12"/>
      <c r="P3310" s="13">
        <v>5958</v>
      </c>
      <c r="Q3310" s="13">
        <v>5685</v>
      </c>
      <c r="S3310" s="13">
        <v>4630</v>
      </c>
      <c r="U3310" s="13">
        <v>4630</v>
      </c>
      <c r="AC3310" s="10" t="s">
        <v>8108</v>
      </c>
      <c r="AD3310" s="5" t="s">
        <v>8109</v>
      </c>
      <c r="AE3310" s="5" t="s">
        <v>8099</v>
      </c>
    </row>
    <row r="3311" spans="1:32" ht="10" customHeight="1" x14ac:dyDescent="0.2">
      <c r="A3311" s="5" t="s">
        <v>7931</v>
      </c>
      <c r="B3311" s="5" t="s">
        <v>41</v>
      </c>
      <c r="C3311" s="5" t="s">
        <v>8110</v>
      </c>
      <c r="D3311" s="5" t="s">
        <v>8111</v>
      </c>
      <c r="E3311" s="12"/>
      <c r="I3311" s="11">
        <v>4</v>
      </c>
      <c r="K3311" s="12"/>
      <c r="O3311" s="12"/>
      <c r="P3311" s="13">
        <v>4088</v>
      </c>
      <c r="Q3311" s="13">
        <v>4266</v>
      </c>
      <c r="S3311" s="13">
        <v>8122</v>
      </c>
      <c r="U3311" s="13">
        <v>8122</v>
      </c>
      <c r="Z3311" s="13">
        <v>7939</v>
      </c>
      <c r="AB3311" s="13">
        <v>7939</v>
      </c>
      <c r="AC3311" s="10" t="s">
        <v>8112</v>
      </c>
      <c r="AD3311" s="5" t="s">
        <v>6370</v>
      </c>
      <c r="AE3311" s="5" t="s">
        <v>8110</v>
      </c>
      <c r="AF3311" s="5" t="s">
        <v>8113</v>
      </c>
    </row>
    <row r="3312" spans="1:32" ht="10" customHeight="1" x14ac:dyDescent="0.2">
      <c r="A3312" s="5" t="s">
        <v>7931</v>
      </c>
      <c r="B3312" s="5" t="s">
        <v>41</v>
      </c>
      <c r="C3312" s="5" t="s">
        <v>8114</v>
      </c>
      <c r="D3312" s="5" t="s">
        <v>8115</v>
      </c>
      <c r="E3312" s="10" t="s">
        <v>44</v>
      </c>
      <c r="I3312" s="11">
        <v>4</v>
      </c>
      <c r="K3312" s="12"/>
      <c r="O3312" s="12"/>
      <c r="P3312" s="13">
        <v>55172</v>
      </c>
      <c r="Q3312" s="13">
        <v>54794</v>
      </c>
      <c r="S3312" s="13">
        <v>44455</v>
      </c>
      <c r="U3312" s="13">
        <v>44455</v>
      </c>
      <c r="Z3312" s="13">
        <v>49537</v>
      </c>
      <c r="AB3312" s="13">
        <v>49537</v>
      </c>
      <c r="AC3312" s="10" t="s">
        <v>8116</v>
      </c>
      <c r="AD3312" s="5" t="s">
        <v>8117</v>
      </c>
      <c r="AE3312" s="5" t="s">
        <v>8114</v>
      </c>
      <c r="AF3312" s="5" t="s">
        <v>8115</v>
      </c>
    </row>
    <row r="3313" spans="1:33" ht="10" customHeight="1" x14ac:dyDescent="0.2">
      <c r="A3313" s="5" t="s">
        <v>7931</v>
      </c>
      <c r="B3313" s="5" t="s">
        <v>41</v>
      </c>
      <c r="D3313" s="5" t="s">
        <v>8118</v>
      </c>
      <c r="E3313" s="10" t="s">
        <v>53</v>
      </c>
      <c r="F3313" s="5" t="s">
        <v>8119</v>
      </c>
      <c r="I3313" s="11">
        <v>4</v>
      </c>
      <c r="K3313" s="12"/>
      <c r="O3313" s="12"/>
      <c r="P3313" s="13">
        <v>10607</v>
      </c>
      <c r="Q3313" s="13">
        <v>14128</v>
      </c>
      <c r="S3313" s="13">
        <v>21987</v>
      </c>
      <c r="U3313" s="13">
        <v>21987</v>
      </c>
      <c r="AC3313" s="10" t="s">
        <v>8120</v>
      </c>
      <c r="AD3313" s="5" t="s">
        <v>8117</v>
      </c>
      <c r="AE3313" s="5" t="s">
        <v>8114</v>
      </c>
      <c r="AF3313" s="5" t="s">
        <v>8115</v>
      </c>
    </row>
    <row r="3314" spans="1:33" ht="10" customHeight="1" x14ac:dyDescent="0.2">
      <c r="A3314" s="5" t="s">
        <v>7931</v>
      </c>
      <c r="B3314" s="5" t="s">
        <v>41</v>
      </c>
      <c r="D3314" s="5" t="s">
        <v>8121</v>
      </c>
      <c r="E3314" s="10" t="s">
        <v>53</v>
      </c>
      <c r="F3314" s="5" t="s">
        <v>8119</v>
      </c>
      <c r="I3314" s="11">
        <v>4</v>
      </c>
      <c r="K3314" s="12"/>
      <c r="O3314" s="12"/>
      <c r="P3314" s="13">
        <v>6005</v>
      </c>
      <c r="Q3314" s="13">
        <v>7668</v>
      </c>
      <c r="S3314" s="13">
        <v>6843</v>
      </c>
      <c r="U3314" s="13">
        <v>6843</v>
      </c>
      <c r="AC3314" s="10" t="s">
        <v>8122</v>
      </c>
      <c r="AD3314" s="5" t="s">
        <v>8117</v>
      </c>
      <c r="AE3314" s="5" t="s">
        <v>8114</v>
      </c>
      <c r="AF3314" s="5" t="s">
        <v>8115</v>
      </c>
    </row>
    <row r="3315" spans="1:33" ht="10" customHeight="1" x14ac:dyDescent="0.2">
      <c r="A3315" s="5" t="s">
        <v>7931</v>
      </c>
      <c r="B3315" s="5" t="s">
        <v>41</v>
      </c>
      <c r="D3315" s="5" t="s">
        <v>8123</v>
      </c>
      <c r="E3315" s="10" t="s">
        <v>53</v>
      </c>
      <c r="F3315" s="5" t="s">
        <v>8119</v>
      </c>
      <c r="I3315" s="11">
        <v>4</v>
      </c>
      <c r="K3315" s="12"/>
      <c r="O3315" s="12"/>
      <c r="P3315" s="13">
        <v>29389</v>
      </c>
      <c r="Q3315" s="13">
        <v>24760</v>
      </c>
      <c r="S3315" s="13">
        <v>8182</v>
      </c>
      <c r="U3315" s="13">
        <v>8182</v>
      </c>
      <c r="AC3315" s="10" t="s">
        <v>8124</v>
      </c>
      <c r="AD3315" s="5" t="s">
        <v>8117</v>
      </c>
      <c r="AE3315" s="5" t="s">
        <v>8114</v>
      </c>
      <c r="AF3315" s="5" t="s">
        <v>8115</v>
      </c>
    </row>
    <row r="3316" spans="1:33" ht="10" customHeight="1" x14ac:dyDescent="0.2">
      <c r="A3316" s="5" t="s">
        <v>7931</v>
      </c>
      <c r="B3316" s="5" t="s">
        <v>41</v>
      </c>
      <c r="D3316" s="5" t="s">
        <v>8125</v>
      </c>
      <c r="E3316" s="10" t="s">
        <v>53</v>
      </c>
      <c r="F3316" s="5" t="s">
        <v>8119</v>
      </c>
      <c r="I3316" s="11">
        <v>4</v>
      </c>
      <c r="K3316" s="12"/>
      <c r="O3316" s="12"/>
      <c r="P3316" s="13">
        <v>9171</v>
      </c>
      <c r="Q3316" s="13">
        <v>8238</v>
      </c>
      <c r="S3316" s="13">
        <v>7443</v>
      </c>
      <c r="U3316" s="13">
        <v>7443</v>
      </c>
      <c r="AC3316" s="10" t="s">
        <v>8126</v>
      </c>
      <c r="AD3316" s="5" t="s">
        <v>8117</v>
      </c>
      <c r="AE3316" s="5" t="s">
        <v>8114</v>
      </c>
      <c r="AF3316" s="5" t="s">
        <v>8115</v>
      </c>
    </row>
    <row r="3317" spans="1:33" ht="10" customHeight="1" x14ac:dyDescent="0.2">
      <c r="A3317" s="5" t="s">
        <v>7931</v>
      </c>
      <c r="B3317" s="5" t="s">
        <v>41</v>
      </c>
      <c r="C3317" s="5" t="s">
        <v>6984</v>
      </c>
      <c r="D3317" s="5" t="s">
        <v>8127</v>
      </c>
      <c r="E3317" s="10" t="s">
        <v>44</v>
      </c>
      <c r="I3317" s="11">
        <v>4</v>
      </c>
      <c r="K3317" s="12"/>
      <c r="O3317" s="12"/>
      <c r="P3317" s="13">
        <v>95282</v>
      </c>
      <c r="Q3317" s="13">
        <v>82246</v>
      </c>
      <c r="S3317" s="13">
        <v>83969</v>
      </c>
      <c r="U3317" s="13">
        <v>83969</v>
      </c>
      <c r="Z3317" s="13">
        <v>84004</v>
      </c>
      <c r="AB3317" s="13">
        <v>84004</v>
      </c>
      <c r="AC3317" s="10" t="s">
        <v>8128</v>
      </c>
      <c r="AD3317" s="5" t="s">
        <v>6395</v>
      </c>
      <c r="AE3317" s="5" t="s">
        <v>6984</v>
      </c>
      <c r="AF3317" s="5" t="s">
        <v>6982</v>
      </c>
    </row>
    <row r="3318" spans="1:33" ht="10" customHeight="1" x14ac:dyDescent="0.2">
      <c r="A3318" s="5" t="s">
        <v>7931</v>
      </c>
      <c r="B3318" s="5" t="s">
        <v>41</v>
      </c>
      <c r="D3318" s="5" t="s">
        <v>8129</v>
      </c>
      <c r="E3318" s="10" t="s">
        <v>53</v>
      </c>
      <c r="F3318" s="5" t="s">
        <v>8130</v>
      </c>
      <c r="I3318" s="11">
        <v>4</v>
      </c>
      <c r="K3318" s="10" t="s">
        <v>46</v>
      </c>
      <c r="L3318" s="5" t="s">
        <v>47</v>
      </c>
      <c r="M3318" s="5" t="s">
        <v>115</v>
      </c>
      <c r="O3318" s="12"/>
      <c r="P3318" s="13">
        <v>3825</v>
      </c>
      <c r="Q3318" s="13">
        <v>3197</v>
      </c>
      <c r="S3318" s="13">
        <v>4197</v>
      </c>
      <c r="U3318" s="13">
        <v>4197</v>
      </c>
      <c r="AC3318" s="10" t="s">
        <v>8131</v>
      </c>
      <c r="AD3318" s="5" t="s">
        <v>6395</v>
      </c>
      <c r="AE3318" s="5" t="s">
        <v>6984</v>
      </c>
      <c r="AF3318" s="5" t="s">
        <v>6982</v>
      </c>
    </row>
    <row r="3319" spans="1:33" ht="10" customHeight="1" x14ac:dyDescent="0.2">
      <c r="A3319" s="5" t="s">
        <v>7931</v>
      </c>
      <c r="B3319" s="5" t="s">
        <v>41</v>
      </c>
      <c r="D3319" s="5" t="s">
        <v>8132</v>
      </c>
      <c r="E3319" s="10" t="s">
        <v>53</v>
      </c>
      <c r="F3319" s="5" t="s">
        <v>8130</v>
      </c>
      <c r="I3319" s="11">
        <v>4</v>
      </c>
      <c r="K3319" s="12"/>
      <c r="O3319" s="12"/>
      <c r="P3319" s="13">
        <v>82735</v>
      </c>
      <c r="Q3319" s="13">
        <v>71102</v>
      </c>
      <c r="S3319" s="13">
        <v>70001</v>
      </c>
      <c r="U3319" s="13">
        <v>70001</v>
      </c>
      <c r="AC3319" s="10" t="s">
        <v>8133</v>
      </c>
      <c r="AD3319" s="5" t="s">
        <v>6395</v>
      </c>
      <c r="AE3319" s="5" t="s">
        <v>6984</v>
      </c>
      <c r="AF3319" s="5" t="s">
        <v>6982</v>
      </c>
    </row>
    <row r="3320" spans="1:33" ht="10" customHeight="1" x14ac:dyDescent="0.2">
      <c r="A3320" s="5" t="s">
        <v>7931</v>
      </c>
      <c r="B3320" s="5" t="s">
        <v>41</v>
      </c>
      <c r="D3320" s="5" t="s">
        <v>8134</v>
      </c>
      <c r="E3320" s="10" t="s">
        <v>53</v>
      </c>
      <c r="F3320" s="5" t="s">
        <v>8130</v>
      </c>
      <c r="I3320" s="11">
        <v>4</v>
      </c>
      <c r="K3320" s="10" t="s">
        <v>46</v>
      </c>
      <c r="L3320" s="5" t="s">
        <v>47</v>
      </c>
      <c r="M3320" s="5" t="s">
        <v>115</v>
      </c>
      <c r="O3320" s="12"/>
      <c r="P3320" s="13">
        <v>8722</v>
      </c>
      <c r="Q3320" s="13">
        <v>7947</v>
      </c>
      <c r="S3320" s="13">
        <v>9771</v>
      </c>
      <c r="U3320" s="13">
        <v>9771</v>
      </c>
      <c r="AC3320" s="10" t="s">
        <v>8135</v>
      </c>
      <c r="AD3320" s="5" t="s">
        <v>6395</v>
      </c>
      <c r="AE3320" s="5" t="s">
        <v>6984</v>
      </c>
      <c r="AF3320" s="5" t="s">
        <v>6982</v>
      </c>
    </row>
    <row r="3321" spans="1:33" ht="10" customHeight="1" x14ac:dyDescent="0.2">
      <c r="A3321" s="5" t="s">
        <v>7931</v>
      </c>
      <c r="B3321" s="5" t="s">
        <v>41</v>
      </c>
      <c r="C3321" s="5" t="s">
        <v>8136</v>
      </c>
      <c r="D3321" s="5" t="s">
        <v>8137</v>
      </c>
      <c r="E3321" s="12"/>
      <c r="I3321" s="11">
        <v>4</v>
      </c>
      <c r="K3321" s="10" t="s">
        <v>46</v>
      </c>
      <c r="L3321" s="5" t="s">
        <v>47</v>
      </c>
      <c r="M3321" s="5" t="s">
        <v>115</v>
      </c>
      <c r="N3321" s="5" t="s">
        <v>135</v>
      </c>
      <c r="O3321" s="12"/>
      <c r="P3321" s="13">
        <v>3264</v>
      </c>
      <c r="Q3321" s="13">
        <v>2463</v>
      </c>
      <c r="S3321" s="13">
        <v>2200</v>
      </c>
      <c r="U3321" s="13">
        <v>2200</v>
      </c>
      <c r="Z3321" s="13">
        <v>2190</v>
      </c>
      <c r="AB3321" s="13">
        <v>2190</v>
      </c>
      <c r="AC3321" s="10" t="s">
        <v>8138</v>
      </c>
      <c r="AD3321" s="5" t="s">
        <v>6657</v>
      </c>
      <c r="AE3321" s="5" t="s">
        <v>8136</v>
      </c>
      <c r="AF3321" s="5" t="s">
        <v>8137</v>
      </c>
    </row>
    <row r="3322" spans="1:33" ht="10" customHeight="1" x14ac:dyDescent="0.2">
      <c r="A3322" s="5" t="s">
        <v>7931</v>
      </c>
      <c r="B3322" s="5" t="s">
        <v>41</v>
      </c>
      <c r="C3322" s="5" t="s">
        <v>8139</v>
      </c>
      <c r="D3322" s="5" t="s">
        <v>8140</v>
      </c>
      <c r="E3322" s="10" t="s">
        <v>184</v>
      </c>
      <c r="I3322" s="11">
        <v>4</v>
      </c>
      <c r="K3322" s="10" t="s">
        <v>46</v>
      </c>
      <c r="L3322" s="5" t="s">
        <v>47</v>
      </c>
      <c r="M3322" s="5" t="s">
        <v>4680</v>
      </c>
      <c r="N3322" s="5" t="s">
        <v>4681</v>
      </c>
      <c r="O3322" s="12"/>
      <c r="P3322" s="13">
        <v>14357</v>
      </c>
      <c r="Q3322" s="13">
        <v>11635</v>
      </c>
      <c r="S3322" s="13">
        <v>14413</v>
      </c>
      <c r="U3322" s="13">
        <v>14413</v>
      </c>
      <c r="AC3322" s="10" t="s">
        <v>8141</v>
      </c>
      <c r="AD3322" s="5" t="s">
        <v>8142</v>
      </c>
      <c r="AE3322" s="5" t="s">
        <v>8139</v>
      </c>
      <c r="AF3322" s="5" t="s">
        <v>8143</v>
      </c>
    </row>
    <row r="3323" spans="1:33" ht="10" customHeight="1" x14ac:dyDescent="0.2">
      <c r="A3323" s="5" t="s">
        <v>7931</v>
      </c>
      <c r="B3323" s="5" t="s">
        <v>41</v>
      </c>
      <c r="C3323" s="5" t="s">
        <v>8144</v>
      </c>
      <c r="D3323" s="5" t="s">
        <v>5447</v>
      </c>
      <c r="E3323" s="10" t="s">
        <v>44</v>
      </c>
      <c r="I3323" s="11">
        <v>6</v>
      </c>
      <c r="K3323" s="12"/>
      <c r="O3323" s="12"/>
      <c r="P3323" s="13">
        <v>177819</v>
      </c>
      <c r="Q3323" s="13">
        <v>240697</v>
      </c>
      <c r="S3323" s="13">
        <v>202425</v>
      </c>
      <c r="U3323" s="13">
        <v>202425</v>
      </c>
      <c r="Z3323" s="13">
        <v>167242</v>
      </c>
      <c r="AB3323" s="13">
        <v>167242</v>
      </c>
      <c r="AC3323" s="10" t="s">
        <v>8145</v>
      </c>
      <c r="AD3323" s="5" t="s">
        <v>8146</v>
      </c>
      <c r="AE3323" s="5" t="s">
        <v>8144</v>
      </c>
    </row>
    <row r="3324" spans="1:33" ht="10" customHeight="1" x14ac:dyDescent="0.2">
      <c r="A3324" s="5" t="s">
        <v>7931</v>
      </c>
      <c r="B3324" s="5" t="s">
        <v>41</v>
      </c>
      <c r="D3324" s="5" t="s">
        <v>8147</v>
      </c>
      <c r="E3324" s="10" t="s">
        <v>53</v>
      </c>
      <c r="F3324" s="5" t="s">
        <v>8148</v>
      </c>
      <c r="I3324" s="11">
        <v>6</v>
      </c>
      <c r="K3324" s="12"/>
      <c r="O3324" s="12"/>
      <c r="S3324" s="13">
        <v>46346</v>
      </c>
      <c r="U3324" s="13">
        <v>46346</v>
      </c>
      <c r="AC3324" s="10" t="s">
        <v>8149</v>
      </c>
      <c r="AD3324" s="5" t="s">
        <v>8150</v>
      </c>
      <c r="AE3324" s="5" t="s">
        <v>8144</v>
      </c>
    </row>
    <row r="3325" spans="1:33" ht="10" customHeight="1" x14ac:dyDescent="0.2">
      <c r="A3325" s="5" t="s">
        <v>7931</v>
      </c>
      <c r="B3325" s="5" t="s">
        <v>41</v>
      </c>
      <c r="D3325" s="5" t="s">
        <v>8151</v>
      </c>
      <c r="E3325" s="10" t="s">
        <v>53</v>
      </c>
      <c r="F3325" s="5" t="s">
        <v>8148</v>
      </c>
      <c r="I3325" s="11">
        <v>6</v>
      </c>
      <c r="K3325" s="12"/>
      <c r="O3325" s="12"/>
      <c r="S3325" s="13">
        <v>156079</v>
      </c>
      <c r="U3325" s="13">
        <v>156079</v>
      </c>
      <c r="AC3325" s="10" t="s">
        <v>8152</v>
      </c>
      <c r="AD3325" s="5" t="s">
        <v>8150</v>
      </c>
      <c r="AE3325" s="5" t="s">
        <v>8144</v>
      </c>
    </row>
    <row r="3326" spans="1:33" ht="10" customHeight="1" x14ac:dyDescent="0.2">
      <c r="A3326" s="5" t="s">
        <v>6805</v>
      </c>
      <c r="B3326" s="5" t="s">
        <v>8153</v>
      </c>
      <c r="D3326" s="5" t="s">
        <v>8154</v>
      </c>
      <c r="E3326" s="10" t="s">
        <v>44</v>
      </c>
      <c r="I3326" s="11" t="s">
        <v>8155</v>
      </c>
      <c r="K3326" s="12"/>
      <c r="O3326" s="12"/>
      <c r="P3326" s="13">
        <v>1088600</v>
      </c>
      <c r="Q3326" s="13">
        <v>1088600</v>
      </c>
      <c r="S3326" s="13">
        <v>1439300</v>
      </c>
      <c r="U3326" s="13">
        <v>1439300</v>
      </c>
      <c r="AC3326" s="10" t="s">
        <v>8156</v>
      </c>
      <c r="AD3326" s="5" t="s">
        <v>68</v>
      </c>
      <c r="AE3326" s="5" t="s">
        <v>8157</v>
      </c>
    </row>
    <row r="3327" spans="1:33" ht="10" customHeight="1" x14ac:dyDescent="0.2">
      <c r="A3327" s="5" t="s">
        <v>6805</v>
      </c>
      <c r="B3327" s="5" t="s">
        <v>8153</v>
      </c>
      <c r="C3327" s="5" t="s">
        <v>8158</v>
      </c>
      <c r="D3327" s="5" t="s">
        <v>8159</v>
      </c>
      <c r="E3327" s="10" t="s">
        <v>44</v>
      </c>
      <c r="I3327" s="11">
        <v>5</v>
      </c>
      <c r="K3327" s="12"/>
      <c r="O3327" s="12"/>
      <c r="P3327" s="13">
        <v>120000</v>
      </c>
      <c r="Q3327" s="13">
        <v>120000</v>
      </c>
      <c r="S3327" s="13">
        <v>152000</v>
      </c>
      <c r="U3327" s="13">
        <v>152000</v>
      </c>
      <c r="AC3327" s="10" t="s">
        <v>8160</v>
      </c>
      <c r="AD3327" s="5" t="s">
        <v>857</v>
      </c>
      <c r="AE3327" s="5" t="s">
        <v>8158</v>
      </c>
    </row>
    <row r="3328" spans="1:33" ht="10" customHeight="1" x14ac:dyDescent="0.2">
      <c r="A3328" s="5" t="s">
        <v>6805</v>
      </c>
      <c r="B3328" s="5" t="s">
        <v>8153</v>
      </c>
      <c r="D3328" s="5" t="s">
        <v>8161</v>
      </c>
      <c r="E3328" s="10" t="s">
        <v>53</v>
      </c>
      <c r="F3328" s="5" t="s">
        <v>8162</v>
      </c>
      <c r="I3328" s="11">
        <v>5</v>
      </c>
      <c r="K3328" s="12"/>
      <c r="O3328" s="12"/>
      <c r="P3328" s="13">
        <v>43000</v>
      </c>
      <c r="Q3328" s="13">
        <v>43000</v>
      </c>
      <c r="S3328" s="13">
        <v>45000</v>
      </c>
      <c r="U3328" s="13">
        <v>45000</v>
      </c>
      <c r="AC3328" s="10" t="s">
        <v>8163</v>
      </c>
      <c r="AD3328" s="5" t="s">
        <v>857</v>
      </c>
      <c r="AE3328" s="5" t="s">
        <v>8157</v>
      </c>
      <c r="AG3328" s="5" t="s">
        <v>8161</v>
      </c>
    </row>
    <row r="3329" spans="1:33" ht="10" customHeight="1" x14ac:dyDescent="0.2">
      <c r="A3329" s="5" t="s">
        <v>6805</v>
      </c>
      <c r="B3329" s="5" t="s">
        <v>8153</v>
      </c>
      <c r="D3329" s="5" t="s">
        <v>8164</v>
      </c>
      <c r="E3329" s="10" t="s">
        <v>53</v>
      </c>
      <c r="F3329" s="5" t="s">
        <v>8162</v>
      </c>
      <c r="I3329" s="11">
        <v>5</v>
      </c>
      <c r="K3329" s="12"/>
      <c r="O3329" s="12"/>
      <c r="P3329" s="13">
        <v>77000</v>
      </c>
      <c r="Q3329" s="13">
        <v>77000</v>
      </c>
      <c r="S3329" s="13">
        <v>107000</v>
      </c>
      <c r="U3329" s="13">
        <v>107000</v>
      </c>
      <c r="AC3329" s="10" t="s">
        <v>8165</v>
      </c>
      <c r="AD3329" s="5" t="s">
        <v>1005</v>
      </c>
      <c r="AE3329" s="5" t="s">
        <v>8157</v>
      </c>
      <c r="AG3329" s="5" t="s">
        <v>8159</v>
      </c>
    </row>
    <row r="3330" spans="1:33" ht="10" customHeight="1" x14ac:dyDescent="0.2">
      <c r="A3330" s="5" t="s">
        <v>6805</v>
      </c>
      <c r="B3330" s="5" t="s">
        <v>8153</v>
      </c>
      <c r="C3330" s="5" t="s">
        <v>8166</v>
      </c>
      <c r="D3330" s="5" t="s">
        <v>8167</v>
      </c>
      <c r="E3330" s="10" t="s">
        <v>53</v>
      </c>
      <c r="F3330" s="5" t="s">
        <v>8164</v>
      </c>
      <c r="I3330" s="11">
        <v>5</v>
      </c>
      <c r="K3330" s="12"/>
      <c r="O3330" s="12"/>
      <c r="P3330" s="13">
        <v>46200</v>
      </c>
      <c r="Q3330" s="13">
        <v>46200</v>
      </c>
      <c r="S3330" s="13">
        <v>76000</v>
      </c>
      <c r="U3330" s="13">
        <v>76000</v>
      </c>
      <c r="AC3330" s="10" t="s">
        <v>8168</v>
      </c>
      <c r="AD3330" s="5" t="s">
        <v>1000</v>
      </c>
      <c r="AE3330" s="5" t="s">
        <v>8157</v>
      </c>
      <c r="AG3330" s="5" t="s">
        <v>8169</v>
      </c>
    </row>
    <row r="3331" spans="1:33" ht="10" customHeight="1" x14ac:dyDescent="0.2">
      <c r="A3331" s="5" t="s">
        <v>6805</v>
      </c>
      <c r="B3331" s="5" t="s">
        <v>8153</v>
      </c>
      <c r="D3331" s="5" t="s">
        <v>8170</v>
      </c>
      <c r="E3331" s="10" t="s">
        <v>53</v>
      </c>
      <c r="F3331" s="5" t="s">
        <v>8164</v>
      </c>
      <c r="I3331" s="11">
        <v>5</v>
      </c>
      <c r="K3331" s="10" t="s">
        <v>6805</v>
      </c>
      <c r="L3331" s="5" t="s">
        <v>6806</v>
      </c>
      <c r="M3331" s="5" t="s">
        <v>8171</v>
      </c>
      <c r="N3331" s="5" t="s">
        <v>8172</v>
      </c>
      <c r="O3331" s="12"/>
      <c r="P3331" s="13">
        <v>17800</v>
      </c>
      <c r="Q3331" s="13">
        <v>17800</v>
      </c>
      <c r="S3331" s="13">
        <v>15000</v>
      </c>
      <c r="U3331" s="13">
        <v>15000</v>
      </c>
      <c r="AC3331" s="10" t="s">
        <v>8173</v>
      </c>
      <c r="AD3331" s="5" t="s">
        <v>1000</v>
      </c>
      <c r="AE3331" s="5" t="s">
        <v>8157</v>
      </c>
      <c r="AG3331" s="5" t="s">
        <v>8174</v>
      </c>
    </row>
    <row r="3332" spans="1:33" ht="10" customHeight="1" x14ac:dyDescent="0.2">
      <c r="A3332" s="5" t="s">
        <v>6805</v>
      </c>
      <c r="B3332" s="5" t="s">
        <v>8153</v>
      </c>
      <c r="D3332" s="5" t="s">
        <v>8175</v>
      </c>
      <c r="E3332" s="10" t="s">
        <v>53</v>
      </c>
      <c r="F3332" s="5" t="s">
        <v>8164</v>
      </c>
      <c r="I3332" s="11">
        <v>5</v>
      </c>
      <c r="K3332" s="12"/>
      <c r="O3332" s="12"/>
      <c r="P3332" s="13">
        <v>13000</v>
      </c>
      <c r="Q3332" s="13">
        <v>13000</v>
      </c>
      <c r="S3332" s="13">
        <v>11000</v>
      </c>
      <c r="U3332" s="13">
        <v>11000</v>
      </c>
      <c r="AC3332" s="10" t="s">
        <v>8176</v>
      </c>
      <c r="AD3332" s="5" t="s">
        <v>1000</v>
      </c>
      <c r="AE3332" s="5" t="s">
        <v>8157</v>
      </c>
      <c r="AG3332" s="5" t="s">
        <v>8175</v>
      </c>
    </row>
    <row r="3333" spans="1:33" ht="10" customHeight="1" x14ac:dyDescent="0.2">
      <c r="A3333" s="5" t="s">
        <v>6805</v>
      </c>
      <c r="B3333" s="5" t="s">
        <v>8153</v>
      </c>
      <c r="D3333" s="5" t="s">
        <v>8177</v>
      </c>
      <c r="E3333" s="10" t="s">
        <v>53</v>
      </c>
      <c r="F3333" s="5" t="s">
        <v>8164</v>
      </c>
      <c r="I3333" s="11">
        <v>5</v>
      </c>
      <c r="K3333" s="10" t="s">
        <v>6805</v>
      </c>
      <c r="L3333" s="5" t="s">
        <v>6806</v>
      </c>
      <c r="M3333" s="5" t="s">
        <v>6807</v>
      </c>
      <c r="N3333" s="5" t="s">
        <v>6808</v>
      </c>
      <c r="O3333" s="12"/>
      <c r="P3333" s="13">
        <v>0</v>
      </c>
      <c r="Q3333" s="13">
        <v>0</v>
      </c>
      <c r="S3333" s="13">
        <v>5000</v>
      </c>
      <c r="U3333" s="13">
        <v>5000</v>
      </c>
      <c r="AC3333" s="10" t="s">
        <v>8178</v>
      </c>
      <c r="AD3333" s="5" t="s">
        <v>1000</v>
      </c>
      <c r="AE3333" s="5" t="s">
        <v>8157</v>
      </c>
      <c r="AG3333" s="5" t="s">
        <v>8179</v>
      </c>
    </row>
    <row r="3334" spans="1:33" ht="10" customHeight="1" x14ac:dyDescent="0.2">
      <c r="A3334" s="5" t="s">
        <v>6805</v>
      </c>
      <c r="B3334" s="5" t="s">
        <v>8153</v>
      </c>
      <c r="C3334" s="5" t="s">
        <v>8180</v>
      </c>
      <c r="D3334" s="5" t="s">
        <v>8181</v>
      </c>
      <c r="E3334" s="12"/>
      <c r="I3334" s="11">
        <v>1</v>
      </c>
      <c r="J3334" s="5" t="s">
        <v>45</v>
      </c>
      <c r="K3334" s="10" t="s">
        <v>6805</v>
      </c>
      <c r="L3334" s="5" t="s">
        <v>6806</v>
      </c>
      <c r="M3334" s="5" t="s">
        <v>6807</v>
      </c>
      <c r="N3334" s="5" t="s">
        <v>6808</v>
      </c>
      <c r="O3334" s="12"/>
      <c r="P3334" s="13">
        <v>17100</v>
      </c>
      <c r="Q3334" s="13">
        <v>17100</v>
      </c>
      <c r="S3334" s="13">
        <v>0</v>
      </c>
      <c r="U3334" s="13">
        <v>0</v>
      </c>
      <c r="AC3334" s="10" t="s">
        <v>8182</v>
      </c>
      <c r="AD3334" s="5" t="s">
        <v>4598</v>
      </c>
      <c r="AE3334" s="5" t="s">
        <v>8180</v>
      </c>
    </row>
    <row r="3335" spans="1:33" ht="10" customHeight="1" x14ac:dyDescent="0.2">
      <c r="A3335" s="5" t="s">
        <v>6805</v>
      </c>
      <c r="B3335" s="5" t="s">
        <v>8153</v>
      </c>
      <c r="C3335" s="5" t="s">
        <v>8183</v>
      </c>
      <c r="D3335" s="5" t="s">
        <v>8184</v>
      </c>
      <c r="E3335" s="12"/>
      <c r="I3335" s="11">
        <v>1</v>
      </c>
      <c r="J3335" s="5" t="s">
        <v>8185</v>
      </c>
      <c r="K3335" s="10" t="s">
        <v>6805</v>
      </c>
      <c r="L3335" s="5" t="s">
        <v>6806</v>
      </c>
      <c r="M3335" s="5" t="s">
        <v>8184</v>
      </c>
      <c r="N3335" s="5" t="s">
        <v>8186</v>
      </c>
      <c r="O3335" s="12"/>
      <c r="P3335" s="13">
        <v>579000</v>
      </c>
      <c r="Q3335" s="13">
        <v>579000</v>
      </c>
      <c r="S3335" s="13">
        <v>812400</v>
      </c>
      <c r="U3335" s="13">
        <v>812400</v>
      </c>
      <c r="AC3335" s="10" t="s">
        <v>8187</v>
      </c>
      <c r="AD3335" s="5" t="s">
        <v>1021</v>
      </c>
      <c r="AE3335" s="5" t="s">
        <v>8183</v>
      </c>
    </row>
    <row r="3336" spans="1:33" ht="10" customHeight="1" x14ac:dyDescent="0.2">
      <c r="A3336" s="5" t="s">
        <v>6805</v>
      </c>
      <c r="B3336" s="5" t="s">
        <v>8153</v>
      </c>
      <c r="C3336" s="5" t="s">
        <v>8188</v>
      </c>
      <c r="D3336" s="5" t="s">
        <v>8189</v>
      </c>
      <c r="E3336" s="12"/>
      <c r="I3336" s="11">
        <v>1</v>
      </c>
      <c r="J3336" s="5" t="s">
        <v>45</v>
      </c>
      <c r="K3336" s="10" t="s">
        <v>6805</v>
      </c>
      <c r="L3336" s="5" t="s">
        <v>6806</v>
      </c>
      <c r="M3336" s="5" t="s">
        <v>8190</v>
      </c>
      <c r="N3336" s="5" t="s">
        <v>8191</v>
      </c>
      <c r="O3336" s="12"/>
      <c r="P3336" s="13">
        <v>220000</v>
      </c>
      <c r="Q3336" s="13">
        <v>220000</v>
      </c>
      <c r="S3336" s="13">
        <v>216000</v>
      </c>
      <c r="U3336" s="13">
        <v>216000</v>
      </c>
      <c r="AC3336" s="10" t="s">
        <v>8192</v>
      </c>
      <c r="AD3336" s="5" t="s">
        <v>1092</v>
      </c>
      <c r="AE3336" s="5" t="s">
        <v>8188</v>
      </c>
    </row>
    <row r="3337" spans="1:33" ht="10" customHeight="1" x14ac:dyDescent="0.2">
      <c r="A3337" s="5" t="s">
        <v>6805</v>
      </c>
      <c r="B3337" s="5" t="s">
        <v>8153</v>
      </c>
      <c r="C3337" s="5" t="s">
        <v>8193</v>
      </c>
      <c r="D3337" s="5" t="s">
        <v>8194</v>
      </c>
      <c r="E3337" s="12"/>
      <c r="I3337" s="11">
        <v>1</v>
      </c>
      <c r="J3337" s="5" t="s">
        <v>45</v>
      </c>
      <c r="K3337" s="12"/>
      <c r="O3337" s="12"/>
      <c r="P3337" s="13">
        <v>6500</v>
      </c>
      <c r="Q3337" s="13">
        <v>6500</v>
      </c>
      <c r="S3337" s="13">
        <v>30900</v>
      </c>
      <c r="U3337" s="13">
        <v>30900</v>
      </c>
      <c r="AC3337" s="10" t="s">
        <v>8195</v>
      </c>
      <c r="AD3337" s="5" t="s">
        <v>1116</v>
      </c>
      <c r="AE3337" s="5" t="s">
        <v>8193</v>
      </c>
    </row>
    <row r="3338" spans="1:33" ht="10" customHeight="1" x14ac:dyDescent="0.2">
      <c r="A3338" s="5" t="s">
        <v>6805</v>
      </c>
      <c r="B3338" s="5" t="s">
        <v>8153</v>
      </c>
      <c r="C3338" s="5" t="s">
        <v>8196</v>
      </c>
      <c r="D3338" s="5" t="s">
        <v>8197</v>
      </c>
      <c r="E3338" s="12"/>
      <c r="I3338" s="11">
        <v>1</v>
      </c>
      <c r="J3338" s="5" t="s">
        <v>8185</v>
      </c>
      <c r="K3338" s="10" t="s">
        <v>6805</v>
      </c>
      <c r="L3338" s="5" t="s">
        <v>6806</v>
      </c>
      <c r="M3338" s="5" t="s">
        <v>8198</v>
      </c>
      <c r="N3338" s="5" t="s">
        <v>8199</v>
      </c>
      <c r="O3338" s="12"/>
      <c r="P3338" s="13">
        <v>0</v>
      </c>
      <c r="Q3338" s="13">
        <v>0</v>
      </c>
      <c r="S3338" s="13">
        <v>130000</v>
      </c>
      <c r="U3338" s="13">
        <v>130000</v>
      </c>
      <c r="AC3338" s="10" t="s">
        <v>8200</v>
      </c>
      <c r="AD3338" s="5" t="s">
        <v>1144</v>
      </c>
      <c r="AE3338" s="5" t="s">
        <v>8196</v>
      </c>
    </row>
    <row r="3339" spans="1:33" ht="10" customHeight="1" x14ac:dyDescent="0.2">
      <c r="A3339" s="5" t="s">
        <v>6805</v>
      </c>
      <c r="B3339" s="5" t="s">
        <v>8153</v>
      </c>
      <c r="C3339" s="5" t="s">
        <v>8201</v>
      </c>
      <c r="D3339" s="5" t="s">
        <v>8202</v>
      </c>
      <c r="E3339" s="12"/>
      <c r="I3339" s="11">
        <v>1</v>
      </c>
      <c r="J3339" s="5" t="s">
        <v>45</v>
      </c>
      <c r="K3339" s="12"/>
      <c r="O3339" s="12"/>
      <c r="P3339" s="13">
        <v>125000</v>
      </c>
      <c r="Q3339" s="13">
        <v>125000</v>
      </c>
      <c r="S3339" s="13">
        <v>0</v>
      </c>
      <c r="U3339" s="13">
        <v>0</v>
      </c>
      <c r="AC3339" s="10" t="s">
        <v>8182</v>
      </c>
      <c r="AD3339" s="5" t="s">
        <v>4598</v>
      </c>
      <c r="AE3339" s="5" t="s">
        <v>8201</v>
      </c>
    </row>
    <row r="3340" spans="1:33" ht="10" customHeight="1" x14ac:dyDescent="0.2">
      <c r="A3340" s="5" t="s">
        <v>6805</v>
      </c>
      <c r="B3340" s="5" t="s">
        <v>8153</v>
      </c>
      <c r="C3340" s="5" t="s">
        <v>8203</v>
      </c>
      <c r="D3340" s="5" t="s">
        <v>8204</v>
      </c>
      <c r="E3340" s="12"/>
      <c r="I3340" s="11">
        <v>1</v>
      </c>
      <c r="J3340" s="5" t="s">
        <v>45</v>
      </c>
      <c r="K3340" s="10" t="s">
        <v>6805</v>
      </c>
      <c r="L3340" s="5" t="s">
        <v>6806</v>
      </c>
      <c r="M3340" s="5" t="s">
        <v>8205</v>
      </c>
      <c r="N3340" s="5" t="s">
        <v>8206</v>
      </c>
      <c r="O3340" s="12"/>
      <c r="P3340" s="13">
        <v>20000</v>
      </c>
      <c r="Q3340" s="13">
        <v>20000</v>
      </c>
      <c r="S3340" s="13">
        <v>0</v>
      </c>
      <c r="U3340" s="13">
        <v>0</v>
      </c>
      <c r="AC3340" s="10" t="s">
        <v>8182</v>
      </c>
      <c r="AD3340" s="5" t="s">
        <v>4598</v>
      </c>
      <c r="AE3340" s="5" t="s">
        <v>8203</v>
      </c>
    </row>
    <row r="3341" spans="1:33" ht="10" customHeight="1" x14ac:dyDescent="0.2">
      <c r="A3341" s="5" t="s">
        <v>6805</v>
      </c>
      <c r="B3341" s="5" t="s">
        <v>8153</v>
      </c>
      <c r="C3341" s="5" t="s">
        <v>8207</v>
      </c>
      <c r="D3341" s="5" t="s">
        <v>8208</v>
      </c>
      <c r="E3341" s="12"/>
      <c r="I3341" s="11">
        <v>1</v>
      </c>
      <c r="J3341" s="5" t="s">
        <v>8185</v>
      </c>
      <c r="K3341" s="10" t="s">
        <v>6805</v>
      </c>
      <c r="L3341" s="5" t="s">
        <v>6806</v>
      </c>
      <c r="M3341" s="5" t="s">
        <v>8209</v>
      </c>
      <c r="N3341" s="5" t="s">
        <v>8210</v>
      </c>
      <c r="O3341" s="12"/>
      <c r="P3341" s="13">
        <v>1000</v>
      </c>
      <c r="Q3341" s="13">
        <v>1000</v>
      </c>
      <c r="S3341" s="13">
        <v>98000</v>
      </c>
      <c r="U3341" s="13">
        <v>98000</v>
      </c>
      <c r="AC3341" s="10" t="s">
        <v>8211</v>
      </c>
      <c r="AD3341" s="5" t="s">
        <v>1166</v>
      </c>
      <c r="AE3341" s="5" t="s">
        <v>8207</v>
      </c>
    </row>
    <row r="3342" spans="1:33" ht="10" customHeight="1" x14ac:dyDescent="0.2">
      <c r="A3342" s="5" t="s">
        <v>6805</v>
      </c>
      <c r="B3342" s="5" t="s">
        <v>8153</v>
      </c>
      <c r="C3342" s="5" t="s">
        <v>8212</v>
      </c>
      <c r="D3342" s="5" t="s">
        <v>8213</v>
      </c>
      <c r="E3342" s="12"/>
      <c r="I3342" s="11">
        <v>6</v>
      </c>
      <c r="K3342" s="12"/>
      <c r="O3342" s="12"/>
      <c r="P3342" s="13">
        <v>5000</v>
      </c>
      <c r="Q3342" s="13">
        <v>5000</v>
      </c>
      <c r="S3342" s="13">
        <v>5000</v>
      </c>
      <c r="U3342" s="13">
        <v>5000</v>
      </c>
      <c r="AC3342" s="10" t="s">
        <v>8214</v>
      </c>
      <c r="AD3342" s="5" t="s">
        <v>1396</v>
      </c>
      <c r="AE3342" s="5" t="s">
        <v>8212</v>
      </c>
    </row>
    <row r="3343" spans="1:33" ht="10" customHeight="1" x14ac:dyDescent="0.2">
      <c r="A3343" s="5" t="s">
        <v>6805</v>
      </c>
      <c r="B3343" s="5" t="s">
        <v>8153</v>
      </c>
      <c r="C3343" s="5" t="s">
        <v>8215</v>
      </c>
      <c r="D3343" s="5" t="s">
        <v>8216</v>
      </c>
      <c r="E3343" s="10" t="s">
        <v>44</v>
      </c>
      <c r="I3343" s="11">
        <v>6</v>
      </c>
      <c r="K3343" s="12"/>
      <c r="O3343" s="12"/>
      <c r="P3343" s="13">
        <v>5600</v>
      </c>
      <c r="Q3343" s="13">
        <v>5600</v>
      </c>
      <c r="S3343" s="13">
        <v>7040</v>
      </c>
      <c r="U3343" s="13">
        <v>7040</v>
      </c>
      <c r="AC3343" s="10" t="s">
        <v>8217</v>
      </c>
      <c r="AD3343" s="5" t="s">
        <v>1417</v>
      </c>
      <c r="AE3343" s="5" t="s">
        <v>8215</v>
      </c>
    </row>
    <row r="3344" spans="1:33" ht="10" customHeight="1" x14ac:dyDescent="0.2">
      <c r="A3344" s="5" t="s">
        <v>6805</v>
      </c>
      <c r="B3344" s="5" t="s">
        <v>8153</v>
      </c>
      <c r="D3344" s="5" t="s">
        <v>8218</v>
      </c>
      <c r="E3344" s="10" t="s">
        <v>53</v>
      </c>
      <c r="F3344" s="5" t="s">
        <v>8219</v>
      </c>
      <c r="I3344" s="11">
        <v>6</v>
      </c>
      <c r="K3344" s="12"/>
      <c r="O3344" s="12"/>
      <c r="P3344" s="13">
        <v>800</v>
      </c>
      <c r="Q3344" s="13">
        <v>800</v>
      </c>
      <c r="S3344" s="13">
        <v>2200</v>
      </c>
      <c r="U3344" s="13">
        <v>2200</v>
      </c>
      <c r="AC3344" s="10" t="s">
        <v>8220</v>
      </c>
      <c r="AD3344" s="5" t="s">
        <v>1417</v>
      </c>
      <c r="AE3344" s="5" t="s">
        <v>8221</v>
      </c>
      <c r="AG3344" s="5" t="s">
        <v>8222</v>
      </c>
    </row>
    <row r="3345" spans="1:33" ht="10" customHeight="1" x14ac:dyDescent="0.2">
      <c r="A3345" s="5" t="s">
        <v>6805</v>
      </c>
      <c r="B3345" s="5" t="s">
        <v>8153</v>
      </c>
      <c r="C3345" s="5" t="s">
        <v>8223</v>
      </c>
      <c r="D3345" s="5" t="s">
        <v>8224</v>
      </c>
      <c r="E3345" s="12"/>
      <c r="I3345" s="11">
        <v>6</v>
      </c>
      <c r="K3345" s="12"/>
      <c r="O3345" s="12"/>
      <c r="P3345" s="13">
        <v>21000</v>
      </c>
      <c r="Q3345" s="13">
        <v>21000</v>
      </c>
      <c r="S3345" s="13">
        <v>22000</v>
      </c>
      <c r="U3345" s="13">
        <v>22000</v>
      </c>
      <c r="AC3345" s="10" t="s">
        <v>8225</v>
      </c>
      <c r="AD3345" s="5" t="s">
        <v>1428</v>
      </c>
      <c r="AE3345" s="5" t="s">
        <v>8223</v>
      </c>
    </row>
    <row r="3346" spans="1:33" ht="10" customHeight="1" x14ac:dyDescent="0.2">
      <c r="A3346" s="5" t="s">
        <v>6805</v>
      </c>
      <c r="B3346" s="5" t="s">
        <v>8153</v>
      </c>
      <c r="D3346" s="5" t="s">
        <v>2164</v>
      </c>
      <c r="E3346" s="12"/>
      <c r="I3346" s="11">
        <v>4</v>
      </c>
      <c r="K3346" s="12"/>
      <c r="O3346" s="12"/>
      <c r="P3346" s="13">
        <v>16000</v>
      </c>
      <c r="Q3346" s="13">
        <v>16000</v>
      </c>
      <c r="S3346" s="13">
        <v>10000</v>
      </c>
      <c r="U3346" s="13">
        <v>10000</v>
      </c>
      <c r="AC3346" s="10" t="s">
        <v>8226</v>
      </c>
      <c r="AD3346" s="5" t="s">
        <v>77</v>
      </c>
      <c r="AE3346" s="5" t="s">
        <v>8221</v>
      </c>
    </row>
    <row r="3347" spans="1:33" ht="10" customHeight="1" x14ac:dyDescent="0.2">
      <c r="A3347" s="5" t="s">
        <v>6805</v>
      </c>
      <c r="B3347" s="5" t="s">
        <v>8153</v>
      </c>
      <c r="D3347" s="5" t="s">
        <v>8227</v>
      </c>
      <c r="E3347" s="12"/>
      <c r="I3347" s="11">
        <v>4</v>
      </c>
      <c r="K3347" s="12"/>
      <c r="O3347" s="12"/>
      <c r="P3347" s="13">
        <v>21500</v>
      </c>
      <c r="Q3347" s="13">
        <v>21500</v>
      </c>
      <c r="S3347" s="13">
        <v>25800</v>
      </c>
      <c r="U3347" s="13">
        <v>25800</v>
      </c>
      <c r="AC3347" s="10" t="s">
        <v>8228</v>
      </c>
      <c r="AD3347" s="5" t="s">
        <v>81</v>
      </c>
      <c r="AE3347" s="5" t="s">
        <v>8221</v>
      </c>
    </row>
    <row r="3348" spans="1:33" ht="10" customHeight="1" x14ac:dyDescent="0.2">
      <c r="A3348" s="5" t="s">
        <v>6805</v>
      </c>
      <c r="B3348" s="5" t="s">
        <v>8153</v>
      </c>
      <c r="D3348" s="5" t="s">
        <v>8229</v>
      </c>
      <c r="E3348" s="12"/>
      <c r="I3348" s="11">
        <v>4</v>
      </c>
      <c r="K3348" s="10" t="s">
        <v>6805</v>
      </c>
      <c r="L3348" s="5" t="s">
        <v>6806</v>
      </c>
      <c r="M3348" s="5" t="s">
        <v>6807</v>
      </c>
      <c r="N3348" s="5" t="s">
        <v>6808</v>
      </c>
      <c r="O3348" s="12"/>
      <c r="P3348" s="13">
        <v>0</v>
      </c>
      <c r="Q3348" s="13">
        <v>0</v>
      </c>
      <c r="S3348" s="13">
        <v>30000</v>
      </c>
      <c r="U3348" s="13">
        <v>30000</v>
      </c>
      <c r="AC3348" s="10" t="s">
        <v>8230</v>
      </c>
      <c r="AD3348" s="5" t="s">
        <v>1451</v>
      </c>
      <c r="AE3348" s="5" t="s">
        <v>8221</v>
      </c>
    </row>
    <row r="3349" spans="1:33" ht="10" customHeight="1" x14ac:dyDescent="0.2">
      <c r="A3349" s="5" t="s">
        <v>6805</v>
      </c>
      <c r="B3349" s="5" t="s">
        <v>8153</v>
      </c>
      <c r="C3349" s="5" t="s">
        <v>8231</v>
      </c>
      <c r="D3349" s="5" t="s">
        <v>8232</v>
      </c>
      <c r="E3349" s="12"/>
      <c r="I3349" s="11">
        <v>7</v>
      </c>
      <c r="K3349" s="12"/>
      <c r="O3349" s="12"/>
      <c r="P3349" s="13">
        <v>130000</v>
      </c>
      <c r="Q3349" s="13">
        <v>130000</v>
      </c>
      <c r="S3349" s="13">
        <v>7500</v>
      </c>
      <c r="U3349" s="13">
        <v>7500</v>
      </c>
      <c r="AC3349" s="10" t="s">
        <v>8233</v>
      </c>
      <c r="AD3349" s="5" t="s">
        <v>1637</v>
      </c>
      <c r="AE3349" s="5" t="s">
        <v>8231</v>
      </c>
    </row>
    <row r="3350" spans="1:33" ht="10" customHeight="1" x14ac:dyDescent="0.2">
      <c r="A3350" s="5" t="s">
        <v>6805</v>
      </c>
      <c r="B3350" s="5" t="s">
        <v>8153</v>
      </c>
      <c r="C3350" s="5" t="s">
        <v>8234</v>
      </c>
      <c r="D3350" s="5" t="s">
        <v>8235</v>
      </c>
      <c r="E3350" s="12"/>
      <c r="I3350" s="11">
        <v>4</v>
      </c>
      <c r="K3350" s="10" t="s">
        <v>6805</v>
      </c>
      <c r="L3350" s="5" t="s">
        <v>6806</v>
      </c>
      <c r="M3350" s="5" t="s">
        <v>6807</v>
      </c>
      <c r="N3350" s="5" t="s">
        <v>6808</v>
      </c>
      <c r="O3350" s="12"/>
      <c r="P3350" s="13">
        <v>500</v>
      </c>
      <c r="Q3350" s="13">
        <v>500</v>
      </c>
      <c r="S3350" s="13">
        <v>1000</v>
      </c>
      <c r="U3350" s="13">
        <v>1000</v>
      </c>
      <c r="AC3350" s="10" t="s">
        <v>8236</v>
      </c>
      <c r="AD3350" s="5" t="s">
        <v>1310</v>
      </c>
      <c r="AE3350" s="5" t="s">
        <v>8234</v>
      </c>
    </row>
    <row r="3351" spans="1:33" ht="10" customHeight="1" x14ac:dyDescent="0.2">
      <c r="A3351" s="5" t="s">
        <v>6805</v>
      </c>
      <c r="B3351" s="5" t="s">
        <v>8237</v>
      </c>
      <c r="D3351" s="5" t="s">
        <v>8238</v>
      </c>
      <c r="E3351" s="10" t="s">
        <v>345</v>
      </c>
      <c r="F3351" s="5" t="s">
        <v>8239</v>
      </c>
      <c r="I3351" s="11">
        <v>2</v>
      </c>
      <c r="K3351" s="12"/>
      <c r="O3351" s="12"/>
      <c r="Q3351" s="13">
        <v>70000</v>
      </c>
      <c r="S3351" s="13">
        <v>400000</v>
      </c>
      <c r="U3351" s="13">
        <v>400000</v>
      </c>
      <c r="AC3351" s="10" t="s">
        <v>8240</v>
      </c>
      <c r="AD3351" s="5" t="s">
        <v>6320</v>
      </c>
      <c r="AE3351" s="5" t="s">
        <v>8241</v>
      </c>
      <c r="AG3351" s="5" t="s">
        <v>8242</v>
      </c>
    </row>
    <row r="3352" spans="1:33" ht="10" customHeight="1" x14ac:dyDescent="0.2">
      <c r="A3352" s="5" t="s">
        <v>6805</v>
      </c>
      <c r="B3352" s="5" t="s">
        <v>8237</v>
      </c>
      <c r="D3352" s="5" t="s">
        <v>8243</v>
      </c>
      <c r="E3352" s="10" t="s">
        <v>184</v>
      </c>
      <c r="I3352" s="11" t="s">
        <v>8244</v>
      </c>
      <c r="K3352" s="12"/>
      <c r="O3352" s="12"/>
      <c r="P3352" s="13">
        <v>3125281</v>
      </c>
      <c r="Q3352" s="13">
        <v>3172908</v>
      </c>
      <c r="S3352" s="13">
        <v>3425335</v>
      </c>
      <c r="U3352" s="13">
        <v>3425335</v>
      </c>
      <c r="AC3352" s="10" t="s">
        <v>8245</v>
      </c>
      <c r="AD3352" s="5" t="s">
        <v>763</v>
      </c>
      <c r="AE3352" s="5" t="s">
        <v>8246</v>
      </c>
    </row>
    <row r="3353" spans="1:33" ht="10" customHeight="1" x14ac:dyDescent="0.2">
      <c r="A3353" s="5" t="s">
        <v>6805</v>
      </c>
      <c r="B3353" s="5" t="s">
        <v>8237</v>
      </c>
      <c r="D3353" s="5" t="s">
        <v>8247</v>
      </c>
      <c r="E3353" s="10" t="s">
        <v>184</v>
      </c>
      <c r="I3353" s="11" t="s">
        <v>8244</v>
      </c>
      <c r="K3353" s="12"/>
      <c r="O3353" s="12"/>
      <c r="P3353" s="13">
        <v>865621</v>
      </c>
      <c r="Q3353" s="13">
        <v>883590</v>
      </c>
      <c r="S3353" s="13">
        <v>969498</v>
      </c>
      <c r="U3353" s="13">
        <v>969498</v>
      </c>
      <c r="AC3353" s="10" t="s">
        <v>8248</v>
      </c>
      <c r="AD3353" s="5" t="s">
        <v>660</v>
      </c>
      <c r="AE3353" s="5" t="s">
        <v>8241</v>
      </c>
    </row>
    <row r="3354" spans="1:33" ht="10" customHeight="1" x14ac:dyDescent="0.2">
      <c r="A3354" s="5" t="s">
        <v>6805</v>
      </c>
      <c r="B3354" s="5" t="s">
        <v>8237</v>
      </c>
      <c r="D3354" s="5" t="s">
        <v>8249</v>
      </c>
      <c r="E3354" s="10" t="s">
        <v>184</v>
      </c>
      <c r="I3354" s="11" t="s">
        <v>8244</v>
      </c>
      <c r="K3354" s="12"/>
      <c r="O3354" s="12"/>
      <c r="S3354" s="13">
        <v>16279</v>
      </c>
      <c r="U3354" s="13">
        <v>16279</v>
      </c>
      <c r="AC3354" s="10" t="s">
        <v>8250</v>
      </c>
      <c r="AD3354" s="5" t="s">
        <v>6428</v>
      </c>
      <c r="AE3354" s="5" t="s">
        <v>8241</v>
      </c>
    </row>
    <row r="3355" spans="1:33" ht="10" customHeight="1" x14ac:dyDescent="0.2">
      <c r="A3355" s="5" t="s">
        <v>6805</v>
      </c>
      <c r="B3355" s="5" t="s">
        <v>8237</v>
      </c>
      <c r="D3355" s="5" t="s">
        <v>8251</v>
      </c>
      <c r="E3355" s="10" t="s">
        <v>184</v>
      </c>
      <c r="I3355" s="11" t="s">
        <v>8244</v>
      </c>
      <c r="K3355" s="10" t="s">
        <v>6805</v>
      </c>
      <c r="L3355" s="5" t="s">
        <v>6806</v>
      </c>
      <c r="M3355" s="5" t="s">
        <v>8190</v>
      </c>
      <c r="N3355" s="5" t="s">
        <v>8191</v>
      </c>
      <c r="O3355" s="12"/>
      <c r="S3355" s="13">
        <v>13447</v>
      </c>
      <c r="U3355" s="13">
        <v>13447</v>
      </c>
      <c r="AC3355" s="10" t="s">
        <v>8252</v>
      </c>
      <c r="AD3355" s="5" t="s">
        <v>349</v>
      </c>
      <c r="AE3355" s="5" t="s">
        <v>8241</v>
      </c>
    </row>
    <row r="3356" spans="1:33" ht="10" customHeight="1" x14ac:dyDescent="0.2">
      <c r="A3356" s="5" t="s">
        <v>6805</v>
      </c>
      <c r="B3356" s="5" t="s">
        <v>8237</v>
      </c>
      <c r="D3356" s="5" t="s">
        <v>8253</v>
      </c>
      <c r="E3356" s="10" t="s">
        <v>184</v>
      </c>
      <c r="I3356" s="11" t="s">
        <v>8244</v>
      </c>
      <c r="K3356" s="10" t="s">
        <v>6805</v>
      </c>
      <c r="L3356" s="5" t="s">
        <v>6806</v>
      </c>
      <c r="M3356" s="5" t="s">
        <v>8184</v>
      </c>
      <c r="N3356" s="5" t="s">
        <v>8186</v>
      </c>
      <c r="O3356" s="12"/>
      <c r="S3356" s="13">
        <v>1027</v>
      </c>
      <c r="U3356" s="13">
        <v>1027</v>
      </c>
      <c r="AC3356" s="10" t="s">
        <v>8254</v>
      </c>
      <c r="AD3356" s="5" t="s">
        <v>375</v>
      </c>
      <c r="AE3356" s="5" t="s">
        <v>8241</v>
      </c>
    </row>
    <row r="3357" spans="1:33" ht="10" customHeight="1" x14ac:dyDescent="0.2">
      <c r="A3357" s="5" t="s">
        <v>6805</v>
      </c>
      <c r="B3357" s="5" t="s">
        <v>8237</v>
      </c>
      <c r="D3357" s="5" t="s">
        <v>8255</v>
      </c>
      <c r="E3357" s="10" t="s">
        <v>184</v>
      </c>
      <c r="I3357" s="11" t="s">
        <v>8244</v>
      </c>
      <c r="K3357" s="12"/>
      <c r="O3357" s="12"/>
      <c r="S3357" s="13">
        <v>4365</v>
      </c>
      <c r="U3357" s="13">
        <v>4365</v>
      </c>
      <c r="AC3357" s="10" t="s">
        <v>8256</v>
      </c>
      <c r="AD3357" s="5" t="s">
        <v>466</v>
      </c>
      <c r="AE3357" s="5" t="s">
        <v>8241</v>
      </c>
    </row>
    <row r="3358" spans="1:33" ht="10" customHeight="1" x14ac:dyDescent="0.2">
      <c r="A3358" s="5" t="s">
        <v>6805</v>
      </c>
      <c r="B3358" s="5" t="s">
        <v>8237</v>
      </c>
      <c r="D3358" s="5" t="s">
        <v>8257</v>
      </c>
      <c r="E3358" s="10" t="s">
        <v>184</v>
      </c>
      <c r="K3358" s="12"/>
      <c r="O3358" s="12"/>
      <c r="S3358" s="13">
        <v>-33502</v>
      </c>
      <c r="U3358" s="13">
        <v>-33502</v>
      </c>
      <c r="AC3358" s="10" t="s">
        <v>8258</v>
      </c>
      <c r="AD3358" s="5" t="s">
        <v>349</v>
      </c>
      <c r="AE3358" s="5" t="s">
        <v>8241</v>
      </c>
    </row>
    <row r="3359" spans="1:33" ht="10" customHeight="1" x14ac:dyDescent="0.2">
      <c r="A3359" s="5" t="s">
        <v>6805</v>
      </c>
      <c r="B3359" s="5" t="s">
        <v>8237</v>
      </c>
      <c r="D3359" s="5" t="s">
        <v>8259</v>
      </c>
      <c r="E3359" s="10" t="s">
        <v>184</v>
      </c>
      <c r="I3359" s="11" t="s">
        <v>8244</v>
      </c>
      <c r="K3359" s="12"/>
      <c r="O3359" s="12"/>
      <c r="S3359" s="13">
        <v>116405</v>
      </c>
      <c r="U3359" s="13">
        <v>116405</v>
      </c>
      <c r="AC3359" s="10" t="s">
        <v>8260</v>
      </c>
      <c r="AD3359" s="5" t="s">
        <v>375</v>
      </c>
      <c r="AE3359" s="5" t="s">
        <v>8241</v>
      </c>
    </row>
    <row r="3360" spans="1:33" ht="10" customHeight="1" x14ac:dyDescent="0.2">
      <c r="A3360" s="5" t="s">
        <v>6805</v>
      </c>
      <c r="B3360" s="5" t="s">
        <v>8237</v>
      </c>
      <c r="D3360" s="5" t="s">
        <v>8261</v>
      </c>
      <c r="E3360" s="10" t="s">
        <v>184</v>
      </c>
      <c r="I3360" s="11">
        <v>1</v>
      </c>
      <c r="K3360" s="12"/>
      <c r="O3360" s="12"/>
      <c r="S3360" s="13">
        <v>7738</v>
      </c>
      <c r="U3360" s="13">
        <v>7738</v>
      </c>
      <c r="AC3360" s="10" t="s">
        <v>8262</v>
      </c>
      <c r="AD3360" s="5" t="s">
        <v>421</v>
      </c>
      <c r="AE3360" s="5" t="s">
        <v>8241</v>
      </c>
    </row>
    <row r="3361" spans="1:31" ht="10" customHeight="1" x14ac:dyDescent="0.2">
      <c r="A3361" s="5" t="s">
        <v>6805</v>
      </c>
      <c r="B3361" s="5" t="s">
        <v>8237</v>
      </c>
      <c r="D3361" s="5" t="s">
        <v>8263</v>
      </c>
      <c r="E3361" s="10" t="s">
        <v>184</v>
      </c>
      <c r="K3361" s="12"/>
      <c r="O3361" s="12"/>
      <c r="S3361" s="11" t="s">
        <v>8264</v>
      </c>
      <c r="U3361" s="11" t="s">
        <v>8264</v>
      </c>
      <c r="AC3361" s="10" t="s">
        <v>8265</v>
      </c>
      <c r="AD3361" s="5" t="s">
        <v>97</v>
      </c>
      <c r="AE3361" s="5" t="s">
        <v>8241</v>
      </c>
    </row>
    <row r="3362" spans="1:31" ht="10" customHeight="1" x14ac:dyDescent="0.2">
      <c r="A3362" s="5" t="s">
        <v>40</v>
      </c>
      <c r="B3362" s="5" t="s">
        <v>41</v>
      </c>
      <c r="C3362" s="5" t="s">
        <v>8266</v>
      </c>
      <c r="D3362" s="5" t="s">
        <v>8267</v>
      </c>
      <c r="E3362" s="10" t="s">
        <v>8268</v>
      </c>
      <c r="K3362" s="12"/>
      <c r="O3362" s="12"/>
      <c r="W3362" s="13">
        <v>1452000</v>
      </c>
      <c r="X3362" s="13">
        <v>0</v>
      </c>
      <c r="Y3362" s="13">
        <v>1452000</v>
      </c>
      <c r="AC3362" s="12"/>
    </row>
    <row r="3363" spans="1:31" ht="10" customHeight="1" x14ac:dyDescent="0.2">
      <c r="A3363" s="5" t="s">
        <v>40</v>
      </c>
      <c r="B3363" s="5" t="s">
        <v>41</v>
      </c>
      <c r="C3363" s="5" t="s">
        <v>8269</v>
      </c>
      <c r="D3363" s="5" t="s">
        <v>8270</v>
      </c>
      <c r="E3363" s="10" t="s">
        <v>8268</v>
      </c>
      <c r="K3363" s="12"/>
      <c r="O3363" s="12"/>
      <c r="W3363" s="13">
        <v>1596881</v>
      </c>
      <c r="X3363" s="13">
        <v>0</v>
      </c>
      <c r="Y3363" s="13">
        <v>1596881</v>
      </c>
      <c r="AC3363" s="12"/>
    </row>
    <row r="3364" spans="1:31" ht="10" customHeight="1" x14ac:dyDescent="0.2">
      <c r="A3364" s="5" t="s">
        <v>8271</v>
      </c>
      <c r="B3364" s="5" t="s">
        <v>41</v>
      </c>
      <c r="C3364" s="5" t="s">
        <v>8272</v>
      </c>
      <c r="D3364" s="5" t="s">
        <v>8273</v>
      </c>
      <c r="E3364" s="10" t="s">
        <v>8268</v>
      </c>
      <c r="K3364" s="12"/>
      <c r="O3364" s="12"/>
      <c r="W3364" s="13">
        <v>434060</v>
      </c>
      <c r="X3364" s="13">
        <v>0</v>
      </c>
      <c r="Y3364" s="13">
        <v>434060</v>
      </c>
      <c r="AC3364" s="12"/>
    </row>
    <row r="3365" spans="1:31" ht="10" customHeight="1" x14ac:dyDescent="0.2">
      <c r="A3365" s="5" t="s">
        <v>4708</v>
      </c>
      <c r="B3365" s="5" t="s">
        <v>4709</v>
      </c>
      <c r="C3365" s="5" t="s">
        <v>8274</v>
      </c>
      <c r="D3365" s="5" t="s">
        <v>8275</v>
      </c>
      <c r="E3365" s="10" t="s">
        <v>8268</v>
      </c>
      <c r="K3365" s="12"/>
      <c r="O3365" s="12"/>
      <c r="W3365" s="13">
        <v>110000</v>
      </c>
      <c r="X3365" s="13">
        <v>1606933</v>
      </c>
      <c r="Y3365" s="13">
        <v>1716933</v>
      </c>
      <c r="AC3365" s="12"/>
    </row>
    <row r="3366" spans="1:31" ht="10" customHeight="1" x14ac:dyDescent="0.2">
      <c r="A3366" s="5" t="s">
        <v>4708</v>
      </c>
      <c r="B3366" s="5" t="s">
        <v>4709</v>
      </c>
      <c r="C3366" s="5" t="s">
        <v>5368</v>
      </c>
      <c r="D3366" s="5" t="s">
        <v>8276</v>
      </c>
      <c r="E3366" s="10" t="s">
        <v>8268</v>
      </c>
      <c r="K3366" s="12"/>
      <c r="O3366" s="12"/>
      <c r="W3366" s="13">
        <v>45943</v>
      </c>
      <c r="X3366" s="13">
        <v>2276340</v>
      </c>
      <c r="Y3366" s="13">
        <v>2322283</v>
      </c>
      <c r="AC3366" s="12"/>
    </row>
    <row r="3367" spans="1:31" ht="10" customHeight="1" x14ac:dyDescent="0.2">
      <c r="A3367" s="5" t="s">
        <v>4708</v>
      </c>
      <c r="B3367" s="5" t="s">
        <v>4709</v>
      </c>
      <c r="C3367" s="5" t="s">
        <v>8277</v>
      </c>
      <c r="D3367" s="5" t="s">
        <v>8278</v>
      </c>
      <c r="E3367" s="10" t="s">
        <v>8268</v>
      </c>
      <c r="K3367" s="12"/>
      <c r="O3367" s="12"/>
      <c r="W3367" s="13">
        <v>5000</v>
      </c>
      <c r="X3367" s="13">
        <v>414657</v>
      </c>
      <c r="Y3367" s="13">
        <v>419657</v>
      </c>
      <c r="AC3367" s="12"/>
    </row>
    <row r="3368" spans="1:31" ht="10" customHeight="1" x14ac:dyDescent="0.2">
      <c r="A3368" s="5" t="s">
        <v>4708</v>
      </c>
      <c r="B3368" s="5" t="s">
        <v>4709</v>
      </c>
      <c r="C3368" s="5" t="s">
        <v>8279</v>
      </c>
      <c r="D3368" s="5" t="s">
        <v>8280</v>
      </c>
      <c r="E3368" s="10" t="s">
        <v>8268</v>
      </c>
      <c r="K3368" s="12"/>
      <c r="O3368" s="12"/>
      <c r="W3368" s="13">
        <v>3871</v>
      </c>
      <c r="X3368" s="13">
        <v>620746</v>
      </c>
      <c r="Y3368" s="13">
        <v>624617</v>
      </c>
      <c r="AC3368" s="12"/>
    </row>
    <row r="3369" spans="1:31" ht="10" customHeight="1" x14ac:dyDescent="0.2">
      <c r="A3369" s="5" t="s">
        <v>4708</v>
      </c>
      <c r="B3369" s="5" t="s">
        <v>4709</v>
      </c>
      <c r="C3369" s="5" t="s">
        <v>8281</v>
      </c>
      <c r="D3369" s="5" t="s">
        <v>8282</v>
      </c>
      <c r="E3369" s="10" t="s">
        <v>8268</v>
      </c>
      <c r="K3369" s="12"/>
      <c r="O3369" s="12"/>
      <c r="W3369" s="13">
        <v>43340</v>
      </c>
      <c r="X3369" s="13">
        <v>1837670</v>
      </c>
      <c r="Y3369" s="13">
        <v>1881010</v>
      </c>
      <c r="AC3369" s="12"/>
    </row>
    <row r="3370" spans="1:31" ht="10" customHeight="1" x14ac:dyDescent="0.2">
      <c r="A3370" s="5" t="s">
        <v>4708</v>
      </c>
      <c r="B3370" s="5" t="s">
        <v>4709</v>
      </c>
      <c r="C3370" s="5" t="s">
        <v>8283</v>
      </c>
      <c r="D3370" s="5" t="s">
        <v>8284</v>
      </c>
      <c r="E3370" s="10" t="s">
        <v>8268</v>
      </c>
      <c r="K3370" s="12"/>
      <c r="O3370" s="12"/>
      <c r="W3370" s="13">
        <v>5000</v>
      </c>
      <c r="X3370" s="13">
        <v>2175422</v>
      </c>
      <c r="Y3370" s="13">
        <v>2180422</v>
      </c>
      <c r="AC3370" s="12"/>
    </row>
    <row r="3371" spans="1:31" ht="10" customHeight="1" x14ac:dyDescent="0.2">
      <c r="A3371" s="5" t="s">
        <v>4708</v>
      </c>
      <c r="B3371" s="5" t="s">
        <v>4709</v>
      </c>
      <c r="C3371" s="5" t="s">
        <v>8285</v>
      </c>
      <c r="D3371" s="5" t="s">
        <v>8286</v>
      </c>
      <c r="E3371" s="10" t="s">
        <v>8268</v>
      </c>
      <c r="K3371" s="12"/>
      <c r="O3371" s="12"/>
      <c r="W3371" s="13">
        <v>875000</v>
      </c>
      <c r="X3371" s="13">
        <v>4062638</v>
      </c>
      <c r="Y3371" s="13">
        <v>4937638</v>
      </c>
      <c r="AC3371" s="12"/>
    </row>
    <row r="3372" spans="1:31" ht="10" customHeight="1" x14ac:dyDescent="0.2">
      <c r="A3372" s="5" t="s">
        <v>4708</v>
      </c>
      <c r="B3372" s="5" t="s">
        <v>4709</v>
      </c>
      <c r="C3372" s="5" t="s">
        <v>8287</v>
      </c>
      <c r="D3372" s="5" t="s">
        <v>8288</v>
      </c>
      <c r="E3372" s="10" t="s">
        <v>8268</v>
      </c>
      <c r="K3372" s="12"/>
      <c r="O3372" s="12"/>
      <c r="W3372" s="13">
        <v>41421</v>
      </c>
      <c r="X3372" s="13">
        <v>6086266</v>
      </c>
      <c r="Y3372" s="13">
        <v>6127687</v>
      </c>
      <c r="AC3372" s="12"/>
    </row>
    <row r="3373" spans="1:31" ht="10" customHeight="1" x14ac:dyDescent="0.2">
      <c r="A3373" s="5" t="s">
        <v>4708</v>
      </c>
      <c r="B3373" s="5" t="s">
        <v>4709</v>
      </c>
      <c r="C3373" s="5" t="s">
        <v>8289</v>
      </c>
      <c r="D3373" s="5" t="s">
        <v>8290</v>
      </c>
      <c r="E3373" s="10" t="s">
        <v>8268</v>
      </c>
      <c r="K3373" s="12"/>
      <c r="O3373" s="12"/>
      <c r="W3373" s="13">
        <v>25000</v>
      </c>
      <c r="X3373" s="13">
        <v>914</v>
      </c>
      <c r="Y3373" s="13">
        <v>25914</v>
      </c>
      <c r="AC3373" s="12"/>
    </row>
    <row r="3374" spans="1:31" ht="10" customHeight="1" x14ac:dyDescent="0.2">
      <c r="A3374" s="5" t="s">
        <v>40</v>
      </c>
      <c r="B3374" s="5" t="s">
        <v>41</v>
      </c>
      <c r="D3374" s="5" t="s">
        <v>8291</v>
      </c>
      <c r="E3374" s="12"/>
      <c r="I3374" s="11">
        <v>1</v>
      </c>
      <c r="J3374" s="5" t="s">
        <v>4590</v>
      </c>
      <c r="K3374" s="10" t="s">
        <v>46</v>
      </c>
      <c r="L3374" s="5" t="s">
        <v>47</v>
      </c>
      <c r="M3374" s="5" t="s">
        <v>115</v>
      </c>
      <c r="O3374" s="12"/>
      <c r="AA3374" s="13">
        <v>93380</v>
      </c>
      <c r="AB3374" s="13">
        <v>93380</v>
      </c>
      <c r="AC3374" s="10" t="s">
        <v>8292</v>
      </c>
    </row>
    <row r="3375" spans="1:31" ht="10" customHeight="1" x14ac:dyDescent="0.2">
      <c r="A3375" s="5" t="s">
        <v>40</v>
      </c>
      <c r="B3375" s="5" t="s">
        <v>41</v>
      </c>
      <c r="D3375" s="5" t="s">
        <v>8293</v>
      </c>
      <c r="E3375" s="12"/>
      <c r="I3375" s="11">
        <v>1</v>
      </c>
      <c r="J3375" s="5" t="s">
        <v>60</v>
      </c>
      <c r="K3375" s="10" t="s">
        <v>46</v>
      </c>
      <c r="L3375" s="5" t="s">
        <v>47</v>
      </c>
      <c r="M3375" s="5" t="s">
        <v>115</v>
      </c>
      <c r="O3375" s="12"/>
      <c r="Z3375" s="13">
        <v>1000000</v>
      </c>
      <c r="AB3375" s="13">
        <v>1000000</v>
      </c>
      <c r="AC3375" s="10" t="s">
        <v>8294</v>
      </c>
    </row>
    <row r="3376" spans="1:31" ht="10" customHeight="1" x14ac:dyDescent="0.2">
      <c r="A3376" s="5" t="s">
        <v>40</v>
      </c>
      <c r="B3376" s="5" t="s">
        <v>41</v>
      </c>
      <c r="D3376" s="5" t="s">
        <v>8295</v>
      </c>
      <c r="E3376" s="12"/>
      <c r="I3376" s="11">
        <v>1</v>
      </c>
      <c r="J3376" s="5" t="s">
        <v>45</v>
      </c>
      <c r="K3376" s="10" t="s">
        <v>46</v>
      </c>
      <c r="L3376" s="5" t="s">
        <v>47</v>
      </c>
      <c r="M3376" s="5" t="s">
        <v>115</v>
      </c>
      <c r="N3376" s="5" t="s">
        <v>140</v>
      </c>
      <c r="O3376" s="12"/>
      <c r="Z3376" s="13">
        <v>1429000</v>
      </c>
      <c r="AB3376" s="13">
        <v>1429000</v>
      </c>
      <c r="AC3376" s="10" t="s">
        <v>8296</v>
      </c>
    </row>
    <row r="3377" spans="1:29" ht="10" customHeight="1" x14ac:dyDescent="0.2">
      <c r="A3377" s="5" t="s">
        <v>40</v>
      </c>
      <c r="B3377" s="5" t="s">
        <v>41</v>
      </c>
      <c r="D3377" s="5" t="s">
        <v>8297</v>
      </c>
      <c r="E3377" s="12"/>
      <c r="I3377" s="11">
        <v>1</v>
      </c>
      <c r="J3377" s="5" t="s">
        <v>45</v>
      </c>
      <c r="K3377" s="10" t="s">
        <v>46</v>
      </c>
      <c r="L3377" s="5" t="s">
        <v>47</v>
      </c>
      <c r="M3377" s="5" t="s">
        <v>4962</v>
      </c>
      <c r="N3377" s="5" t="s">
        <v>4963</v>
      </c>
      <c r="O3377" s="12"/>
      <c r="Z3377" s="13">
        <v>4444000</v>
      </c>
      <c r="AB3377" s="13">
        <v>4444000</v>
      </c>
      <c r="AC3377" s="10" t="s">
        <v>8298</v>
      </c>
    </row>
    <row r="3378" spans="1:29" ht="10" customHeight="1" x14ac:dyDescent="0.2">
      <c r="A3378" s="5" t="s">
        <v>40</v>
      </c>
      <c r="B3378" s="5" t="s">
        <v>41</v>
      </c>
      <c r="D3378" s="5" t="s">
        <v>8299</v>
      </c>
      <c r="E3378" s="12"/>
      <c r="I3378" s="11">
        <v>1</v>
      </c>
      <c r="J3378" s="5" t="s">
        <v>45</v>
      </c>
      <c r="K3378" s="10" t="s">
        <v>46</v>
      </c>
      <c r="L3378" s="5" t="s">
        <v>47</v>
      </c>
      <c r="M3378" s="5" t="s">
        <v>210</v>
      </c>
      <c r="O3378" s="12"/>
      <c r="AA3378" s="13">
        <v>200000</v>
      </c>
      <c r="AB3378" s="13">
        <v>200000</v>
      </c>
      <c r="AC3378" s="10" t="s">
        <v>8300</v>
      </c>
    </row>
    <row r="3379" spans="1:29" ht="10" customHeight="1" x14ac:dyDescent="0.2">
      <c r="A3379" s="5" t="s">
        <v>40</v>
      </c>
      <c r="B3379" s="5" t="s">
        <v>41</v>
      </c>
      <c r="D3379" s="5" t="s">
        <v>8301</v>
      </c>
      <c r="E3379" s="12"/>
      <c r="I3379" s="11">
        <v>1</v>
      </c>
      <c r="J3379" s="5" t="s">
        <v>60</v>
      </c>
      <c r="K3379" s="10" t="s">
        <v>186</v>
      </c>
      <c r="L3379" s="5" t="s">
        <v>47</v>
      </c>
      <c r="M3379" s="5" t="s">
        <v>198</v>
      </c>
      <c r="O3379" s="12"/>
      <c r="AC3379" s="10" t="s">
        <v>8302</v>
      </c>
    </row>
    <row r="3380" spans="1:29" ht="10" customHeight="1" x14ac:dyDescent="0.2">
      <c r="A3380" s="5" t="s">
        <v>40</v>
      </c>
      <c r="B3380" s="5" t="s">
        <v>41</v>
      </c>
      <c r="D3380" s="5" t="s">
        <v>8303</v>
      </c>
      <c r="E3380" s="12"/>
      <c r="I3380" s="11">
        <v>1</v>
      </c>
      <c r="J3380" s="5" t="s">
        <v>45</v>
      </c>
      <c r="K3380" s="10" t="s">
        <v>186</v>
      </c>
      <c r="L3380" s="5" t="s">
        <v>47</v>
      </c>
      <c r="M3380" s="5" t="s">
        <v>198</v>
      </c>
      <c r="O3380" s="12"/>
      <c r="Z3380" s="13">
        <v>450000</v>
      </c>
      <c r="AB3380" s="13">
        <v>450000</v>
      </c>
      <c r="AC3380" s="10" t="s">
        <v>8304</v>
      </c>
    </row>
    <row r="3381" spans="1:29" ht="10" customHeight="1" x14ac:dyDescent="0.2">
      <c r="A3381" s="5" t="s">
        <v>40</v>
      </c>
      <c r="B3381" s="5" t="s">
        <v>41</v>
      </c>
      <c r="D3381" s="5" t="s">
        <v>8305</v>
      </c>
      <c r="E3381" s="12"/>
      <c r="I3381" s="11">
        <v>1</v>
      </c>
      <c r="J3381" s="5" t="s">
        <v>45</v>
      </c>
      <c r="K3381" s="10" t="s">
        <v>186</v>
      </c>
      <c r="L3381" s="5" t="s">
        <v>228</v>
      </c>
      <c r="M3381" s="5" t="s">
        <v>5025</v>
      </c>
      <c r="N3381" s="5" t="s">
        <v>5026</v>
      </c>
      <c r="O3381" s="12"/>
      <c r="AA3381" s="13">
        <v>650000</v>
      </c>
      <c r="AB3381" s="13">
        <v>650000</v>
      </c>
      <c r="AC3381" s="10" t="s">
        <v>8306</v>
      </c>
    </row>
    <row r="3382" spans="1:29" ht="10" customHeight="1" x14ac:dyDescent="0.2">
      <c r="A3382" s="5" t="s">
        <v>40</v>
      </c>
      <c r="B3382" s="5" t="s">
        <v>41</v>
      </c>
      <c r="D3382" s="5" t="s">
        <v>8307</v>
      </c>
      <c r="E3382" s="12"/>
      <c r="I3382" s="11">
        <v>1</v>
      </c>
      <c r="J3382" s="5" t="s">
        <v>6403</v>
      </c>
      <c r="K3382" s="10" t="s">
        <v>46</v>
      </c>
      <c r="L3382" s="5" t="s">
        <v>300</v>
      </c>
      <c r="M3382" s="5" t="s">
        <v>8308</v>
      </c>
      <c r="O3382" s="12"/>
      <c r="AA3382" s="13">
        <v>272500</v>
      </c>
      <c r="AB3382" s="13">
        <v>272500</v>
      </c>
      <c r="AC3382" s="10" t="s">
        <v>8309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F1"/>
  <sheetViews>
    <sheetView showGridLines="0" workbookViewId="0"/>
  </sheetViews>
  <sheetFormatPr baseColWidth="10" defaultColWidth="8.83203125" defaultRowHeight="15" x14ac:dyDescent="0.2"/>
  <sheetData>
    <row r="1" spans="1:6" ht="10" customHeight="1" x14ac:dyDescent="0.2">
      <c r="A1" s="15" t="s">
        <v>8310</v>
      </c>
      <c r="B1" s="16"/>
      <c r="C1" s="16"/>
      <c r="D1" s="16"/>
      <c r="E1" s="16"/>
      <c r="F1" s="16"/>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15" t="s">
        <v>8311</v>
      </c>
      <c r="B1" s="16"/>
      <c r="C1" s="16"/>
    </row>
    <row r="2" spans="1:3" ht="10" customHeight="1" x14ac:dyDescent="0.2">
      <c r="A2" s="17" t="s">
        <v>8312</v>
      </c>
    </row>
    <row r="3" spans="1:3" ht="10" customHeight="1" x14ac:dyDescent="0.2"/>
    <row r="4" spans="1:3" ht="10" customHeight="1" x14ac:dyDescent="0.2">
      <c r="A4" s="6" t="s">
        <v>8313</v>
      </c>
      <c r="B4" s="7"/>
    </row>
    <row r="5" spans="1:3" ht="10" customHeight="1" x14ac:dyDescent="0.2">
      <c r="A5" s="18" t="s">
        <v>8314</v>
      </c>
      <c r="B5" s="18" t="s">
        <v>8315</v>
      </c>
    </row>
    <row r="6" spans="1:3" ht="10" customHeight="1" x14ac:dyDescent="0.2">
      <c r="A6" s="19" t="s">
        <v>8316</v>
      </c>
      <c r="B6" s="20">
        <f>SUMIFS(JB_R,JB_B,1,JB_S,"",JB_R,"&lt;&gt;")+SUMIFS(JB_N,JB_B,1,JB_S,"",JB_R,"",JB_N,"&lt;&gt;")+SUMIFS(JB_L,JB_B,1,JB_S,"",JB_R,"",JB_N,"")+SUMIFS(JB_R,JB_B,1,JB_S,"[PARENT]",JB_R,"&lt;&gt;")+SUMIFS(JB_N,JB_B,1,JB_S,"[PARENT]",JB_R,"",JB_N,"&lt;&gt;")+SUMIFS(JB_L,JB_B,1,JB_S,"[PARENT]",JB_R,"",JB_N,"")</f>
        <v>46283564</v>
      </c>
    </row>
    <row r="7" spans="1:3" ht="10" customHeight="1" x14ac:dyDescent="0.2">
      <c r="A7" s="19" t="s">
        <v>8317</v>
      </c>
      <c r="B7" s="20">
        <f>SUMIFS(JB_R,JB_B,2,JB_S,"",JB_R,"&lt;&gt;")+SUMIFS(JB_N,JB_B,2,JB_S,"",JB_R,"",JB_N,"&lt;&gt;")+SUMIFS(JB_L,JB_B,2,JB_S,"",JB_R,"",JB_N,"")+SUMIFS(JB_R,JB_B,2,JB_S,"[PARENT]",JB_R,"&lt;&gt;")+SUMIFS(JB_N,JB_B,2,JB_S,"[PARENT]",JB_R,"",JB_N,"&lt;&gt;")+SUMIFS(JB_L,JB_B,2,JB_S,"[PARENT]",JB_R,"",JB_N,"")</f>
        <v>38741703</v>
      </c>
    </row>
    <row r="8" spans="1:3" ht="10" customHeight="1" x14ac:dyDescent="0.2">
      <c r="A8" s="19" t="s">
        <v>8318</v>
      </c>
      <c r="B8" s="20">
        <f>SUMIFS(JB_R,JB_B,3,JB_S,"",JB_R,"&lt;&gt;")+SUMIFS(JB_N,JB_B,3,JB_S,"",JB_R,"",JB_N,"&lt;&gt;")+SUMIFS(JB_L,JB_B,3,JB_S,"",JB_R,"",JB_N,"")+SUMIFS(JB_R,JB_B,3,JB_S,"[PARENT]",JB_R,"&lt;&gt;")+SUMIFS(JB_N,JB_B,3,JB_S,"[PARENT]",JB_R,"",JB_N,"&lt;&gt;")+SUMIFS(JB_L,JB_B,3,JB_S,"[PARENT]",JB_R,"",JB_N,"")</f>
        <v>343555</v>
      </c>
    </row>
    <row r="9" spans="1:3" ht="10" customHeight="1" x14ac:dyDescent="0.2">
      <c r="A9" s="19" t="s">
        <v>8319</v>
      </c>
      <c r="B9" s="20">
        <f>SUMIFS(JB_R,JB_B,4,JB_S,"",JB_R,"&lt;&gt;")+SUMIFS(JB_N,JB_B,4,JB_S,"",JB_R,"",JB_N,"&lt;&gt;")+SUMIFS(JB_L,JB_B,4,JB_S,"",JB_R,"",JB_N,"")+SUMIFS(JB_R,JB_B,4,JB_S,"[PARENT]",JB_R,"&lt;&gt;")+SUMIFS(JB_N,JB_B,4,JB_S,"[PARENT]",JB_R,"",JB_N,"&lt;&gt;")+SUMIFS(JB_L,JB_B,4,JB_S,"[PARENT]",JB_R,"",JB_N,"")</f>
        <v>21357621</v>
      </c>
    </row>
    <row r="10" spans="1:3" ht="10" customHeight="1" x14ac:dyDescent="0.2">
      <c r="A10" s="19" t="s">
        <v>8320</v>
      </c>
      <c r="B10" s="20">
        <f>SUMIFS(JB_R,JB_B,5,JB_S,"",JB_R,"&lt;&gt;")+SUMIFS(JB_N,JB_B,5,JB_S,"",JB_R,"",JB_N,"&lt;&gt;")+SUMIFS(JB_L,JB_B,5,JB_S,"",JB_R,"",JB_N,"")+SUMIFS(JB_R,JB_B,5,JB_S,"[PARENT]",JB_R,"&lt;&gt;")+SUMIFS(JB_N,JB_B,5,JB_S,"[PARENT]",JB_R,"",JB_N,"&lt;&gt;")+SUMIFS(JB_L,JB_B,5,JB_S,"[PARENT]",JB_R,"",JB_N,"")</f>
        <v>1787677</v>
      </c>
    </row>
    <row r="11" spans="1:3" ht="10" customHeight="1" x14ac:dyDescent="0.2">
      <c r="A11" s="19" t="s">
        <v>8321</v>
      </c>
      <c r="B11" s="20">
        <f>SUMIFS(JB_R,JB_B,6,JB_S,"",JB_R,"&lt;&gt;")+SUMIFS(JB_N,JB_B,6,JB_S,"",JB_R,"",JB_N,"&lt;&gt;")+SUMIFS(JB_L,JB_B,6,JB_S,"",JB_R,"",JB_N,"")+SUMIFS(JB_R,JB_B,6,JB_S,"[PARENT]",JB_R,"&lt;&gt;")+SUMIFS(JB_N,JB_B,6,JB_S,"[PARENT]",JB_R,"",JB_N,"&lt;&gt;")+SUMIFS(JB_L,JB_B,6,JB_S,"[PARENT]",JB_R,"",JB_N,"")</f>
        <v>95431505</v>
      </c>
    </row>
    <row r="12" spans="1:3" ht="10" customHeight="1" x14ac:dyDescent="0.2">
      <c r="A12" s="19" t="s">
        <v>8322</v>
      </c>
      <c r="B12" s="20">
        <f>SUMIFS(JB_R,JB_B,7,JB_S,"",JB_R,"&lt;&gt;")+SUMIFS(JB_N,JB_B,7,JB_S,"",JB_R,"",JB_N,"&lt;&gt;")+SUMIFS(JB_L,JB_B,7,JB_S,"",JB_R,"",JB_N,"")+SUMIFS(JB_R,JB_B,7,JB_S,"[PARENT]",JB_R,"&lt;&gt;")+SUMIFS(JB_N,JB_B,7,JB_S,"[PARENT]",JB_R,"",JB_N,"&lt;&gt;")+SUMIFS(JB_L,JB_B,7,JB_S,"[PARENT]",JB_R,"",JB_N,"")</f>
        <v>9664371</v>
      </c>
    </row>
    <row r="13" spans="1:3" ht="10" customHeight="1" x14ac:dyDescent="0.2">
      <c r="A13" s="21" t="s">
        <v>8323</v>
      </c>
      <c r="B13" s="22">
        <f>SUM(B6:B12)</f>
        <v>213609996</v>
      </c>
    </row>
    <row r="14" spans="1:3" ht="10" customHeight="1" x14ac:dyDescent="0.2"/>
    <row r="15" spans="1:3" ht="10" customHeight="1" x14ac:dyDescent="0.2"/>
    <row r="16" spans="1:3" ht="10" customHeight="1" x14ac:dyDescent="0.2">
      <c r="A16" s="6" t="s">
        <v>8324</v>
      </c>
      <c r="B16" s="7"/>
      <c r="C16" s="7"/>
    </row>
    <row r="17" spans="1:3" ht="10" customHeight="1" x14ac:dyDescent="0.2">
      <c r="A17" s="18" t="s">
        <v>8325</v>
      </c>
      <c r="B17" s="18" t="s">
        <v>8315</v>
      </c>
      <c r="C17" s="18" t="s">
        <v>8326</v>
      </c>
    </row>
    <row r="18" spans="1:3" ht="10" customHeight="1" x14ac:dyDescent="0.2">
      <c r="A18" s="19" t="s">
        <v>47</v>
      </c>
      <c r="B18" s="20">
        <f>SUMIFS(JB_R,JB_V,"Combatant Ships",JB_S,"",JB_R,"&lt;&gt;")+SUMIFS(JB_N,JB_V,"Combatant Ships",JB_S,"",JB_R,"",JB_N,"&lt;&gt;")+SUMIFS(JB_L,JB_V,"Combatant Ships",JB_S,"",JB_R,"",JB_N,"")+SUMIFS(JB_R,JB_V,"Combatant Ships",JB_S,"[PARENT]",JB_R,"&lt;&gt;")+SUMIFS(JB_N,JB_V,"Combatant Ships",JB_S,"[PARENT]",JB_R,"",JB_N,"&lt;&gt;")+SUMIFS(JB_L,JB_V,"Combatant Ships",JB_S,"[PARENT]",JB_R,"",JB_N,"")</f>
        <v>62392258</v>
      </c>
      <c r="C18" s="17" t="s">
        <v>8327</v>
      </c>
    </row>
    <row r="19" spans="1:3" ht="10" customHeight="1" x14ac:dyDescent="0.2">
      <c r="A19" s="19" t="s">
        <v>228</v>
      </c>
      <c r="B19" s="20">
        <f>SUMIFS(JB_R,JB_V,"Auxiliary Ships",JB_S,"",JB_R,"&lt;&gt;")+SUMIFS(JB_N,JB_V,"Auxiliary Ships",JB_S,"",JB_R,"",JB_N,"&lt;&gt;")+SUMIFS(JB_L,JB_V,"Auxiliary Ships",JB_S,"",JB_R,"",JB_N,"")+SUMIFS(JB_R,JB_V,"Auxiliary Ships",JB_S,"[PARENT]",JB_R,"&lt;&gt;")+SUMIFS(JB_N,JB_V,"Auxiliary Ships",JB_S,"[PARENT]",JB_R,"",JB_N,"&lt;&gt;")+SUMIFS(JB_L,JB_V,"Auxiliary Ships",JB_S,"[PARENT]",JB_R,"",JB_N,"")</f>
        <v>890000</v>
      </c>
      <c r="C19" s="17" t="s">
        <v>8327</v>
      </c>
    </row>
    <row r="20" spans="1:3" ht="10" customHeight="1" x14ac:dyDescent="0.2">
      <c r="A20" s="19" t="s">
        <v>6806</v>
      </c>
      <c r="B20" s="20">
        <f>SUMIFS(JB_R,JB_V,"Cutters",JB_S,"",JB_R,"&lt;&gt;")+SUMIFS(JB_N,JB_V,"Cutters",JB_S,"",JB_R,"",JB_N,"&lt;&gt;")+SUMIFS(JB_L,JB_V,"Cutters",JB_S,"",JB_R,"",JB_N,"")+SUMIFS(JB_R,JB_V,"Cutters",JB_S,"[PARENT]",JB_R,"&lt;&gt;")+SUMIFS(JB_N,JB_V,"Cutters",JB_S,"[PARENT]",JB_R,"",JB_N,"&lt;&gt;")+SUMIFS(JB_L,JB_V,"Cutters",JB_S,"[PARENT]",JB_R,"",JB_N,"")</f>
        <v>1287400</v>
      </c>
      <c r="C20" s="17" t="s">
        <v>8327</v>
      </c>
    </row>
    <row r="21" spans="1:3" ht="10" customHeight="1" x14ac:dyDescent="0.2">
      <c r="A21" s="19" t="s">
        <v>4671</v>
      </c>
      <c r="B21" s="20">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1534948</v>
      </c>
      <c r="C21" s="17" t="s">
        <v>8327</v>
      </c>
    </row>
    <row r="22" spans="1:3" ht="10" customHeight="1" x14ac:dyDescent="0.2">
      <c r="A22" s="19" t="s">
        <v>235</v>
      </c>
      <c r="B22" s="20">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921390</v>
      </c>
      <c r="C22" s="17" t="s">
        <v>8328</v>
      </c>
    </row>
    <row r="23" spans="1:3" ht="10" customHeight="1" x14ac:dyDescent="0.2">
      <c r="A23" s="19" t="s">
        <v>300</v>
      </c>
      <c r="B23" s="20">
        <f>SUMIFS(JB_R,JB_V,"Support Crafts",JB_S,"",JB_R,"&lt;&gt;")+SUMIFS(JB_N,JB_V,"Support Crafts",JB_S,"",JB_R,"",JB_N,"&lt;&gt;")+SUMIFS(JB_L,JB_V,"Support Crafts",JB_S,"",JB_R,"",JB_N,"")+SUMIFS(JB_R,JB_V,"Support Crafts",JB_S,"[PARENT]",JB_R,"&lt;&gt;")+SUMIFS(JB_N,JB_V,"Support Crafts",JB_S,"[PARENT]",JB_R,"",JB_N,"&lt;&gt;")+SUMIFS(JB_L,JB_V,"Support Crafts",JB_S,"[PARENT]",JB_R,"",JB_N,"")</f>
        <v>79000</v>
      </c>
      <c r="C23" s="17" t="s">
        <v>8329</v>
      </c>
    </row>
    <row r="24" spans="1:3" ht="10" customHeight="1" x14ac:dyDescent="0.2">
      <c r="A24" s="19" t="s">
        <v>8194</v>
      </c>
      <c r="B24" s="20">
        <f>SUMIFS(JB_R,JB_V,"Boats",JB_S,"",JB_R,"&lt;&gt;")+SUMIFS(JB_N,JB_V,"Boats",JB_S,"",JB_R,"",JB_N,"&lt;&gt;")+SUMIFS(JB_L,JB_V,"Boats",JB_S,"",JB_R,"",JB_N,"")+SUMIFS(JB_R,JB_V,"Boats",JB_S,"[PARENT]",JB_R,"&lt;&gt;")+SUMIFS(JB_N,JB_V,"Boats",JB_S,"[PARENT]",JB_R,"",JB_N,"&lt;&gt;")+SUMIFS(JB_L,JB_V,"Boats",JB_S,"[PARENT]",JB_R,"",JB_N,"")</f>
        <v>0</v>
      </c>
      <c r="C24" s="17" t="s">
        <v>8330</v>
      </c>
    </row>
    <row r="25" spans="1:3" ht="10" customHeight="1" x14ac:dyDescent="0.2">
      <c r="A25" s="19" t="s">
        <v>8331</v>
      </c>
      <c r="B25" s="20">
        <f>SUMIFS(JB_R,JB_V,"",JB_S,"",JB_R,"&lt;&gt;")+SUMIFS(JB_N,JB_V,"",JB_S,"",JB_R,"",JB_N,"&lt;&gt;")+SUMIFS(JB_L,JB_V,"",JB_S,"",JB_R,"",JB_N,"")+SUMIFS(JB_R,JB_V,"",JB_S,"[PARENT]",JB_R,"&lt;&gt;")+SUMIFS(JB_N,JB_V,"",JB_S,"[PARENT]",JB_R,"",JB_N,"&lt;&gt;")+SUMIFS(JB_L,JB_V,"",JB_S,"[PARENT]",JB_R,"",JB_N,"")</f>
        <v>166233023</v>
      </c>
      <c r="C25" s="17" t="s">
        <v>8332</v>
      </c>
    </row>
    <row r="26" spans="1:3" ht="10" customHeight="1" x14ac:dyDescent="0.2">
      <c r="A26" s="21" t="s">
        <v>8323</v>
      </c>
      <c r="B26" s="22">
        <f>SUM(B18:B25)</f>
        <v>233338019</v>
      </c>
      <c r="C26" s="23"/>
    </row>
    <row r="27" spans="1:3" ht="10" customHeight="1" x14ac:dyDescent="0.2">
      <c r="A27" s="24" t="s">
        <v>8333</v>
      </c>
      <c r="B27" s="25">
        <f>B18+B19+B20+B21</f>
        <v>66104606</v>
      </c>
    </row>
    <row r="28" spans="1:3" ht="10" customHeight="1" x14ac:dyDescent="0.2"/>
    <row r="29" spans="1:3" ht="10" customHeight="1" x14ac:dyDescent="0.2"/>
    <row r="30" spans="1:3" ht="10" customHeight="1" x14ac:dyDescent="0.2">
      <c r="A30" s="6" t="s">
        <v>8334</v>
      </c>
      <c r="B30" s="7"/>
    </row>
    <row r="31" spans="1:3" ht="10" customHeight="1" x14ac:dyDescent="0.2">
      <c r="A31" s="18" t="s">
        <v>7</v>
      </c>
      <c r="B31" s="18" t="s">
        <v>8315</v>
      </c>
    </row>
    <row r="32" spans="1:3" ht="10" customHeight="1" x14ac:dyDescent="0.2">
      <c r="A32" s="19" t="s">
        <v>4313</v>
      </c>
      <c r="B32" s="20">
        <f>SUMIFS(JB_R,JB_A,"NWCF",JB_S,"",JB_R,"&lt;&gt;")+SUMIFS(JB_N,JB_A,"NWCF",JB_S,"",JB_R,"",JB_N,"&lt;&gt;")+SUMIFS(JB_L,JB_A,"NWCF",JB_S,"",JB_R,"",JB_N,"")+SUMIFS(JB_R,JB_A,"NWCF",JB_S,"[PARENT]",JB_R,"&lt;&gt;")+SUMIFS(JB_N,JB_A,"NWCF",JB_S,"[PARENT]",JB_R,"",JB_N,"&lt;&gt;")+SUMIFS(JB_L,JB_A,"NWCF",JB_S,"[PARENT]",JB_R,"",JB_N,"")</f>
        <v>88425320</v>
      </c>
    </row>
    <row r="33" spans="1:2" ht="10" customHeight="1" x14ac:dyDescent="0.2">
      <c r="A33" s="19" t="s">
        <v>5444</v>
      </c>
      <c r="B33" s="20">
        <f>SUMIFS(JB_R,JB_A,"OMN_Vol2",JB_S,"",JB_R,"&lt;&gt;")+SUMIFS(JB_N,JB_A,"OMN_Vol2",JB_S,"",JB_R,"",JB_N,"&lt;&gt;")+SUMIFS(JB_L,JB_A,"OMN_Vol2",JB_S,"",JB_R,"",JB_N,"")+SUMIFS(JB_R,JB_A,"OMN_Vol2",JB_S,"[PARENT]",JB_R,"&lt;&gt;")+SUMIFS(JB_N,JB_A,"OMN_Vol2",JB_S,"[PARENT]",JB_R,"",JB_N,"&lt;&gt;")+SUMIFS(JB_L,JB_A,"OMN_Vol2",JB_S,"[PARENT]",JB_R,"",JB_N,"")</f>
        <v>50672783</v>
      </c>
    </row>
    <row r="34" spans="1:2" ht="10" customHeight="1" x14ac:dyDescent="0.2">
      <c r="A34" s="19" t="s">
        <v>40</v>
      </c>
      <c r="B34" s="20">
        <f>SUMIFS(JB_R,JB_A,"SCN",JB_S,"",JB_R,"&lt;&gt;")+SUMIFS(JB_N,JB_A,"SCN",JB_S,"",JB_R,"",JB_N,"&lt;&gt;")+SUMIFS(JB_L,JB_A,"SCN",JB_S,"",JB_R,"",JB_N,"")+SUMIFS(JB_R,JB_A,"SCN",JB_S,"[PARENT]",JB_R,"&lt;&gt;")+SUMIFS(JB_N,JB_A,"SCN",JB_S,"[PARENT]",JB_R,"",JB_N,"&lt;&gt;")+SUMIFS(JB_L,JB_A,"SCN",JB_S,"[PARENT]",JB_R,"",JB_N,"")</f>
        <v>43785401</v>
      </c>
    </row>
    <row r="35" spans="1:2" ht="10" customHeight="1" x14ac:dyDescent="0.2">
      <c r="A35" s="19" t="s">
        <v>4708</v>
      </c>
      <c r="B35" s="20">
        <f>SUMIFS(JB_R,JB_A,"OMN",JB_S,"",JB_R,"&lt;&gt;")+SUMIFS(JB_N,JB_A,"OMN",JB_S,"",JB_R,"",JB_N,"&lt;&gt;")+SUMIFS(JB_L,JB_A,"OMN",JB_S,"",JB_R,"",JB_N,"")+SUMIFS(JB_R,JB_A,"OMN",JB_S,"[PARENT]",JB_R,"&lt;&gt;")+SUMIFS(JB_N,JB_A,"OMN",JB_S,"[PARENT]",JB_R,"",JB_N,"&lt;&gt;")+SUMIFS(JB_L,JB_A,"OMN",JB_S,"[PARENT]",JB_R,"",JB_N,"")</f>
        <v>23412913</v>
      </c>
    </row>
    <row r="36" spans="1:2" ht="10" customHeight="1" x14ac:dyDescent="0.2">
      <c r="A36" s="19" t="s">
        <v>7931</v>
      </c>
      <c r="B36" s="20">
        <f>SUMIFS(JB_R,JB_A,"WPN",JB_S,"",JB_R,"&lt;&gt;")+SUMIFS(JB_N,JB_A,"WPN",JB_S,"",JB_R,"",JB_N,"&lt;&gt;")+SUMIFS(JB_L,JB_A,"WPN",JB_S,"",JB_R,"",JB_N,"")+SUMIFS(JB_R,JB_A,"WPN",JB_S,"[PARENT]",JB_R,"&lt;&gt;")+SUMIFS(JB_N,JB_A,"WPN",JB_S,"[PARENT]",JB_R,"",JB_N,"&lt;&gt;")+SUMIFS(JB_L,JB_A,"WPN",JB_S,"[PARENT]",JB_R,"",JB_N,"")</f>
        <v>6957915</v>
      </c>
    </row>
    <row r="37" spans="1:2" ht="10" customHeight="1" x14ac:dyDescent="0.2">
      <c r="A37" s="19" t="s">
        <v>6254</v>
      </c>
      <c r="B37" s="20">
        <f>SUMIFS(JB_R,JB_A,"OPN_BA1",JB_S,"",JB_R,"&lt;&gt;")+SUMIFS(JB_N,JB_A,"OPN_BA1",JB_S,"",JB_R,"",JB_N,"&lt;&gt;")+SUMIFS(JB_L,JB_A,"OPN_BA1",JB_S,"",JB_R,"",JB_N,"")+SUMIFS(JB_R,JB_A,"OPN_BA1",JB_S,"[PARENT]",JB_R,"&lt;&gt;")+SUMIFS(JB_N,JB_A,"OPN_BA1",JB_S,"[PARENT]",JB_R,"",JB_N,"&lt;&gt;")+SUMIFS(JB_L,JB_A,"OPN_BA1",JB_S,"[PARENT]",JB_R,"",JB_N,"")</f>
        <v>7487390</v>
      </c>
    </row>
    <row r="38" spans="1:2" ht="10" customHeight="1" x14ac:dyDescent="0.2">
      <c r="A38" s="19" t="s">
        <v>6457</v>
      </c>
      <c r="B38" s="20">
        <f>SUMIFS(JB_R,JB_A,"OPN_BA2",JB_S,"",JB_R,"&lt;&gt;")+SUMIFS(JB_N,JB_A,"OPN_BA2",JB_S,"",JB_R,"",JB_N,"&lt;&gt;")+SUMIFS(JB_L,JB_A,"OPN_BA2",JB_S,"",JB_R,"",JB_N,"")+SUMIFS(JB_R,JB_A,"OPN_BA2",JB_S,"[PARENT]",JB_R,"&lt;&gt;")+SUMIFS(JB_N,JB_A,"OPN_BA2",JB_S,"[PARENT]",JB_R,"",JB_N,"&lt;&gt;")+SUMIFS(JB_L,JB_A,"OPN_BA2",JB_S,"[PARENT]",JB_R,"",JB_N,"")</f>
        <v>4519845</v>
      </c>
    </row>
    <row r="39" spans="1:2" ht="10" customHeight="1" x14ac:dyDescent="0.2">
      <c r="A39" s="19" t="s">
        <v>7786</v>
      </c>
      <c r="B39" s="20">
        <f>SUMIFS(JB_R,JB_A,"OPN_BA5-8",JB_S,"",JB_R,"&lt;&gt;")+SUMIFS(JB_N,JB_A,"OPN_BA5-8",JB_S,"",JB_R,"",JB_N,"&lt;&gt;")+SUMIFS(JB_L,JB_A,"OPN_BA5-8",JB_S,"",JB_R,"",JB_N,"")+SUMIFS(JB_R,JB_A,"OPN_BA5-8",JB_S,"[PARENT]",JB_R,"&lt;&gt;")+SUMIFS(JB_N,JB_A,"OPN_BA5-8",JB_S,"[PARENT]",JB_R,"",JB_N,"&lt;&gt;")+SUMIFS(JB_L,JB_A,"OPN_BA5-8",JB_S,"[PARENT]",JB_R,"",JB_N,"")</f>
        <v>1863708</v>
      </c>
    </row>
    <row r="40" spans="1:2" ht="10" customHeight="1" x14ac:dyDescent="0.2">
      <c r="A40" s="19" t="s">
        <v>7149</v>
      </c>
      <c r="B40" s="20">
        <f>SUMIFS(JB_R,JB_A,"OPN_BA4",JB_S,"",JB_R,"&lt;&gt;")+SUMIFS(JB_N,JB_A,"OPN_BA4",JB_S,"",JB_R,"",JB_N,"&lt;&gt;")+SUMIFS(JB_L,JB_A,"OPN_BA4",JB_S,"",JB_R,"",JB_N,"")+SUMIFS(JB_R,JB_A,"OPN_BA4",JB_S,"[PARENT]",JB_R,"&lt;&gt;")+SUMIFS(JB_N,JB_A,"OPN_BA4",JB_S,"[PARENT]",JB_R,"",JB_N,"&lt;&gt;")+SUMIFS(JB_L,JB_A,"OPN_BA4",JB_S,"[PARENT]",JB_R,"",JB_N,"")</f>
        <v>1574572</v>
      </c>
    </row>
    <row r="41" spans="1:2" ht="10" customHeight="1" x14ac:dyDescent="0.2">
      <c r="A41" s="19" t="s">
        <v>6805</v>
      </c>
      <c r="B41" s="20">
        <f>SUMIFS(JB_R,JB_A,"USCG",JB_S,"",JB_R,"&lt;&gt;")+SUMIFS(JB_N,JB_A,"USCG",JB_S,"",JB_R,"",JB_N,"&lt;&gt;")+SUMIFS(JB_L,JB_A,"USCG",JB_S,"",JB_R,"",JB_N,"")+SUMIFS(JB_R,JB_A,"USCG",JB_S,"[PARENT]",JB_R,"&lt;&gt;")+SUMIFS(JB_N,JB_A,"USCG",JB_S,"[PARENT]",JB_R,"",JB_N,"&lt;&gt;")+SUMIFS(JB_L,JB_A,"USCG",JB_S,"[PARENT]",JB_R,"",JB_N,"")</f>
        <v>2986940</v>
      </c>
    </row>
    <row r="42" spans="1:2" ht="10" customHeight="1" x14ac:dyDescent="0.2">
      <c r="A42" s="19" t="s">
        <v>6832</v>
      </c>
      <c r="B42" s="20">
        <f>SUMIFS(JB_R,JB_A,"OPN_BA3",JB_S,"",JB_R,"&lt;&gt;")+SUMIFS(JB_N,JB_A,"OPN_BA3",JB_S,"",JB_R,"",JB_N,"&lt;&gt;")+SUMIFS(JB_L,JB_A,"OPN_BA3",JB_S,"",JB_R,"",JB_N,"")+SUMIFS(JB_R,JB_A,"OPN_BA3",JB_S,"[PARENT]",JB_R,"&lt;&gt;")+SUMIFS(JB_N,JB_A,"OPN_BA3",JB_S,"[PARENT]",JB_R,"",JB_N,"&lt;&gt;")+SUMIFS(JB_L,JB_A,"OPN_BA3",JB_S,"[PARENT]",JB_R,"",JB_N,"")</f>
        <v>1651232</v>
      </c>
    </row>
    <row r="43" spans="1:2" ht="10" customHeight="1" x14ac:dyDescent="0.2">
      <c r="A43" s="21" t="s">
        <v>8323</v>
      </c>
      <c r="B43" s="22">
        <f>SUM(B32:B42)</f>
        <v>233338019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R75"/>
  <sheetViews>
    <sheetView showGridLines="0" workbookViewId="0"/>
  </sheetViews>
  <sheetFormatPr baseColWidth="10" defaultColWidth="8.83203125" defaultRowHeight="15" x14ac:dyDescent="0.2"/>
  <cols>
    <col min="1" max="1" width="30" customWidth="1"/>
    <col min="2" max="2" width="8" customWidth="1"/>
    <col min="3" max="3" width="12" customWidth="1"/>
    <col min="4" max="4" width="10" customWidth="1"/>
    <col min="5" max="17" width="12" customWidth="1"/>
  </cols>
  <sheetData>
    <row r="1" spans="1:18" ht="10" customHeight="1" x14ac:dyDescent="0.2">
      <c r="A1" s="15" t="s">
        <v>8335</v>
      </c>
      <c r="B1" s="16"/>
      <c r="C1" s="16"/>
      <c r="D1" s="16"/>
      <c r="E1" s="16"/>
      <c r="F1" s="16"/>
      <c r="G1" s="16"/>
      <c r="H1" s="16"/>
      <c r="I1" s="16"/>
      <c r="J1" s="16"/>
      <c r="K1" s="16"/>
      <c r="L1" s="16"/>
      <c r="M1" s="16"/>
      <c r="N1" s="16"/>
      <c r="O1" s="16"/>
      <c r="P1" s="16"/>
      <c r="Q1" s="16"/>
      <c r="R1" s="16"/>
    </row>
    <row r="2" spans="1:18" ht="10" customHeight="1" x14ac:dyDescent="0.2">
      <c r="A2" s="17" t="s">
        <v>8336</v>
      </c>
    </row>
    <row r="3" spans="1:18" ht="10" customHeight="1" x14ac:dyDescent="0.2"/>
    <row r="4" spans="1:18" ht="10" customHeight="1" x14ac:dyDescent="0.2">
      <c r="A4" s="6" t="s">
        <v>8337</v>
      </c>
      <c r="B4" s="7"/>
    </row>
    <row r="5" spans="1:18" ht="10" customHeight="1" x14ac:dyDescent="0.2">
      <c r="A5" s="19" t="s">
        <v>8338</v>
      </c>
      <c r="B5" s="20">
        <f>SUMIFS(JB_R,JB_B,1,JB_S,"",JB_R,"&lt;&gt;")+SUMIFS(JB_N,JB_B,1,JB_S,"",JB_R,"",JB_N,"&lt;&gt;")+SUMIFS(JB_L,JB_B,1,JB_S,"",JB_R,"",JB_N,"")+SUMIFS(JB_R,JB_B,1,JB_S,"[PARENT]",JB_R,"&lt;&gt;")+SUMIFS(JB_N,JB_B,1,JB_S,"[PARENT]",JB_R,"",JB_N,"&lt;&gt;")+SUMIFS(JB_L,JB_B,1,JB_S,"[PARENT]",JB_R,"",JB_N,"")</f>
        <v>46283564</v>
      </c>
    </row>
    <row r="6" spans="1:18" ht="10" customHeight="1" x14ac:dyDescent="0.2">
      <c r="A6" s="19" t="s">
        <v>8339</v>
      </c>
      <c r="B6" s="20">
        <f>-(SUMIFS(JB_R,JB_B,1,JB_V,"",JB_S,"",JB_R,"&lt;&gt;")+SUMIFS(JB_N,JB_B,1,JB_V,"",JB_S,"",JB_R,"",JB_N,"&lt;&gt;")+SUMIFS(JB_L,JB_B,1,JB_V,"",JB_S,"",JB_R,"",JB_N,"")+SUMIFS(JB_R,JB_B,1,JB_V,"",JB_S,"[PARENT]",JB_R,"&lt;&gt;")+SUMIFS(JB_N,JB_B,1,JB_V,"",JB_S,"[PARENT]",JB_R,"",JB_N,"&lt;&gt;")+SUMIFS(JB_L,JB_B,1,JB_V,"",JB_S,"[PARENT]",JB_R,"",JB_N,""))</f>
        <v>-3867651</v>
      </c>
    </row>
    <row r="7" spans="1:18" ht="10" customHeight="1" x14ac:dyDescent="0.2">
      <c r="A7" s="19" t="s">
        <v>8340</v>
      </c>
      <c r="B7" s="20">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-854095</v>
      </c>
    </row>
    <row r="8" spans="1:18" ht="10" customHeight="1" x14ac:dyDescent="0.2">
      <c r="A8" s="19" t="s">
        <v>8341</v>
      </c>
      <c r="B8" s="20">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-79000</v>
      </c>
    </row>
    <row r="9" spans="1:18" ht="10" customHeight="1" x14ac:dyDescent="0.2">
      <c r="A9" s="21" t="s">
        <v>8342</v>
      </c>
      <c r="B9" s="22">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10" spans="1:18" ht="10" customHeight="1" x14ac:dyDescent="0.2"/>
    <row r="11" spans="1:18" ht="10" customHeight="1" x14ac:dyDescent="0.2"/>
    <row r="12" spans="1:18" ht="10" customHeight="1" x14ac:dyDescent="0.2">
      <c r="A12" s="6" t="s">
        <v>8343</v>
      </c>
      <c r="B12" s="7"/>
      <c r="C12" s="7"/>
      <c r="D12" s="7"/>
    </row>
    <row r="13" spans="1:18" ht="10" customHeight="1" x14ac:dyDescent="0.2">
      <c r="A13" s="18" t="s">
        <v>19</v>
      </c>
      <c r="B13" s="18" t="s">
        <v>8344</v>
      </c>
      <c r="C13" s="18" t="s">
        <v>8315</v>
      </c>
      <c r="D13" s="18" t="s">
        <v>8345</v>
      </c>
    </row>
    <row r="14" spans="1:18" ht="10" customHeight="1" x14ac:dyDescent="0.2">
      <c r="A14" s="19" t="s">
        <v>48</v>
      </c>
      <c r="B14" s="19" t="s">
        <v>46</v>
      </c>
      <c r="C14" s="20">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D14" s="26">
        <f t="shared" ref="D14:D41" si="0">IFERROR(C14/C$42,0)</f>
        <v>0.48068853470851475</v>
      </c>
    </row>
    <row r="15" spans="1:18" ht="10" customHeight="1" x14ac:dyDescent="0.2">
      <c r="A15" s="19" t="s">
        <v>115</v>
      </c>
      <c r="B15" s="19" t="s">
        <v>46</v>
      </c>
      <c r="C15" s="20">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5" s="26">
        <f t="shared" si="0"/>
        <v>0.17971611764658804</v>
      </c>
    </row>
    <row r="16" spans="1:18" ht="10" customHeight="1" x14ac:dyDescent="0.2">
      <c r="A16" s="19" t="s">
        <v>65</v>
      </c>
      <c r="B16" s="19" t="s">
        <v>46</v>
      </c>
      <c r="C16" s="20">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D16" s="26">
        <f t="shared" si="0"/>
        <v>7.9109210950905021E-2</v>
      </c>
    </row>
    <row r="17" spans="1:4" ht="10" customHeight="1" x14ac:dyDescent="0.2">
      <c r="A17" s="19" t="s">
        <v>178</v>
      </c>
      <c r="B17" s="19" t="s">
        <v>46</v>
      </c>
      <c r="C17" s="20">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7" s="26">
        <f t="shared" si="0"/>
        <v>6.6628573786862794E-2</v>
      </c>
    </row>
    <row r="18" spans="1:4" ht="10" customHeight="1" x14ac:dyDescent="0.2">
      <c r="A18" s="19" t="s">
        <v>198</v>
      </c>
      <c r="B18" s="19" t="s">
        <v>186</v>
      </c>
      <c r="C18" s="20">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8" s="26">
        <f t="shared" si="0"/>
        <v>4.4878942409360904E-2</v>
      </c>
    </row>
    <row r="19" spans="1:4" ht="10" customHeight="1" x14ac:dyDescent="0.2">
      <c r="A19" s="19" t="s">
        <v>145</v>
      </c>
      <c r="B19" s="19" t="s">
        <v>46</v>
      </c>
      <c r="C19" s="20">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9" s="26">
        <f t="shared" si="0"/>
        <v>4.2065608946817448E-2</v>
      </c>
    </row>
    <row r="20" spans="1:4" ht="10" customHeight="1" x14ac:dyDescent="0.2">
      <c r="A20" s="19" t="s">
        <v>5412</v>
      </c>
      <c r="B20" s="19" t="s">
        <v>46</v>
      </c>
      <c r="C20" s="20">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20" s="26">
        <f t="shared" si="0"/>
        <v>3.1958147105628165E-2</v>
      </c>
    </row>
    <row r="21" spans="1:4" ht="10" customHeight="1" x14ac:dyDescent="0.2">
      <c r="A21" s="19" t="s">
        <v>241</v>
      </c>
      <c r="B21" s="19" t="s">
        <v>46</v>
      </c>
      <c r="C21" s="20">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21" s="26">
        <f t="shared" si="0"/>
        <v>2.1454665881184831E-2</v>
      </c>
    </row>
    <row r="22" spans="1:4" ht="10" customHeight="1" x14ac:dyDescent="0.2">
      <c r="A22" s="19" t="s">
        <v>210</v>
      </c>
      <c r="B22" s="19" t="s">
        <v>46</v>
      </c>
      <c r="C22" s="20">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2" s="26">
        <f t="shared" si="0"/>
        <v>1.4758037894146921E-2</v>
      </c>
    </row>
    <row r="23" spans="1:4" ht="10" customHeight="1" x14ac:dyDescent="0.2">
      <c r="A23" s="19" t="s">
        <v>4672</v>
      </c>
      <c r="B23" s="19" t="s">
        <v>46</v>
      </c>
      <c r="C23" s="20">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D23" s="26">
        <f t="shared" si="0"/>
        <v>5.0438714168357605E-3</v>
      </c>
    </row>
    <row r="24" spans="1:4" ht="10" customHeight="1" x14ac:dyDescent="0.2">
      <c r="A24" s="19" t="s">
        <v>222</v>
      </c>
      <c r="B24" s="19" t="s">
        <v>186</v>
      </c>
      <c r="C24" s="20">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4" s="26">
        <f t="shared" si="0"/>
        <v>3.4110508114468018E-3</v>
      </c>
    </row>
    <row r="25" spans="1:4" ht="10" customHeight="1" x14ac:dyDescent="0.2">
      <c r="A25" s="19" t="s">
        <v>4962</v>
      </c>
      <c r="B25" s="19" t="s">
        <v>46</v>
      </c>
      <c r="C25" s="20">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5" s="26">
        <f t="shared" si="0"/>
        <v>0</v>
      </c>
    </row>
    <row r="26" spans="1:4" ht="10" customHeight="1" x14ac:dyDescent="0.2">
      <c r="A26" s="19" t="s">
        <v>5268</v>
      </c>
      <c r="B26" s="19" t="s">
        <v>46</v>
      </c>
      <c r="C26" s="20">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26" s="26">
        <f t="shared" si="0"/>
        <v>0</v>
      </c>
    </row>
    <row r="27" spans="1:4" ht="10" customHeight="1" x14ac:dyDescent="0.2">
      <c r="A27" s="19" t="s">
        <v>229</v>
      </c>
      <c r="B27" s="19" t="s">
        <v>186</v>
      </c>
      <c r="C27" s="20">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7" s="26">
        <f t="shared" si="0"/>
        <v>0</v>
      </c>
    </row>
    <row r="28" spans="1:4" ht="10" customHeight="1" x14ac:dyDescent="0.2">
      <c r="A28" s="19" t="s">
        <v>4639</v>
      </c>
      <c r="B28" s="19" t="s">
        <v>46</v>
      </c>
      <c r="C28" s="20">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8" s="26">
        <f t="shared" si="0"/>
        <v>0</v>
      </c>
    </row>
    <row r="29" spans="1:4" ht="10" customHeight="1" x14ac:dyDescent="0.2">
      <c r="A29" s="19" t="s">
        <v>5015</v>
      </c>
      <c r="B29" s="19" t="s">
        <v>46</v>
      </c>
      <c r="C29" s="20">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29" s="26">
        <f t="shared" si="0"/>
        <v>0</v>
      </c>
    </row>
    <row r="30" spans="1:4" ht="10" customHeight="1" x14ac:dyDescent="0.2">
      <c r="A30" s="19" t="s">
        <v>4855</v>
      </c>
      <c r="B30" s="19" t="s">
        <v>46</v>
      </c>
      <c r="C30" s="20">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30" s="26">
        <f t="shared" si="0"/>
        <v>0</v>
      </c>
    </row>
    <row r="31" spans="1:4" ht="10" customHeight="1" x14ac:dyDescent="0.2">
      <c r="A31" s="19" t="s">
        <v>5273</v>
      </c>
      <c r="B31" s="19" t="s">
        <v>46</v>
      </c>
      <c r="C31" s="20">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31" s="26">
        <f t="shared" si="0"/>
        <v>0</v>
      </c>
    </row>
    <row r="32" spans="1:4" ht="10" customHeight="1" x14ac:dyDescent="0.2">
      <c r="A32" s="19" t="s">
        <v>5025</v>
      </c>
      <c r="B32" s="19" t="s">
        <v>186</v>
      </c>
      <c r="C32" s="20">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32" s="26">
        <f t="shared" si="0"/>
        <v>0</v>
      </c>
    </row>
    <row r="33" spans="1:17" ht="10" customHeight="1" x14ac:dyDescent="0.2">
      <c r="A33" s="19" t="s">
        <v>4680</v>
      </c>
      <c r="B33" s="19" t="s">
        <v>46</v>
      </c>
      <c r="C33" s="20">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33" s="26">
        <f t="shared" si="0"/>
        <v>0</v>
      </c>
    </row>
    <row r="34" spans="1:17" ht="10" customHeight="1" x14ac:dyDescent="0.2">
      <c r="A34" s="19" t="s">
        <v>4981</v>
      </c>
      <c r="B34" s="19" t="s">
        <v>46</v>
      </c>
      <c r="C34" s="20">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34" s="26">
        <f t="shared" si="0"/>
        <v>0</v>
      </c>
    </row>
    <row r="35" spans="1:17" ht="10" customHeight="1" x14ac:dyDescent="0.2">
      <c r="A35" s="19" t="s">
        <v>8184</v>
      </c>
      <c r="B35" s="19" t="s">
        <v>6805</v>
      </c>
      <c r="C35" s="20">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5" s="26">
        <f t="shared" si="0"/>
        <v>1.9584011867274785E-2</v>
      </c>
    </row>
    <row r="36" spans="1:17" ht="10" customHeight="1" x14ac:dyDescent="0.2">
      <c r="A36" s="19" t="s">
        <v>8190</v>
      </c>
      <c r="B36" s="19" t="s">
        <v>6805</v>
      </c>
      <c r="C36" s="20">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6" s="26">
        <f t="shared" si="0"/>
        <v>5.2069750902650827E-3</v>
      </c>
    </row>
    <row r="37" spans="1:17" ht="10" customHeight="1" x14ac:dyDescent="0.2">
      <c r="A37" s="19" t="s">
        <v>8198</v>
      </c>
      <c r="B37" s="19" t="s">
        <v>6805</v>
      </c>
      <c r="C37" s="20">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7" s="26">
        <f t="shared" si="0"/>
        <v>3.1338276006225036E-3</v>
      </c>
    </row>
    <row r="38" spans="1:17" ht="10" customHeight="1" x14ac:dyDescent="0.2">
      <c r="A38" s="19" t="s">
        <v>8209</v>
      </c>
      <c r="B38" s="19" t="s">
        <v>6805</v>
      </c>
      <c r="C38" s="20">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8" s="26">
        <f t="shared" si="0"/>
        <v>2.3624238835461948E-3</v>
      </c>
    </row>
    <row r="39" spans="1:17" ht="10" customHeight="1" x14ac:dyDescent="0.2">
      <c r="A39" s="19" t="s">
        <v>6807</v>
      </c>
      <c r="B39" s="19" t="s">
        <v>6805</v>
      </c>
      <c r="C39" s="20">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39" s="26">
        <f t="shared" si="0"/>
        <v>0</v>
      </c>
    </row>
    <row r="40" spans="1:17" ht="10" customHeight="1" x14ac:dyDescent="0.2">
      <c r="A40" s="19" t="s">
        <v>8205</v>
      </c>
      <c r="B40" s="19" t="s">
        <v>6805</v>
      </c>
      <c r="C40" s="20">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40" s="26">
        <f t="shared" si="0"/>
        <v>0</v>
      </c>
    </row>
    <row r="41" spans="1:17" ht="10" customHeight="1" x14ac:dyDescent="0.2">
      <c r="A41" s="19" t="s">
        <v>8171</v>
      </c>
      <c r="B41" s="19" t="s">
        <v>6805</v>
      </c>
      <c r="C41" s="20">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41" s="26">
        <f t="shared" si="0"/>
        <v>0</v>
      </c>
    </row>
    <row r="42" spans="1:17" ht="10" customHeight="1" x14ac:dyDescent="0.2">
      <c r="A42" s="21" t="s">
        <v>8342</v>
      </c>
      <c r="B42" s="21"/>
      <c r="C42" s="22">
        <f>SUM(C14:C41)</f>
        <v>41482818</v>
      </c>
      <c r="D42" s="27">
        <v>1</v>
      </c>
    </row>
    <row r="43" spans="1:17" ht="10" customHeight="1" x14ac:dyDescent="0.2"/>
    <row r="44" spans="1:17" ht="10" customHeight="1" x14ac:dyDescent="0.2"/>
    <row r="45" spans="1:17" ht="10" customHeight="1" x14ac:dyDescent="0.2">
      <c r="A45" s="6" t="s">
        <v>8346</v>
      </c>
      <c r="B45" s="7"/>
      <c r="C45" s="7"/>
      <c r="D45" s="7"/>
      <c r="E45" s="7"/>
      <c r="F45" s="7"/>
      <c r="G45" s="7"/>
      <c r="H45" s="7"/>
      <c r="I45" s="7"/>
      <c r="J45" s="7"/>
      <c r="K45" s="7"/>
      <c r="L45" s="7"/>
      <c r="M45" s="7"/>
      <c r="N45" s="7"/>
      <c r="O45" s="7"/>
      <c r="P45" s="7"/>
      <c r="Q45" s="7"/>
    </row>
    <row r="46" spans="1:17" ht="10" customHeight="1" x14ac:dyDescent="0.2">
      <c r="A46" s="28"/>
      <c r="B46" s="29" t="s">
        <v>46</v>
      </c>
      <c r="C46" s="28"/>
      <c r="D46" s="28"/>
      <c r="E46" s="28"/>
      <c r="F46" s="28"/>
      <c r="G46" s="28"/>
      <c r="H46" s="28"/>
      <c r="I46" s="28"/>
      <c r="J46" s="28"/>
      <c r="K46" s="28"/>
      <c r="L46" s="28"/>
      <c r="M46" s="29" t="s">
        <v>6805</v>
      </c>
      <c r="N46" s="28"/>
      <c r="O46" s="28"/>
      <c r="P46" s="28"/>
      <c r="Q46" s="30"/>
    </row>
    <row r="47" spans="1:17" ht="10" customHeight="1" x14ac:dyDescent="0.2">
      <c r="A47" s="18" t="s">
        <v>8347</v>
      </c>
      <c r="B47" s="31" t="s">
        <v>48</v>
      </c>
      <c r="C47" s="18" t="s">
        <v>115</v>
      </c>
      <c r="D47" s="18" t="s">
        <v>65</v>
      </c>
      <c r="E47" s="18" t="s">
        <v>178</v>
      </c>
      <c r="F47" s="18" t="s">
        <v>198</v>
      </c>
      <c r="G47" s="18" t="s">
        <v>145</v>
      </c>
      <c r="H47" s="18" t="s">
        <v>5412</v>
      </c>
      <c r="I47" s="18" t="s">
        <v>241</v>
      </c>
      <c r="J47" s="18" t="s">
        <v>210</v>
      </c>
      <c r="K47" s="18" t="s">
        <v>4672</v>
      </c>
      <c r="L47" s="18" t="s">
        <v>222</v>
      </c>
      <c r="M47" s="31" t="s">
        <v>8184</v>
      </c>
      <c r="N47" s="18" t="s">
        <v>8190</v>
      </c>
      <c r="O47" s="18" t="s">
        <v>8198</v>
      </c>
      <c r="P47" s="18" t="s">
        <v>8209</v>
      </c>
      <c r="Q47" s="31" t="s">
        <v>8323</v>
      </c>
    </row>
    <row r="48" spans="1:17" ht="10" customHeight="1" x14ac:dyDescent="0.2">
      <c r="A48" s="19" t="s">
        <v>8348</v>
      </c>
      <c r="B48" s="32">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0.56514317853052976</v>
      </c>
      <c r="C48" s="26">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0.7652623407958894</v>
      </c>
      <c r="D48" s="26">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0.81349817608274799</v>
      </c>
      <c r="E48" s="26">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1</v>
      </c>
      <c r="F48" s="26">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1</v>
      </c>
      <c r="G48" s="26">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0.84240687679083093</v>
      </c>
      <c r="H48" s="26">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1</v>
      </c>
      <c r="I48" s="26">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1</v>
      </c>
      <c r="J48" s="26">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1</v>
      </c>
      <c r="K48" s="26">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1</v>
      </c>
      <c r="L48" s="26">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1</v>
      </c>
      <c r="M48" s="32">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1</v>
      </c>
      <c r="N48" s="26">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1</v>
      </c>
      <c r="O48" s="26">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1</v>
      </c>
      <c r="P48" s="26">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1</v>
      </c>
      <c r="Q48" s="32">
        <f>IFERROR(1-Q49,0)</f>
        <v>0.73206690056591617</v>
      </c>
    </row>
    <row r="49" spans="1:17" ht="10" customHeight="1" x14ac:dyDescent="0.2">
      <c r="A49" s="19" t="s">
        <v>8349</v>
      </c>
      <c r="B49" s="32">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0.4251478474637938</v>
      </c>
      <c r="C49" s="26">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0.23473765920411058</v>
      </c>
      <c r="D49" s="26">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0.18650182391725195</v>
      </c>
      <c r="E49" s="26">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0</v>
      </c>
      <c r="F49" s="26">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0</v>
      </c>
      <c r="G49" s="26">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0.15759312320916904</v>
      </c>
      <c r="H49" s="26">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0</v>
      </c>
      <c r="I49" s="26">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0</v>
      </c>
      <c r="J49" s="26">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0</v>
      </c>
      <c r="K49" s="26">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0</v>
      </c>
      <c r="L49" s="26">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0</v>
      </c>
      <c r="M49" s="32">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0</v>
      </c>
      <c r="N49" s="26">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0</v>
      </c>
      <c r="O49" s="26">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0</v>
      </c>
      <c r="P49" s="26">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0</v>
      </c>
      <c r="Q49" s="32">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0.26793309943408378</v>
      </c>
    </row>
    <row r="50" spans="1:17" ht="10" customHeight="1" x14ac:dyDescent="0.2">
      <c r="A50" s="19" t="s">
        <v>8350</v>
      </c>
      <c r="B50" s="32">
        <f t="shared" ref="B50:Q50" si="1">IFERROR(1-B48-B49,0)</f>
        <v>9.7089740056764406E-3</v>
      </c>
      <c r="C50" s="26">
        <f t="shared" si="1"/>
        <v>2.7755575615628914E-17</v>
      </c>
      <c r="D50" s="26">
        <f t="shared" si="1"/>
        <v>5.5511151231257827E-17</v>
      </c>
      <c r="E50" s="26">
        <f t="shared" si="1"/>
        <v>0</v>
      </c>
      <c r="F50" s="26">
        <f t="shared" si="1"/>
        <v>0</v>
      </c>
      <c r="G50" s="26">
        <f t="shared" si="1"/>
        <v>2.7755575615628914E-17</v>
      </c>
      <c r="H50" s="26">
        <f t="shared" si="1"/>
        <v>0</v>
      </c>
      <c r="I50" s="26">
        <f t="shared" si="1"/>
        <v>0</v>
      </c>
      <c r="J50" s="26">
        <f t="shared" si="1"/>
        <v>0</v>
      </c>
      <c r="K50" s="26">
        <f t="shared" si="1"/>
        <v>0</v>
      </c>
      <c r="L50" s="26">
        <f t="shared" si="1"/>
        <v>0</v>
      </c>
      <c r="M50" s="32">
        <f t="shared" si="1"/>
        <v>0</v>
      </c>
      <c r="N50" s="26">
        <f t="shared" si="1"/>
        <v>0</v>
      </c>
      <c r="O50" s="26">
        <f t="shared" si="1"/>
        <v>0</v>
      </c>
      <c r="P50" s="26">
        <f t="shared" si="1"/>
        <v>0</v>
      </c>
      <c r="Q50" s="32">
        <f t="shared" si="1"/>
        <v>5.5511151231257827E-17</v>
      </c>
    </row>
    <row r="51" spans="1:17" ht="10" customHeight="1" x14ac:dyDescent="0.2">
      <c r="A51" s="21" t="s">
        <v>8351</v>
      </c>
      <c r="B51" s="33">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C51" s="22">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51" s="22">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E51" s="22">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F51" s="22">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G51" s="22">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H51" s="22">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I51" s="22">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J51" s="22">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K51" s="22">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L51" s="22">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M51" s="33">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N51" s="22">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O51" s="22">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P51" s="22">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Q51" s="33">
        <f>SUM(B51:P51)</f>
        <v>41482818</v>
      </c>
    </row>
    <row r="52" spans="1:17" ht="10" customHeight="1" x14ac:dyDescent="0.2"/>
    <row r="53" spans="1:17" ht="10" customHeight="1" x14ac:dyDescent="0.2"/>
    <row r="54" spans="1:17" ht="10" customHeight="1" x14ac:dyDescent="0.2">
      <c r="A54" s="6" t="s">
        <v>8352</v>
      </c>
      <c r="B54" s="7"/>
      <c r="C54" s="7"/>
      <c r="D54" s="7"/>
    </row>
    <row r="55" spans="1:17" ht="10" customHeight="1" x14ac:dyDescent="0.2">
      <c r="A55" s="17" t="s">
        <v>8353</v>
      </c>
    </row>
    <row r="56" spans="1:17" ht="10" customHeight="1" x14ac:dyDescent="0.2">
      <c r="A56" s="18" t="s">
        <v>8354</v>
      </c>
      <c r="B56" s="18" t="s">
        <v>8344</v>
      </c>
      <c r="C56" s="18" t="s">
        <v>8315</v>
      </c>
      <c r="D56" s="18" t="s">
        <v>8345</v>
      </c>
    </row>
    <row r="57" spans="1:17" ht="10" customHeight="1" x14ac:dyDescent="0.2">
      <c r="A57" s="19" t="s">
        <v>8355</v>
      </c>
      <c r="B57" s="19" t="s">
        <v>46</v>
      </c>
      <c r="C57" s="20">
        <f>SUMIFS(JB_R,JB_B,1,JB_H,"SSN",JB_S,"",JB_R,"&lt;&gt;")+SUMIFS(JB_N,JB_B,1,JB_H,"SSN",JB_S,"",JB_R,"",JB_N,"&lt;&gt;")+SUMIFS(JB_L,JB_B,1,JB_H,"SSN",JB_S,"",JB_R,"",JB_N,"")+SUMIFS(JB_R,JB_B,1,JB_H,"SSN",JB_S,"[PARENT]",JB_R,"&lt;&gt;")+SUMIFS(JB_N,JB_B,1,JB_H,"SSN",JB_S,"[PARENT]",JB_R,"",JB_N,"&lt;&gt;")+SUMIFS(JB_L,JB_B,1,JB_H,"SSN",JB_S,"[PARENT]",JB_R,"",JB_N,"")</f>
        <v>10467121</v>
      </c>
      <c r="D57" s="26">
        <f t="shared" ref="D57:D74" si="2">IFERROR(C57/C$75,0)</f>
        <v>0.25232425145273402</v>
      </c>
    </row>
    <row r="58" spans="1:17" ht="10" customHeight="1" x14ac:dyDescent="0.2">
      <c r="A58" s="19" t="s">
        <v>8356</v>
      </c>
      <c r="B58" s="19" t="s">
        <v>46</v>
      </c>
      <c r="C58" s="20">
        <f>SUMIFS(JB_R,JB_B,1,JB_H,"SSBN",JB_S,"",JB_R,"&lt;&gt;")+SUMIFS(JB_N,JB_B,1,JB_H,"SSBN",JB_S,"",JB_R,"",JB_N,"&lt;&gt;")+SUMIFS(JB_L,JB_B,1,JB_H,"SSBN",JB_S,"",JB_R,"",JB_N,"")+SUMIFS(JB_R,JB_B,1,JB_H,"SSBN",JB_S,"[PARENT]",JB_R,"&lt;&gt;")+SUMIFS(JB_N,JB_B,1,JB_H,"SSBN",JB_S,"[PARENT]",JB_R,"",JB_N,"&lt;&gt;")+SUMIFS(JB_L,JB_B,1,JB_H,"SSBN",JB_S,"[PARENT]",JB_R,"",JB_N,"")</f>
        <v>9473194</v>
      </c>
      <c r="D58" s="26">
        <f t="shared" si="2"/>
        <v>0.22836428325578073</v>
      </c>
    </row>
    <row r="59" spans="1:17" ht="10" customHeight="1" x14ac:dyDescent="0.2">
      <c r="A59" s="19" t="s">
        <v>8357</v>
      </c>
      <c r="B59" s="19" t="s">
        <v>46</v>
      </c>
      <c r="C59" s="20">
        <f>SUMIFS(JB_R,JB_B,1,JB_H,"DDG",JB_S,"",JB_R,"&lt;&gt;")+SUMIFS(JB_N,JB_B,1,JB_H,"DDG",JB_S,"",JB_R,"",JB_N,"&lt;&gt;")+SUMIFS(JB_L,JB_B,1,JB_H,"DDG",JB_S,"",JB_R,"",JB_N,"")+SUMIFS(JB_R,JB_B,1,JB_H,"DDG",JB_S,"[PARENT]",JB_R,"&lt;&gt;")+SUMIFS(JB_N,JB_B,1,JB_H,"DDG",JB_S,"[PARENT]",JB_R,"",JB_N,"&lt;&gt;")+SUMIFS(JB_L,JB_B,1,JB_H,"DDG",JB_S,"[PARENT]",JB_R,"",JB_N,"")</f>
        <v>7213131</v>
      </c>
      <c r="D59" s="26">
        <f t="shared" si="2"/>
        <v>0.17388237703619847</v>
      </c>
    </row>
    <row r="60" spans="1:17" ht="10" customHeight="1" x14ac:dyDescent="0.2">
      <c r="A60" s="19" t="s">
        <v>8358</v>
      </c>
      <c r="B60" s="19" t="s">
        <v>46</v>
      </c>
      <c r="C60" s="20">
        <f>SUMIFS(JB_R,JB_B,1,JB_H,"CVN",JB_S,"",JB_R,"&lt;&gt;")+SUMIFS(JB_N,JB_B,1,JB_H,"CVN",JB_S,"",JB_R,"",JB_N,"&lt;&gt;")+SUMIFS(JB_L,JB_B,1,JB_H,"CVN",JB_S,"",JB_R,"",JB_N,"")+SUMIFS(JB_R,JB_B,1,JB_H,"CVN",JB_S,"[PARENT]",JB_R,"&lt;&gt;")+SUMIFS(JB_N,JB_B,1,JB_H,"CVN",JB_S,"[PARENT]",JB_R,"",JB_N,"&lt;&gt;")+SUMIFS(JB_L,JB_B,1,JB_H,"CVN",JB_S,"[PARENT]",JB_R,"",JB_N,"")</f>
        <v>3281673</v>
      </c>
      <c r="D60" s="26">
        <f t="shared" si="2"/>
        <v>7.9109210950905021E-2</v>
      </c>
    </row>
    <row r="61" spans="1:17" ht="10" customHeight="1" x14ac:dyDescent="0.2">
      <c r="A61" s="19" t="s">
        <v>8359</v>
      </c>
      <c r="B61" s="19" t="s">
        <v>46</v>
      </c>
      <c r="C61" s="20">
        <f>SUMIFS(JB_R,JB_B,1,JB_H,"LSM",JB_S,"",JB_R,"&lt;&gt;")+SUMIFS(JB_N,JB_B,1,JB_H,"LSM",JB_S,"",JB_R,"",JB_N,"&lt;&gt;")+SUMIFS(JB_L,JB_B,1,JB_H,"LSM",JB_S,"",JB_R,"",JB_N,"")+SUMIFS(JB_R,JB_B,1,JB_H,"LSM",JB_S,"[PARENT]",JB_R,"&lt;&gt;")+SUMIFS(JB_N,JB_B,1,JB_H,"LSM",JB_S,"[PARENT]",JB_R,"",JB_N,"&lt;&gt;")+SUMIFS(JB_L,JB_B,1,JB_H,"LSM",JB_S,"[PARENT]",JB_R,"",JB_N,"")</f>
        <v>2763941</v>
      </c>
      <c r="D61" s="26">
        <f t="shared" si="2"/>
        <v>6.6628573786862794E-2</v>
      </c>
    </row>
    <row r="62" spans="1:17" ht="10" customHeight="1" x14ac:dyDescent="0.2">
      <c r="A62" s="19" t="s">
        <v>8360</v>
      </c>
      <c r="B62" s="19" t="s">
        <v>186</v>
      </c>
      <c r="C62" s="20">
        <f>SUMIFS(JB_R,JB_B,1,JB_H,"T-AO",JB_S,"",JB_R,"&lt;&gt;")+SUMIFS(JB_N,JB_B,1,JB_H,"T-AO",JB_S,"",JB_R,"",JB_N,"&lt;&gt;")+SUMIFS(JB_L,JB_B,1,JB_H,"T-AO",JB_S,"",JB_R,"",JB_N,"")+SUMIFS(JB_R,JB_B,1,JB_H,"T-AO",JB_S,"[PARENT]",JB_R,"&lt;&gt;")+SUMIFS(JB_N,JB_B,1,JB_H,"T-AO",JB_S,"[PARENT]",JB_R,"",JB_N,"&lt;&gt;")+SUMIFS(JB_L,JB_B,1,JB_H,"T-AO",JB_S,"[PARENT]",JB_R,"",JB_N,"")</f>
        <v>1861705</v>
      </c>
      <c r="D62" s="26">
        <f t="shared" si="2"/>
        <v>4.4878942409360904E-2</v>
      </c>
    </row>
    <row r="63" spans="1:17" ht="10" customHeight="1" x14ac:dyDescent="0.2">
      <c r="A63" s="19" t="s">
        <v>8361</v>
      </c>
      <c r="B63" s="19" t="s">
        <v>46</v>
      </c>
      <c r="C63" s="20">
        <f>SUMIFS(JB_R,JB_B,1,JB_H,"MUSV",JB_S,"",JB_R,"&lt;&gt;")+SUMIFS(JB_N,JB_B,1,JB_H,"MUSV",JB_S,"",JB_R,"",JB_N,"&lt;&gt;")+SUMIFS(JB_L,JB_B,1,JB_H,"MUSV",JB_S,"",JB_R,"",JB_N,"")+SUMIFS(JB_R,JB_B,1,JB_H,"MUSV",JB_S,"[PARENT]",JB_R,"&lt;&gt;")+SUMIFS(JB_N,JB_B,1,JB_H,"MUSV",JB_S,"[PARENT]",JB_R,"",JB_N,"&lt;&gt;")+SUMIFS(JB_L,JB_B,1,JB_H,"MUSV",JB_S,"[PARENT]",JB_R,"",JB_N,"")</f>
        <v>1325714</v>
      </c>
      <c r="D63" s="26">
        <f t="shared" si="2"/>
        <v>3.1958147105628165E-2</v>
      </c>
    </row>
    <row r="64" spans="1:17" ht="10" customHeight="1" x14ac:dyDescent="0.2">
      <c r="A64" s="19" t="s">
        <v>8362</v>
      </c>
      <c r="B64" s="19" t="s">
        <v>46</v>
      </c>
      <c r="C64" s="20">
        <f>SUMIFS(JB_R,JB_B,1,JB_H,"LPD",JB_S,"",JB_R,"&lt;&gt;")+SUMIFS(JB_N,JB_B,1,JB_H,"LPD",JB_S,"",JB_R,"",JB_N,"&lt;&gt;")+SUMIFS(JB_L,JB_B,1,JB_H,"LPD",JB_S,"",JB_R,"",JB_N,"")+SUMIFS(JB_R,JB_B,1,JB_H,"LPD",JB_S,"[PARENT]",JB_R,"&lt;&gt;")+SUMIFS(JB_N,JB_B,1,JB_H,"LPD",JB_S,"[PARENT]",JB_R,"",JB_N,"&lt;&gt;")+SUMIFS(JB_L,JB_B,1,JB_H,"LPD",JB_S,"[PARENT]",JB_R,"",JB_N,"")</f>
        <v>1110037</v>
      </c>
      <c r="D64" s="26">
        <f t="shared" si="2"/>
        <v>2.6758958371632321E-2</v>
      </c>
    </row>
    <row r="65" spans="1:4" ht="10" customHeight="1" x14ac:dyDescent="0.2">
      <c r="A65" s="19" t="s">
        <v>8363</v>
      </c>
      <c r="B65" s="19" t="s">
        <v>186</v>
      </c>
      <c r="C65" s="20">
        <f>SUMIFS(JB_R,JB_B,1,JB_H,"T-AK / T-AKR",JB_S,"",JB_R,"&lt;&gt;")+SUMIFS(JB_N,JB_B,1,JB_H,"T-AK / T-AKR",JB_S,"",JB_R,"",JB_N,"&lt;&gt;")+SUMIFS(JB_L,JB_B,1,JB_H,"T-AK / T-AKR",JB_S,"",JB_R,"",JB_N,"")+SUMIFS(JB_R,JB_B,1,JB_H,"T-AK / T-AKR",JB_S,"[PARENT]",JB_R,"&lt;&gt;")+SUMIFS(JB_N,JB_B,1,JB_H,"T-AK / T-AKR",JB_S,"[PARENT]",JB_R,"",JB_N,"&lt;&gt;")+SUMIFS(JB_L,JB_B,1,JB_H,"T-AK / T-AKR",JB_S,"[PARENT]",JB_R,"",JB_N,"")</f>
        <v>890000</v>
      </c>
      <c r="D65" s="26">
        <f t="shared" si="2"/>
        <v>2.1454665881184831E-2</v>
      </c>
    </row>
    <row r="66" spans="1:4" ht="10" customHeight="1" x14ac:dyDescent="0.2">
      <c r="A66" s="19" t="s">
        <v>8364</v>
      </c>
      <c r="B66" s="19" t="s">
        <v>46</v>
      </c>
      <c r="C66" s="20">
        <f>SUMIFS(JB_R,JB_B,1,JB_H,"LHA",JB_S,"",JB_R,"&lt;&gt;")+SUMIFS(JB_N,JB_B,1,JB_H,"LHA",JB_S,"",JB_R,"",JB_N,"&lt;&gt;")+SUMIFS(JB_L,JB_B,1,JB_H,"LHA",JB_S,"",JB_R,"",JB_N,"")+SUMIFS(JB_R,JB_B,1,JB_H,"LHA",JB_S,"[PARENT]",JB_R,"&lt;&gt;")+SUMIFS(JB_N,JB_B,1,JB_H,"LHA",JB_S,"[PARENT]",JB_R,"",JB_N,"&lt;&gt;")+SUMIFS(JB_L,JB_B,1,JB_H,"LHA",JB_S,"[PARENT]",JB_R,"",JB_N,"")</f>
        <v>634963</v>
      </c>
      <c r="D66" s="26">
        <f t="shared" si="2"/>
        <v>1.5306650575185128E-2</v>
      </c>
    </row>
    <row r="67" spans="1:4" ht="10" customHeight="1" x14ac:dyDescent="0.2">
      <c r="A67" s="19" t="s">
        <v>8365</v>
      </c>
      <c r="B67" s="19" t="s">
        <v>186</v>
      </c>
      <c r="C67" s="20">
        <f>SUMIFS(JB_R,JB_B,1,JB_H,"T-AGOS",JB_S,"",JB_R,"&lt;&gt;")+SUMIFS(JB_N,JB_B,1,JB_H,"T-AGOS",JB_S,"",JB_R,"",JB_N,"&lt;&gt;")+SUMIFS(JB_L,JB_B,1,JB_H,"T-AGOS",JB_S,"",JB_R,"",JB_N,"")+SUMIFS(JB_R,JB_B,1,JB_H,"T-AGOS",JB_S,"[PARENT]",JB_R,"&lt;&gt;")+SUMIFS(JB_N,JB_B,1,JB_H,"T-AGOS",JB_S,"[PARENT]",JB_R,"",JB_N,"&lt;&gt;")+SUMIFS(JB_L,JB_B,1,JB_H,"T-AGOS",JB_S,"[PARENT]",JB_R,"",JB_N,"")</f>
        <v>612205</v>
      </c>
      <c r="D67" s="26">
        <f t="shared" si="2"/>
        <v>1.4758037894146921E-2</v>
      </c>
    </row>
    <row r="68" spans="1:4" ht="10" customHeight="1" x14ac:dyDescent="0.2">
      <c r="A68" s="19" t="s">
        <v>8366</v>
      </c>
      <c r="B68" s="19" t="s">
        <v>46</v>
      </c>
      <c r="C68" s="20">
        <f>SUMIFS(JB_R,JB_B,1,JB_H,"FFG",JB_S,"",JB_R,"&lt;&gt;")+SUMIFS(JB_N,JB_B,1,JB_H,"FFG",JB_S,"",JB_R,"",JB_N,"&lt;&gt;")+SUMIFS(JB_L,JB_B,1,JB_H,"FFG",JB_S,"",JB_R,"",JB_N,"")+SUMIFS(JB_R,JB_B,1,JB_H,"FFG",JB_S,"[PARENT]",JB_R,"&lt;&gt;")+SUMIFS(JB_N,JB_B,1,JB_H,"FFG",JB_S,"[PARENT]",JB_R,"",JB_N,"&lt;&gt;")+SUMIFS(JB_L,JB_B,1,JB_H,"FFG",JB_S,"[PARENT]",JB_R,"",JB_N,"")</f>
        <v>242000</v>
      </c>
      <c r="D68" s="26">
        <f t="shared" si="2"/>
        <v>5.8337406103895831E-3</v>
      </c>
    </row>
    <row r="69" spans="1:4" ht="10" customHeight="1" x14ac:dyDescent="0.2">
      <c r="A69" s="19" t="s">
        <v>8367</v>
      </c>
      <c r="B69" s="19" t="s">
        <v>46</v>
      </c>
      <c r="C69" s="20">
        <f>SUMIFS(JB_R,JB_B,1,JB_H,"UUV",JB_S,"",JB_R,"&lt;&gt;")+SUMIFS(JB_N,JB_B,1,JB_H,"UUV",JB_S,"",JB_R,"",JB_N,"&lt;&gt;")+SUMIFS(JB_L,JB_B,1,JB_H,"UUV",JB_S,"",JB_R,"",JB_N,"")+SUMIFS(JB_R,JB_B,1,JB_H,"UUV",JB_S,"[PARENT]",JB_R,"&lt;&gt;")+SUMIFS(JB_N,JB_B,1,JB_H,"UUV",JB_S,"[PARENT]",JB_R,"",JB_N,"&lt;&gt;")+SUMIFS(JB_L,JB_B,1,JB_H,"UUV",JB_S,"[PARENT]",JB_R,"",JB_N,"")</f>
        <v>209234</v>
      </c>
      <c r="D69" s="26">
        <f t="shared" si="2"/>
        <v>5.0438714168357605E-3</v>
      </c>
    </row>
    <row r="70" spans="1:4" ht="10" customHeight="1" x14ac:dyDescent="0.2">
      <c r="A70" s="19" t="s">
        <v>8368</v>
      </c>
      <c r="B70" s="19" t="s">
        <v>186</v>
      </c>
      <c r="C70" s="20">
        <f>SUMIFS(JB_R,JB_B,1,JB_H,"T-ATS",JB_S,"",JB_R,"&lt;&gt;")+SUMIFS(JB_N,JB_B,1,JB_H,"T-ATS",JB_S,"",JB_R,"",JB_N,"&lt;&gt;")+SUMIFS(JB_L,JB_B,1,JB_H,"T-ATS",JB_S,"",JB_R,"",JB_N,"")+SUMIFS(JB_R,JB_B,1,JB_H,"T-ATS",JB_S,"[PARENT]",JB_R,"&lt;&gt;")+SUMIFS(JB_N,JB_B,1,JB_H,"T-ATS",JB_S,"[PARENT]",JB_R,"",JB_N,"&lt;&gt;")+SUMIFS(JB_L,JB_B,1,JB_H,"T-ATS",JB_S,"[PARENT]",JB_R,"",JB_N,"")</f>
        <v>141500</v>
      </c>
      <c r="D70" s="26">
        <f t="shared" si="2"/>
        <v>3.4110508114468018E-3</v>
      </c>
    </row>
    <row r="71" spans="1:4" ht="10" customHeight="1" x14ac:dyDescent="0.2">
      <c r="A71" s="19" t="s">
        <v>8369</v>
      </c>
      <c r="B71" s="19" t="s">
        <v>6805</v>
      </c>
      <c r="C71" s="20">
        <f>SUMIFS(JB_R,JB_B,1,JB_H,"WMSM",JB_S,"",JB_R,"&lt;&gt;")+SUMIFS(JB_N,JB_B,1,JB_H,"WMSM",JB_S,"",JB_R,"",JB_N,"&lt;&gt;")+SUMIFS(JB_L,JB_B,1,JB_H,"WMSM",JB_S,"",JB_R,"",JB_N,"")+SUMIFS(JB_R,JB_B,1,JB_H,"WMSM",JB_S,"[PARENT]",JB_R,"&lt;&gt;")+SUMIFS(JB_N,JB_B,1,JB_H,"WMSM",JB_S,"[PARENT]",JB_R,"",JB_N,"&lt;&gt;")+SUMIFS(JB_L,JB_B,1,JB_H,"WMSM",JB_S,"[PARENT]",JB_R,"",JB_N,"")</f>
        <v>812400</v>
      </c>
      <c r="D71" s="26">
        <f t="shared" si="2"/>
        <v>1.9584011867274785E-2</v>
      </c>
    </row>
    <row r="72" spans="1:4" ht="10" customHeight="1" x14ac:dyDescent="0.2">
      <c r="A72" s="19" t="s">
        <v>8370</v>
      </c>
      <c r="B72" s="19" t="s">
        <v>6805</v>
      </c>
      <c r="C72" s="20">
        <f>SUMIFS(JB_R,JB_B,1,JB_H,"WPC",JB_S,"",JB_R,"&lt;&gt;")+SUMIFS(JB_N,JB_B,1,JB_H,"WPC",JB_S,"",JB_R,"",JB_N,"&lt;&gt;")+SUMIFS(JB_L,JB_B,1,JB_H,"WPC",JB_S,"",JB_R,"",JB_N,"")+SUMIFS(JB_R,JB_B,1,JB_H,"WPC",JB_S,"[PARENT]",JB_R,"&lt;&gt;")+SUMIFS(JB_N,JB_B,1,JB_H,"WPC",JB_S,"[PARENT]",JB_R,"",JB_N,"&lt;&gt;")+SUMIFS(JB_L,JB_B,1,JB_H,"WPC",JB_S,"[PARENT]",JB_R,"",JB_N,"")</f>
        <v>216000</v>
      </c>
      <c r="D72" s="26">
        <f t="shared" si="2"/>
        <v>5.2069750902650827E-3</v>
      </c>
    </row>
    <row r="73" spans="1:4" ht="10" customHeight="1" x14ac:dyDescent="0.2">
      <c r="A73" s="19" t="s">
        <v>8371</v>
      </c>
      <c r="B73" s="19" t="s">
        <v>6805</v>
      </c>
      <c r="C73" s="20">
        <f>SUMIFS(JB_R,JB_B,1,JB_H,"WAGB",JB_S,"",JB_R,"&lt;&gt;")+SUMIFS(JB_N,JB_B,1,JB_H,"WAGB",JB_S,"",JB_R,"",JB_N,"&lt;&gt;")+SUMIFS(JB_L,JB_B,1,JB_H,"WAGB",JB_S,"",JB_R,"",JB_N,"")+SUMIFS(JB_R,JB_B,1,JB_H,"WAGB",JB_S,"[PARENT]",JB_R,"&lt;&gt;")+SUMIFS(JB_N,JB_B,1,JB_H,"WAGB",JB_S,"[PARENT]",JB_R,"",JB_N,"&lt;&gt;")+SUMIFS(JB_L,JB_B,1,JB_H,"WAGB",JB_S,"[PARENT]",JB_R,"",JB_N,"")</f>
        <v>130000</v>
      </c>
      <c r="D73" s="26">
        <f t="shared" si="2"/>
        <v>3.1338276006225036E-3</v>
      </c>
    </row>
    <row r="74" spans="1:4" ht="10" customHeight="1" x14ac:dyDescent="0.2">
      <c r="A74" s="19" t="s">
        <v>8372</v>
      </c>
      <c r="B74" s="19" t="s">
        <v>6805</v>
      </c>
      <c r="C74" s="20">
        <f>SUMIFS(JB_R,JB_B,1,JB_H,"WCC",JB_S,"",JB_R,"&lt;&gt;")+SUMIFS(JB_N,JB_B,1,JB_H,"WCC",JB_S,"",JB_R,"",JB_N,"&lt;&gt;")+SUMIFS(JB_L,JB_B,1,JB_H,"WCC",JB_S,"",JB_R,"",JB_N,"")+SUMIFS(JB_R,JB_B,1,JB_H,"WCC",JB_S,"[PARENT]",JB_R,"&lt;&gt;")+SUMIFS(JB_N,JB_B,1,JB_H,"WCC",JB_S,"[PARENT]",JB_R,"",JB_N,"&lt;&gt;")+SUMIFS(JB_L,JB_B,1,JB_H,"WCC",JB_S,"[PARENT]",JB_R,"",JB_N,"")</f>
        <v>98000</v>
      </c>
      <c r="D74" s="26">
        <f t="shared" si="2"/>
        <v>2.3624238835461948E-3</v>
      </c>
    </row>
    <row r="75" spans="1:4" ht="10" customHeight="1" x14ac:dyDescent="0.2">
      <c r="A75" s="21" t="s">
        <v>8342</v>
      </c>
      <c r="B75" s="21"/>
      <c r="C75" s="22">
        <f>SUM(C57:C74)</f>
        <v>41482818</v>
      </c>
      <c r="D75" s="27">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O106"/>
  <sheetViews>
    <sheetView showGridLines="0" workbookViewId="0"/>
  </sheetViews>
  <sheetFormatPr baseColWidth="10" defaultColWidth="8.83203125" defaultRowHeight="15" x14ac:dyDescent="0.2"/>
  <cols>
    <col min="1" max="1" width="30" customWidth="1"/>
    <col min="2" max="10" width="14" customWidth="1"/>
    <col min="11" max="14" width="12" customWidth="1"/>
  </cols>
  <sheetData>
    <row r="1" spans="1:15" ht="10" customHeight="1" x14ac:dyDescent="0.2">
      <c r="A1" s="15" t="s">
        <v>8373</v>
      </c>
      <c r="B1" s="16"/>
      <c r="C1" s="16"/>
      <c r="D1" s="16"/>
      <c r="E1" s="16"/>
      <c r="F1" s="16"/>
      <c r="G1" s="16"/>
      <c r="H1" s="16"/>
      <c r="I1" s="16"/>
      <c r="J1" s="16"/>
      <c r="K1" s="16"/>
      <c r="L1" s="16"/>
      <c r="M1" s="16"/>
      <c r="N1" s="16"/>
      <c r="O1" s="16"/>
    </row>
    <row r="2" spans="1:15" ht="10" customHeight="1" x14ac:dyDescent="0.2">
      <c r="A2" s="17" t="s">
        <v>8374</v>
      </c>
    </row>
    <row r="3" spans="1:15" ht="10" customHeight="1" x14ac:dyDescent="0.2"/>
    <row r="4" spans="1:15" ht="10" customHeight="1" x14ac:dyDescent="0.2">
      <c r="A4" s="6" t="s">
        <v>8375</v>
      </c>
      <c r="B4" s="7"/>
    </row>
    <row r="5" spans="1:15" ht="10" customHeight="1" x14ac:dyDescent="0.2">
      <c r="A5" s="19" t="s">
        <v>8342</v>
      </c>
      <c r="B5" s="20">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6" spans="1:15" ht="10" customHeight="1" x14ac:dyDescent="0.2">
      <c r="A6" s="19" t="s">
        <v>8376</v>
      </c>
      <c r="B6" s="20">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row>
    <row r="7" spans="1:15" ht="10" customHeight="1" x14ac:dyDescent="0.2">
      <c r="A7" s="19" t="s">
        <v>8377</v>
      </c>
      <c r="B7" s="20">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row>
    <row r="8" spans="1:15" ht="10" customHeight="1" x14ac:dyDescent="0.2">
      <c r="A8" s="19" t="s">
        <v>8378</v>
      </c>
      <c r="B8" s="20">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row>
    <row r="9" spans="1:15" ht="10" customHeight="1" x14ac:dyDescent="0.2">
      <c r="A9" s="21" t="s">
        <v>8379</v>
      </c>
      <c r="B9" s="22">
        <f>SUM(B5:B8)</f>
        <v>18051596</v>
      </c>
    </row>
    <row r="10" spans="1:15" ht="10" customHeight="1" x14ac:dyDescent="0.2"/>
    <row r="11" spans="1:15" ht="10" customHeight="1" x14ac:dyDescent="0.2"/>
    <row r="12" spans="1:15" ht="10" customHeight="1" x14ac:dyDescent="0.2">
      <c r="A12" s="6" t="s">
        <v>8380</v>
      </c>
      <c r="B12" s="7"/>
      <c r="C12" s="7"/>
      <c r="D12" s="7"/>
    </row>
    <row r="13" spans="1:15" ht="10" customHeight="1" x14ac:dyDescent="0.2">
      <c r="A13" s="18" t="s">
        <v>19</v>
      </c>
      <c r="B13" s="18" t="s">
        <v>8344</v>
      </c>
      <c r="C13" s="18" t="s">
        <v>8315</v>
      </c>
      <c r="D13" s="18" t="s">
        <v>8381</v>
      </c>
    </row>
    <row r="14" spans="1:15" ht="10" customHeight="1" x14ac:dyDescent="0.2">
      <c r="A14" s="19" t="s">
        <v>115</v>
      </c>
      <c r="B14" s="19" t="s">
        <v>46</v>
      </c>
      <c r="C14" s="20">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4" s="26">
        <f t="shared" ref="D14:D38" si="0">IFERROR(C14/C$39,0)</f>
        <v>0.41299013117732081</v>
      </c>
    </row>
    <row r="15" spans="1:15" ht="10" customHeight="1" x14ac:dyDescent="0.2">
      <c r="A15" s="19" t="s">
        <v>178</v>
      </c>
      <c r="B15" s="19" t="s">
        <v>46</v>
      </c>
      <c r="C15" s="20">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5" s="26">
        <f t="shared" si="0"/>
        <v>0.15311338676092684</v>
      </c>
    </row>
    <row r="16" spans="1:15" ht="10" customHeight="1" x14ac:dyDescent="0.2">
      <c r="A16" s="19" t="s">
        <v>198</v>
      </c>
      <c r="B16" s="19" t="s">
        <v>186</v>
      </c>
      <c r="C16" s="20">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6" s="26">
        <f t="shared" si="0"/>
        <v>0.10313243216832461</v>
      </c>
    </row>
    <row r="17" spans="1:4" ht="10" customHeight="1" x14ac:dyDescent="0.2">
      <c r="A17" s="19" t="s">
        <v>145</v>
      </c>
      <c r="B17" s="19" t="s">
        <v>46</v>
      </c>
      <c r="C17" s="20">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7" s="26">
        <f t="shared" si="0"/>
        <v>9.666735284791439E-2</v>
      </c>
    </row>
    <row r="18" spans="1:4" ht="10" customHeight="1" x14ac:dyDescent="0.2">
      <c r="A18" s="19" t="s">
        <v>5412</v>
      </c>
      <c r="B18" s="19" t="s">
        <v>46</v>
      </c>
      <c r="C18" s="20">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18" s="26">
        <f t="shared" si="0"/>
        <v>7.3440265337203423E-2</v>
      </c>
    </row>
    <row r="19" spans="1:4" ht="10" customHeight="1" x14ac:dyDescent="0.2">
      <c r="A19" s="19" t="s">
        <v>241</v>
      </c>
      <c r="B19" s="19" t="s">
        <v>46</v>
      </c>
      <c r="C19" s="20">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19" s="26">
        <f t="shared" si="0"/>
        <v>4.930311979062682E-2</v>
      </c>
    </row>
    <row r="20" spans="1:4" ht="10" customHeight="1" x14ac:dyDescent="0.2">
      <c r="A20" s="19" t="s">
        <v>210</v>
      </c>
      <c r="B20" s="19" t="s">
        <v>46</v>
      </c>
      <c r="C20" s="20">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0" s="26">
        <f t="shared" si="0"/>
        <v>3.3914175788113142E-2</v>
      </c>
    </row>
    <row r="21" spans="1:4" ht="10" customHeight="1" x14ac:dyDescent="0.2">
      <c r="A21" s="19" t="s">
        <v>222</v>
      </c>
      <c r="B21" s="19" t="s">
        <v>186</v>
      </c>
      <c r="C21" s="20">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1" s="26">
        <f t="shared" si="0"/>
        <v>7.8386420790715686E-3</v>
      </c>
    </row>
    <row r="22" spans="1:4" ht="10" customHeight="1" x14ac:dyDescent="0.2">
      <c r="A22" s="19" t="s">
        <v>4962</v>
      </c>
      <c r="B22" s="19" t="s">
        <v>46</v>
      </c>
      <c r="C22" s="20">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2" s="26">
        <f t="shared" si="0"/>
        <v>0</v>
      </c>
    </row>
    <row r="23" spans="1:4" ht="10" customHeight="1" x14ac:dyDescent="0.2">
      <c r="A23" s="19" t="s">
        <v>5268</v>
      </c>
      <c r="B23" s="19" t="s">
        <v>46</v>
      </c>
      <c r="C23" s="20">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23" s="26">
        <f t="shared" si="0"/>
        <v>0</v>
      </c>
    </row>
    <row r="24" spans="1:4" ht="10" customHeight="1" x14ac:dyDescent="0.2">
      <c r="A24" s="19" t="s">
        <v>5025</v>
      </c>
      <c r="B24" s="19" t="s">
        <v>186</v>
      </c>
      <c r="C24" s="20">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24" s="26">
        <f t="shared" si="0"/>
        <v>0</v>
      </c>
    </row>
    <row r="25" spans="1:4" ht="10" customHeight="1" x14ac:dyDescent="0.2">
      <c r="A25" s="19" t="s">
        <v>229</v>
      </c>
      <c r="B25" s="19" t="s">
        <v>186</v>
      </c>
      <c r="C25" s="20">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5" s="26">
        <f t="shared" si="0"/>
        <v>0</v>
      </c>
    </row>
    <row r="26" spans="1:4" ht="10" customHeight="1" x14ac:dyDescent="0.2">
      <c r="A26" s="19" t="s">
        <v>4639</v>
      </c>
      <c r="B26" s="19" t="s">
        <v>46</v>
      </c>
      <c r="C26" s="20">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6" s="26">
        <f t="shared" si="0"/>
        <v>0</v>
      </c>
    </row>
    <row r="27" spans="1:4" ht="10" customHeight="1" x14ac:dyDescent="0.2">
      <c r="A27" s="19" t="s">
        <v>4680</v>
      </c>
      <c r="B27" s="19" t="s">
        <v>46</v>
      </c>
      <c r="C27" s="20">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27" s="26">
        <f t="shared" si="0"/>
        <v>0</v>
      </c>
    </row>
    <row r="28" spans="1:4" ht="10" customHeight="1" x14ac:dyDescent="0.2">
      <c r="A28" s="19" t="s">
        <v>5015</v>
      </c>
      <c r="B28" s="19" t="s">
        <v>46</v>
      </c>
      <c r="C28" s="20">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28" s="26">
        <f t="shared" si="0"/>
        <v>0</v>
      </c>
    </row>
    <row r="29" spans="1:4" ht="10" customHeight="1" x14ac:dyDescent="0.2">
      <c r="A29" s="19" t="s">
        <v>4981</v>
      </c>
      <c r="B29" s="19" t="s">
        <v>46</v>
      </c>
      <c r="C29" s="20">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29" s="26">
        <f t="shared" si="0"/>
        <v>0</v>
      </c>
    </row>
    <row r="30" spans="1:4" ht="10" customHeight="1" x14ac:dyDescent="0.2">
      <c r="A30" s="19" t="s">
        <v>4855</v>
      </c>
      <c r="B30" s="19" t="s">
        <v>46</v>
      </c>
      <c r="C30" s="20">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30" s="26">
        <f t="shared" si="0"/>
        <v>0</v>
      </c>
    </row>
    <row r="31" spans="1:4" ht="10" customHeight="1" x14ac:dyDescent="0.2">
      <c r="A31" s="19" t="s">
        <v>5273</v>
      </c>
      <c r="B31" s="19" t="s">
        <v>46</v>
      </c>
      <c r="C31" s="20">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31" s="26">
        <f t="shared" si="0"/>
        <v>0</v>
      </c>
    </row>
    <row r="32" spans="1:4" ht="10" customHeight="1" x14ac:dyDescent="0.2">
      <c r="A32" s="19" t="s">
        <v>8184</v>
      </c>
      <c r="B32" s="19" t="s">
        <v>6805</v>
      </c>
      <c r="C32" s="20">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2" s="26">
        <f t="shared" si="0"/>
        <v>4.5004330918994639E-2</v>
      </c>
    </row>
    <row r="33" spans="1:14" ht="10" customHeight="1" x14ac:dyDescent="0.2">
      <c r="A33" s="19" t="s">
        <v>8190</v>
      </c>
      <c r="B33" s="19" t="s">
        <v>6805</v>
      </c>
      <c r="C33" s="20">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3" s="26">
        <f t="shared" si="0"/>
        <v>1.1965700982893701E-2</v>
      </c>
    </row>
    <row r="34" spans="1:14" ht="10" customHeight="1" x14ac:dyDescent="0.2">
      <c r="A34" s="19" t="s">
        <v>8198</v>
      </c>
      <c r="B34" s="19" t="s">
        <v>6805</v>
      </c>
      <c r="C34" s="20">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4" s="26">
        <f t="shared" si="0"/>
        <v>7.2015792952600981E-3</v>
      </c>
    </row>
    <row r="35" spans="1:14" ht="10" customHeight="1" x14ac:dyDescent="0.2">
      <c r="A35" s="19" t="s">
        <v>8209</v>
      </c>
      <c r="B35" s="19" t="s">
        <v>6805</v>
      </c>
      <c r="C35" s="20">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5" s="26">
        <f t="shared" si="0"/>
        <v>5.4288828533499197E-3</v>
      </c>
    </row>
    <row r="36" spans="1:14" ht="10" customHeight="1" x14ac:dyDescent="0.2">
      <c r="A36" s="19" t="s">
        <v>8205</v>
      </c>
      <c r="B36" s="19" t="s">
        <v>6805</v>
      </c>
      <c r="C36" s="20">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36" s="26">
        <f t="shared" si="0"/>
        <v>0</v>
      </c>
    </row>
    <row r="37" spans="1:14" ht="10" customHeight="1" x14ac:dyDescent="0.2">
      <c r="A37" s="19" t="s">
        <v>8171</v>
      </c>
      <c r="B37" s="19" t="s">
        <v>6805</v>
      </c>
      <c r="C37" s="20">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37" s="26">
        <f t="shared" si="0"/>
        <v>0</v>
      </c>
    </row>
    <row r="38" spans="1:14" ht="10" customHeight="1" x14ac:dyDescent="0.2">
      <c r="A38" s="19" t="s">
        <v>6807</v>
      </c>
      <c r="B38" s="19" t="s">
        <v>6805</v>
      </c>
      <c r="C38" s="20">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38" s="26">
        <f t="shared" si="0"/>
        <v>0</v>
      </c>
    </row>
    <row r="39" spans="1:14" ht="10" customHeight="1" x14ac:dyDescent="0.2">
      <c r="A39" s="21" t="s">
        <v>8379</v>
      </c>
      <c r="B39" s="21"/>
      <c r="C39" s="22">
        <f>SUM(C14:C38)</f>
        <v>18051596</v>
      </c>
      <c r="D39" s="27">
        <v>1</v>
      </c>
    </row>
    <row r="40" spans="1:14" ht="10" customHeight="1" x14ac:dyDescent="0.2"/>
    <row r="41" spans="1:14" ht="10" customHeight="1" x14ac:dyDescent="0.2"/>
    <row r="42" spans="1:14" ht="10" customHeight="1" x14ac:dyDescent="0.2">
      <c r="A42" s="6" t="s">
        <v>8382</v>
      </c>
      <c r="B42" s="7"/>
      <c r="C42" s="7"/>
      <c r="D42" s="7"/>
      <c r="E42" s="7"/>
      <c r="F42" s="7"/>
      <c r="G42" s="7"/>
      <c r="H42" s="7"/>
      <c r="I42" s="7"/>
      <c r="J42" s="7"/>
      <c r="K42" s="7"/>
      <c r="L42" s="7"/>
      <c r="M42" s="7"/>
      <c r="N42" s="7"/>
    </row>
    <row r="43" spans="1:14" ht="10" customHeight="1" x14ac:dyDescent="0.2">
      <c r="A43" s="28"/>
      <c r="B43" s="29" t="s">
        <v>46</v>
      </c>
      <c r="C43" s="28"/>
      <c r="D43" s="28"/>
      <c r="E43" s="28"/>
      <c r="F43" s="28"/>
      <c r="G43" s="28"/>
      <c r="H43" s="28"/>
      <c r="I43" s="28"/>
      <c r="J43" s="29" t="s">
        <v>6805</v>
      </c>
      <c r="K43" s="28"/>
      <c r="L43" s="28"/>
      <c r="M43" s="28"/>
      <c r="N43" s="30"/>
    </row>
    <row r="44" spans="1:14" ht="10" customHeight="1" x14ac:dyDescent="0.2">
      <c r="A44" s="18" t="s">
        <v>8347</v>
      </c>
      <c r="B44" s="31" t="s">
        <v>115</v>
      </c>
      <c r="C44" s="18" t="s">
        <v>178</v>
      </c>
      <c r="D44" s="18" t="s">
        <v>198</v>
      </c>
      <c r="E44" s="18" t="s">
        <v>145</v>
      </c>
      <c r="F44" s="18" t="s">
        <v>5412</v>
      </c>
      <c r="G44" s="18" t="s">
        <v>241</v>
      </c>
      <c r="H44" s="18" t="s">
        <v>210</v>
      </c>
      <c r="I44" s="18" t="s">
        <v>222</v>
      </c>
      <c r="J44" s="31" t="s">
        <v>8184</v>
      </c>
      <c r="K44" s="18" t="s">
        <v>8190</v>
      </c>
      <c r="L44" s="18" t="s">
        <v>8198</v>
      </c>
      <c r="M44" s="18" t="s">
        <v>8209</v>
      </c>
      <c r="N44" s="31" t="s">
        <v>8323</v>
      </c>
    </row>
    <row r="45" spans="1:14" ht="10" customHeight="1" x14ac:dyDescent="0.2">
      <c r="A45" s="19" t="s">
        <v>8348</v>
      </c>
      <c r="B45" s="32">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0.7652623407958894</v>
      </c>
      <c r="C45" s="26">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1</v>
      </c>
      <c r="D45" s="26">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1</v>
      </c>
      <c r="E45" s="26">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0.84240687679083093</v>
      </c>
      <c r="F45" s="26">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1</v>
      </c>
      <c r="G45" s="26">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1</v>
      </c>
      <c r="H45" s="26">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1</v>
      </c>
      <c r="I45" s="26">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1</v>
      </c>
      <c r="J45" s="32">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1</v>
      </c>
      <c r="K45" s="26">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1</v>
      </c>
      <c r="L45" s="26">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1</v>
      </c>
      <c r="M45" s="26">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1</v>
      </c>
      <c r="N45" s="32">
        <f>IFERROR(1-N46,0)</f>
        <v>0.38428602102550935</v>
      </c>
    </row>
    <row r="46" spans="1:14" ht="10" customHeight="1" x14ac:dyDescent="0.2">
      <c r="A46" s="19" t="s">
        <v>8349</v>
      </c>
      <c r="B46" s="32">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0.23473765920411058</v>
      </c>
      <c r="C46" s="26">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0</v>
      </c>
      <c r="D46" s="26">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0</v>
      </c>
      <c r="E46" s="26">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0.15759312320916904</v>
      </c>
      <c r="F46" s="26">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0</v>
      </c>
      <c r="G46" s="26">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0</v>
      </c>
      <c r="H46" s="26">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0</v>
      </c>
      <c r="I46" s="26">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0</v>
      </c>
      <c r="J46" s="32">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0</v>
      </c>
      <c r="K46" s="26">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0</v>
      </c>
      <c r="L46" s="26">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0</v>
      </c>
      <c r="M46" s="26">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0</v>
      </c>
      <c r="N46" s="32">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0.61571397897449065</v>
      </c>
    </row>
    <row r="47" spans="1:14" ht="10" customHeight="1" x14ac:dyDescent="0.2">
      <c r="A47" s="21" t="s">
        <v>8351</v>
      </c>
      <c r="B47" s="33">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C47" s="22">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47" s="22">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E47" s="22">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F47" s="22">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G47" s="22">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H47" s="22">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I47" s="22">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J47" s="33">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K47" s="22">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L47" s="22">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M47" s="22">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N47" s="33">
        <f>SUM(B47:M47)</f>
        <v>18051596</v>
      </c>
    </row>
    <row r="48" spans="1:14" ht="10" customHeight="1" x14ac:dyDescent="0.2"/>
    <row r="49" spans="1:4" ht="10" customHeight="1" x14ac:dyDescent="0.2"/>
    <row r="50" spans="1:4" ht="10" customHeight="1" x14ac:dyDescent="0.2">
      <c r="A50" s="6" t="s">
        <v>8383</v>
      </c>
      <c r="B50" s="7"/>
      <c r="C50" s="7"/>
      <c r="D50" s="7"/>
    </row>
    <row r="51" spans="1:4" ht="10" customHeight="1" x14ac:dyDescent="0.2">
      <c r="A51" s="17" t="s">
        <v>8384</v>
      </c>
    </row>
    <row r="52" spans="1:4" ht="10" customHeight="1" x14ac:dyDescent="0.2">
      <c r="A52" s="18" t="s">
        <v>8354</v>
      </c>
      <c r="B52" s="18" t="s">
        <v>8344</v>
      </c>
      <c r="C52" s="18" t="s">
        <v>8315</v>
      </c>
      <c r="D52" s="18" t="s">
        <v>8381</v>
      </c>
    </row>
    <row r="53" spans="1:4" ht="10" customHeight="1" x14ac:dyDescent="0.2">
      <c r="A53" s="19" t="s">
        <v>8357</v>
      </c>
      <c r="B53" s="19" t="s">
        <v>46</v>
      </c>
      <c r="C53" s="20">
        <f>SUMIFS(JB_R,JB_B,1,JB_H,"DDG",JB_S,"",JB_R,"&lt;&gt;")+SUMIFS(JB_N,JB_B,1,JB_H,"DDG",JB_S,"",JB_R,"",JB_N,"&lt;&gt;")+SUMIFS(JB_L,JB_B,1,JB_H,"DDG",JB_S,"",JB_R,"",JB_N,"")+SUMIFS(JB_R,JB_B,1,JB_H,"DDG",JB_S,"[PARENT]",JB_R,"&lt;&gt;")+SUMIFS(JB_N,JB_B,1,JB_H,"DDG",JB_S,"[PARENT]",JB_R,"",JB_N,"&lt;&gt;")+SUMIFS(JB_L,JB_B,1,JB_H,"DDG",JB_S,"[PARENT]",JB_R,"",JB_N,"")</f>
        <v>7213131</v>
      </c>
      <c r="D53" s="26">
        <f t="shared" ref="D53:D66" si="1">IFERROR(C53/C$67,0)</f>
        <v>0.39958411433537511</v>
      </c>
    </row>
    <row r="54" spans="1:4" ht="10" customHeight="1" x14ac:dyDescent="0.2">
      <c r="A54" s="19" t="s">
        <v>8359</v>
      </c>
      <c r="B54" s="19" t="s">
        <v>46</v>
      </c>
      <c r="C54" s="20">
        <f>SUMIFS(JB_R,JB_B,1,JB_H,"LSM",JB_S,"",JB_R,"&lt;&gt;")+SUMIFS(JB_N,JB_B,1,JB_H,"LSM",JB_S,"",JB_R,"",JB_N,"&lt;&gt;")+SUMIFS(JB_L,JB_B,1,JB_H,"LSM",JB_S,"",JB_R,"",JB_N,"")+SUMIFS(JB_R,JB_B,1,JB_H,"LSM",JB_S,"[PARENT]",JB_R,"&lt;&gt;")+SUMIFS(JB_N,JB_B,1,JB_H,"LSM",JB_S,"[PARENT]",JB_R,"",JB_N,"&lt;&gt;")+SUMIFS(JB_L,JB_B,1,JB_H,"LSM",JB_S,"[PARENT]",JB_R,"",JB_N,"")</f>
        <v>2763941</v>
      </c>
      <c r="D54" s="26">
        <f t="shared" si="1"/>
        <v>0.15311338676092684</v>
      </c>
    </row>
    <row r="55" spans="1:4" ht="10" customHeight="1" x14ac:dyDescent="0.2">
      <c r="A55" s="19" t="s">
        <v>8360</v>
      </c>
      <c r="B55" s="19" t="s">
        <v>186</v>
      </c>
      <c r="C55" s="20">
        <f>SUMIFS(JB_R,JB_B,1,JB_H,"T-AO",JB_S,"",JB_R,"&lt;&gt;")+SUMIFS(JB_N,JB_B,1,JB_H,"T-AO",JB_S,"",JB_R,"",JB_N,"&lt;&gt;")+SUMIFS(JB_L,JB_B,1,JB_H,"T-AO",JB_S,"",JB_R,"",JB_N,"")+SUMIFS(JB_R,JB_B,1,JB_H,"T-AO",JB_S,"[PARENT]",JB_R,"&lt;&gt;")+SUMIFS(JB_N,JB_B,1,JB_H,"T-AO",JB_S,"[PARENT]",JB_R,"",JB_N,"&lt;&gt;")+SUMIFS(JB_L,JB_B,1,JB_H,"T-AO",JB_S,"[PARENT]",JB_R,"",JB_N,"")</f>
        <v>1861705</v>
      </c>
      <c r="D55" s="26">
        <f t="shared" si="1"/>
        <v>0.10313243216832461</v>
      </c>
    </row>
    <row r="56" spans="1:4" ht="10" customHeight="1" x14ac:dyDescent="0.2">
      <c r="A56" s="19" t="s">
        <v>8361</v>
      </c>
      <c r="B56" s="19" t="s">
        <v>46</v>
      </c>
      <c r="C56" s="20">
        <f>SUMIFS(JB_R,JB_B,1,JB_H,"MUSV",JB_S,"",JB_R,"&lt;&gt;")+SUMIFS(JB_N,JB_B,1,JB_H,"MUSV",JB_S,"",JB_R,"",JB_N,"&lt;&gt;")+SUMIFS(JB_L,JB_B,1,JB_H,"MUSV",JB_S,"",JB_R,"",JB_N,"")+SUMIFS(JB_R,JB_B,1,JB_H,"MUSV",JB_S,"[PARENT]",JB_R,"&lt;&gt;")+SUMIFS(JB_N,JB_B,1,JB_H,"MUSV",JB_S,"[PARENT]",JB_R,"",JB_N,"&lt;&gt;")+SUMIFS(JB_L,JB_B,1,JB_H,"MUSV",JB_S,"[PARENT]",JB_R,"",JB_N,"")</f>
        <v>1325714</v>
      </c>
      <c r="D56" s="26">
        <f t="shared" si="1"/>
        <v>7.3440265337203423E-2</v>
      </c>
    </row>
    <row r="57" spans="1:4" ht="10" customHeight="1" x14ac:dyDescent="0.2">
      <c r="A57" s="19" t="s">
        <v>8362</v>
      </c>
      <c r="B57" s="19" t="s">
        <v>46</v>
      </c>
      <c r="C57" s="20">
        <f>SUMIFS(JB_R,JB_B,1,JB_H,"LPD",JB_S,"",JB_R,"&lt;&gt;")+SUMIFS(JB_N,JB_B,1,JB_H,"LPD",JB_S,"",JB_R,"",JB_N,"&lt;&gt;")+SUMIFS(JB_L,JB_B,1,JB_H,"LPD",JB_S,"",JB_R,"",JB_N,"")+SUMIFS(JB_R,JB_B,1,JB_H,"LPD",JB_S,"[PARENT]",JB_R,"&lt;&gt;")+SUMIFS(JB_N,JB_B,1,JB_H,"LPD",JB_S,"[PARENT]",JB_R,"",JB_N,"&lt;&gt;")+SUMIFS(JB_L,JB_B,1,JB_H,"LPD",JB_S,"[PARENT]",JB_R,"",JB_N,"")</f>
        <v>1110037</v>
      </c>
      <c r="D57" s="26">
        <f t="shared" si="1"/>
        <v>6.1492457509020257E-2</v>
      </c>
    </row>
    <row r="58" spans="1:4" ht="10" customHeight="1" x14ac:dyDescent="0.2">
      <c r="A58" s="19" t="s">
        <v>8363</v>
      </c>
      <c r="B58" s="19" t="s">
        <v>186</v>
      </c>
      <c r="C58" s="20">
        <f>SUMIFS(JB_R,JB_B,1,JB_H,"T-AK / T-AKR",JB_S,"",JB_R,"&lt;&gt;")+SUMIFS(JB_N,JB_B,1,JB_H,"T-AK / T-AKR",JB_S,"",JB_R,"",JB_N,"&lt;&gt;")+SUMIFS(JB_L,JB_B,1,JB_H,"T-AK / T-AKR",JB_S,"",JB_R,"",JB_N,"")+SUMIFS(JB_R,JB_B,1,JB_H,"T-AK / T-AKR",JB_S,"[PARENT]",JB_R,"&lt;&gt;")+SUMIFS(JB_N,JB_B,1,JB_H,"T-AK / T-AKR",JB_S,"[PARENT]",JB_R,"",JB_N,"&lt;&gt;")+SUMIFS(JB_L,JB_B,1,JB_H,"T-AK / T-AKR",JB_S,"[PARENT]",JB_R,"",JB_N,"")</f>
        <v>890000</v>
      </c>
      <c r="D58" s="26">
        <f t="shared" si="1"/>
        <v>4.930311979062682E-2</v>
      </c>
    </row>
    <row r="59" spans="1:4" ht="10" customHeight="1" x14ac:dyDescent="0.2">
      <c r="A59" s="19" t="s">
        <v>8364</v>
      </c>
      <c r="B59" s="19" t="s">
        <v>46</v>
      </c>
      <c r="C59" s="20">
        <f>SUMIFS(JB_R,JB_B,1,JB_H,"LHA",JB_S,"",JB_R,"&lt;&gt;")+SUMIFS(JB_N,JB_B,1,JB_H,"LHA",JB_S,"",JB_R,"",JB_N,"&lt;&gt;")+SUMIFS(JB_L,JB_B,1,JB_H,"LHA",JB_S,"",JB_R,"",JB_N,"")+SUMIFS(JB_R,JB_B,1,JB_H,"LHA",JB_S,"[PARENT]",JB_R,"&lt;&gt;")+SUMIFS(JB_N,JB_B,1,JB_H,"LHA",JB_S,"[PARENT]",JB_R,"",JB_N,"&lt;&gt;")+SUMIFS(JB_L,JB_B,1,JB_H,"LHA",JB_S,"[PARENT]",JB_R,"",JB_N,"")</f>
        <v>634963</v>
      </c>
      <c r="D59" s="26">
        <f t="shared" si="1"/>
        <v>3.5174895338894133E-2</v>
      </c>
    </row>
    <row r="60" spans="1:4" ht="10" customHeight="1" x14ac:dyDescent="0.2">
      <c r="A60" s="19" t="s">
        <v>8365</v>
      </c>
      <c r="B60" s="19" t="s">
        <v>186</v>
      </c>
      <c r="C60" s="20">
        <f>SUMIFS(JB_R,JB_B,1,JB_H,"T-AGOS",JB_S,"",JB_R,"&lt;&gt;")+SUMIFS(JB_N,JB_B,1,JB_H,"T-AGOS",JB_S,"",JB_R,"",JB_N,"&lt;&gt;")+SUMIFS(JB_L,JB_B,1,JB_H,"T-AGOS",JB_S,"",JB_R,"",JB_N,"")+SUMIFS(JB_R,JB_B,1,JB_H,"T-AGOS",JB_S,"[PARENT]",JB_R,"&lt;&gt;")+SUMIFS(JB_N,JB_B,1,JB_H,"T-AGOS",JB_S,"[PARENT]",JB_R,"",JB_N,"&lt;&gt;")+SUMIFS(JB_L,JB_B,1,JB_H,"T-AGOS",JB_S,"[PARENT]",JB_R,"",JB_N,"")</f>
        <v>612205</v>
      </c>
      <c r="D60" s="26">
        <f t="shared" si="1"/>
        <v>3.3914175788113142E-2</v>
      </c>
    </row>
    <row r="61" spans="1:4" ht="10" customHeight="1" x14ac:dyDescent="0.2">
      <c r="A61" s="19" t="s">
        <v>8366</v>
      </c>
      <c r="B61" s="19" t="s">
        <v>46</v>
      </c>
      <c r="C61" s="20">
        <f>SUMIFS(JB_R,JB_B,1,JB_H,"FFG",JB_S,"",JB_R,"&lt;&gt;")+SUMIFS(JB_N,JB_B,1,JB_H,"FFG",JB_S,"",JB_R,"",JB_N,"&lt;&gt;")+SUMIFS(JB_L,JB_B,1,JB_H,"FFG",JB_S,"",JB_R,"",JB_N,"")+SUMIFS(JB_R,JB_B,1,JB_H,"FFG",JB_S,"[PARENT]",JB_R,"&lt;&gt;")+SUMIFS(JB_N,JB_B,1,JB_H,"FFG",JB_S,"[PARENT]",JB_R,"",JB_N,"&lt;&gt;")+SUMIFS(JB_L,JB_B,1,JB_H,"FFG",JB_S,"[PARENT]",JB_R,"",JB_N,"")</f>
        <v>242000</v>
      </c>
      <c r="D61" s="26">
        <f t="shared" si="1"/>
        <v>1.3406016841945721E-2</v>
      </c>
    </row>
    <row r="62" spans="1:4" ht="10" customHeight="1" x14ac:dyDescent="0.2">
      <c r="A62" s="19" t="s">
        <v>8368</v>
      </c>
      <c r="B62" s="19" t="s">
        <v>186</v>
      </c>
      <c r="C62" s="20">
        <f>SUMIFS(JB_R,JB_B,1,JB_H,"T-ATS",JB_S,"",JB_R,"&lt;&gt;")+SUMIFS(JB_N,JB_B,1,JB_H,"T-ATS",JB_S,"",JB_R,"",JB_N,"&lt;&gt;")+SUMIFS(JB_L,JB_B,1,JB_H,"T-ATS",JB_S,"",JB_R,"",JB_N,"")+SUMIFS(JB_R,JB_B,1,JB_H,"T-ATS",JB_S,"[PARENT]",JB_R,"&lt;&gt;")+SUMIFS(JB_N,JB_B,1,JB_H,"T-ATS",JB_S,"[PARENT]",JB_R,"",JB_N,"&lt;&gt;")+SUMIFS(JB_L,JB_B,1,JB_H,"T-ATS",JB_S,"[PARENT]",JB_R,"",JB_N,"")</f>
        <v>141500</v>
      </c>
      <c r="D62" s="26">
        <f t="shared" si="1"/>
        <v>7.8386420790715686E-3</v>
      </c>
    </row>
    <row r="63" spans="1:4" ht="10" customHeight="1" x14ac:dyDescent="0.2">
      <c r="A63" s="19" t="s">
        <v>8369</v>
      </c>
      <c r="B63" s="19" t="s">
        <v>6805</v>
      </c>
      <c r="C63" s="20">
        <f>SUMIFS(JB_R,JB_B,1,JB_H,"WMSM",JB_S,"",JB_R,"&lt;&gt;")+SUMIFS(JB_N,JB_B,1,JB_H,"WMSM",JB_S,"",JB_R,"",JB_N,"&lt;&gt;")+SUMIFS(JB_L,JB_B,1,JB_H,"WMSM",JB_S,"",JB_R,"",JB_N,"")+SUMIFS(JB_R,JB_B,1,JB_H,"WMSM",JB_S,"[PARENT]",JB_R,"&lt;&gt;")+SUMIFS(JB_N,JB_B,1,JB_H,"WMSM",JB_S,"[PARENT]",JB_R,"",JB_N,"&lt;&gt;")+SUMIFS(JB_L,JB_B,1,JB_H,"WMSM",JB_S,"[PARENT]",JB_R,"",JB_N,"")</f>
        <v>812400</v>
      </c>
      <c r="D63" s="26">
        <f t="shared" si="1"/>
        <v>4.5004330918994639E-2</v>
      </c>
    </row>
    <row r="64" spans="1:4" ht="10" customHeight="1" x14ac:dyDescent="0.2">
      <c r="A64" s="19" t="s">
        <v>8370</v>
      </c>
      <c r="B64" s="19" t="s">
        <v>6805</v>
      </c>
      <c r="C64" s="20">
        <f>SUMIFS(JB_R,JB_B,1,JB_H,"WPC",JB_S,"",JB_R,"&lt;&gt;")+SUMIFS(JB_N,JB_B,1,JB_H,"WPC",JB_S,"",JB_R,"",JB_N,"&lt;&gt;")+SUMIFS(JB_L,JB_B,1,JB_H,"WPC",JB_S,"",JB_R,"",JB_N,"")+SUMIFS(JB_R,JB_B,1,JB_H,"WPC",JB_S,"[PARENT]",JB_R,"&lt;&gt;")+SUMIFS(JB_N,JB_B,1,JB_H,"WPC",JB_S,"[PARENT]",JB_R,"",JB_N,"&lt;&gt;")+SUMIFS(JB_L,JB_B,1,JB_H,"WPC",JB_S,"[PARENT]",JB_R,"",JB_N,"")</f>
        <v>216000</v>
      </c>
      <c r="D64" s="26">
        <f t="shared" si="1"/>
        <v>1.1965700982893701E-2</v>
      </c>
    </row>
    <row r="65" spans="1:10" ht="10" customHeight="1" x14ac:dyDescent="0.2">
      <c r="A65" s="19" t="s">
        <v>8371</v>
      </c>
      <c r="B65" s="19" t="s">
        <v>6805</v>
      </c>
      <c r="C65" s="20">
        <f>SUMIFS(JB_R,JB_B,1,JB_H,"WAGB",JB_S,"",JB_R,"&lt;&gt;")+SUMIFS(JB_N,JB_B,1,JB_H,"WAGB",JB_S,"",JB_R,"",JB_N,"&lt;&gt;")+SUMIFS(JB_L,JB_B,1,JB_H,"WAGB",JB_S,"",JB_R,"",JB_N,"")+SUMIFS(JB_R,JB_B,1,JB_H,"WAGB",JB_S,"[PARENT]",JB_R,"&lt;&gt;")+SUMIFS(JB_N,JB_B,1,JB_H,"WAGB",JB_S,"[PARENT]",JB_R,"",JB_N,"&lt;&gt;")+SUMIFS(JB_L,JB_B,1,JB_H,"WAGB",JB_S,"[PARENT]",JB_R,"",JB_N,"")</f>
        <v>130000</v>
      </c>
      <c r="D65" s="26">
        <f t="shared" si="1"/>
        <v>7.2015792952600981E-3</v>
      </c>
    </row>
    <row r="66" spans="1:10" ht="10" customHeight="1" x14ac:dyDescent="0.2">
      <c r="A66" s="19" t="s">
        <v>8372</v>
      </c>
      <c r="B66" s="19" t="s">
        <v>6805</v>
      </c>
      <c r="C66" s="20">
        <f>SUMIFS(JB_R,JB_B,1,JB_H,"WCC",JB_S,"",JB_R,"&lt;&gt;")+SUMIFS(JB_N,JB_B,1,JB_H,"WCC",JB_S,"",JB_R,"",JB_N,"&lt;&gt;")+SUMIFS(JB_L,JB_B,1,JB_H,"WCC",JB_S,"",JB_R,"",JB_N,"")+SUMIFS(JB_R,JB_B,1,JB_H,"WCC",JB_S,"[PARENT]",JB_R,"&lt;&gt;")+SUMIFS(JB_N,JB_B,1,JB_H,"WCC",JB_S,"[PARENT]",JB_R,"",JB_N,"&lt;&gt;")+SUMIFS(JB_L,JB_B,1,JB_H,"WCC",JB_S,"[PARENT]",JB_R,"",JB_N,"")</f>
        <v>98000</v>
      </c>
      <c r="D66" s="26">
        <f t="shared" si="1"/>
        <v>5.4288828533499197E-3</v>
      </c>
    </row>
    <row r="67" spans="1:10" ht="10" customHeight="1" x14ac:dyDescent="0.2">
      <c r="A67" s="21" t="s">
        <v>8379</v>
      </c>
      <c r="B67" s="21"/>
      <c r="C67" s="22">
        <f>SUM(C53:C66)</f>
        <v>18051596</v>
      </c>
      <c r="D67" s="27">
        <v>1</v>
      </c>
    </row>
    <row r="68" spans="1:10" ht="10" customHeight="1" x14ac:dyDescent="0.2"/>
    <row r="69" spans="1:10" ht="10" customHeight="1" x14ac:dyDescent="0.2"/>
    <row r="70" spans="1:10" ht="10" customHeight="1" x14ac:dyDescent="0.2">
      <c r="A70" s="6" t="s">
        <v>8385</v>
      </c>
      <c r="B70" s="7"/>
      <c r="C70" s="7"/>
      <c r="D70" s="7"/>
      <c r="E70" s="7"/>
      <c r="F70" s="7"/>
      <c r="G70" s="7"/>
      <c r="H70" s="7"/>
      <c r="I70" s="7"/>
      <c r="J70" s="7"/>
    </row>
    <row r="71" spans="1:10" ht="10" customHeight="1" x14ac:dyDescent="0.2">
      <c r="A71" s="17" t="s">
        <v>8386</v>
      </c>
    </row>
    <row r="72" spans="1:10" ht="10" customHeight="1" x14ac:dyDescent="0.2">
      <c r="A72" s="28"/>
      <c r="B72" s="29" t="s">
        <v>46</v>
      </c>
      <c r="C72" s="28"/>
      <c r="D72" s="28"/>
      <c r="E72" s="28"/>
      <c r="F72" s="28"/>
      <c r="G72" s="28"/>
      <c r="H72" s="28"/>
      <c r="I72" s="28"/>
      <c r="J72" s="30"/>
    </row>
    <row r="73" spans="1:10" ht="10" customHeight="1" x14ac:dyDescent="0.2">
      <c r="A73" s="18" t="s">
        <v>14</v>
      </c>
      <c r="B73" s="31" t="s">
        <v>116</v>
      </c>
      <c r="C73" s="18" t="s">
        <v>140</v>
      </c>
      <c r="D73" s="18" t="s">
        <v>146</v>
      </c>
      <c r="E73" s="18" t="s">
        <v>164</v>
      </c>
      <c r="F73" s="18" t="s">
        <v>211</v>
      </c>
      <c r="G73" s="18" t="s">
        <v>193</v>
      </c>
      <c r="H73" s="18" t="s">
        <v>199</v>
      </c>
      <c r="I73" s="18" t="s">
        <v>223</v>
      </c>
      <c r="J73" s="31" t="s">
        <v>8323</v>
      </c>
    </row>
    <row r="74" spans="1:10" ht="10" customHeight="1" x14ac:dyDescent="0.2">
      <c r="A74" s="19" t="s">
        <v>347</v>
      </c>
      <c r="B74" s="34">
        <f>SUMIFS(JB_R,JB_S,"[ALT_VIEW]",JB_B,1,JB_EX,"P-5c",JB_CC,"Plan Costs",JB_H,"DDG",JB_R,"&lt;&gt;")+SUMIFS(JB_N,JB_S,"[ALT_VIEW]",JB_B,1,JB_EX,"P-5c",JB_CC,"Plan Costs",JB_H,"DDG",JB_R,"",JB_N,"&lt;&gt;")+SUMIFS(JB_L,JB_S,"[ALT_VIEW]",JB_B,1,JB_EX,"P-5c",JB_CC,"Plan Costs",JB_H,"DDG",JB_R,"",JB_N,"")</f>
        <v>175748</v>
      </c>
      <c r="C74" s="20">
        <f>SUMIFS(JB_R,JB_S,"[ALT_VIEW]",JB_B,1,JB_EX,"P-5c",JB_CC,"Plan Costs",JB_H,"FFG",JB_R,"&lt;&gt;")+SUMIFS(JB_N,JB_S,"[ALT_VIEW]",JB_B,1,JB_EX,"P-5c",JB_CC,"Plan Costs",JB_H,"FFG",JB_R,"",JB_N,"&lt;&gt;")+SUMIFS(JB_L,JB_S,"[ALT_VIEW]",JB_B,1,JB_EX,"P-5c",JB_CC,"Plan Costs",JB_H,"FFG",JB_R,"",JB_N,"")</f>
        <v>227249</v>
      </c>
      <c r="D74" s="20">
        <f>SUMIFS(JB_R,JB_S,"[ALT_VIEW]",JB_B,1,JB_EX,"P-5c",JB_CC,"Plan Costs",JB_H,"LPD",JB_R,"&lt;&gt;")+SUMIFS(JB_N,JB_S,"[ALT_VIEW]",JB_B,1,JB_EX,"P-5c",JB_CC,"Plan Costs",JB_H,"LPD",JB_R,"",JB_N,"&lt;&gt;")+SUMIFS(JB_L,JB_S,"[ALT_VIEW]",JB_B,1,JB_EX,"P-5c",JB_CC,"Plan Costs",JB_H,"LPD",JB_R,"",JB_N,"")</f>
        <v>0</v>
      </c>
      <c r="E74" s="20">
        <f>SUMIFS(JB_R,JB_S,"[ALT_VIEW]",JB_B,1,JB_EX,"P-5c",JB_CC,"Plan Costs",JB_H,"LHA",JB_R,"&lt;&gt;")+SUMIFS(JB_N,JB_S,"[ALT_VIEW]",JB_B,1,JB_EX,"P-5c",JB_CC,"Plan Costs",JB_H,"LHA",JB_R,"",JB_N,"&lt;&gt;")+SUMIFS(JB_L,JB_S,"[ALT_VIEW]",JB_B,1,JB_EX,"P-5c",JB_CC,"Plan Costs",JB_H,"LHA",JB_R,"",JB_N,"")</f>
        <v>125000</v>
      </c>
      <c r="F74" s="20">
        <f>SUMIFS(JB_R,JB_S,"[ALT_VIEW]",JB_B,1,JB_EX,"P-5c",JB_CC,"Plan Costs",JB_H,"T-AGOS",JB_R,"&lt;&gt;")+SUMIFS(JB_N,JB_S,"[ALT_VIEW]",JB_B,1,JB_EX,"P-5c",JB_CC,"Plan Costs",JB_H,"T-AGOS",JB_R,"",JB_N,"&lt;&gt;")+SUMIFS(JB_L,JB_S,"[ALT_VIEW]",JB_B,1,JB_EX,"P-5c",JB_CC,"Plan Costs",JB_H,"T-AGOS",JB_R,"",JB_N,"")</f>
        <v>113906</v>
      </c>
      <c r="G74" s="20">
        <f>SUMIFS(JB_R,JB_S,"[ALT_VIEW]",JB_B,1,JB_EX,"P-5c",JB_CC,"Plan Costs",JB_H,"T-EPF",JB_R,"&lt;&gt;")+SUMIFS(JB_N,JB_S,"[ALT_VIEW]",JB_B,1,JB_EX,"P-5c",JB_CC,"Plan Costs",JB_H,"T-EPF",JB_R,"",JB_N,"&lt;&gt;")+SUMIFS(JB_L,JB_S,"[ALT_VIEW]",JB_B,1,JB_EX,"P-5c",JB_CC,"Plan Costs",JB_H,"T-EPF",JB_R,"",JB_N,"")</f>
        <v>27000</v>
      </c>
      <c r="H74" s="20">
        <f>SUMIFS(JB_R,JB_S,"[ALT_VIEW]",JB_B,1,JB_EX,"P-5c",JB_CC,"Plan Costs",JB_H,"T-AO",JB_R,"&lt;&gt;")+SUMIFS(JB_N,JB_S,"[ALT_VIEW]",JB_B,1,JB_EX,"P-5c",JB_CC,"Plan Costs",JB_H,"T-AO",JB_R,"",JB_N,"&lt;&gt;")+SUMIFS(JB_L,JB_S,"[ALT_VIEW]",JB_B,1,JB_EX,"P-5c",JB_CC,"Plan Costs",JB_H,"T-AO",JB_R,"",JB_N,"")</f>
        <v>0</v>
      </c>
      <c r="I74" s="20">
        <f>SUMIFS(JB_R,JB_S,"[ALT_VIEW]",JB_B,1,JB_EX,"P-5c",JB_CC,"Plan Costs",JB_H,"T-ATS",JB_R,"&lt;&gt;")+SUMIFS(JB_N,JB_S,"[ALT_VIEW]",JB_B,1,JB_EX,"P-5c",JB_CC,"Plan Costs",JB_H,"T-ATS",JB_R,"",JB_N,"&lt;&gt;")+SUMIFS(JB_L,JB_S,"[ALT_VIEW]",JB_B,1,JB_EX,"P-5c",JB_CC,"Plan Costs",JB_H,"T-ATS",JB_R,"",JB_N,"")</f>
        <v>0</v>
      </c>
      <c r="J74" s="34">
        <f t="shared" ref="J74:J80" si="2">SUM(B74:I74)</f>
        <v>668903</v>
      </c>
    </row>
    <row r="75" spans="1:10" ht="10" customHeight="1" x14ac:dyDescent="0.2">
      <c r="A75" s="19" t="s">
        <v>175</v>
      </c>
      <c r="B75" s="34">
        <f>SUMIFS(JB_R,JB_S,"[ALT_VIEW]",JB_B,1,JB_EX,"P-5c",JB_CC,"Basic Construction",JB_H,"DDG",JB_R,"&lt;&gt;")+SUMIFS(JB_N,JB_S,"[ALT_VIEW]",JB_B,1,JB_EX,"P-5c",JB_CC,"Basic Construction",JB_H,"DDG",JB_R,"",JB_N,"&lt;&gt;")+SUMIFS(JB_L,JB_S,"[ALT_VIEW]",JB_B,1,JB_EX,"P-5c",JB_CC,"Basic Construction",JB_H,"DDG",JB_R,"",JB_N,"")</f>
        <v>4840767</v>
      </c>
      <c r="C75" s="20">
        <f>SUMIFS(JB_R,JB_S,"[ALT_VIEW]",JB_B,1,JB_EX,"P-5c",JB_CC,"Basic Construction",JB_H,"FFG",JB_R,"&lt;&gt;")+SUMIFS(JB_N,JB_S,"[ALT_VIEW]",JB_B,1,JB_EX,"P-5c",JB_CC,"Basic Construction",JB_H,"FFG",JB_R,"",JB_N,"&lt;&gt;")+SUMIFS(JB_L,JB_S,"[ALT_VIEW]",JB_B,1,JB_EX,"P-5c",JB_CC,"Basic Construction",JB_H,"FFG",JB_R,"",JB_N,"")</f>
        <v>1362749</v>
      </c>
      <c r="D75" s="20">
        <f>SUMIFS(JB_R,JB_S,"[ALT_VIEW]",JB_B,1,JB_EX,"P-5c",JB_CC,"Basic Construction",JB_H,"LPD",JB_R,"&lt;&gt;")+SUMIFS(JB_N,JB_S,"[ALT_VIEW]",JB_B,1,JB_EX,"P-5c",JB_CC,"Basic Construction",JB_H,"LPD",JB_R,"",JB_N,"&lt;&gt;")+SUMIFS(JB_L,JB_S,"[ALT_VIEW]",JB_B,1,JB_EX,"P-5c",JB_CC,"Basic Construction",JB_H,"LPD",JB_R,"",JB_N,"")</f>
        <v>1661620</v>
      </c>
      <c r="E75" s="20">
        <f>SUMIFS(JB_R,JB_S,"[ALT_VIEW]",JB_B,1,JB_EX,"P-5c",JB_CC,"Basic Construction",JB_H,"LHA",JB_R,"&lt;&gt;")+SUMIFS(JB_N,JB_S,"[ALT_VIEW]",JB_B,1,JB_EX,"P-5c",JB_CC,"Basic Construction",JB_H,"LHA",JB_R,"",JB_N,"&lt;&gt;")+SUMIFS(JB_L,JB_S,"[ALT_VIEW]",JB_B,1,JB_EX,"P-5c",JB_CC,"Basic Construction",JB_H,"LHA",JB_R,"",JB_N,"")</f>
        <v>350118</v>
      </c>
      <c r="F75" s="20">
        <f>SUMIFS(JB_R,JB_S,"[ALT_VIEW]",JB_B,1,JB_EX,"P-5c",JB_CC,"Basic Construction",JB_H,"T-AGOS",JB_R,"&lt;&gt;")+SUMIFS(JB_N,JB_S,"[ALT_VIEW]",JB_B,1,JB_EX,"P-5c",JB_CC,"Basic Construction",JB_H,"T-AGOS",JB_R,"",JB_N,"&lt;&gt;")+SUMIFS(JB_L,JB_S,"[ALT_VIEW]",JB_B,1,JB_EX,"P-5c",JB_CC,"Basic Construction",JB_H,"T-AGOS",JB_R,"",JB_N,"")</f>
        <v>460560</v>
      </c>
      <c r="G75" s="20">
        <f>SUMIFS(JB_R,JB_S,"[ALT_VIEW]",JB_B,1,JB_EX,"P-5c",JB_CC,"Basic Construction",JB_H,"T-EPF",JB_R,"&lt;&gt;")+SUMIFS(JB_N,JB_S,"[ALT_VIEW]",JB_B,1,JB_EX,"P-5c",JB_CC,"Basic Construction",JB_H,"T-EPF",JB_R,"",JB_N,"&lt;&gt;")+SUMIFS(JB_L,JB_S,"[ALT_VIEW]",JB_B,1,JB_EX,"P-5c",JB_CC,"Basic Construction",JB_H,"T-EPF",JB_R,"",JB_N,"")</f>
        <v>537663</v>
      </c>
      <c r="H75" s="20">
        <f>SUMIFS(JB_R,JB_S,"[ALT_VIEW]",JB_B,1,JB_EX,"P-5c",JB_CC,"Basic Construction",JB_H,"T-AO",JB_R,"&lt;&gt;")+SUMIFS(JB_N,JB_S,"[ALT_VIEW]",JB_B,1,JB_EX,"P-5c",JB_CC,"Basic Construction",JB_H,"T-AO",JB_R,"",JB_N,"&lt;&gt;")+SUMIFS(JB_L,JB_S,"[ALT_VIEW]",JB_B,1,JB_EX,"P-5c",JB_CC,"Basic Construction",JB_H,"T-AO",JB_R,"",JB_N,"")</f>
        <v>8346</v>
      </c>
      <c r="I75" s="20">
        <f>SUMIFS(JB_R,JB_S,"[ALT_VIEW]",JB_B,1,JB_EX,"P-5c",JB_CC,"Basic Construction",JB_H,"T-ATS",JB_R,"&lt;&gt;")+SUMIFS(JB_N,JB_S,"[ALT_VIEW]",JB_B,1,JB_EX,"P-5c",JB_CC,"Basic Construction",JB_H,"T-ATS",JB_R,"",JB_N,"&lt;&gt;")+SUMIFS(JB_L,JB_S,"[ALT_VIEW]",JB_B,1,JB_EX,"P-5c",JB_CC,"Basic Construction",JB_H,"T-ATS",JB_R,"",JB_N,"")</f>
        <v>82816</v>
      </c>
      <c r="J75" s="34">
        <f t="shared" si="2"/>
        <v>9304639</v>
      </c>
    </row>
    <row r="76" spans="1:10" ht="10" customHeight="1" x14ac:dyDescent="0.2">
      <c r="A76" s="19" t="s">
        <v>354</v>
      </c>
      <c r="B76" s="34">
        <f>SUMIFS(JB_R,JB_S,"[ALT_VIEW]",JB_B,1,JB_EX,"P-5c",JB_CC,"Change Orders",JB_H,"DDG",JB_R,"&lt;&gt;")+SUMIFS(JB_N,JB_S,"[ALT_VIEW]",JB_B,1,JB_EX,"P-5c",JB_CC,"Change Orders",JB_H,"DDG",JB_R,"",JB_N,"&lt;&gt;")+SUMIFS(JB_L,JB_S,"[ALT_VIEW]",JB_B,1,JB_EX,"P-5c",JB_CC,"Change Orders",JB_H,"DDG",JB_R,"",JB_N,"")</f>
        <v>273564</v>
      </c>
      <c r="C76" s="20">
        <f>SUMIFS(JB_R,JB_S,"[ALT_VIEW]",JB_B,1,JB_EX,"P-5c",JB_CC,"Change Orders",JB_H,"FFG",JB_R,"&lt;&gt;")+SUMIFS(JB_N,JB_S,"[ALT_VIEW]",JB_B,1,JB_EX,"P-5c",JB_CC,"Change Orders",JB_H,"FFG",JB_R,"",JB_N,"&lt;&gt;")+SUMIFS(JB_L,JB_S,"[ALT_VIEW]",JB_B,1,JB_EX,"P-5c",JB_CC,"Change Orders",JB_H,"FFG",JB_R,"",JB_N,"")</f>
        <v>31119</v>
      </c>
      <c r="D76" s="20">
        <f>SUMIFS(JB_R,JB_S,"[ALT_VIEW]",JB_B,1,JB_EX,"P-5c",JB_CC,"Change Orders",JB_H,"LPD",JB_R,"&lt;&gt;")+SUMIFS(JB_N,JB_S,"[ALT_VIEW]",JB_B,1,JB_EX,"P-5c",JB_CC,"Change Orders",JB_H,"LPD",JB_R,"",JB_N,"&lt;&gt;")+SUMIFS(JB_L,JB_S,"[ALT_VIEW]",JB_B,1,JB_EX,"P-5c",JB_CC,"Change Orders",JB_H,"LPD",JB_R,"",JB_N,"")</f>
        <v>35000</v>
      </c>
      <c r="E76" s="20">
        <f>SUMIFS(JB_R,JB_S,"[ALT_VIEW]",JB_B,1,JB_EX,"P-5c",JB_CC,"Change Orders",JB_H,"LHA",JB_R,"&lt;&gt;")+SUMIFS(JB_N,JB_S,"[ALT_VIEW]",JB_B,1,JB_EX,"P-5c",JB_CC,"Change Orders",JB_H,"LHA",JB_R,"",JB_N,"&lt;&gt;")+SUMIFS(JB_L,JB_S,"[ALT_VIEW]",JB_B,1,JB_EX,"P-5c",JB_CC,"Change Orders",JB_H,"LHA",JB_R,"",JB_N,"")</f>
        <v>70183</v>
      </c>
      <c r="F76" s="20">
        <f>SUMIFS(JB_R,JB_S,"[ALT_VIEW]",JB_B,1,JB_EX,"P-5c",JB_CC,"Change Orders",JB_H,"T-AGOS",JB_R,"&lt;&gt;")+SUMIFS(JB_N,JB_S,"[ALT_VIEW]",JB_B,1,JB_EX,"P-5c",JB_CC,"Change Orders",JB_H,"T-AGOS",JB_R,"",JB_N,"&lt;&gt;")+SUMIFS(JB_L,JB_S,"[ALT_VIEW]",JB_B,1,JB_EX,"P-5c",JB_CC,"Change Orders",JB_H,"T-AGOS",JB_R,"",JB_N,"")</f>
        <v>13662</v>
      </c>
      <c r="G76" s="20">
        <f>SUMIFS(JB_R,JB_S,"[ALT_VIEW]",JB_B,1,JB_EX,"P-5c",JB_CC,"Change Orders",JB_H,"T-EPF",JB_R,"&lt;&gt;")+SUMIFS(JB_N,JB_S,"[ALT_VIEW]",JB_B,1,JB_EX,"P-5c",JB_CC,"Change Orders",JB_H,"T-EPF",JB_R,"",JB_N,"&lt;&gt;")+SUMIFS(JB_L,JB_S,"[ALT_VIEW]",JB_B,1,JB_EX,"P-5c",JB_CC,"Change Orders",JB_H,"T-EPF",JB_R,"",JB_N,"")</f>
        <v>10753</v>
      </c>
      <c r="H76" s="20">
        <f>SUMIFS(JB_R,JB_S,"[ALT_VIEW]",JB_B,1,JB_EX,"P-5c",JB_CC,"Change Orders",JB_H,"T-AO",JB_R,"&lt;&gt;")+SUMIFS(JB_N,JB_S,"[ALT_VIEW]",JB_B,1,JB_EX,"P-5c",JB_CC,"Change Orders",JB_H,"T-AO",JB_R,"",JB_N,"&lt;&gt;")+SUMIFS(JB_L,JB_S,"[ALT_VIEW]",JB_B,1,JB_EX,"P-5c",JB_CC,"Change Orders",JB_H,"T-AO",JB_R,"",JB_N,"")</f>
        <v>7900</v>
      </c>
      <c r="I76" s="20">
        <f>SUMIFS(JB_R,JB_S,"[ALT_VIEW]",JB_B,1,JB_EX,"P-5c",JB_CC,"Change Orders",JB_H,"T-ATS",JB_R,"&lt;&gt;")+SUMIFS(JB_N,JB_S,"[ALT_VIEW]",JB_B,1,JB_EX,"P-5c",JB_CC,"Change Orders",JB_H,"T-ATS",JB_R,"",JB_N,"&lt;&gt;")+SUMIFS(JB_L,JB_S,"[ALT_VIEW]",JB_B,1,JB_EX,"P-5c",JB_CC,"Change Orders",JB_H,"T-ATS",JB_R,"",JB_N,"")</f>
        <v>2493</v>
      </c>
      <c r="J76" s="34">
        <f t="shared" si="2"/>
        <v>444674</v>
      </c>
    </row>
    <row r="77" spans="1:10" ht="10" customHeight="1" x14ac:dyDescent="0.2">
      <c r="A77" s="19" t="s">
        <v>357</v>
      </c>
      <c r="B77" s="34">
        <f>SUMIFS(JB_R,JB_S,"[ALT_VIEW]",JB_B,1,JB_EX,"P-5c",JB_CC,"Electronics",JB_H,"DDG",JB_R,"&lt;&gt;")+SUMIFS(JB_N,JB_S,"[ALT_VIEW]",JB_B,1,JB_EX,"P-5c",JB_CC,"Electronics",JB_H,"DDG",JB_R,"",JB_N,"&lt;&gt;")+SUMIFS(JB_L,JB_S,"[ALT_VIEW]",JB_B,1,JB_EX,"P-5c",JB_CC,"Electronics",JB_H,"DDG",JB_R,"",JB_N,"")</f>
        <v>935490</v>
      </c>
      <c r="C77" s="20">
        <f>SUMIFS(JB_R,JB_S,"[ALT_VIEW]",JB_B,1,JB_EX,"P-5c",JB_CC,"Electronics",JB_H,"FFG",JB_R,"&lt;&gt;")+SUMIFS(JB_N,JB_S,"[ALT_VIEW]",JB_B,1,JB_EX,"P-5c",JB_CC,"Electronics",JB_H,"FFG",JB_R,"",JB_N,"&lt;&gt;")+SUMIFS(JB_L,JB_S,"[ALT_VIEW]",JB_B,1,JB_EX,"P-5c",JB_CC,"Electronics",JB_H,"FFG",JB_R,"",JB_N,"")</f>
        <v>614217</v>
      </c>
      <c r="D77" s="20">
        <f>SUMIFS(JB_R,JB_S,"[ALT_VIEW]",JB_B,1,JB_EX,"P-5c",JB_CC,"Electronics",JB_H,"LPD",JB_R,"&lt;&gt;")+SUMIFS(JB_N,JB_S,"[ALT_VIEW]",JB_B,1,JB_EX,"P-5c",JB_CC,"Electronics",JB_H,"LPD",JB_R,"",JB_N,"&lt;&gt;")+SUMIFS(JB_L,JB_S,"[ALT_VIEW]",JB_B,1,JB_EX,"P-5c",JB_CC,"Electronics",JB_H,"LPD",JB_R,"",JB_N,"")</f>
        <v>244582</v>
      </c>
      <c r="E77" s="20">
        <f>SUMIFS(JB_R,JB_S,"[ALT_VIEW]",JB_B,1,JB_EX,"P-5c",JB_CC,"Electronics",JB_H,"LHA",JB_R,"&lt;&gt;")+SUMIFS(JB_N,JB_S,"[ALT_VIEW]",JB_B,1,JB_EX,"P-5c",JB_CC,"Electronics",JB_H,"LHA",JB_R,"",JB_N,"&lt;&gt;")+SUMIFS(JB_L,JB_S,"[ALT_VIEW]",JB_B,1,JB_EX,"P-5c",JB_CC,"Electronics",JB_H,"LHA",JB_R,"",JB_N,"")</f>
        <v>335010</v>
      </c>
      <c r="F77" s="20">
        <f>SUMIFS(JB_R,JB_S,"[ALT_VIEW]",JB_B,1,JB_EX,"P-5c",JB_CC,"Electronics",JB_H,"T-AGOS",JB_R,"&lt;&gt;")+SUMIFS(JB_N,JB_S,"[ALT_VIEW]",JB_B,1,JB_EX,"P-5c",JB_CC,"Electronics",JB_H,"T-AGOS",JB_R,"",JB_N,"&lt;&gt;")+SUMIFS(JB_L,JB_S,"[ALT_VIEW]",JB_B,1,JB_EX,"P-5c",JB_CC,"Electronics",JB_H,"T-AGOS",JB_R,"",JB_N,"")</f>
        <v>115983</v>
      </c>
      <c r="G77" s="20">
        <f>SUMIFS(JB_R,JB_S,"[ALT_VIEW]",JB_B,1,JB_EX,"P-5c",JB_CC,"Electronics",JB_H,"T-EPF",JB_R,"&lt;&gt;")+SUMIFS(JB_N,JB_S,"[ALT_VIEW]",JB_B,1,JB_EX,"P-5c",JB_CC,"Electronics",JB_H,"T-EPF",JB_R,"",JB_N,"&lt;&gt;")+SUMIFS(JB_L,JB_S,"[ALT_VIEW]",JB_B,1,JB_EX,"P-5c",JB_CC,"Electronics",JB_H,"T-EPF",JB_R,"",JB_N,"")</f>
        <v>56504</v>
      </c>
      <c r="H77" s="20">
        <f>SUMIFS(JB_R,JB_S,"[ALT_VIEW]",JB_B,1,JB_EX,"P-5c",JB_CC,"Electronics",JB_H,"T-AO",JB_R,"&lt;&gt;")+SUMIFS(JB_N,JB_S,"[ALT_VIEW]",JB_B,1,JB_EX,"P-5c",JB_CC,"Electronics",JB_H,"T-AO",JB_R,"",JB_N,"&lt;&gt;")+SUMIFS(JB_L,JB_S,"[ALT_VIEW]",JB_B,1,JB_EX,"P-5c",JB_CC,"Electronics",JB_H,"T-AO",JB_R,"",JB_N,"")</f>
        <v>51586</v>
      </c>
      <c r="I77" s="20">
        <f>SUMIFS(JB_R,JB_S,"[ALT_VIEW]",JB_B,1,JB_EX,"P-5c",JB_CC,"Electronics",JB_H,"T-ATS",JB_R,"&lt;&gt;")+SUMIFS(JB_N,JB_S,"[ALT_VIEW]",JB_B,1,JB_EX,"P-5c",JB_CC,"Electronics",JB_H,"T-ATS",JB_R,"",JB_N,"&lt;&gt;")+SUMIFS(JB_L,JB_S,"[ALT_VIEW]",JB_B,1,JB_EX,"P-5c",JB_CC,"Electronics",JB_H,"T-ATS",JB_R,"",JB_N,"")</f>
        <v>5696</v>
      </c>
      <c r="J77" s="34">
        <f t="shared" si="2"/>
        <v>2359068</v>
      </c>
    </row>
    <row r="78" spans="1:10" ht="10" customHeight="1" x14ac:dyDescent="0.2">
      <c r="A78" s="19" t="s">
        <v>363</v>
      </c>
      <c r="B78" s="34">
        <f>SUMIFS(JB_R,JB_S,"[ALT_VIEW]",JB_B,1,JB_EX,"P-5c",JB_CC,"Hull, Mechanical, and Electrical",JB_H,"DDG",JB_R,"&lt;&gt;")+SUMIFS(JB_N,JB_S,"[ALT_VIEW]",JB_B,1,JB_EX,"P-5c",JB_CC,"Hull, Mechanical, and Electrical",JB_H,"DDG",JB_R,"",JB_N,"&lt;&gt;")+SUMIFS(JB_L,JB_S,"[ALT_VIEW]",JB_B,1,JB_EX,"P-5c",JB_CC,"Hull, Mechanical, and Electrical",JB_H,"DDG",JB_R,"",JB_N,"")</f>
        <v>154029</v>
      </c>
      <c r="C78" s="20">
        <f>SUMIFS(JB_R,JB_S,"[ALT_VIEW]",JB_B,1,JB_EX,"P-5c",JB_CC,"Hull, Mechanical, and Electrical",JB_H,"FFG",JB_R,"&lt;&gt;")+SUMIFS(JB_N,JB_S,"[ALT_VIEW]",JB_B,1,JB_EX,"P-5c",JB_CC,"Hull, Mechanical, and Electrical",JB_H,"FFG",JB_R,"",JB_N,"&lt;&gt;")+SUMIFS(JB_L,JB_S,"[ALT_VIEW]",JB_B,1,JB_EX,"P-5c",JB_CC,"Hull, Mechanical, and Electrical",JB_H,"FFG",JB_R,"",JB_N,"")</f>
        <v>0</v>
      </c>
      <c r="D78" s="20">
        <f>SUMIFS(JB_R,JB_S,"[ALT_VIEW]",JB_B,1,JB_EX,"P-5c",JB_CC,"Hull, Mechanical, and Electrical",JB_H,"LPD",JB_R,"&lt;&gt;")+SUMIFS(JB_N,JB_S,"[ALT_VIEW]",JB_B,1,JB_EX,"P-5c",JB_CC,"Hull, Mechanical, and Electrical",JB_H,"LPD",JB_R,"",JB_N,"&lt;&gt;")+SUMIFS(JB_L,JB_S,"[ALT_VIEW]",JB_B,1,JB_EX,"P-5c",JB_CC,"Hull, Mechanical, and Electrical",JB_H,"LPD",JB_R,"",JB_N,"")</f>
        <v>20289</v>
      </c>
      <c r="E78" s="20">
        <f>SUMIFS(JB_R,JB_S,"[ALT_VIEW]",JB_B,1,JB_EX,"P-5c",JB_CC,"Hull, Mechanical, and Electrical",JB_H,"LHA",JB_R,"&lt;&gt;")+SUMIFS(JB_N,JB_S,"[ALT_VIEW]",JB_B,1,JB_EX,"P-5c",JB_CC,"Hull, Mechanical, and Electrical",JB_H,"LHA",JB_R,"",JB_N,"&lt;&gt;")+SUMIFS(JB_L,JB_S,"[ALT_VIEW]",JB_B,1,JB_EX,"P-5c",JB_CC,"Hull, Mechanical, and Electrical",JB_H,"LHA",JB_R,"",JB_N,"")</f>
        <v>61882</v>
      </c>
      <c r="F78" s="20">
        <f>SUMIFS(JB_R,JB_S,"[ALT_VIEW]",JB_B,1,JB_EX,"P-5c",JB_CC,"Hull, Mechanical, and Electrical",JB_H,"T-AGOS",JB_R,"&lt;&gt;")+SUMIFS(JB_N,JB_S,"[ALT_VIEW]",JB_B,1,JB_EX,"P-5c",JB_CC,"Hull, Mechanical, and Electrical",JB_H,"T-AGOS",JB_R,"",JB_N,"&lt;&gt;")+SUMIFS(JB_L,JB_S,"[ALT_VIEW]",JB_B,1,JB_EX,"P-5c",JB_CC,"Hull, Mechanical, and Electrical",JB_H,"T-AGOS",JB_R,"",JB_N,"")</f>
        <v>22000</v>
      </c>
      <c r="G78" s="20">
        <f>SUMIFS(JB_R,JB_S,"[ALT_VIEW]",JB_B,1,JB_EX,"P-5c",JB_CC,"Hull, Mechanical, and Electrical",JB_H,"T-EPF",JB_R,"&lt;&gt;")+SUMIFS(JB_N,JB_S,"[ALT_VIEW]",JB_B,1,JB_EX,"P-5c",JB_CC,"Hull, Mechanical, and Electrical",JB_H,"T-EPF",JB_R,"",JB_N,"&lt;&gt;")+SUMIFS(JB_L,JB_S,"[ALT_VIEW]",JB_B,1,JB_EX,"P-5c",JB_CC,"Hull, Mechanical, and Electrical",JB_H,"T-EPF",JB_R,"",JB_N,"")</f>
        <v>26720</v>
      </c>
      <c r="H78" s="20">
        <f>SUMIFS(JB_R,JB_S,"[ALT_VIEW]",JB_B,1,JB_EX,"P-5c",JB_CC,"Hull, Mechanical, and Electrical",JB_H,"T-AO",JB_R,"&lt;&gt;")+SUMIFS(JB_N,JB_S,"[ALT_VIEW]",JB_B,1,JB_EX,"P-5c",JB_CC,"Hull, Mechanical, and Electrical",JB_H,"T-AO",JB_R,"",JB_N,"&lt;&gt;")+SUMIFS(JB_L,JB_S,"[ALT_VIEW]",JB_B,1,JB_EX,"P-5c",JB_CC,"Hull, Mechanical, and Electrical",JB_H,"T-AO",JB_R,"",JB_N,"")</f>
        <v>15531</v>
      </c>
      <c r="I78" s="20">
        <f>SUMIFS(JB_R,JB_S,"[ALT_VIEW]",JB_B,1,JB_EX,"P-5c",JB_CC,"Hull, Mechanical, and Electrical",JB_H,"T-ATS",JB_R,"&lt;&gt;")+SUMIFS(JB_N,JB_S,"[ALT_VIEW]",JB_B,1,JB_EX,"P-5c",JB_CC,"Hull, Mechanical, and Electrical",JB_H,"T-ATS",JB_R,"",JB_N,"&lt;&gt;")+SUMIFS(JB_L,JB_S,"[ALT_VIEW]",JB_B,1,JB_EX,"P-5c",JB_CC,"Hull, Mechanical, and Electrical",JB_H,"T-ATS",JB_R,"",JB_N,"")</f>
        <v>0</v>
      </c>
      <c r="J78" s="34">
        <f t="shared" si="2"/>
        <v>300451</v>
      </c>
    </row>
    <row r="79" spans="1:10" ht="10" customHeight="1" x14ac:dyDescent="0.2">
      <c r="A79" s="19" t="s">
        <v>366</v>
      </c>
      <c r="B79" s="34">
        <f>SUMIFS(JB_R,JB_S,"[ALT_VIEW]",JB_B,1,JB_EX,"P-5c",JB_CC,"Ordnance",JB_H,"DDG",JB_R,"&lt;&gt;")+SUMIFS(JB_N,JB_S,"[ALT_VIEW]",JB_B,1,JB_EX,"P-5c",JB_CC,"Ordnance",JB_H,"DDG",JB_R,"",JB_N,"&lt;&gt;")+SUMIFS(JB_L,JB_S,"[ALT_VIEW]",JB_B,1,JB_EX,"P-5c",JB_CC,"Ordnance",JB_H,"DDG",JB_R,"",JB_N,"")</f>
        <v>3651082</v>
      </c>
      <c r="C79" s="20">
        <f>SUMIFS(JB_R,JB_S,"[ALT_VIEW]",JB_B,1,JB_EX,"P-5c",JB_CC,"Ordnance",JB_H,"FFG",JB_R,"&lt;&gt;")+SUMIFS(JB_N,JB_S,"[ALT_VIEW]",JB_B,1,JB_EX,"P-5c",JB_CC,"Ordnance",JB_H,"FFG",JB_R,"",JB_N,"&lt;&gt;")+SUMIFS(JB_L,JB_S,"[ALT_VIEW]",JB_B,1,JB_EX,"P-5c",JB_CC,"Ordnance",JB_H,"FFG",JB_R,"",JB_N,"")</f>
        <v>121197</v>
      </c>
      <c r="D79" s="20">
        <f>SUMIFS(JB_R,JB_S,"[ALT_VIEW]",JB_B,1,JB_EX,"P-5c",JB_CC,"Ordnance",JB_H,"LPD",JB_R,"&lt;&gt;")+SUMIFS(JB_N,JB_S,"[ALT_VIEW]",JB_B,1,JB_EX,"P-5c",JB_CC,"Ordnance",JB_H,"LPD",JB_R,"",JB_N,"&lt;&gt;")+SUMIFS(JB_L,JB_S,"[ALT_VIEW]",JB_B,1,JB_EX,"P-5c",JB_CC,"Ordnance",JB_H,"LPD",JB_R,"",JB_N,"")</f>
        <v>101472</v>
      </c>
      <c r="E79" s="20">
        <f>SUMIFS(JB_R,JB_S,"[ALT_VIEW]",JB_B,1,JB_EX,"P-5c",JB_CC,"Ordnance",JB_H,"LHA",JB_R,"&lt;&gt;")+SUMIFS(JB_N,JB_S,"[ALT_VIEW]",JB_B,1,JB_EX,"P-5c",JB_CC,"Ordnance",JB_H,"LHA",JB_R,"",JB_N,"&lt;&gt;")+SUMIFS(JB_L,JB_S,"[ALT_VIEW]",JB_B,1,JB_EX,"P-5c",JB_CC,"Ordnance",JB_H,"LHA",JB_R,"",JB_N,"")</f>
        <v>168742</v>
      </c>
      <c r="F79" s="20">
        <f>SUMIFS(JB_R,JB_S,"[ALT_VIEW]",JB_B,1,JB_EX,"P-5c",JB_CC,"Ordnance",JB_H,"T-AGOS",JB_R,"&lt;&gt;")+SUMIFS(JB_N,JB_S,"[ALT_VIEW]",JB_B,1,JB_EX,"P-5c",JB_CC,"Ordnance",JB_H,"T-AGOS",JB_R,"",JB_N,"&lt;&gt;")+SUMIFS(JB_L,JB_S,"[ALT_VIEW]",JB_B,1,JB_EX,"P-5c",JB_CC,"Ordnance",JB_H,"T-AGOS",JB_R,"",JB_N,"")</f>
        <v>0</v>
      </c>
      <c r="G79" s="20">
        <f>SUMIFS(JB_R,JB_S,"[ALT_VIEW]",JB_B,1,JB_EX,"P-5c",JB_CC,"Ordnance",JB_H,"T-EPF",JB_R,"&lt;&gt;")+SUMIFS(JB_N,JB_S,"[ALT_VIEW]",JB_B,1,JB_EX,"P-5c",JB_CC,"Ordnance",JB_H,"T-EPF",JB_R,"",JB_N,"&lt;&gt;")+SUMIFS(JB_L,JB_S,"[ALT_VIEW]",JB_B,1,JB_EX,"P-5c",JB_CC,"Ordnance",JB_H,"T-EPF",JB_R,"",JB_N,"")</f>
        <v>0</v>
      </c>
      <c r="H79" s="20">
        <f>SUMIFS(JB_R,JB_S,"[ALT_VIEW]",JB_B,1,JB_EX,"P-5c",JB_CC,"Ordnance",JB_H,"T-AO",JB_R,"&lt;&gt;")+SUMIFS(JB_N,JB_S,"[ALT_VIEW]",JB_B,1,JB_EX,"P-5c",JB_CC,"Ordnance",JB_H,"T-AO",JB_R,"",JB_N,"&lt;&gt;")+SUMIFS(JB_L,JB_S,"[ALT_VIEW]",JB_B,1,JB_EX,"P-5c",JB_CC,"Ordnance",JB_H,"T-AO",JB_R,"",JB_N,"")</f>
        <v>0</v>
      </c>
      <c r="I79" s="20">
        <f>SUMIFS(JB_R,JB_S,"[ALT_VIEW]",JB_B,1,JB_EX,"P-5c",JB_CC,"Ordnance",JB_H,"T-ATS",JB_R,"&lt;&gt;")+SUMIFS(JB_N,JB_S,"[ALT_VIEW]",JB_B,1,JB_EX,"P-5c",JB_CC,"Ordnance",JB_H,"T-ATS",JB_R,"",JB_N,"&lt;&gt;")+SUMIFS(JB_L,JB_S,"[ALT_VIEW]",JB_B,1,JB_EX,"P-5c",JB_CC,"Ordnance",JB_H,"T-ATS",JB_R,"",JB_N,"")</f>
        <v>0</v>
      </c>
      <c r="J79" s="34">
        <f t="shared" si="2"/>
        <v>4042493</v>
      </c>
    </row>
    <row r="80" spans="1:10" ht="10" customHeight="1" x14ac:dyDescent="0.2">
      <c r="A80" s="19" t="s">
        <v>369</v>
      </c>
      <c r="B80" s="34">
        <f>SUMIFS(JB_R,JB_S,"[ALT_VIEW]",JB_B,1,JB_EX,"P-5c",JB_CC,"Other Cost",JB_H,"DDG",JB_R,"&lt;&gt;")+SUMIFS(JB_N,JB_S,"[ALT_VIEW]",JB_B,1,JB_EX,"P-5c",JB_CC,"Other Cost",JB_H,"DDG",JB_R,"",JB_N,"&lt;&gt;")+SUMIFS(JB_L,JB_S,"[ALT_VIEW]",JB_B,1,JB_EX,"P-5c",JB_CC,"Other Cost",JB_H,"DDG",JB_R,"",JB_N,"")</f>
        <v>170688</v>
      </c>
      <c r="C80" s="20">
        <f>SUMIFS(JB_R,JB_S,"[ALT_VIEW]",JB_B,1,JB_EX,"P-5c",JB_CC,"Other Cost",JB_H,"FFG",JB_R,"&lt;&gt;")+SUMIFS(JB_N,JB_S,"[ALT_VIEW]",JB_B,1,JB_EX,"P-5c",JB_CC,"Other Cost",JB_H,"FFG",JB_R,"",JB_N,"&lt;&gt;")+SUMIFS(JB_L,JB_S,"[ALT_VIEW]",JB_B,1,JB_EX,"P-5c",JB_CC,"Other Cost",JB_H,"FFG",JB_R,"",JB_N,"")</f>
        <v>99993</v>
      </c>
      <c r="D80" s="20">
        <f>SUMIFS(JB_R,JB_S,"[ALT_VIEW]",JB_B,1,JB_EX,"P-5c",JB_CC,"Other Cost",JB_H,"LPD",JB_R,"&lt;&gt;")+SUMIFS(JB_N,JB_S,"[ALT_VIEW]",JB_B,1,JB_EX,"P-5c",JB_CC,"Other Cost",JB_H,"LPD",JB_R,"",JB_N,"&lt;&gt;")+SUMIFS(JB_L,JB_S,"[ALT_VIEW]",JB_B,1,JB_EX,"P-5c",JB_CC,"Other Cost",JB_H,"LPD",JB_R,"",JB_N,"")</f>
        <v>7674</v>
      </c>
      <c r="E80" s="20">
        <f>SUMIFS(JB_R,JB_S,"[ALT_VIEW]",JB_B,1,JB_EX,"P-5c",JB_CC,"Other Cost",JB_H,"LHA",JB_R,"&lt;&gt;")+SUMIFS(JB_N,JB_S,"[ALT_VIEW]",JB_B,1,JB_EX,"P-5c",JB_CC,"Other Cost",JB_H,"LHA",JB_R,"",JB_N,"&lt;&gt;")+SUMIFS(JB_L,JB_S,"[ALT_VIEW]",JB_B,1,JB_EX,"P-5c",JB_CC,"Other Cost",JB_H,"LHA",JB_R,"",JB_N,"")</f>
        <v>69439</v>
      </c>
      <c r="F80" s="20">
        <f>SUMIFS(JB_R,JB_S,"[ALT_VIEW]",JB_B,1,JB_EX,"P-5c",JB_CC,"Other Cost",JB_H,"T-AGOS",JB_R,"&lt;&gt;")+SUMIFS(JB_N,JB_S,"[ALT_VIEW]",JB_B,1,JB_EX,"P-5c",JB_CC,"Other Cost",JB_H,"T-AGOS",JB_R,"",JB_N,"&lt;&gt;")+SUMIFS(JB_L,JB_S,"[ALT_VIEW]",JB_B,1,JB_EX,"P-5c",JB_CC,"Other Cost",JB_H,"T-AGOS",JB_R,"",JB_N,"")</f>
        <v>0</v>
      </c>
      <c r="G80" s="20">
        <f>SUMIFS(JB_R,JB_S,"[ALT_VIEW]",JB_B,1,JB_EX,"P-5c",JB_CC,"Other Cost",JB_H,"T-EPF",JB_R,"&lt;&gt;")+SUMIFS(JB_N,JB_S,"[ALT_VIEW]",JB_B,1,JB_EX,"P-5c",JB_CC,"Other Cost",JB_H,"T-EPF",JB_R,"",JB_N,"&lt;&gt;")+SUMIFS(JB_L,JB_S,"[ALT_VIEW]",JB_B,1,JB_EX,"P-5c",JB_CC,"Other Cost",JB_H,"T-EPF",JB_R,"",JB_N,"")</f>
        <v>13360</v>
      </c>
      <c r="H80" s="20">
        <f>SUMIFS(JB_R,JB_S,"[ALT_VIEW]",JB_B,1,JB_EX,"P-5c",JB_CC,"Other Cost",JB_H,"T-AO",JB_R,"&lt;&gt;")+SUMIFS(JB_N,JB_S,"[ALT_VIEW]",JB_B,1,JB_EX,"P-5c",JB_CC,"Other Cost",JB_H,"T-AO",JB_R,"",JB_N,"&lt;&gt;")+SUMIFS(JB_L,JB_S,"[ALT_VIEW]",JB_B,1,JB_EX,"P-5c",JB_CC,"Other Cost",JB_H,"T-AO",JB_R,"",JB_N,"")</f>
        <v>20000</v>
      </c>
      <c r="I80" s="20">
        <f>SUMIFS(JB_R,JB_S,"[ALT_VIEW]",JB_B,1,JB_EX,"P-5c",JB_CC,"Other Cost",JB_H,"T-ATS",JB_R,"&lt;&gt;")+SUMIFS(JB_N,JB_S,"[ALT_VIEW]",JB_B,1,JB_EX,"P-5c",JB_CC,"Other Cost",JB_H,"T-ATS",JB_R,"",JB_N,"&lt;&gt;")+SUMIFS(JB_L,JB_S,"[ALT_VIEW]",JB_B,1,JB_EX,"P-5c",JB_CC,"Other Cost",JB_H,"T-ATS",JB_R,"",JB_N,"")</f>
        <v>0</v>
      </c>
      <c r="J80" s="34">
        <f t="shared" si="2"/>
        <v>381154</v>
      </c>
    </row>
    <row r="81" spans="1:10" ht="10" customHeight="1" x14ac:dyDescent="0.2">
      <c r="A81" s="21" t="s">
        <v>8387</v>
      </c>
      <c r="B81" s="33">
        <f t="shared" ref="B81:J81" si="3">SUM(B74:B80)</f>
        <v>10201368</v>
      </c>
      <c r="C81" s="22">
        <f t="shared" si="3"/>
        <v>2456524</v>
      </c>
      <c r="D81" s="22">
        <f t="shared" si="3"/>
        <v>2070637</v>
      </c>
      <c r="E81" s="22">
        <f t="shared" si="3"/>
        <v>1180374</v>
      </c>
      <c r="F81" s="22">
        <f t="shared" si="3"/>
        <v>726111</v>
      </c>
      <c r="G81" s="22">
        <f t="shared" si="3"/>
        <v>672000</v>
      </c>
      <c r="H81" s="22">
        <f t="shared" si="3"/>
        <v>103363</v>
      </c>
      <c r="I81" s="22">
        <f t="shared" si="3"/>
        <v>91005</v>
      </c>
      <c r="J81" s="33">
        <f t="shared" si="3"/>
        <v>17501382</v>
      </c>
    </row>
    <row r="82" spans="1:10" ht="10" customHeight="1" x14ac:dyDescent="0.2"/>
    <row r="83" spans="1:10" ht="10" customHeight="1" x14ac:dyDescent="0.2">
      <c r="A83" s="35" t="s">
        <v>8388</v>
      </c>
      <c r="B83" s="30"/>
      <c r="C83" s="28"/>
      <c r="D83" s="28"/>
      <c r="E83" s="28"/>
      <c r="F83" s="28"/>
      <c r="G83" s="28"/>
      <c r="H83" s="28"/>
      <c r="I83" s="28"/>
      <c r="J83" s="30"/>
    </row>
    <row r="84" spans="1:10" ht="10" customHeight="1" x14ac:dyDescent="0.2">
      <c r="A84" s="18" t="s">
        <v>14</v>
      </c>
      <c r="B84" s="31" t="s">
        <v>116</v>
      </c>
      <c r="C84" s="18" t="s">
        <v>140</v>
      </c>
      <c r="D84" s="18" t="s">
        <v>146</v>
      </c>
      <c r="E84" s="18" t="s">
        <v>164</v>
      </c>
      <c r="F84" s="18" t="s">
        <v>211</v>
      </c>
      <c r="G84" s="18" t="s">
        <v>193</v>
      </c>
      <c r="H84" s="18" t="s">
        <v>199</v>
      </c>
      <c r="I84" s="18" t="s">
        <v>223</v>
      </c>
      <c r="J84" s="31" t="s">
        <v>8323</v>
      </c>
    </row>
    <row r="85" spans="1:10" ht="10" customHeight="1" x14ac:dyDescent="0.2">
      <c r="A85" s="19" t="s">
        <v>347</v>
      </c>
      <c r="B85" s="32">
        <f t="shared" ref="B85:J85" si="4">IFERROR(B74/B$81,0)</f>
        <v>1.7227885514962307E-2</v>
      </c>
      <c r="C85" s="26">
        <f t="shared" si="4"/>
        <v>9.2508357337441033E-2</v>
      </c>
      <c r="D85" s="26">
        <f t="shared" si="4"/>
        <v>0</v>
      </c>
      <c r="E85" s="26">
        <f t="shared" si="4"/>
        <v>0.10589863890597387</v>
      </c>
      <c r="F85" s="26">
        <f t="shared" si="4"/>
        <v>0.15687133234450379</v>
      </c>
      <c r="G85" s="26">
        <f t="shared" si="4"/>
        <v>4.0178571428571432E-2</v>
      </c>
      <c r="H85" s="26">
        <f t="shared" si="4"/>
        <v>0</v>
      </c>
      <c r="I85" s="26">
        <f t="shared" si="4"/>
        <v>0</v>
      </c>
      <c r="J85" s="32">
        <f t="shared" si="4"/>
        <v>3.822001028261654E-2</v>
      </c>
    </row>
    <row r="86" spans="1:10" ht="10" customHeight="1" x14ac:dyDescent="0.2">
      <c r="A86" s="19" t="s">
        <v>175</v>
      </c>
      <c r="B86" s="32">
        <f t="shared" ref="B86:J86" si="5">IFERROR(B75/B$81,0)</f>
        <v>0.47452135831194403</v>
      </c>
      <c r="C86" s="26">
        <f t="shared" si="5"/>
        <v>0.55474686996748246</v>
      </c>
      <c r="D86" s="26">
        <f t="shared" si="5"/>
        <v>0.80246803278411427</v>
      </c>
      <c r="E86" s="26">
        <f t="shared" si="5"/>
        <v>0.29661615725185408</v>
      </c>
      <c r="F86" s="26">
        <f t="shared" si="5"/>
        <v>0.63428318810760342</v>
      </c>
      <c r="G86" s="26">
        <f t="shared" si="5"/>
        <v>0.80009375000000005</v>
      </c>
      <c r="H86" s="26">
        <f t="shared" si="5"/>
        <v>8.0744560432649978E-2</v>
      </c>
      <c r="I86" s="26">
        <f t="shared" si="5"/>
        <v>0.91001593319048402</v>
      </c>
      <c r="J86" s="32">
        <f t="shared" si="5"/>
        <v>0.53165167185082873</v>
      </c>
    </row>
    <row r="87" spans="1:10" ht="10" customHeight="1" x14ac:dyDescent="0.2">
      <c r="A87" s="19" t="s">
        <v>354</v>
      </c>
      <c r="B87" s="32">
        <f t="shared" ref="B87:J87" si="6">IFERROR(B76/B$81,0)</f>
        <v>2.6816403447067098E-2</v>
      </c>
      <c r="C87" s="26">
        <f t="shared" si="6"/>
        <v>1.2667899845472709E-2</v>
      </c>
      <c r="D87" s="26">
        <f t="shared" si="6"/>
        <v>1.6903011005791939E-2</v>
      </c>
      <c r="E87" s="26">
        <f t="shared" si="6"/>
        <v>5.9458273394703713E-2</v>
      </c>
      <c r="F87" s="26">
        <f t="shared" si="6"/>
        <v>1.8815305097980888E-2</v>
      </c>
      <c r="G87" s="26">
        <f t="shared" si="6"/>
        <v>1.6001488095238096E-2</v>
      </c>
      <c r="H87" s="26">
        <f t="shared" si="6"/>
        <v>7.6429670191461158E-2</v>
      </c>
      <c r="I87" s="26">
        <f t="shared" si="6"/>
        <v>2.7394099225317291E-2</v>
      </c>
      <c r="J87" s="32">
        <f t="shared" si="6"/>
        <v>2.5407936356111764E-2</v>
      </c>
    </row>
    <row r="88" spans="1:10" ht="10" customHeight="1" x14ac:dyDescent="0.2">
      <c r="A88" s="19" t="s">
        <v>357</v>
      </c>
      <c r="B88" s="32">
        <f t="shared" ref="B88:J88" si="7">IFERROR(B77/B$81,0)</f>
        <v>9.1702406971300318E-2</v>
      </c>
      <c r="C88" s="26">
        <f t="shared" si="7"/>
        <v>0.25003500881733703</v>
      </c>
      <c r="D88" s="26">
        <f t="shared" si="7"/>
        <v>0.11811920679481724</v>
      </c>
      <c r="E88" s="26">
        <f t="shared" si="7"/>
        <v>0.28381682415912246</v>
      </c>
      <c r="F88" s="26">
        <f t="shared" si="7"/>
        <v>0.15973177654656107</v>
      </c>
      <c r="G88" s="26">
        <f t="shared" si="7"/>
        <v>8.4083333333333329E-2</v>
      </c>
      <c r="H88" s="26">
        <f t="shared" si="7"/>
        <v>0.49907607170844498</v>
      </c>
      <c r="I88" s="26">
        <f t="shared" si="7"/>
        <v>6.2589967584198672E-2</v>
      </c>
      <c r="J88" s="32">
        <f t="shared" si="7"/>
        <v>0.1347932408994901</v>
      </c>
    </row>
    <row r="89" spans="1:10" ht="10" customHeight="1" x14ac:dyDescent="0.2">
      <c r="A89" s="19" t="s">
        <v>363</v>
      </c>
      <c r="B89" s="32">
        <f t="shared" ref="B89:J89" si="8">IFERROR(B78/B$81,0)</f>
        <v>1.5098857329722838E-2</v>
      </c>
      <c r="C89" s="26">
        <f t="shared" si="8"/>
        <v>0</v>
      </c>
      <c r="D89" s="26">
        <f t="shared" si="8"/>
        <v>9.7984340084717892E-3</v>
      </c>
      <c r="E89" s="26">
        <f t="shared" si="8"/>
        <v>5.2425756582235798E-2</v>
      </c>
      <c r="F89" s="26">
        <f t="shared" si="8"/>
        <v>3.0298397903350864E-2</v>
      </c>
      <c r="G89" s="26">
        <f t="shared" si="8"/>
        <v>3.9761904761904762E-2</v>
      </c>
      <c r="H89" s="26">
        <f t="shared" si="8"/>
        <v>0.15025686173969408</v>
      </c>
      <c r="I89" s="26">
        <f t="shared" si="8"/>
        <v>0</v>
      </c>
      <c r="J89" s="32">
        <f t="shared" si="8"/>
        <v>1.7167272847367139E-2</v>
      </c>
    </row>
    <row r="90" spans="1:10" ht="10" customHeight="1" x14ac:dyDescent="0.2">
      <c r="A90" s="19" t="s">
        <v>366</v>
      </c>
      <c r="B90" s="32">
        <f t="shared" ref="B90:J90" si="9">IFERROR(B79/B$81,0)</f>
        <v>0.35790121481746368</v>
      </c>
      <c r="C90" s="26">
        <f t="shared" si="9"/>
        <v>4.9336786451099193E-2</v>
      </c>
      <c r="D90" s="26">
        <f t="shared" si="9"/>
        <v>4.9005209507991983E-2</v>
      </c>
      <c r="E90" s="26">
        <f t="shared" si="9"/>
        <v>0.14295638501017474</v>
      </c>
      <c r="F90" s="26">
        <f t="shared" si="9"/>
        <v>0</v>
      </c>
      <c r="G90" s="26">
        <f t="shared" si="9"/>
        <v>0</v>
      </c>
      <c r="H90" s="26">
        <f t="shared" si="9"/>
        <v>0</v>
      </c>
      <c r="I90" s="26">
        <f t="shared" si="9"/>
        <v>0</v>
      </c>
      <c r="J90" s="32">
        <f t="shared" si="9"/>
        <v>0.23098135907210071</v>
      </c>
    </row>
    <row r="91" spans="1:10" ht="10" customHeight="1" x14ac:dyDescent="0.2">
      <c r="A91" s="19" t="s">
        <v>369</v>
      </c>
      <c r="B91" s="32">
        <f t="shared" ref="B91:J91" si="10">IFERROR(B80/B$81,0)</f>
        <v>1.6731873607539693E-2</v>
      </c>
      <c r="C91" s="26">
        <f t="shared" si="10"/>
        <v>4.0705077581167537E-2</v>
      </c>
      <c r="D91" s="26">
        <f t="shared" si="10"/>
        <v>3.7061058988127806E-3</v>
      </c>
      <c r="E91" s="26">
        <f t="shared" si="10"/>
        <v>5.8827964695935354E-2</v>
      </c>
      <c r="F91" s="26">
        <f t="shared" si="10"/>
        <v>0</v>
      </c>
      <c r="G91" s="26">
        <f t="shared" si="10"/>
        <v>1.9880952380952381E-2</v>
      </c>
      <c r="H91" s="26">
        <f t="shared" si="10"/>
        <v>0.19349283592774977</v>
      </c>
      <c r="I91" s="26">
        <f t="shared" si="10"/>
        <v>0</v>
      </c>
      <c r="J91" s="32">
        <f t="shared" si="10"/>
        <v>2.1778508691485048E-2</v>
      </c>
    </row>
    <row r="92" spans="1:10" ht="10" customHeight="1" x14ac:dyDescent="0.2">
      <c r="A92" s="21" t="s">
        <v>8323</v>
      </c>
      <c r="B92" s="36">
        <v>1</v>
      </c>
      <c r="C92" s="27">
        <v>1</v>
      </c>
      <c r="D92" s="27">
        <v>1</v>
      </c>
      <c r="E92" s="27">
        <v>1</v>
      </c>
      <c r="F92" s="27">
        <v>1</v>
      </c>
      <c r="G92" s="27">
        <v>1</v>
      </c>
      <c r="H92" s="27">
        <v>1</v>
      </c>
      <c r="I92" s="27">
        <v>1</v>
      </c>
      <c r="J92" s="36">
        <v>1</v>
      </c>
    </row>
    <row r="93" spans="1:10" ht="10" customHeight="1" x14ac:dyDescent="0.2"/>
    <row r="94" spans="1:10" ht="10" customHeight="1" x14ac:dyDescent="0.2"/>
    <row r="95" spans="1:10" ht="10" customHeight="1" x14ac:dyDescent="0.2">
      <c r="A95" s="6" t="s">
        <v>8389</v>
      </c>
      <c r="B95" s="7"/>
      <c r="C95" s="7"/>
      <c r="D95" s="7"/>
      <c r="E95" s="7"/>
      <c r="F95" s="7"/>
      <c r="G95" s="7"/>
      <c r="H95" s="7"/>
      <c r="I95" s="7"/>
      <c r="J95" s="7"/>
    </row>
    <row r="96" spans="1:10" ht="10" customHeight="1" x14ac:dyDescent="0.2">
      <c r="A96" s="17" t="s">
        <v>8390</v>
      </c>
    </row>
    <row r="97" spans="1:10" ht="10" customHeight="1" x14ac:dyDescent="0.2">
      <c r="A97" s="28"/>
      <c r="B97" s="29" t="s">
        <v>46</v>
      </c>
      <c r="C97" s="28"/>
      <c r="D97" s="28"/>
      <c r="E97" s="28"/>
      <c r="F97" s="28"/>
      <c r="G97" s="28"/>
      <c r="H97" s="28"/>
      <c r="I97" s="28"/>
      <c r="J97" s="30"/>
    </row>
    <row r="98" spans="1:10" ht="10" customHeight="1" x14ac:dyDescent="0.2">
      <c r="A98" s="18" t="s">
        <v>14</v>
      </c>
      <c r="B98" s="31" t="s">
        <v>116</v>
      </c>
      <c r="C98" s="18" t="s">
        <v>140</v>
      </c>
      <c r="D98" s="18" t="s">
        <v>146</v>
      </c>
      <c r="E98" s="18" t="s">
        <v>164</v>
      </c>
      <c r="F98" s="18" t="s">
        <v>211</v>
      </c>
      <c r="G98" s="18" t="s">
        <v>193</v>
      </c>
      <c r="H98" s="18" t="s">
        <v>199</v>
      </c>
      <c r="I98" s="18" t="s">
        <v>223</v>
      </c>
      <c r="J98" s="31" t="s">
        <v>8323</v>
      </c>
    </row>
    <row r="99" spans="1:10" ht="10" customHeight="1" x14ac:dyDescent="0.2">
      <c r="A99" s="24" t="s">
        <v>8391</v>
      </c>
      <c r="B99" s="37">
        <f>SUMIFS(JB_R,JB_B,1,JB_H,"DDG",JB_S,"",JB_R,"&lt;&gt;")+SUMIFS(JB_N,JB_B,1,JB_H,"DDG",JB_S,"",JB_R,"",JB_N,"&lt;&gt;")+SUMIFS(JB_L,JB_B,1,JB_H,"DDG",JB_S,"",JB_R,"",JB_N,"")+SUMIFS(JB_R,JB_B,1,JB_H,"DDG",JB_S,"[PARENT]",JB_R,"&lt;&gt;")+SUMIFS(JB_N,JB_B,1,JB_H,"DDG",JB_S,"[PARENT]",JB_R,"",JB_N,"&lt;&gt;")+SUMIFS(JB_L,JB_B,1,JB_H,"DDG",JB_S,"[PARENT]",JB_R,"",JB_N,"")</f>
        <v>7213131</v>
      </c>
      <c r="C99" s="25">
        <f>SUMIFS(JB_R,JB_B,1,JB_H,"FFG",JB_S,"",JB_R,"&lt;&gt;")+SUMIFS(JB_N,JB_B,1,JB_H,"FFG",JB_S,"",JB_R,"",JB_N,"&lt;&gt;")+SUMIFS(JB_L,JB_B,1,JB_H,"FFG",JB_S,"",JB_R,"",JB_N,"")+SUMIFS(JB_R,JB_B,1,JB_H,"FFG",JB_S,"[PARENT]",JB_R,"&lt;&gt;")+SUMIFS(JB_N,JB_B,1,JB_H,"FFG",JB_S,"[PARENT]",JB_R,"",JB_N,"&lt;&gt;")+SUMIFS(JB_L,JB_B,1,JB_H,"FFG",JB_S,"[PARENT]",JB_R,"",JB_N,"")</f>
        <v>242000</v>
      </c>
      <c r="D99" s="25">
        <f>SUMIFS(JB_R,JB_B,1,JB_H,"LPD",JB_S,"",JB_R,"&lt;&gt;")+SUMIFS(JB_N,JB_B,1,JB_H,"LPD",JB_S,"",JB_R,"",JB_N,"&lt;&gt;")+SUMIFS(JB_L,JB_B,1,JB_H,"LPD",JB_S,"",JB_R,"",JB_N,"")+SUMIFS(JB_R,JB_B,1,JB_H,"LPD",JB_S,"[PARENT]",JB_R,"&lt;&gt;")+SUMIFS(JB_N,JB_B,1,JB_H,"LPD",JB_S,"[PARENT]",JB_R,"",JB_N,"&lt;&gt;")+SUMIFS(JB_L,JB_B,1,JB_H,"LPD",JB_S,"[PARENT]",JB_R,"",JB_N,"")</f>
        <v>1110037</v>
      </c>
      <c r="E99" s="25">
        <f>SUMIFS(JB_R,JB_B,1,JB_H,"LHA",JB_S,"",JB_R,"&lt;&gt;")+SUMIFS(JB_N,JB_B,1,JB_H,"LHA",JB_S,"",JB_R,"",JB_N,"&lt;&gt;")+SUMIFS(JB_L,JB_B,1,JB_H,"LHA",JB_S,"",JB_R,"",JB_N,"")+SUMIFS(JB_R,JB_B,1,JB_H,"LHA",JB_S,"[PARENT]",JB_R,"&lt;&gt;")+SUMIFS(JB_N,JB_B,1,JB_H,"LHA",JB_S,"[PARENT]",JB_R,"",JB_N,"&lt;&gt;")+SUMIFS(JB_L,JB_B,1,JB_H,"LHA",JB_S,"[PARENT]",JB_R,"",JB_N,"")</f>
        <v>634963</v>
      </c>
      <c r="F99" s="25">
        <f>SUMIFS(JB_R,JB_B,1,JB_H,"T-AGOS",JB_S,"",JB_R,"&lt;&gt;")+SUMIFS(JB_N,JB_B,1,JB_H,"T-AGOS",JB_S,"",JB_R,"",JB_N,"&lt;&gt;")+SUMIFS(JB_L,JB_B,1,JB_H,"T-AGOS",JB_S,"",JB_R,"",JB_N,"")+SUMIFS(JB_R,JB_B,1,JB_H,"T-AGOS",JB_S,"[PARENT]",JB_R,"&lt;&gt;")+SUMIFS(JB_N,JB_B,1,JB_H,"T-AGOS",JB_S,"[PARENT]",JB_R,"",JB_N,"&lt;&gt;")+SUMIFS(JB_L,JB_B,1,JB_H,"T-AGOS",JB_S,"[PARENT]",JB_R,"",JB_N,"")</f>
        <v>612205</v>
      </c>
      <c r="G99" s="25">
        <f>SUMIFS(JB_R,JB_B,1,JB_H,"T-EPF",JB_S,"",JB_R,"&lt;&gt;")+SUMIFS(JB_N,JB_B,1,JB_H,"T-EPF",JB_S,"",JB_R,"",JB_N,"&lt;&gt;")+SUMIFS(JB_L,JB_B,1,JB_H,"T-EPF",JB_S,"",JB_R,"",JB_N,"")+SUMIFS(JB_R,JB_B,1,JB_H,"T-EPF",JB_S,"[PARENT]",JB_R,"&lt;&gt;")+SUMIFS(JB_N,JB_B,1,JB_H,"T-EPF",JB_S,"[PARENT]",JB_R,"",JB_N,"&lt;&gt;")+SUMIFS(JB_L,JB_B,1,JB_H,"T-EPF",JB_S,"[PARENT]",JB_R,"",JB_N,"")</f>
        <v>0</v>
      </c>
      <c r="H99" s="25">
        <f>SUMIFS(JB_R,JB_B,1,JB_H,"T-AO",JB_S,"",JB_R,"&lt;&gt;")+SUMIFS(JB_N,JB_B,1,JB_H,"T-AO",JB_S,"",JB_R,"",JB_N,"&lt;&gt;")+SUMIFS(JB_L,JB_B,1,JB_H,"T-AO",JB_S,"",JB_R,"",JB_N,"")+SUMIFS(JB_R,JB_B,1,JB_H,"T-AO",JB_S,"[PARENT]",JB_R,"&lt;&gt;")+SUMIFS(JB_N,JB_B,1,JB_H,"T-AO",JB_S,"[PARENT]",JB_R,"",JB_N,"&lt;&gt;")+SUMIFS(JB_L,JB_B,1,JB_H,"T-AO",JB_S,"[PARENT]",JB_R,"",JB_N,"")</f>
        <v>1861705</v>
      </c>
      <c r="I99" s="25">
        <f>SUMIFS(JB_R,JB_B,1,JB_H,"T-ATS",JB_S,"",JB_R,"&lt;&gt;")+SUMIFS(JB_N,JB_B,1,JB_H,"T-ATS",JB_S,"",JB_R,"",JB_N,"&lt;&gt;")+SUMIFS(JB_L,JB_B,1,JB_H,"T-ATS",JB_S,"",JB_R,"",JB_N,"")+SUMIFS(JB_R,JB_B,1,JB_H,"T-ATS",JB_S,"[PARENT]",JB_R,"&lt;&gt;")+SUMIFS(JB_N,JB_B,1,JB_H,"T-ATS",JB_S,"[PARENT]",JB_R,"",JB_N,"&lt;&gt;")+SUMIFS(JB_L,JB_B,1,JB_H,"T-ATS",JB_S,"[PARENT]",JB_R,"",JB_N,"")</f>
        <v>141500</v>
      </c>
      <c r="J99" s="37">
        <f>SUM(B99:I99)</f>
        <v>11815541</v>
      </c>
    </row>
    <row r="100" spans="1:10" ht="10" customHeight="1" x14ac:dyDescent="0.2">
      <c r="A100" s="19" t="s">
        <v>347</v>
      </c>
      <c r="B100" s="34">
        <f t="shared" ref="B100:J100" si="11">IFERROR(B$99*B85,0)</f>
        <v>124266.99507242558</v>
      </c>
      <c r="C100" s="20">
        <f t="shared" si="11"/>
        <v>22387.022475660731</v>
      </c>
      <c r="D100" s="20">
        <f t="shared" si="11"/>
        <v>0</v>
      </c>
      <c r="E100" s="20">
        <f t="shared" si="11"/>
        <v>67241.717455653881</v>
      </c>
      <c r="F100" s="20">
        <f t="shared" si="11"/>
        <v>96037.414017966948</v>
      </c>
      <c r="G100" s="20">
        <f t="shared" si="11"/>
        <v>0</v>
      </c>
      <c r="H100" s="20">
        <f t="shared" si="11"/>
        <v>0</v>
      </c>
      <c r="I100" s="20">
        <f t="shared" si="11"/>
        <v>0</v>
      </c>
      <c r="J100" s="34">
        <f t="shared" si="11"/>
        <v>451590.09851467732</v>
      </c>
    </row>
    <row r="101" spans="1:10" ht="10" customHeight="1" x14ac:dyDescent="0.2">
      <c r="A101" s="19" t="s">
        <v>175</v>
      </c>
      <c r="B101" s="34">
        <f t="shared" ref="B101:J101" si="12">IFERROR(B$99*B86,0)</f>
        <v>3422784.7198019912</v>
      </c>
      <c r="C101" s="20">
        <f t="shared" si="12"/>
        <v>134248.74253213077</v>
      </c>
      <c r="D101" s="20">
        <f t="shared" si="12"/>
        <v>890769.20770757983</v>
      </c>
      <c r="E101" s="20">
        <f t="shared" si="12"/>
        <v>188340.28505710902</v>
      </c>
      <c r="F101" s="20">
        <f t="shared" si="12"/>
        <v>388311.33917541534</v>
      </c>
      <c r="G101" s="20">
        <f t="shared" si="12"/>
        <v>0</v>
      </c>
      <c r="H101" s="20">
        <f t="shared" si="12"/>
        <v>150322.55188026663</v>
      </c>
      <c r="I101" s="20">
        <f t="shared" si="12"/>
        <v>128767.25454645349</v>
      </c>
      <c r="J101" s="34">
        <f t="shared" si="12"/>
        <v>6281752.1264720131</v>
      </c>
    </row>
    <row r="102" spans="1:10" ht="10" customHeight="1" x14ac:dyDescent="0.2">
      <c r="A102" s="19" t="s">
        <v>354</v>
      </c>
      <c r="B102" s="34">
        <f t="shared" ref="B102:J102" si="13">IFERROR(B$99*B87,0)</f>
        <v>193430.23101254654</v>
      </c>
      <c r="C102" s="20">
        <f t="shared" si="13"/>
        <v>3065.6317626043956</v>
      </c>
      <c r="D102" s="20">
        <f t="shared" si="13"/>
        <v>18762.967627836268</v>
      </c>
      <c r="E102" s="20">
        <f t="shared" si="13"/>
        <v>37753.803649521251</v>
      </c>
      <c r="F102" s="20">
        <f t="shared" si="13"/>
        <v>11518.823857509389</v>
      </c>
      <c r="G102" s="20">
        <f t="shared" si="13"/>
        <v>0</v>
      </c>
      <c r="H102" s="20">
        <f t="shared" si="13"/>
        <v>142289.49914379421</v>
      </c>
      <c r="I102" s="20">
        <f t="shared" si="13"/>
        <v>3876.2650403823968</v>
      </c>
      <c r="J102" s="34">
        <f t="shared" si="13"/>
        <v>300208.51374102914</v>
      </c>
    </row>
    <row r="103" spans="1:10" ht="10" customHeight="1" x14ac:dyDescent="0.2">
      <c r="A103" s="19" t="s">
        <v>357</v>
      </c>
      <c r="B103" s="34">
        <f t="shared" ref="B103:J103" si="14">IFERROR(B$99*B88,0)</f>
        <v>661461.47449930245</v>
      </c>
      <c r="C103" s="20">
        <f t="shared" si="14"/>
        <v>60508.472133795563</v>
      </c>
      <c r="D103" s="20">
        <f t="shared" si="14"/>
        <v>131116.68995289854</v>
      </c>
      <c r="E103" s="20">
        <f t="shared" si="14"/>
        <v>180213.18211854887</v>
      </c>
      <c r="F103" s="20">
        <f t="shared" si="14"/>
        <v>97788.592260687423</v>
      </c>
      <c r="G103" s="20">
        <f t="shared" si="14"/>
        <v>0</v>
      </c>
      <c r="H103" s="20">
        <f t="shared" si="14"/>
        <v>929132.41807997052</v>
      </c>
      <c r="I103" s="20">
        <f t="shared" si="14"/>
        <v>8856.4804131641122</v>
      </c>
      <c r="J103" s="34">
        <f t="shared" si="14"/>
        <v>1592655.0643708021</v>
      </c>
    </row>
    <row r="104" spans="1:10" ht="10" customHeight="1" x14ac:dyDescent="0.2">
      <c r="A104" s="19" t="s">
        <v>363</v>
      </c>
      <c r="B104" s="34">
        <f t="shared" ref="B104:J104" si="15">IFERROR(B$99*B89,0)</f>
        <v>108910.03586960102</v>
      </c>
      <c r="C104" s="20">
        <f t="shared" si="15"/>
        <v>0</v>
      </c>
      <c r="D104" s="20">
        <f t="shared" si="15"/>
        <v>10876.624291462</v>
      </c>
      <c r="E104" s="20">
        <f t="shared" si="15"/>
        <v>33288.415676726188</v>
      </c>
      <c r="F104" s="20">
        <f t="shared" si="15"/>
        <v>18548.830688420916</v>
      </c>
      <c r="G104" s="20">
        <f t="shared" si="15"/>
        <v>0</v>
      </c>
      <c r="H104" s="20">
        <f t="shared" si="15"/>
        <v>279733.95078509714</v>
      </c>
      <c r="I104" s="20">
        <f t="shared" si="15"/>
        <v>0</v>
      </c>
      <c r="J104" s="34">
        <f t="shared" si="15"/>
        <v>202840.61618625317</v>
      </c>
    </row>
    <row r="105" spans="1:10" ht="10" customHeight="1" x14ac:dyDescent="0.2">
      <c r="A105" s="19" t="s">
        <v>366</v>
      </c>
      <c r="B105" s="34">
        <f t="shared" ref="B105:J105" si="16">IFERROR(B$99*B90,0)</f>
        <v>2581588.3475375064</v>
      </c>
      <c r="C105" s="20">
        <f t="shared" si="16"/>
        <v>11939.502321166005</v>
      </c>
      <c r="D105" s="20">
        <f t="shared" si="16"/>
        <v>54397.595746622894</v>
      </c>
      <c r="E105" s="20">
        <f t="shared" si="16"/>
        <v>90772.015095215582</v>
      </c>
      <c r="F105" s="20">
        <f t="shared" si="16"/>
        <v>0</v>
      </c>
      <c r="G105" s="20">
        <f t="shared" si="16"/>
        <v>0</v>
      </c>
      <c r="H105" s="20">
        <f t="shared" si="16"/>
        <v>0</v>
      </c>
      <c r="I105" s="20">
        <f t="shared" si="16"/>
        <v>0</v>
      </c>
      <c r="J105" s="34">
        <f t="shared" si="16"/>
        <v>2729169.7183521278</v>
      </c>
    </row>
    <row r="106" spans="1:10" ht="10" customHeight="1" x14ac:dyDescent="0.2">
      <c r="A106" s="19" t="s">
        <v>369</v>
      </c>
      <c r="B106" s="34">
        <f t="shared" ref="B106:J106" si="17">IFERROR(B$99*B91,0)</f>
        <v>120689.19620662639</v>
      </c>
      <c r="C106" s="20">
        <f t="shared" si="17"/>
        <v>9850.6287746425442</v>
      </c>
      <c r="D106" s="20">
        <f t="shared" si="17"/>
        <v>4113.9146736004423</v>
      </c>
      <c r="E106" s="20">
        <f t="shared" si="17"/>
        <v>37353.5809472252</v>
      </c>
      <c r="F106" s="20">
        <f t="shared" si="17"/>
        <v>0</v>
      </c>
      <c r="G106" s="20">
        <f t="shared" si="17"/>
        <v>0</v>
      </c>
      <c r="H106" s="20">
        <f t="shared" si="17"/>
        <v>360226.58011087141</v>
      </c>
      <c r="I106" s="20">
        <f t="shared" si="17"/>
        <v>0</v>
      </c>
      <c r="J106" s="34">
        <f t="shared" si="17"/>
        <v>257324.86236309793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J242"/>
  <sheetViews>
    <sheetView showGridLines="0" workbookViewId="0"/>
  </sheetViews>
  <sheetFormatPr baseColWidth="10" defaultColWidth="8.83203125" defaultRowHeight="15" x14ac:dyDescent="0.2"/>
  <cols>
    <col min="1" max="1" width="32" customWidth="1"/>
    <col min="2" max="10" width="15" customWidth="1"/>
  </cols>
  <sheetData>
    <row r="1" spans="1:10" ht="10" customHeight="1" x14ac:dyDescent="0.2">
      <c r="A1" s="15" t="s">
        <v>8392</v>
      </c>
      <c r="B1" s="16"/>
      <c r="C1" s="16"/>
      <c r="D1" s="16"/>
      <c r="E1" s="16"/>
      <c r="F1" s="16"/>
      <c r="G1" s="16"/>
      <c r="H1" s="16"/>
      <c r="I1" s="16"/>
      <c r="J1" s="16"/>
    </row>
    <row r="2" spans="1:10" ht="10" customHeight="1" x14ac:dyDescent="0.2">
      <c r="A2" s="17" t="s">
        <v>8393</v>
      </c>
    </row>
    <row r="3" spans="1:10" ht="10" customHeight="1" x14ac:dyDescent="0.2"/>
    <row r="4" spans="1:10" ht="10" customHeight="1" x14ac:dyDescent="0.2">
      <c r="A4" s="6" t="s">
        <v>8394</v>
      </c>
      <c r="B4" s="7"/>
      <c r="C4" s="7"/>
      <c r="D4" s="7"/>
      <c r="E4" s="7"/>
      <c r="F4" s="7"/>
      <c r="G4" s="7"/>
      <c r="H4" s="7"/>
      <c r="I4" s="7"/>
      <c r="J4" s="7"/>
    </row>
    <row r="5" spans="1:10" ht="10" customHeight="1" x14ac:dyDescent="0.2">
      <c r="A5" s="28"/>
      <c r="B5" s="29" t="s">
        <v>46</v>
      </c>
      <c r="C5" s="28"/>
      <c r="D5" s="28"/>
      <c r="E5" s="28"/>
      <c r="F5" s="28"/>
      <c r="G5" s="28"/>
      <c r="H5" s="28"/>
      <c r="I5" s="28"/>
      <c r="J5" s="30"/>
    </row>
    <row r="6" spans="1:10" ht="10" customHeight="1" x14ac:dyDescent="0.2">
      <c r="A6" s="18" t="s">
        <v>14</v>
      </c>
      <c r="B6" s="31" t="s">
        <v>116</v>
      </c>
      <c r="C6" s="18" t="s">
        <v>140</v>
      </c>
      <c r="D6" s="18" t="s">
        <v>146</v>
      </c>
      <c r="E6" s="18" t="s">
        <v>164</v>
      </c>
      <c r="F6" s="18" t="s">
        <v>211</v>
      </c>
      <c r="G6" s="18" t="s">
        <v>193</v>
      </c>
      <c r="H6" s="18" t="s">
        <v>199</v>
      </c>
      <c r="I6" s="18" t="s">
        <v>223</v>
      </c>
      <c r="J6" s="31" t="s">
        <v>8323</v>
      </c>
    </row>
    <row r="7" spans="1:10" ht="10" customHeight="1" x14ac:dyDescent="0.2">
      <c r="A7" s="19" t="s">
        <v>347</v>
      </c>
      <c r="B7" s="34">
        <f>SUMIFS(JB_R,JB_S,"[ALT_VIEW]",JB_B,1,JB_EX,"P-5c",JB_CC,"Plan Costs",JB_H,"DDG",JB_R,"&lt;&gt;")+SUMIFS(JB_N,JB_S,"[ALT_VIEW]",JB_B,1,JB_EX,"P-5c",JB_CC,"Plan Costs",JB_H,"DDG",JB_R,"",JB_N,"&lt;&gt;")+SUMIFS(JB_L,JB_S,"[ALT_VIEW]",JB_B,1,JB_EX,"P-5c",JB_CC,"Plan Costs",JB_H,"DDG",JB_R,"",JB_N,"")</f>
        <v>175748</v>
      </c>
      <c r="C7" s="20">
        <f>SUMIFS(JB_R,JB_S,"[ALT_VIEW]",JB_B,1,JB_EX,"P-5c",JB_CC,"Plan Costs",JB_H,"FFG",JB_R,"&lt;&gt;")+SUMIFS(JB_N,JB_S,"[ALT_VIEW]",JB_B,1,JB_EX,"P-5c",JB_CC,"Plan Costs",JB_H,"FFG",JB_R,"",JB_N,"&lt;&gt;")+SUMIFS(JB_L,JB_S,"[ALT_VIEW]",JB_B,1,JB_EX,"P-5c",JB_CC,"Plan Costs",JB_H,"FFG",JB_R,"",JB_N,"")</f>
        <v>227249</v>
      </c>
      <c r="D7" s="20">
        <f>SUMIFS(JB_R,JB_S,"[ALT_VIEW]",JB_B,1,JB_EX,"P-5c",JB_CC,"Plan Costs",JB_H,"LPD",JB_R,"&lt;&gt;")+SUMIFS(JB_N,JB_S,"[ALT_VIEW]",JB_B,1,JB_EX,"P-5c",JB_CC,"Plan Costs",JB_H,"LPD",JB_R,"",JB_N,"&lt;&gt;")+SUMIFS(JB_L,JB_S,"[ALT_VIEW]",JB_B,1,JB_EX,"P-5c",JB_CC,"Plan Costs",JB_H,"LPD",JB_R,"",JB_N,"")</f>
        <v>0</v>
      </c>
      <c r="E7" s="20">
        <f>SUMIFS(JB_R,JB_S,"[ALT_VIEW]",JB_B,1,JB_EX,"P-5c",JB_CC,"Plan Costs",JB_H,"LHA",JB_R,"&lt;&gt;")+SUMIFS(JB_N,JB_S,"[ALT_VIEW]",JB_B,1,JB_EX,"P-5c",JB_CC,"Plan Costs",JB_H,"LHA",JB_R,"",JB_N,"&lt;&gt;")+SUMIFS(JB_L,JB_S,"[ALT_VIEW]",JB_B,1,JB_EX,"P-5c",JB_CC,"Plan Costs",JB_H,"LHA",JB_R,"",JB_N,"")</f>
        <v>125000</v>
      </c>
      <c r="F7" s="20">
        <f>SUMIFS(JB_R,JB_S,"[ALT_VIEW]",JB_B,1,JB_EX,"P-5c",JB_CC,"Plan Costs",JB_H,"T-AGOS",JB_R,"&lt;&gt;")+SUMIFS(JB_N,JB_S,"[ALT_VIEW]",JB_B,1,JB_EX,"P-5c",JB_CC,"Plan Costs",JB_H,"T-AGOS",JB_R,"",JB_N,"&lt;&gt;")+SUMIFS(JB_L,JB_S,"[ALT_VIEW]",JB_B,1,JB_EX,"P-5c",JB_CC,"Plan Costs",JB_H,"T-AGOS",JB_R,"",JB_N,"")</f>
        <v>113906</v>
      </c>
      <c r="G7" s="20">
        <f>SUMIFS(JB_R,JB_S,"[ALT_VIEW]",JB_B,1,JB_EX,"P-5c",JB_CC,"Plan Costs",JB_H,"T-EPF",JB_R,"&lt;&gt;")+SUMIFS(JB_N,JB_S,"[ALT_VIEW]",JB_B,1,JB_EX,"P-5c",JB_CC,"Plan Costs",JB_H,"T-EPF",JB_R,"",JB_N,"&lt;&gt;")+SUMIFS(JB_L,JB_S,"[ALT_VIEW]",JB_B,1,JB_EX,"P-5c",JB_CC,"Plan Costs",JB_H,"T-EPF",JB_R,"",JB_N,"")</f>
        <v>27000</v>
      </c>
      <c r="H7" s="20">
        <f>SUMIFS(JB_R,JB_S,"[ALT_VIEW]",JB_B,1,JB_EX,"P-5c",JB_CC,"Plan Costs",JB_H,"T-AO",JB_R,"&lt;&gt;")+SUMIFS(JB_N,JB_S,"[ALT_VIEW]",JB_B,1,JB_EX,"P-5c",JB_CC,"Plan Costs",JB_H,"T-AO",JB_R,"",JB_N,"&lt;&gt;")+SUMIFS(JB_L,JB_S,"[ALT_VIEW]",JB_B,1,JB_EX,"P-5c",JB_CC,"Plan Costs",JB_H,"T-AO",JB_R,"",JB_N,"")</f>
        <v>0</v>
      </c>
      <c r="I7" s="20">
        <f>SUMIFS(JB_R,JB_S,"[ALT_VIEW]",JB_B,1,JB_EX,"P-5c",JB_CC,"Plan Costs",JB_H,"T-ATS",JB_R,"&lt;&gt;")+SUMIFS(JB_N,JB_S,"[ALT_VIEW]",JB_B,1,JB_EX,"P-5c",JB_CC,"Plan Costs",JB_H,"T-ATS",JB_R,"",JB_N,"&lt;&gt;")+SUMIFS(JB_L,JB_S,"[ALT_VIEW]",JB_B,1,JB_EX,"P-5c",JB_CC,"Plan Costs",JB_H,"T-ATS",JB_R,"",JB_N,"")</f>
        <v>0</v>
      </c>
      <c r="J7" s="34">
        <f t="shared" ref="J7:J13" si="0">SUM(B7:I7)</f>
        <v>668903</v>
      </c>
    </row>
    <row r="8" spans="1:10" ht="10" customHeight="1" x14ac:dyDescent="0.2">
      <c r="A8" s="19" t="s">
        <v>175</v>
      </c>
      <c r="B8" s="34">
        <f>SUMIFS(JB_R,JB_S,"[ALT_VIEW]",JB_B,1,JB_EX,"P-5c",JB_CC,"Basic Construction",JB_H,"DDG",JB_R,"&lt;&gt;")+SUMIFS(JB_N,JB_S,"[ALT_VIEW]",JB_B,1,JB_EX,"P-5c",JB_CC,"Basic Construction",JB_H,"DDG",JB_R,"",JB_N,"&lt;&gt;")+SUMIFS(JB_L,JB_S,"[ALT_VIEW]",JB_B,1,JB_EX,"P-5c",JB_CC,"Basic Construction",JB_H,"DDG",JB_R,"",JB_N,"")</f>
        <v>4840767</v>
      </c>
      <c r="C8" s="20">
        <f>SUMIFS(JB_R,JB_S,"[ALT_VIEW]",JB_B,1,JB_EX,"P-5c",JB_CC,"Basic Construction",JB_H,"FFG",JB_R,"&lt;&gt;")+SUMIFS(JB_N,JB_S,"[ALT_VIEW]",JB_B,1,JB_EX,"P-5c",JB_CC,"Basic Construction",JB_H,"FFG",JB_R,"",JB_N,"&lt;&gt;")+SUMIFS(JB_L,JB_S,"[ALT_VIEW]",JB_B,1,JB_EX,"P-5c",JB_CC,"Basic Construction",JB_H,"FFG",JB_R,"",JB_N,"")</f>
        <v>1362749</v>
      </c>
      <c r="D8" s="20">
        <f>SUMIFS(JB_R,JB_S,"[ALT_VIEW]",JB_B,1,JB_EX,"P-5c",JB_CC,"Basic Construction",JB_H,"LPD",JB_R,"&lt;&gt;")+SUMIFS(JB_N,JB_S,"[ALT_VIEW]",JB_B,1,JB_EX,"P-5c",JB_CC,"Basic Construction",JB_H,"LPD",JB_R,"",JB_N,"&lt;&gt;")+SUMIFS(JB_L,JB_S,"[ALT_VIEW]",JB_B,1,JB_EX,"P-5c",JB_CC,"Basic Construction",JB_H,"LPD",JB_R,"",JB_N,"")</f>
        <v>1661620</v>
      </c>
      <c r="E8" s="20">
        <f>SUMIFS(JB_R,JB_S,"[ALT_VIEW]",JB_B,1,JB_EX,"P-5c",JB_CC,"Basic Construction",JB_H,"LHA",JB_R,"&lt;&gt;")+SUMIFS(JB_N,JB_S,"[ALT_VIEW]",JB_B,1,JB_EX,"P-5c",JB_CC,"Basic Construction",JB_H,"LHA",JB_R,"",JB_N,"&lt;&gt;")+SUMIFS(JB_L,JB_S,"[ALT_VIEW]",JB_B,1,JB_EX,"P-5c",JB_CC,"Basic Construction",JB_H,"LHA",JB_R,"",JB_N,"")</f>
        <v>350118</v>
      </c>
      <c r="F8" s="20">
        <f>SUMIFS(JB_R,JB_S,"[ALT_VIEW]",JB_B,1,JB_EX,"P-5c",JB_CC,"Basic Construction",JB_H,"T-AGOS",JB_R,"&lt;&gt;")+SUMIFS(JB_N,JB_S,"[ALT_VIEW]",JB_B,1,JB_EX,"P-5c",JB_CC,"Basic Construction",JB_H,"T-AGOS",JB_R,"",JB_N,"&lt;&gt;")+SUMIFS(JB_L,JB_S,"[ALT_VIEW]",JB_B,1,JB_EX,"P-5c",JB_CC,"Basic Construction",JB_H,"T-AGOS",JB_R,"",JB_N,"")</f>
        <v>460560</v>
      </c>
      <c r="G8" s="20">
        <f>SUMIFS(JB_R,JB_S,"[ALT_VIEW]",JB_B,1,JB_EX,"P-5c",JB_CC,"Basic Construction",JB_H,"T-EPF",JB_R,"&lt;&gt;")+SUMIFS(JB_N,JB_S,"[ALT_VIEW]",JB_B,1,JB_EX,"P-5c",JB_CC,"Basic Construction",JB_H,"T-EPF",JB_R,"",JB_N,"&lt;&gt;")+SUMIFS(JB_L,JB_S,"[ALT_VIEW]",JB_B,1,JB_EX,"P-5c",JB_CC,"Basic Construction",JB_H,"T-EPF",JB_R,"",JB_N,"")</f>
        <v>537663</v>
      </c>
      <c r="H8" s="20">
        <f>SUMIFS(JB_R,JB_S,"[ALT_VIEW]",JB_B,1,JB_EX,"P-5c",JB_CC,"Basic Construction",JB_H,"T-AO",JB_R,"&lt;&gt;")+SUMIFS(JB_N,JB_S,"[ALT_VIEW]",JB_B,1,JB_EX,"P-5c",JB_CC,"Basic Construction",JB_H,"T-AO",JB_R,"",JB_N,"&lt;&gt;")+SUMIFS(JB_L,JB_S,"[ALT_VIEW]",JB_B,1,JB_EX,"P-5c",JB_CC,"Basic Construction",JB_H,"T-AO",JB_R,"",JB_N,"")</f>
        <v>8346</v>
      </c>
      <c r="I8" s="20">
        <f>SUMIFS(JB_R,JB_S,"[ALT_VIEW]",JB_B,1,JB_EX,"P-5c",JB_CC,"Basic Construction",JB_H,"T-ATS",JB_R,"&lt;&gt;")+SUMIFS(JB_N,JB_S,"[ALT_VIEW]",JB_B,1,JB_EX,"P-5c",JB_CC,"Basic Construction",JB_H,"T-ATS",JB_R,"",JB_N,"&lt;&gt;")+SUMIFS(JB_L,JB_S,"[ALT_VIEW]",JB_B,1,JB_EX,"P-5c",JB_CC,"Basic Construction",JB_H,"T-ATS",JB_R,"",JB_N,"")</f>
        <v>82816</v>
      </c>
      <c r="J8" s="34">
        <f t="shared" si="0"/>
        <v>9304639</v>
      </c>
    </row>
    <row r="9" spans="1:10" ht="10" customHeight="1" x14ac:dyDescent="0.2">
      <c r="A9" s="19" t="s">
        <v>354</v>
      </c>
      <c r="B9" s="34">
        <f>SUMIFS(JB_R,JB_S,"[ALT_VIEW]",JB_B,1,JB_EX,"P-5c",JB_CC,"Change Orders",JB_H,"DDG",JB_R,"&lt;&gt;")+SUMIFS(JB_N,JB_S,"[ALT_VIEW]",JB_B,1,JB_EX,"P-5c",JB_CC,"Change Orders",JB_H,"DDG",JB_R,"",JB_N,"&lt;&gt;")+SUMIFS(JB_L,JB_S,"[ALT_VIEW]",JB_B,1,JB_EX,"P-5c",JB_CC,"Change Orders",JB_H,"DDG",JB_R,"",JB_N,"")</f>
        <v>273564</v>
      </c>
      <c r="C9" s="20">
        <f>SUMIFS(JB_R,JB_S,"[ALT_VIEW]",JB_B,1,JB_EX,"P-5c",JB_CC,"Change Orders",JB_H,"FFG",JB_R,"&lt;&gt;")+SUMIFS(JB_N,JB_S,"[ALT_VIEW]",JB_B,1,JB_EX,"P-5c",JB_CC,"Change Orders",JB_H,"FFG",JB_R,"",JB_N,"&lt;&gt;")+SUMIFS(JB_L,JB_S,"[ALT_VIEW]",JB_B,1,JB_EX,"P-5c",JB_CC,"Change Orders",JB_H,"FFG",JB_R,"",JB_N,"")</f>
        <v>31119</v>
      </c>
      <c r="D9" s="20">
        <f>SUMIFS(JB_R,JB_S,"[ALT_VIEW]",JB_B,1,JB_EX,"P-5c",JB_CC,"Change Orders",JB_H,"LPD",JB_R,"&lt;&gt;")+SUMIFS(JB_N,JB_S,"[ALT_VIEW]",JB_B,1,JB_EX,"P-5c",JB_CC,"Change Orders",JB_H,"LPD",JB_R,"",JB_N,"&lt;&gt;")+SUMIFS(JB_L,JB_S,"[ALT_VIEW]",JB_B,1,JB_EX,"P-5c",JB_CC,"Change Orders",JB_H,"LPD",JB_R,"",JB_N,"")</f>
        <v>35000</v>
      </c>
      <c r="E9" s="20">
        <f>SUMIFS(JB_R,JB_S,"[ALT_VIEW]",JB_B,1,JB_EX,"P-5c",JB_CC,"Change Orders",JB_H,"LHA",JB_R,"&lt;&gt;")+SUMIFS(JB_N,JB_S,"[ALT_VIEW]",JB_B,1,JB_EX,"P-5c",JB_CC,"Change Orders",JB_H,"LHA",JB_R,"",JB_N,"&lt;&gt;")+SUMIFS(JB_L,JB_S,"[ALT_VIEW]",JB_B,1,JB_EX,"P-5c",JB_CC,"Change Orders",JB_H,"LHA",JB_R,"",JB_N,"")</f>
        <v>70183</v>
      </c>
      <c r="F9" s="20">
        <f>SUMIFS(JB_R,JB_S,"[ALT_VIEW]",JB_B,1,JB_EX,"P-5c",JB_CC,"Change Orders",JB_H,"T-AGOS",JB_R,"&lt;&gt;")+SUMIFS(JB_N,JB_S,"[ALT_VIEW]",JB_B,1,JB_EX,"P-5c",JB_CC,"Change Orders",JB_H,"T-AGOS",JB_R,"",JB_N,"&lt;&gt;")+SUMIFS(JB_L,JB_S,"[ALT_VIEW]",JB_B,1,JB_EX,"P-5c",JB_CC,"Change Orders",JB_H,"T-AGOS",JB_R,"",JB_N,"")</f>
        <v>13662</v>
      </c>
      <c r="G9" s="20">
        <f>SUMIFS(JB_R,JB_S,"[ALT_VIEW]",JB_B,1,JB_EX,"P-5c",JB_CC,"Change Orders",JB_H,"T-EPF",JB_R,"&lt;&gt;")+SUMIFS(JB_N,JB_S,"[ALT_VIEW]",JB_B,1,JB_EX,"P-5c",JB_CC,"Change Orders",JB_H,"T-EPF",JB_R,"",JB_N,"&lt;&gt;")+SUMIFS(JB_L,JB_S,"[ALT_VIEW]",JB_B,1,JB_EX,"P-5c",JB_CC,"Change Orders",JB_H,"T-EPF",JB_R,"",JB_N,"")</f>
        <v>10753</v>
      </c>
      <c r="H9" s="20">
        <f>SUMIFS(JB_R,JB_S,"[ALT_VIEW]",JB_B,1,JB_EX,"P-5c",JB_CC,"Change Orders",JB_H,"T-AO",JB_R,"&lt;&gt;")+SUMIFS(JB_N,JB_S,"[ALT_VIEW]",JB_B,1,JB_EX,"P-5c",JB_CC,"Change Orders",JB_H,"T-AO",JB_R,"",JB_N,"&lt;&gt;")+SUMIFS(JB_L,JB_S,"[ALT_VIEW]",JB_B,1,JB_EX,"P-5c",JB_CC,"Change Orders",JB_H,"T-AO",JB_R,"",JB_N,"")</f>
        <v>7900</v>
      </c>
      <c r="I9" s="20">
        <f>SUMIFS(JB_R,JB_S,"[ALT_VIEW]",JB_B,1,JB_EX,"P-5c",JB_CC,"Change Orders",JB_H,"T-ATS",JB_R,"&lt;&gt;")+SUMIFS(JB_N,JB_S,"[ALT_VIEW]",JB_B,1,JB_EX,"P-5c",JB_CC,"Change Orders",JB_H,"T-ATS",JB_R,"",JB_N,"&lt;&gt;")+SUMIFS(JB_L,JB_S,"[ALT_VIEW]",JB_B,1,JB_EX,"P-5c",JB_CC,"Change Orders",JB_H,"T-ATS",JB_R,"",JB_N,"")</f>
        <v>2493</v>
      </c>
      <c r="J9" s="34">
        <f t="shared" si="0"/>
        <v>444674</v>
      </c>
    </row>
    <row r="10" spans="1:10" ht="10" customHeight="1" x14ac:dyDescent="0.2">
      <c r="A10" s="19" t="s">
        <v>357</v>
      </c>
      <c r="B10" s="34">
        <f>SUMIFS(JB_R,JB_S,"[ALT_VIEW]",JB_B,1,JB_EX,"P-5c",JB_CC,"Electronics",JB_H,"DDG",JB_R,"&lt;&gt;")+SUMIFS(JB_N,JB_S,"[ALT_VIEW]",JB_B,1,JB_EX,"P-5c",JB_CC,"Electronics",JB_H,"DDG",JB_R,"",JB_N,"&lt;&gt;")+SUMIFS(JB_L,JB_S,"[ALT_VIEW]",JB_B,1,JB_EX,"P-5c",JB_CC,"Electronics",JB_H,"DDG",JB_R,"",JB_N,"")</f>
        <v>935490</v>
      </c>
      <c r="C10" s="20">
        <f>SUMIFS(JB_R,JB_S,"[ALT_VIEW]",JB_B,1,JB_EX,"P-5c",JB_CC,"Electronics",JB_H,"FFG",JB_R,"&lt;&gt;")+SUMIFS(JB_N,JB_S,"[ALT_VIEW]",JB_B,1,JB_EX,"P-5c",JB_CC,"Electronics",JB_H,"FFG",JB_R,"",JB_N,"&lt;&gt;")+SUMIFS(JB_L,JB_S,"[ALT_VIEW]",JB_B,1,JB_EX,"P-5c",JB_CC,"Electronics",JB_H,"FFG",JB_R,"",JB_N,"")</f>
        <v>614217</v>
      </c>
      <c r="D10" s="20">
        <f>SUMIFS(JB_R,JB_S,"[ALT_VIEW]",JB_B,1,JB_EX,"P-5c",JB_CC,"Electronics",JB_H,"LPD",JB_R,"&lt;&gt;")+SUMIFS(JB_N,JB_S,"[ALT_VIEW]",JB_B,1,JB_EX,"P-5c",JB_CC,"Electronics",JB_H,"LPD",JB_R,"",JB_N,"&lt;&gt;")+SUMIFS(JB_L,JB_S,"[ALT_VIEW]",JB_B,1,JB_EX,"P-5c",JB_CC,"Electronics",JB_H,"LPD",JB_R,"",JB_N,"")</f>
        <v>244582</v>
      </c>
      <c r="E10" s="20">
        <f>SUMIFS(JB_R,JB_S,"[ALT_VIEW]",JB_B,1,JB_EX,"P-5c",JB_CC,"Electronics",JB_H,"LHA",JB_R,"&lt;&gt;")+SUMIFS(JB_N,JB_S,"[ALT_VIEW]",JB_B,1,JB_EX,"P-5c",JB_CC,"Electronics",JB_H,"LHA",JB_R,"",JB_N,"&lt;&gt;")+SUMIFS(JB_L,JB_S,"[ALT_VIEW]",JB_B,1,JB_EX,"P-5c",JB_CC,"Electronics",JB_H,"LHA",JB_R,"",JB_N,"")</f>
        <v>335010</v>
      </c>
      <c r="F10" s="20">
        <f>SUMIFS(JB_R,JB_S,"[ALT_VIEW]",JB_B,1,JB_EX,"P-5c",JB_CC,"Electronics",JB_H,"T-AGOS",JB_R,"&lt;&gt;")+SUMIFS(JB_N,JB_S,"[ALT_VIEW]",JB_B,1,JB_EX,"P-5c",JB_CC,"Electronics",JB_H,"T-AGOS",JB_R,"",JB_N,"&lt;&gt;")+SUMIFS(JB_L,JB_S,"[ALT_VIEW]",JB_B,1,JB_EX,"P-5c",JB_CC,"Electronics",JB_H,"T-AGOS",JB_R,"",JB_N,"")</f>
        <v>115983</v>
      </c>
      <c r="G10" s="20">
        <f>SUMIFS(JB_R,JB_S,"[ALT_VIEW]",JB_B,1,JB_EX,"P-5c",JB_CC,"Electronics",JB_H,"T-EPF",JB_R,"&lt;&gt;")+SUMIFS(JB_N,JB_S,"[ALT_VIEW]",JB_B,1,JB_EX,"P-5c",JB_CC,"Electronics",JB_H,"T-EPF",JB_R,"",JB_N,"&lt;&gt;")+SUMIFS(JB_L,JB_S,"[ALT_VIEW]",JB_B,1,JB_EX,"P-5c",JB_CC,"Electronics",JB_H,"T-EPF",JB_R,"",JB_N,"")</f>
        <v>56504</v>
      </c>
      <c r="H10" s="20">
        <f>SUMIFS(JB_R,JB_S,"[ALT_VIEW]",JB_B,1,JB_EX,"P-5c",JB_CC,"Electronics",JB_H,"T-AO",JB_R,"&lt;&gt;")+SUMIFS(JB_N,JB_S,"[ALT_VIEW]",JB_B,1,JB_EX,"P-5c",JB_CC,"Electronics",JB_H,"T-AO",JB_R,"",JB_N,"&lt;&gt;")+SUMIFS(JB_L,JB_S,"[ALT_VIEW]",JB_B,1,JB_EX,"P-5c",JB_CC,"Electronics",JB_H,"T-AO",JB_R,"",JB_N,"")</f>
        <v>51586</v>
      </c>
      <c r="I10" s="20">
        <f>SUMIFS(JB_R,JB_S,"[ALT_VIEW]",JB_B,1,JB_EX,"P-5c",JB_CC,"Electronics",JB_H,"T-ATS",JB_R,"&lt;&gt;")+SUMIFS(JB_N,JB_S,"[ALT_VIEW]",JB_B,1,JB_EX,"P-5c",JB_CC,"Electronics",JB_H,"T-ATS",JB_R,"",JB_N,"&lt;&gt;")+SUMIFS(JB_L,JB_S,"[ALT_VIEW]",JB_B,1,JB_EX,"P-5c",JB_CC,"Electronics",JB_H,"T-ATS",JB_R,"",JB_N,"")</f>
        <v>5696</v>
      </c>
      <c r="J10" s="34">
        <f t="shared" si="0"/>
        <v>2359068</v>
      </c>
    </row>
    <row r="11" spans="1:10" ht="10" customHeight="1" x14ac:dyDescent="0.2">
      <c r="A11" s="19" t="s">
        <v>363</v>
      </c>
      <c r="B11" s="34">
        <f>SUMIFS(JB_R,JB_S,"[ALT_VIEW]",JB_B,1,JB_EX,"P-5c",JB_CC,"Hull, Mechanical, and Electrical",JB_H,"DDG",JB_R,"&lt;&gt;")+SUMIFS(JB_N,JB_S,"[ALT_VIEW]",JB_B,1,JB_EX,"P-5c",JB_CC,"Hull, Mechanical, and Electrical",JB_H,"DDG",JB_R,"",JB_N,"&lt;&gt;")+SUMIFS(JB_L,JB_S,"[ALT_VIEW]",JB_B,1,JB_EX,"P-5c",JB_CC,"Hull, Mechanical, and Electrical",JB_H,"DDG",JB_R,"",JB_N,"")</f>
        <v>154029</v>
      </c>
      <c r="C11" s="20">
        <f>SUMIFS(JB_R,JB_S,"[ALT_VIEW]",JB_B,1,JB_EX,"P-5c",JB_CC,"Hull, Mechanical, and Electrical",JB_H,"FFG",JB_R,"&lt;&gt;")+SUMIFS(JB_N,JB_S,"[ALT_VIEW]",JB_B,1,JB_EX,"P-5c",JB_CC,"Hull, Mechanical, and Electrical",JB_H,"FFG",JB_R,"",JB_N,"&lt;&gt;")+SUMIFS(JB_L,JB_S,"[ALT_VIEW]",JB_B,1,JB_EX,"P-5c",JB_CC,"Hull, Mechanical, and Electrical",JB_H,"FFG",JB_R,"",JB_N,"")</f>
        <v>0</v>
      </c>
      <c r="D11" s="20">
        <f>SUMIFS(JB_R,JB_S,"[ALT_VIEW]",JB_B,1,JB_EX,"P-5c",JB_CC,"Hull, Mechanical, and Electrical",JB_H,"LPD",JB_R,"&lt;&gt;")+SUMIFS(JB_N,JB_S,"[ALT_VIEW]",JB_B,1,JB_EX,"P-5c",JB_CC,"Hull, Mechanical, and Electrical",JB_H,"LPD",JB_R,"",JB_N,"&lt;&gt;")+SUMIFS(JB_L,JB_S,"[ALT_VIEW]",JB_B,1,JB_EX,"P-5c",JB_CC,"Hull, Mechanical, and Electrical",JB_H,"LPD",JB_R,"",JB_N,"")</f>
        <v>20289</v>
      </c>
      <c r="E11" s="20">
        <f>SUMIFS(JB_R,JB_S,"[ALT_VIEW]",JB_B,1,JB_EX,"P-5c",JB_CC,"Hull, Mechanical, and Electrical",JB_H,"LHA",JB_R,"&lt;&gt;")+SUMIFS(JB_N,JB_S,"[ALT_VIEW]",JB_B,1,JB_EX,"P-5c",JB_CC,"Hull, Mechanical, and Electrical",JB_H,"LHA",JB_R,"",JB_N,"&lt;&gt;")+SUMIFS(JB_L,JB_S,"[ALT_VIEW]",JB_B,1,JB_EX,"P-5c",JB_CC,"Hull, Mechanical, and Electrical",JB_H,"LHA",JB_R,"",JB_N,"")</f>
        <v>61882</v>
      </c>
      <c r="F11" s="20">
        <f>SUMIFS(JB_R,JB_S,"[ALT_VIEW]",JB_B,1,JB_EX,"P-5c",JB_CC,"Hull, Mechanical, and Electrical",JB_H,"T-AGOS",JB_R,"&lt;&gt;")+SUMIFS(JB_N,JB_S,"[ALT_VIEW]",JB_B,1,JB_EX,"P-5c",JB_CC,"Hull, Mechanical, and Electrical",JB_H,"T-AGOS",JB_R,"",JB_N,"&lt;&gt;")+SUMIFS(JB_L,JB_S,"[ALT_VIEW]",JB_B,1,JB_EX,"P-5c",JB_CC,"Hull, Mechanical, and Electrical",JB_H,"T-AGOS",JB_R,"",JB_N,"")</f>
        <v>22000</v>
      </c>
      <c r="G11" s="20">
        <f>SUMIFS(JB_R,JB_S,"[ALT_VIEW]",JB_B,1,JB_EX,"P-5c",JB_CC,"Hull, Mechanical, and Electrical",JB_H,"T-EPF",JB_R,"&lt;&gt;")+SUMIFS(JB_N,JB_S,"[ALT_VIEW]",JB_B,1,JB_EX,"P-5c",JB_CC,"Hull, Mechanical, and Electrical",JB_H,"T-EPF",JB_R,"",JB_N,"&lt;&gt;")+SUMIFS(JB_L,JB_S,"[ALT_VIEW]",JB_B,1,JB_EX,"P-5c",JB_CC,"Hull, Mechanical, and Electrical",JB_H,"T-EPF",JB_R,"",JB_N,"")</f>
        <v>26720</v>
      </c>
      <c r="H11" s="20">
        <f>SUMIFS(JB_R,JB_S,"[ALT_VIEW]",JB_B,1,JB_EX,"P-5c",JB_CC,"Hull, Mechanical, and Electrical",JB_H,"T-AO",JB_R,"&lt;&gt;")+SUMIFS(JB_N,JB_S,"[ALT_VIEW]",JB_B,1,JB_EX,"P-5c",JB_CC,"Hull, Mechanical, and Electrical",JB_H,"T-AO",JB_R,"",JB_N,"&lt;&gt;")+SUMIFS(JB_L,JB_S,"[ALT_VIEW]",JB_B,1,JB_EX,"P-5c",JB_CC,"Hull, Mechanical, and Electrical",JB_H,"T-AO",JB_R,"",JB_N,"")</f>
        <v>15531</v>
      </c>
      <c r="I11" s="20">
        <f>SUMIFS(JB_R,JB_S,"[ALT_VIEW]",JB_B,1,JB_EX,"P-5c",JB_CC,"Hull, Mechanical, and Electrical",JB_H,"T-ATS",JB_R,"&lt;&gt;")+SUMIFS(JB_N,JB_S,"[ALT_VIEW]",JB_B,1,JB_EX,"P-5c",JB_CC,"Hull, Mechanical, and Electrical",JB_H,"T-ATS",JB_R,"",JB_N,"&lt;&gt;")+SUMIFS(JB_L,JB_S,"[ALT_VIEW]",JB_B,1,JB_EX,"P-5c",JB_CC,"Hull, Mechanical, and Electrical",JB_H,"T-ATS",JB_R,"",JB_N,"")</f>
        <v>0</v>
      </c>
      <c r="J11" s="34">
        <f t="shared" si="0"/>
        <v>300451</v>
      </c>
    </row>
    <row r="12" spans="1:10" ht="10" customHeight="1" x14ac:dyDescent="0.2">
      <c r="A12" s="19" t="s">
        <v>366</v>
      </c>
      <c r="B12" s="34">
        <f>SUMIFS(JB_R,JB_S,"[ALT_VIEW]",JB_B,1,JB_EX,"P-5c",JB_CC,"Ordnance",JB_H,"DDG",JB_R,"&lt;&gt;")+SUMIFS(JB_N,JB_S,"[ALT_VIEW]",JB_B,1,JB_EX,"P-5c",JB_CC,"Ordnance",JB_H,"DDG",JB_R,"",JB_N,"&lt;&gt;")+SUMIFS(JB_L,JB_S,"[ALT_VIEW]",JB_B,1,JB_EX,"P-5c",JB_CC,"Ordnance",JB_H,"DDG",JB_R,"",JB_N,"")</f>
        <v>3651082</v>
      </c>
      <c r="C12" s="20">
        <f>SUMIFS(JB_R,JB_S,"[ALT_VIEW]",JB_B,1,JB_EX,"P-5c",JB_CC,"Ordnance",JB_H,"FFG",JB_R,"&lt;&gt;")+SUMIFS(JB_N,JB_S,"[ALT_VIEW]",JB_B,1,JB_EX,"P-5c",JB_CC,"Ordnance",JB_H,"FFG",JB_R,"",JB_N,"&lt;&gt;")+SUMIFS(JB_L,JB_S,"[ALT_VIEW]",JB_B,1,JB_EX,"P-5c",JB_CC,"Ordnance",JB_H,"FFG",JB_R,"",JB_N,"")</f>
        <v>121197</v>
      </c>
      <c r="D12" s="20">
        <f>SUMIFS(JB_R,JB_S,"[ALT_VIEW]",JB_B,1,JB_EX,"P-5c",JB_CC,"Ordnance",JB_H,"LPD",JB_R,"&lt;&gt;")+SUMIFS(JB_N,JB_S,"[ALT_VIEW]",JB_B,1,JB_EX,"P-5c",JB_CC,"Ordnance",JB_H,"LPD",JB_R,"",JB_N,"&lt;&gt;")+SUMIFS(JB_L,JB_S,"[ALT_VIEW]",JB_B,1,JB_EX,"P-5c",JB_CC,"Ordnance",JB_H,"LPD",JB_R,"",JB_N,"")</f>
        <v>101472</v>
      </c>
      <c r="E12" s="20">
        <f>SUMIFS(JB_R,JB_S,"[ALT_VIEW]",JB_B,1,JB_EX,"P-5c",JB_CC,"Ordnance",JB_H,"LHA",JB_R,"&lt;&gt;")+SUMIFS(JB_N,JB_S,"[ALT_VIEW]",JB_B,1,JB_EX,"P-5c",JB_CC,"Ordnance",JB_H,"LHA",JB_R,"",JB_N,"&lt;&gt;")+SUMIFS(JB_L,JB_S,"[ALT_VIEW]",JB_B,1,JB_EX,"P-5c",JB_CC,"Ordnance",JB_H,"LHA",JB_R,"",JB_N,"")</f>
        <v>168742</v>
      </c>
      <c r="F12" s="20">
        <f>SUMIFS(JB_R,JB_S,"[ALT_VIEW]",JB_B,1,JB_EX,"P-5c",JB_CC,"Ordnance",JB_H,"T-AGOS",JB_R,"&lt;&gt;")+SUMIFS(JB_N,JB_S,"[ALT_VIEW]",JB_B,1,JB_EX,"P-5c",JB_CC,"Ordnance",JB_H,"T-AGOS",JB_R,"",JB_N,"&lt;&gt;")+SUMIFS(JB_L,JB_S,"[ALT_VIEW]",JB_B,1,JB_EX,"P-5c",JB_CC,"Ordnance",JB_H,"T-AGOS",JB_R,"",JB_N,"")</f>
        <v>0</v>
      </c>
      <c r="G12" s="20">
        <f>SUMIFS(JB_R,JB_S,"[ALT_VIEW]",JB_B,1,JB_EX,"P-5c",JB_CC,"Ordnance",JB_H,"T-EPF",JB_R,"&lt;&gt;")+SUMIFS(JB_N,JB_S,"[ALT_VIEW]",JB_B,1,JB_EX,"P-5c",JB_CC,"Ordnance",JB_H,"T-EPF",JB_R,"",JB_N,"&lt;&gt;")+SUMIFS(JB_L,JB_S,"[ALT_VIEW]",JB_B,1,JB_EX,"P-5c",JB_CC,"Ordnance",JB_H,"T-EPF",JB_R,"",JB_N,"")</f>
        <v>0</v>
      </c>
      <c r="H12" s="20">
        <f>SUMIFS(JB_R,JB_S,"[ALT_VIEW]",JB_B,1,JB_EX,"P-5c",JB_CC,"Ordnance",JB_H,"T-AO",JB_R,"&lt;&gt;")+SUMIFS(JB_N,JB_S,"[ALT_VIEW]",JB_B,1,JB_EX,"P-5c",JB_CC,"Ordnance",JB_H,"T-AO",JB_R,"",JB_N,"&lt;&gt;")+SUMIFS(JB_L,JB_S,"[ALT_VIEW]",JB_B,1,JB_EX,"P-5c",JB_CC,"Ordnance",JB_H,"T-AO",JB_R,"",JB_N,"")</f>
        <v>0</v>
      </c>
      <c r="I12" s="20">
        <f>SUMIFS(JB_R,JB_S,"[ALT_VIEW]",JB_B,1,JB_EX,"P-5c",JB_CC,"Ordnance",JB_H,"T-ATS",JB_R,"&lt;&gt;")+SUMIFS(JB_N,JB_S,"[ALT_VIEW]",JB_B,1,JB_EX,"P-5c",JB_CC,"Ordnance",JB_H,"T-ATS",JB_R,"",JB_N,"&lt;&gt;")+SUMIFS(JB_L,JB_S,"[ALT_VIEW]",JB_B,1,JB_EX,"P-5c",JB_CC,"Ordnance",JB_H,"T-ATS",JB_R,"",JB_N,"")</f>
        <v>0</v>
      </c>
      <c r="J12" s="34">
        <f t="shared" si="0"/>
        <v>4042493</v>
      </c>
    </row>
    <row r="13" spans="1:10" ht="10" customHeight="1" x14ac:dyDescent="0.2">
      <c r="A13" s="19" t="s">
        <v>369</v>
      </c>
      <c r="B13" s="34">
        <f>SUMIFS(JB_R,JB_S,"[ALT_VIEW]",JB_B,1,JB_EX,"P-5c",JB_CC,"Other Cost",JB_H,"DDG",JB_R,"&lt;&gt;")+SUMIFS(JB_N,JB_S,"[ALT_VIEW]",JB_B,1,JB_EX,"P-5c",JB_CC,"Other Cost",JB_H,"DDG",JB_R,"",JB_N,"&lt;&gt;")+SUMIFS(JB_L,JB_S,"[ALT_VIEW]",JB_B,1,JB_EX,"P-5c",JB_CC,"Other Cost",JB_H,"DDG",JB_R,"",JB_N,"")</f>
        <v>170688</v>
      </c>
      <c r="C13" s="20">
        <f>SUMIFS(JB_R,JB_S,"[ALT_VIEW]",JB_B,1,JB_EX,"P-5c",JB_CC,"Other Cost",JB_H,"FFG",JB_R,"&lt;&gt;")+SUMIFS(JB_N,JB_S,"[ALT_VIEW]",JB_B,1,JB_EX,"P-5c",JB_CC,"Other Cost",JB_H,"FFG",JB_R,"",JB_N,"&lt;&gt;")+SUMIFS(JB_L,JB_S,"[ALT_VIEW]",JB_B,1,JB_EX,"P-5c",JB_CC,"Other Cost",JB_H,"FFG",JB_R,"",JB_N,"")</f>
        <v>99993</v>
      </c>
      <c r="D13" s="20">
        <f>SUMIFS(JB_R,JB_S,"[ALT_VIEW]",JB_B,1,JB_EX,"P-5c",JB_CC,"Other Cost",JB_H,"LPD",JB_R,"&lt;&gt;")+SUMIFS(JB_N,JB_S,"[ALT_VIEW]",JB_B,1,JB_EX,"P-5c",JB_CC,"Other Cost",JB_H,"LPD",JB_R,"",JB_N,"&lt;&gt;")+SUMIFS(JB_L,JB_S,"[ALT_VIEW]",JB_B,1,JB_EX,"P-5c",JB_CC,"Other Cost",JB_H,"LPD",JB_R,"",JB_N,"")</f>
        <v>7674</v>
      </c>
      <c r="E13" s="20">
        <f>SUMIFS(JB_R,JB_S,"[ALT_VIEW]",JB_B,1,JB_EX,"P-5c",JB_CC,"Other Cost",JB_H,"LHA",JB_R,"&lt;&gt;")+SUMIFS(JB_N,JB_S,"[ALT_VIEW]",JB_B,1,JB_EX,"P-5c",JB_CC,"Other Cost",JB_H,"LHA",JB_R,"",JB_N,"&lt;&gt;")+SUMIFS(JB_L,JB_S,"[ALT_VIEW]",JB_B,1,JB_EX,"P-5c",JB_CC,"Other Cost",JB_H,"LHA",JB_R,"",JB_N,"")</f>
        <v>69439</v>
      </c>
      <c r="F13" s="20">
        <f>SUMIFS(JB_R,JB_S,"[ALT_VIEW]",JB_B,1,JB_EX,"P-5c",JB_CC,"Other Cost",JB_H,"T-AGOS",JB_R,"&lt;&gt;")+SUMIFS(JB_N,JB_S,"[ALT_VIEW]",JB_B,1,JB_EX,"P-5c",JB_CC,"Other Cost",JB_H,"T-AGOS",JB_R,"",JB_N,"&lt;&gt;")+SUMIFS(JB_L,JB_S,"[ALT_VIEW]",JB_B,1,JB_EX,"P-5c",JB_CC,"Other Cost",JB_H,"T-AGOS",JB_R,"",JB_N,"")</f>
        <v>0</v>
      </c>
      <c r="G13" s="20">
        <f>SUMIFS(JB_R,JB_S,"[ALT_VIEW]",JB_B,1,JB_EX,"P-5c",JB_CC,"Other Cost",JB_H,"T-EPF",JB_R,"&lt;&gt;")+SUMIFS(JB_N,JB_S,"[ALT_VIEW]",JB_B,1,JB_EX,"P-5c",JB_CC,"Other Cost",JB_H,"T-EPF",JB_R,"",JB_N,"&lt;&gt;")+SUMIFS(JB_L,JB_S,"[ALT_VIEW]",JB_B,1,JB_EX,"P-5c",JB_CC,"Other Cost",JB_H,"T-EPF",JB_R,"",JB_N,"")</f>
        <v>13360</v>
      </c>
      <c r="H13" s="20">
        <f>SUMIFS(JB_R,JB_S,"[ALT_VIEW]",JB_B,1,JB_EX,"P-5c",JB_CC,"Other Cost",JB_H,"T-AO",JB_R,"&lt;&gt;")+SUMIFS(JB_N,JB_S,"[ALT_VIEW]",JB_B,1,JB_EX,"P-5c",JB_CC,"Other Cost",JB_H,"T-AO",JB_R,"",JB_N,"&lt;&gt;")+SUMIFS(JB_L,JB_S,"[ALT_VIEW]",JB_B,1,JB_EX,"P-5c",JB_CC,"Other Cost",JB_H,"T-AO",JB_R,"",JB_N,"")</f>
        <v>20000</v>
      </c>
      <c r="I13" s="20">
        <f>SUMIFS(JB_R,JB_S,"[ALT_VIEW]",JB_B,1,JB_EX,"P-5c",JB_CC,"Other Cost",JB_H,"T-ATS",JB_R,"&lt;&gt;")+SUMIFS(JB_N,JB_S,"[ALT_VIEW]",JB_B,1,JB_EX,"P-5c",JB_CC,"Other Cost",JB_H,"T-ATS",JB_R,"",JB_N,"&lt;&gt;")+SUMIFS(JB_L,JB_S,"[ALT_VIEW]",JB_B,1,JB_EX,"P-5c",JB_CC,"Other Cost",JB_H,"T-ATS",JB_R,"",JB_N,"")</f>
        <v>0</v>
      </c>
      <c r="J13" s="34">
        <f t="shared" si="0"/>
        <v>381154</v>
      </c>
    </row>
    <row r="14" spans="1:10" ht="10" customHeight="1" x14ac:dyDescent="0.2">
      <c r="A14" s="21" t="s">
        <v>8387</v>
      </c>
      <c r="B14" s="33">
        <f t="shared" ref="B14:J14" si="1">SUM(B7:B13)</f>
        <v>10201368</v>
      </c>
      <c r="C14" s="22">
        <f t="shared" si="1"/>
        <v>2456524</v>
      </c>
      <c r="D14" s="22">
        <f t="shared" si="1"/>
        <v>2070637</v>
      </c>
      <c r="E14" s="22">
        <f t="shared" si="1"/>
        <v>1180374</v>
      </c>
      <c r="F14" s="22">
        <f t="shared" si="1"/>
        <v>726111</v>
      </c>
      <c r="G14" s="22">
        <f t="shared" si="1"/>
        <v>672000</v>
      </c>
      <c r="H14" s="22">
        <f t="shared" si="1"/>
        <v>103363</v>
      </c>
      <c r="I14" s="22">
        <f t="shared" si="1"/>
        <v>91005</v>
      </c>
      <c r="J14" s="33">
        <f t="shared" si="1"/>
        <v>17501382</v>
      </c>
    </row>
    <row r="15" spans="1:10" ht="10" customHeight="1" x14ac:dyDescent="0.2"/>
    <row r="16" spans="1:10" ht="10" customHeight="1" x14ac:dyDescent="0.2"/>
    <row r="17" spans="1:4" ht="10" customHeight="1" x14ac:dyDescent="0.2">
      <c r="A17" s="6" t="s">
        <v>8395</v>
      </c>
      <c r="B17" s="7"/>
      <c r="C17" s="7"/>
      <c r="D17" s="7"/>
    </row>
    <row r="18" spans="1:4" ht="10" customHeight="1" x14ac:dyDescent="0.2">
      <c r="A18" s="17" t="s">
        <v>8396</v>
      </c>
    </row>
    <row r="19" spans="1:4" ht="10" customHeight="1" x14ac:dyDescent="0.2"/>
    <row r="20" spans="1:4" ht="10" customHeight="1" x14ac:dyDescent="0.2">
      <c r="A20" s="35" t="s">
        <v>8357</v>
      </c>
      <c r="B20" s="28"/>
      <c r="C20" s="28"/>
      <c r="D20" s="28"/>
    </row>
    <row r="21" spans="1:4" ht="10" customHeight="1" x14ac:dyDescent="0.2">
      <c r="A21" s="18" t="s">
        <v>8397</v>
      </c>
      <c r="B21" s="18" t="s">
        <v>14</v>
      </c>
      <c r="C21" s="18" t="s">
        <v>8315</v>
      </c>
      <c r="D21" s="18" t="s">
        <v>8398</v>
      </c>
    </row>
    <row r="22" spans="1:4" ht="10" customHeight="1" x14ac:dyDescent="0.2">
      <c r="A22" s="19" t="s">
        <v>2632</v>
      </c>
      <c r="B22" s="17" t="s">
        <v>357</v>
      </c>
      <c r="C22" s="38">
        <f>SUMIFS(JB_R,JB_S,"[ALT_VIEW]",JB_B,1,JB_EX,"P-8a",JB_CC,"Electronics",JB_H,"DDG",JB_CE,"VERTICAL LAUNCHING SYSTEM (VLS) MK 57 4-CELL MODULES",JB_R,"&lt;&gt;")+SUMIFS(JB_N,JB_S,"[ALT_VIEW]",JB_B,1,JB_EX,"P-8a",JB_CC,"Electronics",JB_H,"DDG",JB_CE,"VERTICAL LAUNCHING SYSTEM (VLS) MK 57 4-CELL MODULES",JB_R,"",JB_N,"&lt;&gt;")+SUMIFS(JB_L,JB_S,"[ALT_VIEW]",JB_B,1,JB_EX,"P-8a",JB_CC,"Electronics",JB_H,"DDG",JB_CE,"VERTICAL LAUNCHING SYSTEM (VLS) MK 57 4-CELL MODULES",JB_R,"",JB_N,"")</f>
        <v>302815</v>
      </c>
      <c r="D22" s="26">
        <f t="shared" ref="D22:D53" si="2">IFERROR(C22/C$80,0)</f>
        <v>6.1788059498056061E-2</v>
      </c>
    </row>
    <row r="23" spans="1:4" ht="10" customHeight="1" x14ac:dyDescent="0.2">
      <c r="A23" s="19" t="s">
        <v>2605</v>
      </c>
      <c r="B23" s="17" t="s">
        <v>357</v>
      </c>
      <c r="C23" s="38">
        <f>SUMIFS(JB_R,JB_S,"[ALT_VIEW]",JB_B,1,JB_EX,"P-8a",JB_CC,"Electronics",JB_H,"DDG",JB_CE,"MULTI FUNCTION RADAR (MFR)",JB_R,"&lt;&gt;")+SUMIFS(JB_N,JB_S,"[ALT_VIEW]",JB_B,1,JB_EX,"P-8a",JB_CC,"Electronics",JB_H,"DDG",JB_CE,"MULTI FUNCTION RADAR (MFR)",JB_R,"",JB_N,"&lt;&gt;")+SUMIFS(JB_L,JB_S,"[ALT_VIEW]",JB_B,1,JB_EX,"P-8a",JB_CC,"Electronics",JB_H,"DDG",JB_CE,"MULTI FUNCTION RADAR (MFR)",JB_R,"",JB_N,"")</f>
        <v>297999</v>
      </c>
      <c r="D23" s="26">
        <f t="shared" si="2"/>
        <v>6.0805376029460914E-2</v>
      </c>
    </row>
    <row r="24" spans="1:4" ht="10" customHeight="1" x14ac:dyDescent="0.2">
      <c r="A24" s="19" t="s">
        <v>2611</v>
      </c>
      <c r="B24" s="17" t="s">
        <v>357</v>
      </c>
      <c r="C24" s="38">
        <f>SUMIFS(JB_R,JB_S,"[ALT_VIEW]",JB_B,1,JB_EX,"P-8a",JB_CC,"Electronics",JB_H,"DDG",JB_CE,"TOTAL SHIP COMPUTING ENVIRONMENT (TSCE)",JB_R,"&lt;&gt;")+SUMIFS(JB_N,JB_S,"[ALT_VIEW]",JB_B,1,JB_EX,"P-8a",JB_CC,"Electronics",JB_H,"DDG",JB_CE,"TOTAL SHIP COMPUTING ENVIRONMENT (TSCE)",JB_R,"",JB_N,"&lt;&gt;")+SUMIFS(JB_L,JB_S,"[ALT_VIEW]",JB_B,1,JB_EX,"P-8a",JB_CC,"Electronics",JB_H,"DDG",JB_CE,"TOTAL SHIP COMPUTING ENVIRONMENT (TSCE)",JB_R,"",JB_N,"")</f>
        <v>259191</v>
      </c>
      <c r="D24" s="26">
        <f t="shared" si="2"/>
        <v>5.2886775520897739E-2</v>
      </c>
    </row>
    <row r="25" spans="1:4" ht="10" customHeight="1" x14ac:dyDescent="0.2">
      <c r="A25" s="19" t="s">
        <v>2826</v>
      </c>
      <c r="B25" s="17" t="s">
        <v>357</v>
      </c>
      <c r="C25" s="38">
        <f>SUMIFS(JB_R,JB_S,"[ALT_VIEW]",JB_B,1,JB_EX,"P-8a",JB_CC,"Electronics",JB_H,"DDG",JB_CE,"AN/SLQ-32 SEWIP V(7)",JB_R,"&lt;&gt;")+SUMIFS(JB_N,JB_S,"[ALT_VIEW]",JB_B,1,JB_EX,"P-8a",JB_CC,"Electronics",JB_H,"DDG",JB_CE,"AN/SLQ-32 SEWIP V(7)",JB_R,"",JB_N,"&lt;&gt;")+SUMIFS(JB_L,JB_S,"[ALT_VIEW]",JB_B,1,JB_EX,"P-8a",JB_CC,"Electronics",JB_H,"DDG",JB_CE,"AN/SLQ-32 SEWIP V(7)",JB_R,"",JB_N,"")</f>
        <v>247277</v>
      </c>
      <c r="D25" s="26">
        <f t="shared" si="2"/>
        <v>5.0455776591320799E-2</v>
      </c>
    </row>
    <row r="26" spans="1:4" ht="10" customHeight="1" x14ac:dyDescent="0.2">
      <c r="A26" s="19" t="s">
        <v>2832</v>
      </c>
      <c r="B26" s="17" t="s">
        <v>357</v>
      </c>
      <c r="C26" s="38">
        <f>SUMIFS(JB_R,JB_S,"[ALT_VIEW]",JB_B,1,JB_EX,"P-8a",JB_CC,"Electronics",JB_H,"DDG",JB_CE,"EXCOMM",JB_R,"&lt;&gt;")+SUMIFS(JB_N,JB_S,"[ALT_VIEW]",JB_B,1,JB_EX,"P-8a",JB_CC,"Electronics",JB_H,"DDG",JB_CE,"EXCOMM",JB_R,"",JB_N,"&lt;&gt;")+SUMIFS(JB_L,JB_S,"[ALT_VIEW]",JB_B,1,JB_EX,"P-8a",JB_CC,"Electronics",JB_H,"DDG",JB_CE,"EXCOMM",JB_R,"",JB_N,"")</f>
        <v>194160</v>
      </c>
      <c r="D26" s="26">
        <f t="shared" si="2"/>
        <v>3.9617488011302493E-2</v>
      </c>
    </row>
    <row r="27" spans="1:4" ht="10" customHeight="1" x14ac:dyDescent="0.2">
      <c r="A27" s="19" t="s">
        <v>2823</v>
      </c>
      <c r="B27" s="17" t="s">
        <v>357</v>
      </c>
      <c r="C27" s="38">
        <f>SUMIFS(JB_R,JB_S,"[ALT_VIEW]",JB_B,1,JB_EX,"P-8a",JB_CC,"Electronics",JB_H,"DDG",JB_CE,"SQQ 89 ASW",JB_R,"&lt;&gt;")+SUMIFS(JB_N,JB_S,"[ALT_VIEW]",JB_B,1,JB_EX,"P-8a",JB_CC,"Electronics",JB_H,"DDG",JB_CE,"SQQ 89 ASW",JB_R,"",JB_N,"&lt;&gt;")+SUMIFS(JB_L,JB_S,"[ALT_VIEW]",JB_B,1,JB_EX,"P-8a",JB_CC,"Electronics",JB_H,"DDG",JB_CE,"SQQ 89 ASW",JB_R,"",JB_N,"")</f>
        <v>177416</v>
      </c>
      <c r="D27" s="26">
        <f t="shared" si="2"/>
        <v>3.6200948975140312E-2</v>
      </c>
    </row>
    <row r="28" spans="1:4" ht="10" customHeight="1" x14ac:dyDescent="0.2">
      <c r="A28" s="19" t="s">
        <v>2641</v>
      </c>
      <c r="B28" s="17" t="s">
        <v>357</v>
      </c>
      <c r="C28" s="38">
        <f>SUMIFS(JB_R,JB_S,"[ALT_VIEW]",JB_B,1,JB_EX,"P-8a",JB_CC,"Electronics",JB_H,"DDG",JB_CE,"MISSION SYSTEM ENGR INTEGR &amp; TEST (MSEIT)",JB_R,"&lt;&gt;")+SUMIFS(JB_N,JB_S,"[ALT_VIEW]",JB_B,1,JB_EX,"P-8a",JB_CC,"Electronics",JB_H,"DDG",JB_CE,"MISSION SYSTEM ENGR INTEGR &amp; TEST (MSEIT)",JB_R,"",JB_N,"&lt;&gt;")+SUMIFS(JB_L,JB_S,"[ALT_VIEW]",JB_B,1,JB_EX,"P-8a",JB_CC,"Electronics",JB_H,"DDG",JB_CE,"MISSION SYSTEM ENGR INTEGR &amp; TEST (MSEIT)",JB_R,"",JB_N,"")</f>
        <v>132510</v>
      </c>
      <c r="D28" s="26">
        <f t="shared" si="2"/>
        <v>2.7038078576316921E-2</v>
      </c>
    </row>
    <row r="29" spans="1:4" ht="10" customHeight="1" x14ac:dyDescent="0.2">
      <c r="A29" s="19" t="s">
        <v>2644</v>
      </c>
      <c r="B29" s="17" t="s">
        <v>357</v>
      </c>
      <c r="C29" s="38">
        <f>SUMIFS(JB_R,JB_S,"[ALT_VIEW]",JB_B,1,JB_EX,"P-8a",JB_CC,"Electronics",JB_H,"DDG",JB_CE,"MISSION SYSTEM ACTIVATION",JB_R,"&lt;&gt;")+SUMIFS(JB_N,JB_S,"[ALT_VIEW]",JB_B,1,JB_EX,"P-8a",JB_CC,"Electronics",JB_H,"DDG",JB_CE,"MISSION SYSTEM ACTIVATION",JB_R,"",JB_N,"&lt;&gt;")+SUMIFS(JB_L,JB_S,"[ALT_VIEW]",JB_B,1,JB_EX,"P-8a",JB_CC,"Electronics",JB_H,"DDG",JB_CE,"MISSION SYSTEM ACTIVATION",JB_R,"",JB_N,"")</f>
        <v>130838</v>
      </c>
      <c r="D29" s="26">
        <f t="shared" si="2"/>
        <v>2.6696914382070433E-2</v>
      </c>
    </row>
    <row r="30" spans="1:4" ht="10" customHeight="1" x14ac:dyDescent="0.2">
      <c r="A30" s="19" t="s">
        <v>2623</v>
      </c>
      <c r="B30" s="17" t="s">
        <v>357</v>
      </c>
      <c r="C30" s="38">
        <f>SUMIFS(JB_R,JB_S,"[ALT_VIEW]",JB_B,1,JB_EX,"P-8a",JB_CC,"Electronics",JB_H,"DDG",JB_CE,"SHIP CONTROL SYSTEM (SCS)",JB_R,"&lt;&gt;")+SUMIFS(JB_N,JB_S,"[ALT_VIEW]",JB_B,1,JB_EX,"P-8a",JB_CC,"Electronics",JB_H,"DDG",JB_CE,"SHIP CONTROL SYSTEM (SCS)",JB_R,"",JB_N,"&lt;&gt;")+SUMIFS(JB_L,JB_S,"[ALT_VIEW]",JB_B,1,JB_EX,"P-8a",JB_CC,"Electronics",JB_H,"DDG",JB_CE,"SHIP CONTROL SYSTEM (SCS)",JB_R,"",JB_N,"")</f>
        <v>117229</v>
      </c>
      <c r="D30" s="26">
        <f t="shared" si="2"/>
        <v>2.3920058210120415E-2</v>
      </c>
    </row>
    <row r="31" spans="1:4" ht="10" customHeight="1" x14ac:dyDescent="0.2">
      <c r="A31" s="19" t="s">
        <v>2602</v>
      </c>
      <c r="B31" s="17" t="s">
        <v>357</v>
      </c>
      <c r="C31" s="38">
        <f>SUMIFS(JB_R,JB_S,"[ALT_VIEW]",JB_B,1,JB_EX,"P-8a",JB_CC,"Electronics",JB_H,"DDG",JB_CE,"INTEGRATED UNDERSEA WARFARE (IUSW) SYSTEM",JB_R,"&lt;&gt;")+SUMIFS(JB_N,JB_S,"[ALT_VIEW]",JB_B,1,JB_EX,"P-8a",JB_CC,"Electronics",JB_H,"DDG",JB_CE,"INTEGRATED UNDERSEA WARFARE (IUSW) SYSTEM",JB_R,"",JB_N,"&lt;&gt;")+SUMIFS(JB_L,JB_S,"[ALT_VIEW]",JB_B,1,JB_EX,"P-8a",JB_CC,"Electronics",JB_H,"DDG",JB_CE,"INTEGRATED UNDERSEA WARFARE (IUSW) SYSTEM",JB_R,"",JB_N,"")</f>
        <v>105136</v>
      </c>
      <c r="D31" s="26">
        <f t="shared" si="2"/>
        <v>2.1452535123384315E-2</v>
      </c>
    </row>
    <row r="32" spans="1:4" ht="10" customHeight="1" x14ac:dyDescent="0.2">
      <c r="A32" s="19" t="s">
        <v>2864</v>
      </c>
      <c r="B32" s="17" t="s">
        <v>357</v>
      </c>
      <c r="C32" s="38">
        <f>SUMIFS(JB_R,JB_S,"[ALT_VIEW]",JB_B,1,JB_EX,"P-8a",JB_CC,"Electronics",JB_H,"DDG",JB_CE,"MISC. ELECTRONICS",JB_R,"&lt;&gt;")+SUMIFS(JB_N,JB_S,"[ALT_VIEW]",JB_B,1,JB_EX,"P-8a",JB_CC,"Electronics",JB_H,"DDG",JB_CE,"MISC. ELECTRONICS",JB_R,"",JB_N,"&lt;&gt;")+SUMIFS(JB_L,JB_S,"[ALT_VIEW]",JB_B,1,JB_EX,"P-8a",JB_CC,"Electronics",JB_H,"DDG",JB_CE,"MISC. ELECTRONICS",JB_R,"",JB_N,"")</f>
        <v>94317</v>
      </c>
      <c r="D32" s="26">
        <f t="shared" si="2"/>
        <v>1.9244966093747512E-2</v>
      </c>
    </row>
    <row r="33" spans="1:4" ht="10" customHeight="1" x14ac:dyDescent="0.2">
      <c r="A33" s="19" t="s">
        <v>2599</v>
      </c>
      <c r="B33" s="17" t="s">
        <v>357</v>
      </c>
      <c r="C33" s="38">
        <f>SUMIFS(JB_R,JB_S,"[ALT_VIEW]",JB_B,1,JB_EX,"P-8a",JB_CC,"Electronics",JB_H,"DDG",JB_CE,"EXTERIOR COMMUNICATIONS (EXCOMMS)",JB_R,"&lt;&gt;")+SUMIFS(JB_N,JB_S,"[ALT_VIEW]",JB_B,1,JB_EX,"P-8a",JB_CC,"Electronics",JB_H,"DDG",JB_CE,"EXTERIOR COMMUNICATIONS (EXCOMMS)",JB_R,"",JB_N,"&lt;&gt;")+SUMIFS(JB_L,JB_S,"[ALT_VIEW]",JB_B,1,JB_EX,"P-8a",JB_CC,"Electronics",JB_H,"DDG",JB_CE,"EXTERIOR COMMUNICATIONS (EXCOMMS)",JB_R,"",JB_N,"")</f>
        <v>79962</v>
      </c>
      <c r="D33" s="26">
        <f t="shared" si="2"/>
        <v>1.6315891926039192E-2</v>
      </c>
    </row>
    <row r="34" spans="1:4" ht="10" customHeight="1" x14ac:dyDescent="0.2">
      <c r="A34" s="19" t="s">
        <v>1486</v>
      </c>
      <c r="B34" s="17" t="s">
        <v>357</v>
      </c>
      <c r="C34" s="38">
        <f>SUMIFS(JB_R,JB_S,"[ALT_VIEW]",JB_B,1,JB_EX,"P-8a",JB_CC,"Electronics",JB_H,"DDG",JB_CE,"SPECTRAL",JB_R,"&lt;&gt;")+SUMIFS(JB_N,JB_S,"[ALT_VIEW]",JB_B,1,JB_EX,"P-8a",JB_CC,"Electronics",JB_H,"DDG",JB_CE,"SPECTRAL",JB_R,"",JB_N,"&lt;&gt;")+SUMIFS(JB_L,JB_S,"[ALT_VIEW]",JB_B,1,JB_EX,"P-8a",JB_CC,"Electronics",JB_H,"DDG",JB_CE,"SPECTRAL",JB_R,"",JB_N,"")</f>
        <v>67250</v>
      </c>
      <c r="D34" s="26">
        <f t="shared" si="2"/>
        <v>1.3722064631026435E-2</v>
      </c>
    </row>
    <row r="35" spans="1:4" ht="10" customHeight="1" x14ac:dyDescent="0.2">
      <c r="A35" s="19" t="s">
        <v>2635</v>
      </c>
      <c r="B35" s="17" t="s">
        <v>357</v>
      </c>
      <c r="C35" s="38">
        <f>SUMIFS(JB_R,JB_S,"[ALT_VIEW]",JB_B,1,JB_EX,"P-8a",JB_CC,"Electronics",JB_H,"DDG",JB_CE,"DDG 1002 TSCE MODERNIZATION",JB_R,"&lt;&gt;")+SUMIFS(JB_N,JB_S,"[ALT_VIEW]",JB_B,1,JB_EX,"P-8a",JB_CC,"Electronics",JB_H,"DDG",JB_CE,"DDG 1002 TSCE MODERNIZATION",JB_R,"",JB_N,"&lt;&gt;")+SUMIFS(JB_L,JB_S,"[ALT_VIEW]",JB_B,1,JB_EX,"P-8a",JB_CC,"Electronics",JB_H,"DDG",JB_CE,"DDG 1002 TSCE MODERNIZATION",JB_R,"",JB_N,"")</f>
        <v>56730</v>
      </c>
      <c r="D35" s="26">
        <f t="shared" si="2"/>
        <v>1.1575505227035385E-2</v>
      </c>
    </row>
    <row r="36" spans="1:4" ht="10" customHeight="1" x14ac:dyDescent="0.2">
      <c r="A36" s="19" t="s">
        <v>2829</v>
      </c>
      <c r="B36" s="17" t="s">
        <v>357</v>
      </c>
      <c r="C36" s="38">
        <f>SUMIFS(JB_R,JB_S,"[ALT_VIEW]",JB_B,1,JB_EX,"P-8a",JB_CC,"Electronics",JB_H,"DDG",JB_CE,"USQ 82(V) GEDMS",JB_R,"&lt;&gt;")+SUMIFS(JB_N,JB_S,"[ALT_VIEW]",JB_B,1,JB_EX,"P-8a",JB_CC,"Electronics",JB_H,"DDG",JB_CE,"USQ 82(V) GEDMS",JB_R,"",JB_N,"&lt;&gt;")+SUMIFS(JB_L,JB_S,"[ALT_VIEW]",JB_B,1,JB_EX,"P-8a",JB_CC,"Electronics",JB_H,"DDG",JB_CE,"USQ 82(V) GEDMS",JB_R,"",JB_N,"")</f>
        <v>48645</v>
      </c>
      <c r="D36" s="26">
        <f t="shared" si="2"/>
        <v>9.925796787751389E-3</v>
      </c>
    </row>
    <row r="37" spans="1:4" ht="10" customHeight="1" x14ac:dyDescent="0.2">
      <c r="A37" s="19" t="s">
        <v>2614</v>
      </c>
      <c r="B37" s="17" t="s">
        <v>357</v>
      </c>
      <c r="C37" s="38">
        <f>SUMIFS(JB_R,JB_S,"[ALT_VIEW]",JB_B,1,JB_EX,"P-8a",JB_CC,"Electronics",JB_H,"DDG",JB_CE,"ELECTRO-OPTICAL / INFRARED (EO/IR)",JB_R,"&lt;&gt;")+SUMIFS(JB_N,JB_S,"[ALT_VIEW]",JB_B,1,JB_EX,"P-8a",JB_CC,"Electronics",JB_H,"DDG",JB_CE,"ELECTRO-OPTICAL / INFRARED (EO/IR)",JB_R,"",JB_N,"&lt;&gt;")+SUMIFS(JB_L,JB_S,"[ALT_VIEW]",JB_B,1,JB_EX,"P-8a",JB_CC,"Electronics",JB_H,"DDG",JB_CE,"ELECTRO-OPTICAL / INFRARED (EO/IR)",JB_R,"",JB_N,"")</f>
        <v>31452</v>
      </c>
      <c r="D37" s="26">
        <f t="shared" si="2"/>
        <v>6.4176412903352185E-3</v>
      </c>
    </row>
    <row r="38" spans="1:4" ht="10" customHeight="1" x14ac:dyDescent="0.2">
      <c r="A38" s="19" t="s">
        <v>2617</v>
      </c>
      <c r="B38" s="17" t="s">
        <v>357</v>
      </c>
      <c r="C38" s="38">
        <f>SUMIFS(JB_R,JB_S,"[ALT_VIEW]",JB_B,1,JB_EX,"P-8a",JB_CC,"Electronics",JB_H,"DDG",JB_CE,"IDENTIFICATION FRIEND OR FOE (IFF)",JB_R,"&lt;&gt;")+SUMIFS(JB_N,JB_S,"[ALT_VIEW]",JB_B,1,JB_EX,"P-8a",JB_CC,"Electronics",JB_H,"DDG",JB_CE,"IDENTIFICATION FRIEND OR FOE (IFF)",JB_R,"",JB_N,"&lt;&gt;")+SUMIFS(JB_L,JB_S,"[ALT_VIEW]",JB_B,1,JB_EX,"P-8a",JB_CC,"Electronics",JB_H,"DDG",JB_CE,"IDENTIFICATION FRIEND OR FOE (IFF)",JB_R,"",JB_N,"")</f>
        <v>28138</v>
      </c>
      <c r="D38" s="26">
        <f t="shared" si="2"/>
        <v>5.7414342689638929E-3</v>
      </c>
    </row>
    <row r="39" spans="1:4" ht="10" customHeight="1" x14ac:dyDescent="0.2">
      <c r="A39" s="19" t="s">
        <v>2638</v>
      </c>
      <c r="B39" s="17" t="s">
        <v>357</v>
      </c>
      <c r="C39" s="38">
        <f>SUMIFS(JB_R,JB_S,"[ALT_VIEW]",JB_B,1,JB_EX,"P-8a",JB_CC,"Electronics",JB_H,"DDG",JB_CE,"DDG 1002 UNIVERSAL CANISTER ELECTRICAL UNITS (UCEU)",JB_R,"&lt;&gt;")+SUMIFS(JB_N,JB_S,"[ALT_VIEW]",JB_B,1,JB_EX,"P-8a",JB_CC,"Electronics",JB_H,"DDG",JB_CE,"DDG 1002 UNIVERSAL CANISTER ELECTRICAL UNITS (UCEU)",JB_R,"",JB_N,"&lt;&gt;")+SUMIFS(JB_L,JB_S,"[ALT_VIEW]",JB_B,1,JB_EX,"P-8a",JB_CC,"Electronics",JB_H,"DDG",JB_CE,"DDG 1002 UNIVERSAL CANISTER ELECTRICAL UNITS (UCEU)",JB_R,"",JB_N,"")</f>
        <v>25600</v>
      </c>
      <c r="D39" s="26">
        <f t="shared" si="2"/>
        <v>5.2235666104725161E-3</v>
      </c>
    </row>
    <row r="40" spans="1:4" ht="10" customHeight="1" x14ac:dyDescent="0.2">
      <c r="A40" s="19" t="s">
        <v>2835</v>
      </c>
      <c r="B40" s="17" t="s">
        <v>357</v>
      </c>
      <c r="C40" s="38">
        <f>SUMIFS(JB_R,JB_S,"[ALT_VIEW]",JB_B,1,JB_EX,"P-8a",JB_CC,"Electronics",JB_H,"DDG",JB_CE,"AN/UPX 29(V) IFF and TACAN",JB_R,"&lt;&gt;")+SUMIFS(JB_N,JB_S,"[ALT_VIEW]",JB_B,1,JB_EX,"P-8a",JB_CC,"Electronics",JB_H,"DDG",JB_CE,"AN/UPX 29(V) IFF and TACAN",JB_R,"",JB_N,"&lt;&gt;")+SUMIFS(JB_L,JB_S,"[ALT_VIEW]",JB_B,1,JB_EX,"P-8a",JB_CC,"Electronics",JB_H,"DDG",JB_CE,"AN/UPX 29(V) IFF and TACAN",JB_R,"",JB_N,"")</f>
        <v>24514</v>
      </c>
      <c r="D40" s="26">
        <f t="shared" si="2"/>
        <v>5.0019731206688775E-3</v>
      </c>
    </row>
    <row r="41" spans="1:4" ht="10" customHeight="1" x14ac:dyDescent="0.2">
      <c r="A41" s="19" t="s">
        <v>2850</v>
      </c>
      <c r="B41" s="17" t="s">
        <v>357</v>
      </c>
      <c r="C41" s="38">
        <f>SUMIFS(JB_R,JB_S,"[ALT_VIEW]",JB_B,1,JB_EX,"P-8a",JB_CC,"Electronics",JB_H,"DDG",JB_CE,"SRQ 4 LAMPS III",JB_R,"&lt;&gt;")+SUMIFS(JB_N,JB_S,"[ALT_VIEW]",JB_B,1,JB_EX,"P-8a",JB_CC,"Electronics",JB_H,"DDG",JB_CE,"SRQ 4 LAMPS III",JB_R,"",JB_N,"&lt;&gt;")+SUMIFS(JB_L,JB_S,"[ALT_VIEW]",JB_B,1,JB_EX,"P-8a",JB_CC,"Electronics",JB_H,"DDG",JB_CE,"SRQ 4 LAMPS III",JB_R,"",JB_N,"")</f>
        <v>20323</v>
      </c>
      <c r="D41" s="26">
        <f t="shared" si="2"/>
        <v>4.1468181337747248E-3</v>
      </c>
    </row>
    <row r="42" spans="1:4" ht="10" customHeight="1" x14ac:dyDescent="0.2">
      <c r="A42" s="19" t="s">
        <v>2838</v>
      </c>
      <c r="B42" s="17" t="s">
        <v>357</v>
      </c>
      <c r="C42" s="38">
        <f>SUMIFS(JB_R,JB_S,"[ALT_VIEW]",JB_B,1,JB_EX,"P-8a",JB_CC,"Electronics",JB_H,"DDG",JB_CE,"CEC",JB_R,"&lt;&gt;")+SUMIFS(JB_N,JB_S,"[ALT_VIEW]",JB_B,1,JB_EX,"P-8a",JB_CC,"Electronics",JB_H,"DDG",JB_CE,"CEC",JB_R,"",JB_N,"&lt;&gt;")+SUMIFS(JB_L,JB_S,"[ALT_VIEW]",JB_B,1,JB_EX,"P-8a",JB_CC,"Electronics",JB_H,"DDG",JB_CE,"CEC",JB_R,"",JB_N,"")</f>
        <v>20072</v>
      </c>
      <c r="D42" s="26">
        <f t="shared" si="2"/>
        <v>4.0956026955236077E-3</v>
      </c>
    </row>
    <row r="43" spans="1:4" ht="10" customHeight="1" x14ac:dyDescent="0.2">
      <c r="A43" s="19" t="s">
        <v>2629</v>
      </c>
      <c r="B43" s="17" t="s">
        <v>357</v>
      </c>
      <c r="C43" s="38">
        <f>SUMIFS(JB_R,JB_S,"[ALT_VIEW]",JB_B,1,JB_EX,"P-8a",JB_CC,"Electronics",JB_H,"DDG",JB_CE,"SURFACE ELECTRONIC WARFARE IMPROVEMENT PROGRAM (SEWIP)",JB_R,"&lt;&gt;")+SUMIFS(JB_N,JB_S,"[ALT_VIEW]",JB_B,1,JB_EX,"P-8a",JB_CC,"Electronics",JB_H,"DDG",JB_CE,"SURFACE ELECTRONIC WARFARE IMPROVEMENT PROGRAM (SEWIP)",JB_R,"",JB_N,"&lt;&gt;")+SUMIFS(JB_L,JB_S,"[ALT_VIEW]",JB_B,1,JB_EX,"P-8a",JB_CC,"Electronics",JB_H,"DDG",JB_CE,"SURFACE ELECTRONIC WARFARE IMPROVEMENT PROGRAM (SEWIP)",JB_R,"",JB_N,"")</f>
        <v>17682</v>
      </c>
      <c r="D43" s="26">
        <f t="shared" si="2"/>
        <v>3.607933781499025E-3</v>
      </c>
    </row>
    <row r="44" spans="1:4" ht="10" customHeight="1" x14ac:dyDescent="0.2">
      <c r="A44" s="19" t="s">
        <v>2608</v>
      </c>
      <c r="B44" s="17" t="s">
        <v>357</v>
      </c>
      <c r="C44" s="38">
        <f>SUMIFS(JB_R,JB_S,"[ALT_VIEW]",JB_B,1,JB_EX,"P-8a",JB_CC,"Electronics",JB_H,"DDG",JB_CE,"COMMON ARRAY POWER SYSTEM (CAPS)",JB_R,"&lt;&gt;")+SUMIFS(JB_N,JB_S,"[ALT_VIEW]",JB_B,1,JB_EX,"P-8a",JB_CC,"Electronics",JB_H,"DDG",JB_CE,"COMMON ARRAY POWER SYSTEM (CAPS)",JB_R,"",JB_N,"&lt;&gt;")+SUMIFS(JB_L,JB_S,"[ALT_VIEW]",JB_B,1,JB_EX,"P-8a",JB_CC,"Electronics",JB_H,"DDG",JB_CE,"COMMON ARRAY POWER SYSTEM (CAPS)",JB_R,"",JB_N,"")</f>
        <v>16409</v>
      </c>
      <c r="D44" s="26">
        <f t="shared" si="2"/>
        <v>3.34818376997045E-3</v>
      </c>
    </row>
    <row r="45" spans="1:4" ht="10" customHeight="1" x14ac:dyDescent="0.2">
      <c r="A45" s="19" t="s">
        <v>2844</v>
      </c>
      <c r="B45" s="17" t="s">
        <v>357</v>
      </c>
      <c r="C45" s="38">
        <f>SUMIFS(JB_R,JB_S,"[ALT_VIEW]",JB_B,1,JB_EX,"P-8a",JB_CC,"Electronics",JB_H,"DDG",JB_CE,"NAVIGATION SYSTEM",JB_R,"&lt;&gt;")+SUMIFS(JB_N,JB_S,"[ALT_VIEW]",JB_B,1,JB_EX,"P-8a",JB_CC,"Electronics",JB_H,"DDG",JB_CE,"NAVIGATION SYSTEM",JB_R,"",JB_N,"&lt;&gt;")+SUMIFS(JB_L,JB_S,"[ALT_VIEW]",JB_B,1,JB_EX,"P-8a",JB_CC,"Electronics",JB_H,"DDG",JB_CE,"NAVIGATION SYSTEM",JB_R,"",JB_N,"")</f>
        <v>13508</v>
      </c>
      <c r="D45" s="26">
        <f t="shared" si="2"/>
        <v>2.7562475693071386E-3</v>
      </c>
    </row>
    <row r="46" spans="1:4" ht="10" customHeight="1" x14ac:dyDescent="0.2">
      <c r="A46" s="19" t="s">
        <v>2855</v>
      </c>
      <c r="B46" s="17" t="s">
        <v>357</v>
      </c>
      <c r="C46" s="38">
        <f>SUMIFS(JB_R,JB_S,"[ALT_VIEW]",JB_B,1,JB_EX,"P-8a",JB_CC,"Electronics",JB_H,"DDG",JB_CE,"MIDS",JB_R,"&lt;&gt;")+SUMIFS(JB_N,JB_S,"[ALT_VIEW]",JB_B,1,JB_EX,"P-8a",JB_CC,"Electronics",JB_H,"DDG",JB_CE,"MIDS",JB_R,"",JB_N,"&lt;&gt;")+SUMIFS(JB_L,JB_S,"[ALT_VIEW]",JB_B,1,JB_EX,"P-8a",JB_CC,"Electronics",JB_H,"DDG",JB_CE,"MIDS",JB_R,"",JB_N,"")</f>
        <v>11662</v>
      </c>
      <c r="D46" s="26">
        <f t="shared" si="2"/>
        <v>2.3795794457550971E-3</v>
      </c>
    </row>
    <row r="47" spans="1:4" ht="10" customHeight="1" x14ac:dyDescent="0.2">
      <c r="A47" s="19" t="s">
        <v>2847</v>
      </c>
      <c r="B47" s="17" t="s">
        <v>357</v>
      </c>
      <c r="C47" s="38">
        <f>SUMIFS(JB_R,JB_S,"[ALT_VIEW]",JB_B,1,JB_EX,"P-8a",JB_CC,"Electronics",JB_H,"DDG",JB_CE,"SLQ 25 NIXIE",JB_R,"&lt;&gt;")+SUMIFS(JB_N,JB_S,"[ALT_VIEW]",JB_B,1,JB_EX,"P-8a",JB_CC,"Electronics",JB_H,"DDG",JB_CE,"SLQ 25 NIXIE",JB_R,"",JB_N,"&lt;&gt;")+SUMIFS(JB_L,JB_S,"[ALT_VIEW]",JB_B,1,JB_EX,"P-8a",JB_CC,"Electronics",JB_H,"DDG",JB_CE,"SLQ 25 NIXIE",JB_R,"",JB_N,"")</f>
        <v>9536</v>
      </c>
      <c r="D47" s="26">
        <f t="shared" si="2"/>
        <v>1.9457785624010125E-3</v>
      </c>
    </row>
    <row r="48" spans="1:4" ht="10" customHeight="1" x14ac:dyDescent="0.2">
      <c r="A48" s="19" t="s">
        <v>2841</v>
      </c>
      <c r="B48" s="17" t="s">
        <v>357</v>
      </c>
      <c r="C48" s="38">
        <f>SUMIFS(JB_R,JB_S,"[ALT_VIEW]",JB_B,1,JB_EX,"P-8a",JB_CC,"Electronics",JB_H,"DDG",JB_CE,"NGSSR",JB_R,"&lt;&gt;")+SUMIFS(JB_N,JB_S,"[ALT_VIEW]",JB_B,1,JB_EX,"P-8a",JB_CC,"Electronics",JB_H,"DDG",JB_CE,"NGSSR",JB_R,"",JB_N,"&lt;&gt;")+SUMIFS(JB_L,JB_S,"[ALT_VIEW]",JB_B,1,JB_EX,"P-8a",JB_CC,"Electronics",JB_H,"DDG",JB_CE,"NGSSR",JB_R,"",JB_N,"")</f>
        <v>8068</v>
      </c>
      <c r="D48" s="26">
        <f t="shared" si="2"/>
        <v>1.6462396645817289E-3</v>
      </c>
    </row>
    <row r="49" spans="1:4" ht="10" customHeight="1" x14ac:dyDescent="0.2">
      <c r="A49" s="19" t="s">
        <v>2626</v>
      </c>
      <c r="B49" s="17" t="s">
        <v>357</v>
      </c>
      <c r="C49" s="38">
        <f>SUMIFS(JB_R,JB_S,"[ALT_VIEW]",JB_B,1,JB_EX,"P-8a",JB_CC,"Electronics",JB_H,"DDG",JB_CE,"COOPERATIVE ENGAGEMENT CAPABILITY (CEC)",JB_R,"&lt;&gt;")+SUMIFS(JB_N,JB_S,"[ALT_VIEW]",JB_B,1,JB_EX,"P-8a",JB_CC,"Electronics",JB_H,"DDG",JB_CE,"COOPERATIVE ENGAGEMENT CAPABILITY (CEC)",JB_R,"",JB_N,"&lt;&gt;")+SUMIFS(JB_L,JB_S,"[ALT_VIEW]",JB_B,1,JB_EX,"P-8a",JB_CC,"Electronics",JB_H,"DDG",JB_CE,"COOPERATIVE ENGAGEMENT CAPABILITY (CEC)",JB_R,"",JB_N,"")</f>
        <v>7800</v>
      </c>
      <c r="D49" s="26">
        <f t="shared" si="2"/>
        <v>1.5915554516283449E-3</v>
      </c>
    </row>
    <row r="50" spans="1:4" ht="10" customHeight="1" x14ac:dyDescent="0.2">
      <c r="A50" s="19" t="s">
        <v>2858</v>
      </c>
      <c r="B50" s="17" t="s">
        <v>357</v>
      </c>
      <c r="C50" s="38">
        <f>SUMIFS(JB_R,JB_S,"[ALT_VIEW]",JB_B,1,JB_EX,"P-8a",JB_CC,"Electronics",JB_H,"DDG",JB_CE,"MK 53 NULKA",JB_R,"&lt;&gt;")+SUMIFS(JB_N,JB_S,"[ALT_VIEW]",JB_B,1,JB_EX,"P-8a",JB_CC,"Electronics",JB_H,"DDG",JB_CE,"MK 53 NULKA",JB_R,"",JB_N,"&lt;&gt;")+SUMIFS(JB_L,JB_S,"[ALT_VIEW]",JB_B,1,JB_EX,"P-8a",JB_CC,"Electronics",JB_H,"DDG",JB_CE,"MK 53 NULKA",JB_R,"",JB_N,"")</f>
        <v>7641</v>
      </c>
      <c r="D50" s="26">
        <f t="shared" si="2"/>
        <v>1.5591122058836132E-3</v>
      </c>
    </row>
    <row r="51" spans="1:4" ht="10" customHeight="1" x14ac:dyDescent="0.2">
      <c r="A51" s="19" t="s">
        <v>2861</v>
      </c>
      <c r="B51" s="17" t="s">
        <v>357</v>
      </c>
      <c r="C51" s="38">
        <f>SUMIFS(JB_R,JB_S,"[ALT_VIEW]",JB_B,1,JB_EX,"P-8a",JB_CC,"Electronics",JB_H,"DDG",JB_CE,"TSA ANTENNA",JB_R,"&lt;&gt;")+SUMIFS(JB_N,JB_S,"[ALT_VIEW]",JB_B,1,JB_EX,"P-8a",JB_CC,"Electronics",JB_H,"DDG",JB_CE,"TSA ANTENNA",JB_R,"",JB_N,"&lt;&gt;")+SUMIFS(JB_L,JB_S,"[ALT_VIEW]",JB_B,1,JB_EX,"P-8a",JB_CC,"Electronics",JB_H,"DDG",JB_CE,"TSA ANTENNA",JB_R,"",JB_N,"")</f>
        <v>6582</v>
      </c>
      <c r="D51" s="26">
        <f t="shared" si="2"/>
        <v>1.3430279464894572E-3</v>
      </c>
    </row>
    <row r="52" spans="1:4" ht="10" customHeight="1" x14ac:dyDescent="0.2">
      <c r="A52" s="19" t="s">
        <v>2647</v>
      </c>
      <c r="B52" s="17" t="s">
        <v>357</v>
      </c>
      <c r="C52" s="38">
        <f>SUMIFS(JB_R,JB_S,"[ALT_VIEW]",JB_B,1,JB_EX,"P-8a",JB_CC,"Electronics",JB_H,"DDG",JB_CE,"SPARES",JB_R,"&lt;&gt;")+SUMIFS(JB_N,JB_S,"[ALT_VIEW]",JB_B,1,JB_EX,"P-8a",JB_CC,"Electronics",JB_H,"DDG",JB_CE,"SPARES",JB_R,"",JB_N,"&lt;&gt;")+SUMIFS(JB_L,JB_S,"[ALT_VIEW]",JB_B,1,JB_EX,"P-8a",JB_CC,"Electronics",JB_H,"DDG",JB_CE,"SPARES",JB_R,"",JB_N,"")</f>
        <v>5500</v>
      </c>
      <c r="D52" s="26">
        <f t="shared" si="2"/>
        <v>1.1222506389687048E-3</v>
      </c>
    </row>
    <row r="53" spans="1:4" ht="10" customHeight="1" x14ac:dyDescent="0.2">
      <c r="A53" s="19" t="s">
        <v>2620</v>
      </c>
      <c r="B53" s="17" t="s">
        <v>357</v>
      </c>
      <c r="C53" s="38">
        <f>SUMIFS(JB_R,JB_S,"[ALT_VIEW]",JB_B,1,JB_EX,"P-8a",JB_CC,"Electronics",JB_H,"DDG",JB_CE,"COMMON ARRAY COOLING SYSTEM (CACS)",JB_R,"&lt;&gt;")+SUMIFS(JB_N,JB_S,"[ALT_VIEW]",JB_B,1,JB_EX,"P-8a",JB_CC,"Electronics",JB_H,"DDG",JB_CE,"COMMON ARRAY COOLING SYSTEM (CACS)",JB_R,"",JB_N,"&lt;&gt;")+SUMIFS(JB_L,JB_S,"[ALT_VIEW]",JB_B,1,JB_EX,"P-8a",JB_CC,"Electronics",JB_H,"DDG",JB_CE,"COMMON ARRAY COOLING SYSTEM (CACS)",JB_R,"",JB_N,"")</f>
        <v>965</v>
      </c>
      <c r="D53" s="26">
        <f t="shared" si="2"/>
        <v>1.9690397574632728E-4</v>
      </c>
    </row>
    <row r="54" spans="1:4" ht="10" customHeight="1" x14ac:dyDescent="0.2">
      <c r="A54" s="19" t="s">
        <v>2890</v>
      </c>
      <c r="B54" s="17" t="s">
        <v>366</v>
      </c>
      <c r="C54" s="38">
        <f>SUMIFS(JB_R,JB_S,"[ALT_VIEW]",JB_B,1,JB_EX,"P-8a",JB_CC,"Ordnance",JB_H,"DDG",JB_CE,"AN/SPY-6(V)1 (AMDR)",JB_R,"&lt;&gt;")+SUMIFS(JB_N,JB_S,"[ALT_VIEW]",JB_B,1,JB_EX,"P-8a",JB_CC,"Ordnance",JB_H,"DDG",JB_CE,"AN/SPY-6(V)1 (AMDR)",JB_R,"",JB_N,"&lt;&gt;")+SUMIFS(JB_L,JB_S,"[ALT_VIEW]",JB_B,1,JB_EX,"P-8a",JB_CC,"Ordnance",JB_H,"DDG",JB_CE,"AN/SPY-6(V)1 (AMDR)",JB_R,"",JB_N,"")</f>
        <v>692876</v>
      </c>
      <c r="D54" s="26">
        <f t="shared" ref="D54:D79" si="3">IFERROR(C54/C$80,0)</f>
        <v>0.1413782788592873</v>
      </c>
    </row>
    <row r="55" spans="1:4" ht="10" customHeight="1" x14ac:dyDescent="0.2">
      <c r="A55" s="19" t="s">
        <v>2887</v>
      </c>
      <c r="B55" s="17" t="s">
        <v>366</v>
      </c>
      <c r="C55" s="38">
        <f>SUMIFS(JB_R,JB_S,"[ALT_VIEW]",JB_B,1,JB_EX,"P-8a",JB_CC,"Ordnance",JB_H,"DDG",JB_CE,"AEGIS WEAPON SYSTEM (MK-7)",JB_R,"&lt;&gt;")+SUMIFS(JB_N,JB_S,"[ALT_VIEW]",JB_B,1,JB_EX,"P-8a",JB_CC,"Ordnance",JB_H,"DDG",JB_CE,"AEGIS WEAPON SYSTEM (MK-7)",JB_R,"",JB_N,"&lt;&gt;")+SUMIFS(JB_L,JB_S,"[ALT_VIEW]",JB_B,1,JB_EX,"P-8a",JB_CC,"Ordnance",JB_H,"DDG",JB_CE,"AEGIS WEAPON SYSTEM (MK-7)",JB_R,"",JB_N,"")</f>
        <v>465717</v>
      </c>
      <c r="D55" s="26">
        <f t="shared" si="3"/>
        <v>9.5027491059743313E-2</v>
      </c>
    </row>
    <row r="56" spans="1:4" ht="10" customHeight="1" x14ac:dyDescent="0.2">
      <c r="A56" s="19" t="s">
        <v>2666</v>
      </c>
      <c r="B56" s="17" t="s">
        <v>366</v>
      </c>
      <c r="C56" s="38">
        <f>SUMIFS(JB_R,JB_S,"[ALT_VIEW]",JB_B,1,JB_EX,"P-8a",JB_CC,"Ordnance",JB_H,"DDG",JB_CE,"ADVANCED GUN SYSTEM (AGS)",JB_R,"&lt;&gt;")+SUMIFS(JB_N,JB_S,"[ALT_VIEW]",JB_B,1,JB_EX,"P-8a",JB_CC,"Ordnance",JB_H,"DDG",JB_CE,"ADVANCED GUN SYSTEM (AGS)",JB_R,"",JB_N,"&lt;&gt;")+SUMIFS(JB_L,JB_S,"[ALT_VIEW]",JB_B,1,JB_EX,"P-8a",JB_CC,"Ordnance",JB_H,"DDG",JB_CE,"ADVANCED GUN SYSTEM (AGS)",JB_R,"",JB_N,"")</f>
        <v>248596</v>
      </c>
      <c r="D56" s="26">
        <f t="shared" si="3"/>
        <v>5.0724912699102565E-2</v>
      </c>
    </row>
    <row r="57" spans="1:4" ht="10" customHeight="1" x14ac:dyDescent="0.2">
      <c r="A57" s="19" t="s">
        <v>2893</v>
      </c>
      <c r="B57" s="17" t="s">
        <v>366</v>
      </c>
      <c r="C57" s="38">
        <f>SUMIFS(JB_R,JB_S,"[ALT_VIEW]",JB_B,1,JB_EX,"P-8a",JB_CC,"Ordnance",JB_H,"DDG",JB_CE,"VLS MK 41",JB_R,"&lt;&gt;")+SUMIFS(JB_N,JB_S,"[ALT_VIEW]",JB_B,1,JB_EX,"P-8a",JB_CC,"Ordnance",JB_H,"DDG",JB_CE,"VLS MK 41",JB_R,"",JB_N,"&lt;&gt;")+SUMIFS(JB_L,JB_S,"[ALT_VIEW]",JB_B,1,JB_EX,"P-8a",JB_CC,"Ordnance",JB_H,"DDG",JB_CE,"VLS MK 41",JB_R,"",JB_N,"")</f>
        <v>219986</v>
      </c>
      <c r="D57" s="26">
        <f t="shared" si="3"/>
        <v>4.4887168920758086E-2</v>
      </c>
    </row>
    <row r="58" spans="1:4" ht="10" customHeight="1" x14ac:dyDescent="0.2">
      <c r="A58" s="19" t="s">
        <v>2920</v>
      </c>
      <c r="B58" s="17" t="s">
        <v>366</v>
      </c>
      <c r="C58" s="38">
        <f>SUMIFS(JB_R,JB_S,"[ALT_VIEW]",JB_B,1,JB_EX,"P-8a",JB_CC,"Ordnance",JB_H,"DDG",JB_CE,"MISC. ORDNANCE",JB_R,"&lt;&gt;")+SUMIFS(JB_N,JB_S,"[ALT_VIEW]",JB_B,1,JB_EX,"P-8a",JB_CC,"Ordnance",JB_H,"DDG",JB_CE,"MISC. ORDNANCE",JB_R,"",JB_N,"&lt;&gt;")+SUMIFS(JB_L,JB_S,"[ALT_VIEW]",JB_B,1,JB_EX,"P-8a",JB_CC,"Ordnance",JB_H,"DDG",JB_CE,"MISC. ORDNANCE",JB_R,"",JB_N,"")</f>
        <v>178020</v>
      </c>
      <c r="D58" s="26">
        <f t="shared" si="3"/>
        <v>3.6324192499856148E-2</v>
      </c>
    </row>
    <row r="59" spans="1:4" ht="10" customHeight="1" x14ac:dyDescent="0.2">
      <c r="A59" s="19" t="s">
        <v>2896</v>
      </c>
      <c r="B59" s="17" t="s">
        <v>366</v>
      </c>
      <c r="C59" s="38">
        <f>SUMIFS(JB_R,JB_S,"[ALT_VIEW]",JB_B,1,JB_EX,"P-8a",JB_CC,"Ordnance",JB_H,"DDG",JB_CE,"MK 45 Light Weight Gun (LWG)",JB_R,"&lt;&gt;")+SUMIFS(JB_N,JB_S,"[ALT_VIEW]",JB_B,1,JB_EX,"P-8a",JB_CC,"Ordnance",JB_H,"DDG",JB_CE,"MK 45 Light Weight Gun (LWG)",JB_R,"",JB_N,"&lt;&gt;")+SUMIFS(JB_L,JB_S,"[ALT_VIEW]",JB_B,1,JB_EX,"P-8a",JB_CC,"Ordnance",JB_H,"DDG",JB_CE,"MK 45 Light Weight Gun (LWG)",JB_R,"",JB_N,"")</f>
        <v>90752</v>
      </c>
      <c r="D59" s="26">
        <f t="shared" si="3"/>
        <v>1.8517543634125069E-2</v>
      </c>
    </row>
    <row r="60" spans="1:4" ht="10" customHeight="1" x14ac:dyDescent="0.2">
      <c r="A60" s="19" t="s">
        <v>2899</v>
      </c>
      <c r="B60" s="17" t="s">
        <v>366</v>
      </c>
      <c r="C60" s="38">
        <f>SUMIFS(JB_R,JB_S,"[ALT_VIEW]",JB_B,1,JB_EX,"P-8a",JB_CC,"Ordnance",JB_H,"DDG",JB_CE,"MK 37 TOMAHAWK",JB_R,"&lt;&gt;")+SUMIFS(JB_N,JB_S,"[ALT_VIEW]",JB_B,1,JB_EX,"P-8a",JB_CC,"Ordnance",JB_H,"DDG",JB_CE,"MK 37 TOMAHAWK",JB_R,"",JB_N,"&lt;&gt;")+SUMIFS(JB_L,JB_S,"[ALT_VIEW]",JB_B,1,JB_EX,"P-8a",JB_CC,"Ordnance",JB_H,"DDG",JB_CE,"MK 37 TOMAHAWK",JB_R,"",JB_N,"")</f>
        <v>51003</v>
      </c>
      <c r="D60" s="26">
        <f t="shared" si="3"/>
        <v>1.0406936243512882E-2</v>
      </c>
    </row>
    <row r="61" spans="1:4" ht="10" customHeight="1" x14ac:dyDescent="0.2">
      <c r="A61" s="19" t="s">
        <v>2905</v>
      </c>
      <c r="B61" s="17" t="s">
        <v>366</v>
      </c>
      <c r="C61" s="38">
        <f>SUMIFS(JB_R,JB_S,"[ALT_VIEW]",JB_B,1,JB_EX,"P-8a",JB_CC,"Ordnance",JB_H,"DDG",JB_CE,"SPQ-9B Radar",JB_R,"&lt;&gt;")+SUMIFS(JB_N,JB_S,"[ALT_VIEW]",JB_B,1,JB_EX,"P-8a",JB_CC,"Ordnance",JB_H,"DDG",JB_CE,"SPQ-9B Radar",JB_R,"",JB_N,"&lt;&gt;")+SUMIFS(JB_L,JB_S,"[ALT_VIEW]",JB_B,1,JB_EX,"P-8a",JB_CC,"Ordnance",JB_H,"DDG",JB_CE,"SPQ-9B Radar",JB_R,"",JB_N,"")</f>
        <v>32923</v>
      </c>
      <c r="D61" s="26">
        <f t="shared" si="3"/>
        <v>6.7177923248666668E-3</v>
      </c>
    </row>
    <row r="62" spans="1:4" ht="10" customHeight="1" x14ac:dyDescent="0.2">
      <c r="A62" s="19" t="s">
        <v>2902</v>
      </c>
      <c r="B62" s="17" t="s">
        <v>366</v>
      </c>
      <c r="C62" s="38">
        <f>SUMIFS(JB_R,JB_S,"[ALT_VIEW]",JB_B,1,JB_EX,"P-8a",JB_CC,"Ordnance",JB_H,"DDG",JB_CE,"PHALANX (CIWS)",JB_R,"&lt;&gt;")+SUMIFS(JB_N,JB_S,"[ALT_VIEW]",JB_B,1,JB_EX,"P-8a",JB_CC,"Ordnance",JB_H,"DDG",JB_CE,"PHALANX (CIWS)",JB_R,"",JB_N,"&lt;&gt;")+SUMIFS(JB_L,JB_S,"[ALT_VIEW]",JB_B,1,JB_EX,"P-8a",JB_CC,"Ordnance",JB_H,"DDG",JB_CE,"PHALANX (CIWS)",JB_R,"",JB_N,"")</f>
        <v>29127</v>
      </c>
      <c r="D62" s="26">
        <f t="shared" si="3"/>
        <v>5.9432353384075388E-3</v>
      </c>
    </row>
    <row r="63" spans="1:4" ht="10" customHeight="1" x14ac:dyDescent="0.2">
      <c r="A63" s="19" t="s">
        <v>2672</v>
      </c>
      <c r="B63" s="17" t="s">
        <v>366</v>
      </c>
      <c r="C63" s="38">
        <f>SUMIFS(JB_R,JB_S,"[ALT_VIEW]",JB_B,1,JB_EX,"P-8a",JB_CC,"Ordnance",JB_H,"DDG",JB_CE,"DDG 1002 Missile Tubes (CPS)",JB_R,"&lt;&gt;")+SUMIFS(JB_N,JB_S,"[ALT_VIEW]",JB_B,1,JB_EX,"P-8a",JB_CC,"Ordnance",JB_H,"DDG",JB_CE,"DDG 1002 Missile Tubes (CPS)",JB_R,"",JB_N,"&lt;&gt;")+SUMIFS(JB_L,JB_S,"[ALT_VIEW]",JB_B,1,JB_EX,"P-8a",JB_CC,"Ordnance",JB_H,"DDG",JB_CE,"DDG 1002 Missile Tubes (CPS)",JB_R,"",JB_N,"")</f>
        <v>26000</v>
      </c>
      <c r="D63" s="26">
        <f t="shared" si="3"/>
        <v>5.3051848387611492E-3</v>
      </c>
    </row>
    <row r="64" spans="1:4" ht="10" customHeight="1" x14ac:dyDescent="0.2">
      <c r="A64" s="19" t="s">
        <v>2908</v>
      </c>
      <c r="B64" s="17" t="s">
        <v>366</v>
      </c>
      <c r="C64" s="38">
        <f>SUMIFS(JB_R,JB_S,"[ALT_VIEW]",JB_B,1,JB_EX,"P-8a",JB_CC,"Ordnance",JB_H,"DDG",JB_CE,"MK-38 Gun Weapon System (GWS)",JB_R,"&lt;&gt;")+SUMIFS(JB_N,JB_S,"[ALT_VIEW]",JB_B,1,JB_EX,"P-8a",JB_CC,"Ordnance",JB_H,"DDG",JB_CE,"MK-38 Gun Weapon System (GWS)",JB_R,"",JB_N,"&lt;&gt;")+SUMIFS(JB_L,JB_S,"[ALT_VIEW]",JB_B,1,JB_EX,"P-8a",JB_CC,"Ordnance",JB_H,"DDG",JB_CE,"MK-38 Gun Weapon System (GWS)",JB_R,"",JB_N,"")</f>
        <v>23031</v>
      </c>
      <c r="D64" s="26">
        <f t="shared" si="3"/>
        <v>4.6993735392887705E-3</v>
      </c>
    </row>
    <row r="65" spans="1:4" ht="10" customHeight="1" x14ac:dyDescent="0.2">
      <c r="A65" s="19" t="s">
        <v>2675</v>
      </c>
      <c r="B65" s="17" t="s">
        <v>366</v>
      </c>
      <c r="C65" s="38">
        <f>SUMIFS(JB_R,JB_S,"[ALT_VIEW]",JB_B,1,JB_EX,"P-8a",JB_CC,"Ordnance",JB_H,"DDG",JB_CE,"DDG 1002 Rubber Boots, Hatches, Shock Isolation (CPS)",JB_R,"&lt;&gt;")+SUMIFS(JB_N,JB_S,"[ALT_VIEW]",JB_B,1,JB_EX,"P-8a",JB_CC,"Ordnance",JB_H,"DDG",JB_CE,"DDG 1002 Rubber Boots, Hatches, Shock Isolation (CPS)",JB_R,"",JB_N,"&lt;&gt;")+SUMIFS(JB_L,JB_S,"[ALT_VIEW]",JB_B,1,JB_EX,"P-8a",JB_CC,"Ordnance",JB_H,"DDG",JB_CE,"DDG 1002 Rubber Boots, Hatches, Shock Isolation (CPS)",JB_R,"",JB_N,"")</f>
        <v>14420</v>
      </c>
      <c r="D65" s="26">
        <f t="shared" si="3"/>
        <v>2.9423371298052223E-3</v>
      </c>
    </row>
    <row r="66" spans="1:4" ht="10" customHeight="1" x14ac:dyDescent="0.2">
      <c r="A66" s="19" t="s">
        <v>2669</v>
      </c>
      <c r="B66" s="17" t="s">
        <v>366</v>
      </c>
      <c r="C66" s="38">
        <f>SUMIFS(JB_R,JB_S,"[ALT_VIEW]",JB_B,1,JB_EX,"P-8a",JB_CC,"Ordnance",JB_H,"DDG",JB_CE,"CLOSE-IN GUN SYSTEM (CIGS)",JB_R,"&lt;&gt;")+SUMIFS(JB_N,JB_S,"[ALT_VIEW]",JB_B,1,JB_EX,"P-8a",JB_CC,"Ordnance",JB_H,"DDG",JB_CE,"CLOSE-IN GUN SYSTEM (CIGS)",JB_R,"",JB_N,"&lt;&gt;")+SUMIFS(JB_L,JB_S,"[ALT_VIEW]",JB_B,1,JB_EX,"P-8a",JB_CC,"Ordnance",JB_H,"DDG",JB_CE,"CLOSE-IN GUN SYSTEM (CIGS)",JB_R,"",JB_N,"")</f>
        <v>13795</v>
      </c>
      <c r="D66" s="26">
        <f t="shared" si="3"/>
        <v>2.8148086481042328E-3</v>
      </c>
    </row>
    <row r="67" spans="1:4" ht="10" customHeight="1" x14ac:dyDescent="0.2">
      <c r="A67" s="19" t="s">
        <v>2917</v>
      </c>
      <c r="B67" s="17" t="s">
        <v>366</v>
      </c>
      <c r="C67" s="38">
        <f>SUMIFS(JB_R,JB_S,"[ALT_VIEW]",JB_B,1,JB_EX,"P-8a",JB_CC,"Ordnance",JB_H,"DDG",JB_CE,"MK 160 Gun Fire Control System (GFCS)",JB_R,"&lt;&gt;")+SUMIFS(JB_N,JB_S,"[ALT_VIEW]",JB_B,1,JB_EX,"P-8a",JB_CC,"Ordnance",JB_H,"DDG",JB_CE,"MK 160 Gun Fire Control System (GFCS)",JB_R,"",JB_N,"&lt;&gt;")+SUMIFS(JB_L,JB_S,"[ALT_VIEW]",JB_B,1,JB_EX,"P-8a",JB_CC,"Ordnance",JB_H,"DDG",JB_CE,"MK 160 Gun Fire Control System (GFCS)",JB_R,"",JB_N,"")</f>
        <v>11568</v>
      </c>
      <c r="D67" s="26">
        <f t="shared" si="3"/>
        <v>2.3603991621072686E-3</v>
      </c>
    </row>
    <row r="68" spans="1:4" ht="10" customHeight="1" x14ac:dyDescent="0.2">
      <c r="A68" s="19" t="s">
        <v>2914</v>
      </c>
      <c r="B68" s="17" t="s">
        <v>366</v>
      </c>
      <c r="C68" s="38">
        <f>SUMIFS(JB_R,JB_S,"[ALT_VIEW]",JB_B,1,JB_EX,"P-8a",JB_CC,"Ordnance",JB_H,"DDG",JB_CE,"ELECTRO-OPTICAL SYSTEM",JB_R,"&lt;&gt;")+SUMIFS(JB_N,JB_S,"[ALT_VIEW]",JB_B,1,JB_EX,"P-8a",JB_CC,"Ordnance",JB_H,"DDG",JB_CE,"ELECTRO-OPTICAL SYSTEM",JB_R,"",JB_N,"&lt;&gt;")+SUMIFS(JB_L,JB_S,"[ALT_VIEW]",JB_B,1,JB_EX,"P-8a",JB_CC,"Ordnance",JB_H,"DDG",JB_CE,"ELECTRO-OPTICAL SYSTEM",JB_R,"",JB_N,"")</f>
        <v>11125</v>
      </c>
      <c r="D68" s="26">
        <f t="shared" si="3"/>
        <v>2.2700069742776071E-3</v>
      </c>
    </row>
    <row r="69" spans="1:4" ht="10" customHeight="1" x14ac:dyDescent="0.2">
      <c r="A69" s="19" t="s">
        <v>2911</v>
      </c>
      <c r="B69" s="17" t="s">
        <v>366</v>
      </c>
      <c r="C69" s="38">
        <f>SUMIFS(JB_R,JB_S,"[ALT_VIEW]",JB_B,1,JB_EX,"P-8a",JB_CC,"Ordnance",JB_H,"DDG",JB_CE,"MK 32 Surface Vessel Torpedo Tubes (SVTT)",JB_R,"&lt;&gt;")+SUMIFS(JB_N,JB_S,"[ALT_VIEW]",JB_B,1,JB_EX,"P-8a",JB_CC,"Ordnance",JB_H,"DDG",JB_CE,"MK 32 Surface Vessel Torpedo Tubes (SVTT)",JB_R,"",JB_N,"&lt;&gt;")+SUMIFS(JB_L,JB_S,"[ALT_VIEW]",JB_B,1,JB_EX,"P-8a",JB_CC,"Ordnance",JB_H,"DDG",JB_CE,"MK 32 Surface Vessel Torpedo Tubes (SVTT)",JB_R,"",JB_N,"")</f>
        <v>10513</v>
      </c>
      <c r="D69" s="26">
        <f t="shared" si="3"/>
        <v>2.1451310849959987E-3</v>
      </c>
    </row>
    <row r="70" spans="1:4" ht="10" customHeight="1" x14ac:dyDescent="0.2">
      <c r="A70" s="19" t="s">
        <v>2883</v>
      </c>
      <c r="B70" s="17" t="s">
        <v>363</v>
      </c>
      <c r="C70" s="38">
        <f>SUMIFS(JB_R,JB_S,"[ALT_VIEW]",JB_B,1,JB_EX,"P-8a",JB_CC,"Hull, Mechanical, and Electrical",JB_H,"DDG",JB_CE,"MISC. HM&amp;E",JB_R,"&lt;&gt;")+SUMIFS(JB_N,JB_S,"[ALT_VIEW]",JB_B,1,JB_EX,"P-8a",JB_CC,"Hull, Mechanical, and Electrical",JB_H,"DDG",JB_CE,"MISC. HM&amp;E",JB_R,"",JB_N,"&lt;&gt;")+SUMIFS(JB_L,JB_S,"[ALT_VIEW]",JB_B,1,JB_EX,"P-8a",JB_CC,"Hull, Mechanical, and Electrical",JB_H,"DDG",JB_CE,"MISC. HM&amp;E",JB_R,"",JB_N,"")</f>
        <v>52611</v>
      </c>
      <c r="D70" s="26">
        <f t="shared" si="3"/>
        <v>1.0735041521233186E-2</v>
      </c>
    </row>
    <row r="71" spans="1:4" ht="10" customHeight="1" x14ac:dyDescent="0.2">
      <c r="A71" s="19" t="s">
        <v>2651</v>
      </c>
      <c r="B71" s="17" t="s">
        <v>363</v>
      </c>
      <c r="C71" s="38">
        <f>SUMIFS(JB_R,JB_S,"[ALT_VIEW]",JB_B,1,JB_EX,"P-8a",JB_CC,"Hull, Mechanical, and Electrical",JB_H,"DDG",JB_CE,"MAIN TURBINE GENERATOR (MTG)",JB_R,"&lt;&gt;")+SUMIFS(JB_N,JB_S,"[ALT_VIEW]",JB_B,1,JB_EX,"P-8a",JB_CC,"Hull, Mechanical, and Electrical",JB_H,"DDG",JB_CE,"MAIN TURBINE GENERATOR (MTG)",JB_R,"",JB_N,"&lt;&gt;")+SUMIFS(JB_L,JB_S,"[ALT_VIEW]",JB_B,1,JB_EX,"P-8a",JB_CC,"Hull, Mechanical, and Electrical",JB_H,"DDG",JB_CE,"MAIN TURBINE GENERATOR (MTG)",JB_R,"",JB_N,"")</f>
        <v>39412</v>
      </c>
      <c r="D71" s="26">
        <f t="shared" si="3"/>
        <v>8.0418440332790161E-3</v>
      </c>
    </row>
    <row r="72" spans="1:4" ht="10" customHeight="1" x14ac:dyDescent="0.2">
      <c r="A72" s="19" t="s">
        <v>2874</v>
      </c>
      <c r="B72" s="17" t="s">
        <v>363</v>
      </c>
      <c r="C72" s="38">
        <f>SUMIFS(JB_R,JB_S,"[ALT_VIEW]",JB_B,1,JB_EX,"P-8a",JB_CC,"Hull, Mechanical, and Electrical",JB_H,"DDG",JB_CE,"Integrated Bridge Navigation System",JB_R,"&lt;&gt;")+SUMIFS(JB_N,JB_S,"[ALT_VIEW]",JB_B,1,JB_EX,"P-8a",JB_CC,"Hull, Mechanical, and Electrical",JB_H,"DDG",JB_CE,"Integrated Bridge Navigation System",JB_R,"",JB_N,"&lt;&gt;")+SUMIFS(JB_L,JB_S,"[ALT_VIEW]",JB_B,1,JB_EX,"P-8a",JB_CC,"Hull, Mechanical, and Electrical",JB_H,"DDG",JB_CE,"Integrated Bridge Navigation System",JB_R,"",JB_N,"")</f>
        <v>26975</v>
      </c>
      <c r="D72" s="26">
        <f t="shared" si="3"/>
        <v>5.5041292702146926E-3</v>
      </c>
    </row>
    <row r="73" spans="1:4" ht="10" customHeight="1" x14ac:dyDescent="0.2">
      <c r="A73" s="19" t="s">
        <v>2868</v>
      </c>
      <c r="B73" s="17" t="s">
        <v>363</v>
      </c>
      <c r="C73" s="38">
        <f>SUMIFS(JB_R,JB_S,"[ALT_VIEW]",JB_B,1,JB_EX,"P-8a",JB_CC,"Hull, Mechanical, and Electrical",JB_H,"DDG",JB_CE,"STC 3 IVCS",JB_R,"&lt;&gt;")+SUMIFS(JB_N,JB_S,"[ALT_VIEW]",JB_B,1,JB_EX,"P-8a",JB_CC,"Hull, Mechanical, and Electrical",JB_H,"DDG",JB_CE,"STC 3 IVCS",JB_R,"",JB_N,"&lt;&gt;")+SUMIFS(JB_L,JB_S,"[ALT_VIEW]",JB_B,1,JB_EX,"P-8a",JB_CC,"Hull, Mechanical, and Electrical",JB_H,"DDG",JB_CE,"STC 3 IVCS",JB_R,"",JB_N,"")</f>
        <v>26240</v>
      </c>
      <c r="D73" s="26">
        <f t="shared" si="3"/>
        <v>5.3541557757343294E-3</v>
      </c>
    </row>
    <row r="74" spans="1:4" ht="10" customHeight="1" x14ac:dyDescent="0.2">
      <c r="A74" s="19" t="s">
        <v>2871</v>
      </c>
      <c r="B74" s="17" t="s">
        <v>363</v>
      </c>
      <c r="C74" s="38">
        <f>SUMIFS(JB_R,JB_S,"[ALT_VIEW]",JB_B,1,JB_EX,"P-8a",JB_CC,"Hull, Mechanical, and Electrical",JB_H,"DDG",JB_CE,"Machinery Control System",JB_R,"&lt;&gt;")+SUMIFS(JB_N,JB_S,"[ALT_VIEW]",JB_B,1,JB_EX,"P-8a",JB_CC,"Hull, Mechanical, and Electrical",JB_H,"DDG",JB_CE,"Machinery Control System",JB_R,"",JB_N,"&lt;&gt;")+SUMIFS(JB_L,JB_S,"[ALT_VIEW]",JB_B,1,JB_EX,"P-8a",JB_CC,"Hull, Mechanical, and Electrical",JB_H,"DDG",JB_CE,"Machinery Control System",JB_R,"",JB_N,"")</f>
        <v>20756</v>
      </c>
      <c r="D74" s="26">
        <f t="shared" si="3"/>
        <v>4.2351698658971704E-3</v>
      </c>
    </row>
    <row r="75" spans="1:4" ht="10" customHeight="1" x14ac:dyDescent="0.2">
      <c r="A75" s="19" t="s">
        <v>2877</v>
      </c>
      <c r="B75" s="17" t="s">
        <v>363</v>
      </c>
      <c r="C75" s="38">
        <f>SUMIFS(JB_R,JB_S,"[ALT_VIEW]",JB_B,1,JB_EX,"P-8a",JB_CC,"Hull, Mechanical, and Electrical",JB_H,"DDG",JB_CE,"CYBER BDC",JB_R,"&lt;&gt;")+SUMIFS(JB_N,JB_S,"[ALT_VIEW]",JB_B,1,JB_EX,"P-8a",JB_CC,"Hull, Mechanical, and Electrical",JB_H,"DDG",JB_CE,"CYBER BDC",JB_R,"",JB_N,"&lt;&gt;")+SUMIFS(JB_L,JB_S,"[ALT_VIEW]",JB_B,1,JB_EX,"P-8a",JB_CC,"Hull, Mechanical, and Electrical",JB_H,"DDG",JB_CE,"CYBER BDC",JB_R,"",JB_N,"")</f>
        <v>14411</v>
      </c>
      <c r="D75" s="26">
        <f t="shared" si="3"/>
        <v>2.9405007196687278E-3</v>
      </c>
    </row>
    <row r="76" spans="1:4" ht="10" customHeight="1" x14ac:dyDescent="0.2">
      <c r="A76" s="19" t="s">
        <v>2880</v>
      </c>
      <c r="B76" s="17" t="s">
        <v>363</v>
      </c>
      <c r="C76" s="38">
        <f>SUMIFS(JB_R,JB_S,"[ALT_VIEW]",JB_B,1,JB_EX,"P-8a",JB_CC,"Hull, Mechanical, and Electrical",JB_H,"DDG",JB_CE,"WSN 12",JB_R,"&lt;&gt;")+SUMIFS(JB_N,JB_S,"[ALT_VIEW]",JB_B,1,JB_EX,"P-8a",JB_CC,"Hull, Mechanical, and Electrical",JB_H,"DDG",JB_CE,"WSN 12",JB_R,"",JB_N,"&lt;&gt;")+SUMIFS(JB_L,JB_S,"[ALT_VIEW]",JB_B,1,JB_EX,"P-8a",JB_CC,"Hull, Mechanical, and Electrical",JB_H,"DDG",JB_CE,"WSN 12",JB_R,"",JB_N,"")</f>
        <v>13036</v>
      </c>
      <c r="D76" s="26">
        <f t="shared" si="3"/>
        <v>2.6599380599265517E-3</v>
      </c>
    </row>
    <row r="77" spans="1:4" ht="10" customHeight="1" x14ac:dyDescent="0.2">
      <c r="A77" s="19" t="s">
        <v>2657</v>
      </c>
      <c r="B77" s="17" t="s">
        <v>363</v>
      </c>
      <c r="C77" s="38">
        <f>SUMIFS(JB_R,JB_S,"[ALT_VIEW]",JB_B,1,JB_EX,"P-8a",JB_CC,"Hull, Mechanical, and Electrical",JB_H,"DDG",JB_CE,"HM&amp;E (NGVLA, Moriah Wind Measurement System (WMS), Aviation Integration)",JB_R,"&lt;&gt;")+SUMIFS(JB_N,JB_S,"[ALT_VIEW]",JB_B,1,JB_EX,"P-8a",JB_CC,"Hull, Mechanical, and Electrical",JB_H,"DDG",JB_CE,"HM&amp;E (NGVLA, Moriah Wind Measurement System (WMS), Aviation Integration)",JB_R,"",JB_N,"&lt;&gt;")+SUMIFS(JB_L,JB_S,"[ALT_VIEW]",JB_B,1,JB_EX,"P-8a",JB_CC,"Hull, Mechanical, and Electrical",JB_H,"DDG",JB_CE,"HM&amp;E (NGVLA, Moriah Wind Measurement System (WMS), Aviation Integration)",JB_R,"",JB_N,"")</f>
        <v>12446</v>
      </c>
      <c r="D77" s="26">
        <f t="shared" si="3"/>
        <v>2.539551173200818E-3</v>
      </c>
    </row>
    <row r="78" spans="1:4" ht="10" customHeight="1" x14ac:dyDescent="0.2">
      <c r="A78" s="19" t="s">
        <v>2662</v>
      </c>
      <c r="B78" s="17" t="s">
        <v>363</v>
      </c>
      <c r="C78" s="38">
        <f>SUMIFS(JB_R,JB_S,"[ALT_VIEW]",JB_B,1,JB_EX,"P-8a",JB_CC,"Hull, Mechanical, and Electrical",JB_H,"DDG",JB_CE,"INTERIM SPARES",JB_R,"&lt;&gt;")+SUMIFS(JB_N,JB_S,"[ALT_VIEW]",JB_B,1,JB_EX,"P-8a",JB_CC,"Hull, Mechanical, and Electrical",JB_H,"DDG",JB_CE,"INTERIM SPARES",JB_R,"",JB_N,"&lt;&gt;")+SUMIFS(JB_L,JB_S,"[ALT_VIEW]",JB_B,1,JB_EX,"P-8a",JB_CC,"Hull, Mechanical, and Electrical",JB_H,"DDG",JB_CE,"INTERIM SPARES",JB_R,"",JB_N,"")</f>
        <v>7500</v>
      </c>
      <c r="D78" s="26">
        <f t="shared" si="3"/>
        <v>1.5303417804118701E-3</v>
      </c>
    </row>
    <row r="79" spans="1:4" ht="10" customHeight="1" x14ac:dyDescent="0.2">
      <c r="A79" s="19" t="s">
        <v>2654</v>
      </c>
      <c r="B79" s="17" t="s">
        <v>363</v>
      </c>
      <c r="C79" s="38">
        <f>SUMIFS(JB_R,JB_S,"[ALT_VIEW]",JB_B,1,JB_EX,"P-8a",JB_CC,"Hull, Mechanical, and Electrical",JB_H,"DDG",JB_CE,"RIGID HULL INFLATABLE BOAT (RHIB)",JB_R,"&lt;&gt;")+SUMIFS(JB_N,JB_S,"[ALT_VIEW]",JB_B,1,JB_EX,"P-8a",JB_CC,"Hull, Mechanical, and Electrical",JB_H,"DDG",JB_CE,"RIGID HULL INFLATABLE BOAT (RHIB)",JB_R,"",JB_N,"&lt;&gt;")+SUMIFS(JB_L,JB_S,"[ALT_VIEW]",JB_B,1,JB_EX,"P-8a",JB_CC,"Hull, Mechanical, and Electrical",JB_H,"DDG",JB_CE,"RIGID HULL INFLATABLE BOAT (RHIB)",JB_R,"",JB_N,"")</f>
        <v>1100</v>
      </c>
      <c r="D79" s="26">
        <f t="shared" si="3"/>
        <v>2.2445012779374096E-4</v>
      </c>
    </row>
    <row r="80" spans="1:4" ht="10" customHeight="1" x14ac:dyDescent="0.2">
      <c r="A80" s="21" t="s">
        <v>8399</v>
      </c>
      <c r="B80" s="23"/>
      <c r="C80" s="22">
        <f>SUM(C22:C79)</f>
        <v>4900866</v>
      </c>
      <c r="D80" s="27">
        <v>1</v>
      </c>
    </row>
    <row r="81" spans="1:4" ht="10" customHeight="1" x14ac:dyDescent="0.2"/>
    <row r="82" spans="1:4" ht="10" customHeight="1" x14ac:dyDescent="0.2">
      <c r="A82" s="35" t="s">
        <v>8364</v>
      </c>
      <c r="B82" s="28"/>
      <c r="C82" s="28"/>
      <c r="D82" s="28"/>
    </row>
    <row r="83" spans="1:4" ht="10" customHeight="1" x14ac:dyDescent="0.2">
      <c r="A83" s="18" t="s">
        <v>8397</v>
      </c>
      <c r="B83" s="18" t="s">
        <v>14</v>
      </c>
      <c r="C83" s="18" t="s">
        <v>8315</v>
      </c>
      <c r="D83" s="18" t="s">
        <v>8398</v>
      </c>
    </row>
    <row r="84" spans="1:4" ht="10" customHeight="1" x14ac:dyDescent="0.2">
      <c r="A84" s="19" t="s">
        <v>3736</v>
      </c>
      <c r="B84" s="17" t="s">
        <v>357</v>
      </c>
      <c r="C84" s="38">
        <f>SUMIFS(JB_R,JB_S,"[ALT_VIEW]",JB_B,1,JB_EX,"P-8a",JB_CC,"Electronics",JB_H,"LHA",JB_CE,"Command, Control, Communication, Computer Intelligence Surveillance and Reconnaissance (C4ISR)",JB_R,"&lt;&gt;")+SUMIFS(JB_N,JB_S,"[ALT_VIEW]",JB_B,1,JB_EX,"P-8a",JB_CC,"Electronics",JB_H,"LHA",JB_CE,"Command, Control, Communication, Computer Intelligence Surveillance and Reconnaissance (C4ISR)",JB_R,"",JB_N,"&lt;&gt;")+SUMIFS(JB_L,JB_S,"[ALT_VIEW]",JB_B,1,JB_EX,"P-8a",JB_CC,"Electronics",JB_H,"LHA",JB_CE,"Command, Control, Communication, Computer Intelligence Surveillance and Reconnaissance (C4ISR)",JB_R,"",JB_N,"")</f>
        <v>169701</v>
      </c>
      <c r="D84" s="26">
        <f t="shared" ref="D84:D122" si="4">IFERROR(C84/C$123,0)</f>
        <v>0.30600410046684734</v>
      </c>
    </row>
    <row r="85" spans="1:4" ht="10" customHeight="1" x14ac:dyDescent="0.2">
      <c r="A85" s="19" t="s">
        <v>3739</v>
      </c>
      <c r="B85" s="17" t="s">
        <v>357</v>
      </c>
      <c r="C85" s="38">
        <f>SUMIFS(JB_R,JB_S,"[ALT_VIEW]",JB_B,1,JB_EX,"P-8a",JB_CC,"Electronics",JB_H,"LHA",JB_CE,"MK 2 MOD 4E Ship Self Defense System (SSDS)",JB_R,"&lt;&gt;")+SUMIFS(JB_N,JB_S,"[ALT_VIEW]",JB_B,1,JB_EX,"P-8a",JB_CC,"Electronics",JB_H,"LHA",JB_CE,"MK 2 MOD 4E Ship Self Defense System (SSDS)",JB_R,"",JB_N,"&lt;&gt;")+SUMIFS(JB_L,JB_S,"[ALT_VIEW]",JB_B,1,JB_EX,"P-8a",JB_CC,"Electronics",JB_H,"LHA",JB_CE,"MK 2 MOD 4E Ship Self Defense System (SSDS)",JB_R,"",JB_N,"")</f>
        <v>35308</v>
      </c>
      <c r="D85" s="26">
        <f t="shared" si="4"/>
        <v>6.3667231066896757E-2</v>
      </c>
    </row>
    <row r="86" spans="1:4" ht="10" customHeight="1" x14ac:dyDescent="0.2">
      <c r="A86" s="19" t="s">
        <v>3748</v>
      </c>
      <c r="B86" s="17" t="s">
        <v>357</v>
      </c>
      <c r="C86" s="38">
        <f>SUMIFS(JB_R,JB_S,"[ALT_VIEW]",JB_B,1,JB_EX,"P-8a",JB_CC,"Electronics",JB_H,"LHA",JB_CE,"AN/SPN-50 (V)1",JB_R,"&lt;&gt;")+SUMIFS(JB_N,JB_S,"[ALT_VIEW]",JB_B,1,JB_EX,"P-8a",JB_CC,"Electronics",JB_H,"LHA",JB_CE,"AN/SPN-50 (V)1",JB_R,"",JB_N,"&lt;&gt;")+SUMIFS(JB_L,JB_S,"[ALT_VIEW]",JB_B,1,JB_EX,"P-8a",JB_CC,"Electronics",JB_H,"LHA",JB_CE,"AN/SPN-50 (V)1",JB_R,"",JB_N,"")</f>
        <v>16643</v>
      </c>
      <c r="D86" s="26">
        <f t="shared" si="4"/>
        <v>3.0010584758308676E-2</v>
      </c>
    </row>
    <row r="87" spans="1:4" ht="10" customHeight="1" x14ac:dyDescent="0.2">
      <c r="A87" s="19" t="s">
        <v>3745</v>
      </c>
      <c r="B87" s="17" t="s">
        <v>357</v>
      </c>
      <c r="C87" s="38">
        <f>SUMIFS(JB_R,JB_S,"[ALT_VIEW]",JB_B,1,JB_EX,"P-8a",JB_CC,"Electronics",JB_H,"LHA",JB_CE,"AN/SLQ-32(V), Surface Warfare Improvement Program (SEWIP)",JB_R,"&lt;&gt;")+SUMIFS(JB_N,JB_S,"[ALT_VIEW]",JB_B,1,JB_EX,"P-8a",JB_CC,"Electronics",JB_H,"LHA",JB_CE,"AN/SLQ-32(V), Surface Warfare Improvement Program (SEWIP)",JB_R,"",JB_N,"&lt;&gt;")+SUMIFS(JB_L,JB_S,"[ALT_VIEW]",JB_B,1,JB_EX,"P-8a",JB_CC,"Electronics",JB_H,"LHA",JB_CE,"AN/SLQ-32(V), Surface Warfare Improvement Program (SEWIP)",JB_R,"",JB_N,"")</f>
        <v>14904</v>
      </c>
      <c r="D87" s="26">
        <f t="shared" si="4"/>
        <v>2.6874827569418523E-2</v>
      </c>
    </row>
    <row r="88" spans="1:4" ht="10" customHeight="1" x14ac:dyDescent="0.2">
      <c r="A88" s="19" t="s">
        <v>3545</v>
      </c>
      <c r="B88" s="17" t="s">
        <v>357</v>
      </c>
      <c r="C88" s="38">
        <f>SUMIFS(JB_R,JB_S,"[ALT_VIEW]",JB_B,1,JB_EX,"P-8a",JB_CC,"Electronics",JB_H,"LHA",JB_CE,"Miscellaneous Electronics",JB_R,"&lt;&gt;")+SUMIFS(JB_N,JB_S,"[ALT_VIEW]",JB_B,1,JB_EX,"P-8a",JB_CC,"Electronics",JB_H,"LHA",JB_CE,"Miscellaneous Electronics",JB_R,"",JB_N,"&lt;&gt;")+SUMIFS(JB_L,JB_S,"[ALT_VIEW]",JB_B,1,JB_EX,"P-8a",JB_CC,"Electronics",JB_H,"LHA",JB_CE,"Miscellaneous Electronics",JB_R,"",JB_N,"")</f>
        <v>13237</v>
      </c>
      <c r="D88" s="26">
        <f t="shared" si="4"/>
        <v>2.386890046540479E-2</v>
      </c>
    </row>
    <row r="89" spans="1:4" ht="10" customHeight="1" x14ac:dyDescent="0.2">
      <c r="A89" s="19" t="s">
        <v>3742</v>
      </c>
      <c r="B89" s="17" t="s">
        <v>357</v>
      </c>
      <c r="C89" s="38">
        <f>SUMIFS(JB_R,JB_S,"[ALT_VIEW]",JB_B,1,JB_EX,"P-8a",JB_CC,"Electronics",JB_H,"LHA",JB_CE,"Integrated Voice Network (IVN)",JB_R,"&lt;&gt;")+SUMIFS(JB_N,JB_S,"[ALT_VIEW]",JB_B,1,JB_EX,"P-8a",JB_CC,"Electronics",JB_H,"LHA",JB_CE,"Integrated Voice Network (IVN)",JB_R,"",JB_N,"&lt;&gt;")+SUMIFS(JB_L,JB_S,"[ALT_VIEW]",JB_B,1,JB_EX,"P-8a",JB_CC,"Electronics",JB_H,"LHA",JB_CE,"Integrated Voice Network (IVN)",JB_R,"",JB_N,"")</f>
        <v>10218</v>
      </c>
      <c r="D89" s="26">
        <f t="shared" si="4"/>
        <v>1.8425052878711653E-2</v>
      </c>
    </row>
    <row r="90" spans="1:4" ht="10" customHeight="1" x14ac:dyDescent="0.2">
      <c r="A90" s="19" t="s">
        <v>3757</v>
      </c>
      <c r="B90" s="17" t="s">
        <v>357</v>
      </c>
      <c r="C90" s="38">
        <f>SUMIFS(JB_R,JB_S,"[ALT_VIEW]",JB_B,1,JB_EX,"P-8a",JB_CC,"Electronics",JB_H,"LHA",JB_CE,"AN/UPX-29(V), Identification Friend or Foe (IFF) MK12",JB_R,"&lt;&gt;")+SUMIFS(JB_N,JB_S,"[ALT_VIEW]",JB_B,1,JB_EX,"P-8a",JB_CC,"Electronics",JB_H,"LHA",JB_CE,"AN/UPX-29(V), Identification Friend or Foe (IFF) MK12",JB_R,"",JB_N,"&lt;&gt;")+SUMIFS(JB_L,JB_S,"[ALT_VIEW]",JB_B,1,JB_EX,"P-8a",JB_CC,"Electronics",JB_H,"LHA",JB_CE,"AN/UPX-29(V), Identification Friend or Foe (IFF) MK12",JB_R,"",JB_N,"")</f>
        <v>7802</v>
      </c>
      <c r="D90" s="26">
        <f t="shared" si="4"/>
        <v>1.4068532252858515E-2</v>
      </c>
    </row>
    <row r="91" spans="1:4" ht="10" customHeight="1" x14ac:dyDescent="0.2">
      <c r="A91" s="19" t="s">
        <v>3772</v>
      </c>
      <c r="B91" s="17" t="s">
        <v>357</v>
      </c>
      <c r="C91" s="38">
        <f>SUMIFS(JB_R,JB_S,"[ALT_VIEW]",JB_B,1,JB_EX,"P-8a",JB_CC,"Electronics",JB_H,"LHA",JB_CE,"AN/USG-2, Cooperative Engagement Transmission Processing Set (CETPS)",JB_R,"&lt;&gt;")+SUMIFS(JB_N,JB_S,"[ALT_VIEW]",JB_B,1,JB_EX,"P-8a",JB_CC,"Electronics",JB_H,"LHA",JB_CE,"AN/USG-2, Cooperative Engagement Transmission Processing Set (CETPS)",JB_R,"",JB_N,"&lt;&gt;")+SUMIFS(JB_L,JB_S,"[ALT_VIEW]",JB_B,1,JB_EX,"P-8a",JB_CC,"Electronics",JB_H,"LHA",JB_CE,"AN/USG-2, Cooperative Engagement Transmission Processing Set (CETPS)",JB_R,"",JB_N,"")</f>
        <v>7380</v>
      </c>
      <c r="D91" s="26">
        <f t="shared" si="4"/>
        <v>1.3307583699832844E-2</v>
      </c>
    </row>
    <row r="92" spans="1:4" ht="10" customHeight="1" x14ac:dyDescent="0.2">
      <c r="A92" s="19" t="s">
        <v>3751</v>
      </c>
      <c r="B92" s="17" t="s">
        <v>357</v>
      </c>
      <c r="C92" s="38">
        <f>SUMIFS(JB_R,JB_S,"[ALT_VIEW]",JB_B,1,JB_EX,"P-8a",JB_CC,"Electronics",JB_H,"LHA",JB_CE,"Joint Precision Approach and Landing System (JPALS) (AN/USN-3(V)1, SSLS)",JB_R,"&lt;&gt;")+SUMIFS(JB_N,JB_S,"[ALT_VIEW]",JB_B,1,JB_EX,"P-8a",JB_CC,"Electronics",JB_H,"LHA",JB_CE,"Joint Precision Approach and Landing System (JPALS) (AN/USN-3(V)1, SSLS)",JB_R,"",JB_N,"&lt;&gt;")+SUMIFS(JB_L,JB_S,"[ALT_VIEW]",JB_B,1,JB_EX,"P-8a",JB_CC,"Electronics",JB_H,"LHA",JB_CE,"Joint Precision Approach and Landing System (JPALS) (AN/USN-3(V)1, SSLS)",JB_R,"",JB_N,"")</f>
        <v>6885</v>
      </c>
      <c r="D92" s="26">
        <f t="shared" si="4"/>
        <v>1.241500186630747E-2</v>
      </c>
    </row>
    <row r="93" spans="1:4" ht="10" customHeight="1" x14ac:dyDescent="0.2">
      <c r="A93" s="19" t="s">
        <v>3775</v>
      </c>
      <c r="B93" s="17" t="s">
        <v>357</v>
      </c>
      <c r="C93" s="38">
        <f>SUMIFS(JB_R,JB_S,"[ALT_VIEW]",JB_B,1,JB_EX,"P-8a",JB_CC,"Electronics",JB_H,"LHA",JB_CE,"USQ-82, Gigabit Ethernet Data Multiplex System (GEDMS)",JB_R,"&lt;&gt;")+SUMIFS(JB_N,JB_S,"[ALT_VIEW]",JB_B,1,JB_EX,"P-8a",JB_CC,"Electronics",JB_H,"LHA",JB_CE,"USQ-82, Gigabit Ethernet Data Multiplex System (GEDMS)",JB_R,"",JB_N,"&lt;&gt;")+SUMIFS(JB_L,JB_S,"[ALT_VIEW]",JB_B,1,JB_EX,"P-8a",JB_CC,"Electronics",JB_H,"LHA",JB_CE,"USQ-82, Gigabit Ethernet Data Multiplex System (GEDMS)",JB_R,"",JB_N,"")</f>
        <v>6851</v>
      </c>
      <c r="D93" s="26">
        <f t="shared" si="4"/>
        <v>1.2353693215115829E-2</v>
      </c>
    </row>
    <row r="94" spans="1:4" ht="10" customHeight="1" x14ac:dyDescent="0.2">
      <c r="A94" s="19" t="s">
        <v>3766</v>
      </c>
      <c r="B94" s="17" t="s">
        <v>357</v>
      </c>
      <c r="C94" s="38">
        <f>SUMIFS(JB_R,JB_S,"[ALT_VIEW]",JB_B,1,JB_EX,"P-8a",JB_CC,"Electronics",JB_H,"LHA",JB_CE,"Aircraft Control Approach Central AN/SPN-35C",JB_R,"&lt;&gt;")+SUMIFS(JB_N,JB_S,"[ALT_VIEW]",JB_B,1,JB_EX,"P-8a",JB_CC,"Electronics",JB_H,"LHA",JB_CE,"Aircraft Control Approach Central AN/SPN-35C",JB_R,"",JB_N,"&lt;&gt;")+SUMIFS(JB_L,JB_S,"[ALT_VIEW]",JB_B,1,JB_EX,"P-8a",JB_CC,"Electronics",JB_H,"LHA",JB_CE,"Aircraft Control Approach Central AN/SPN-35C",JB_R,"",JB_N,"")</f>
        <v>6273</v>
      </c>
      <c r="D94" s="26">
        <f t="shared" si="4"/>
        <v>1.1311446144857917E-2</v>
      </c>
    </row>
    <row r="95" spans="1:4" ht="10" customHeight="1" x14ac:dyDescent="0.2">
      <c r="A95" s="19" t="s">
        <v>3754</v>
      </c>
      <c r="B95" s="17" t="s">
        <v>357</v>
      </c>
      <c r="C95" s="38">
        <f>SUMIFS(JB_R,JB_S,"[ALT_VIEW]",JB_B,1,JB_EX,"P-8a",JB_CC,"Electronics",JB_H,"LHA",JB_CE,"Hierarchical Yet Dynamically Reprogrammable Architecture (HYDRA) AN/SRC-55",JB_R,"&lt;&gt;")+SUMIFS(JB_N,JB_S,"[ALT_VIEW]",JB_B,1,JB_EX,"P-8a",JB_CC,"Electronics",JB_H,"LHA",JB_CE,"Hierarchical Yet Dynamically Reprogrammable Architecture (HYDRA) AN/SRC-55",JB_R,"",JB_N,"&lt;&gt;")+SUMIFS(JB_L,JB_S,"[ALT_VIEW]",JB_B,1,JB_EX,"P-8a",JB_CC,"Electronics",JB_H,"LHA",JB_CE,"Hierarchical Yet Dynamically Reprogrammable Architecture (HYDRA) AN/SRC-55",JB_R,"",JB_N,"")</f>
        <v>6025</v>
      </c>
      <c r="D95" s="26">
        <f t="shared" si="4"/>
        <v>1.0864253630283588E-2</v>
      </c>
    </row>
    <row r="96" spans="1:4" ht="10" customHeight="1" x14ac:dyDescent="0.2">
      <c r="A96" s="19" t="s">
        <v>3778</v>
      </c>
      <c r="B96" s="17" t="s">
        <v>357</v>
      </c>
      <c r="C96" s="38">
        <f>SUMIFS(JB_R,JB_S,"[ALT_VIEW]",JB_B,1,JB_EX,"P-8a",JB_CC,"Electronics",JB_H,"LHA",JB_CE,"AN/SLQ-25C, Torpedo Countermeasures Transmitting Set (NIXIE)",JB_R,"&lt;&gt;")+SUMIFS(JB_N,JB_S,"[ALT_VIEW]",JB_B,1,JB_EX,"P-8a",JB_CC,"Electronics",JB_H,"LHA",JB_CE,"AN/SLQ-25C, Torpedo Countermeasures Transmitting Set (NIXIE)",JB_R,"",JB_N,"&lt;&gt;")+SUMIFS(JB_L,JB_S,"[ALT_VIEW]",JB_B,1,JB_EX,"P-8a",JB_CC,"Electronics",JB_H,"LHA",JB_CE,"AN/SLQ-25C, Torpedo Countermeasures Transmitting Set (NIXIE)",JB_R,"",JB_N,"")</f>
        <v>5993</v>
      </c>
      <c r="D96" s="26">
        <f t="shared" si="4"/>
        <v>1.0806551370338514E-2</v>
      </c>
    </row>
    <row r="97" spans="1:4" ht="10" customHeight="1" x14ac:dyDescent="0.2">
      <c r="A97" s="19" t="s">
        <v>3760</v>
      </c>
      <c r="B97" s="17" t="s">
        <v>357</v>
      </c>
      <c r="C97" s="38">
        <f>SUMIFS(JB_R,JB_S,"[ALT_VIEW]",JB_B,1,JB_EX,"P-8a",JB_CC,"Electronics",JB_H,"LHA",JB_CE,"Ring Laser Gyro Navigator (RLGN) AN/WSN-7",JB_R,"&lt;&gt;")+SUMIFS(JB_N,JB_S,"[ALT_VIEW]",JB_B,1,JB_EX,"P-8a",JB_CC,"Electronics",JB_H,"LHA",JB_CE,"Ring Laser Gyro Navigator (RLGN) AN/WSN-7",JB_R,"",JB_N,"&lt;&gt;")+SUMIFS(JB_L,JB_S,"[ALT_VIEW]",JB_B,1,JB_EX,"P-8a",JB_CC,"Electronics",JB_H,"LHA",JB_CE,"Ring Laser Gyro Navigator (RLGN) AN/WSN-7",JB_R,"",JB_N,"")</f>
        <v>5516</v>
      </c>
      <c r="D97" s="26">
        <f t="shared" si="4"/>
        <v>9.9464270580322447E-3</v>
      </c>
    </row>
    <row r="98" spans="1:4" ht="10" customHeight="1" x14ac:dyDescent="0.2">
      <c r="A98" s="19" t="s">
        <v>3763</v>
      </c>
      <c r="B98" s="17" t="s">
        <v>357</v>
      </c>
      <c r="C98" s="38">
        <f>SUMIFS(JB_R,JB_S,"[ALT_VIEW]",JB_B,1,JB_EX,"P-8a",JB_CC,"Electronics",JB_H,"LHA",JB_CE,"Amphibious Air Traffic Control Direct Altitude and Identity Readout (AATC-DAIR)",JB_R,"&lt;&gt;")+SUMIFS(JB_N,JB_S,"[ALT_VIEW]",JB_B,1,JB_EX,"P-8a",JB_CC,"Electronics",JB_H,"LHA",JB_CE,"Amphibious Air Traffic Control Direct Altitude and Identity Readout (AATC-DAIR)",JB_R,"",JB_N,"&lt;&gt;")+SUMIFS(JB_L,JB_S,"[ALT_VIEW]",JB_B,1,JB_EX,"P-8a",JB_CC,"Electronics",JB_H,"LHA",JB_CE,"Amphibious Air Traffic Control Direct Altitude and Identity Readout (AATC-DAIR)",JB_R,"",JB_N,"")</f>
        <v>5333</v>
      </c>
      <c r="D98" s="26">
        <f t="shared" si="4"/>
        <v>9.6164422589713489E-3</v>
      </c>
    </row>
    <row r="99" spans="1:4" ht="10" customHeight="1" x14ac:dyDescent="0.2">
      <c r="A99" s="19" t="s">
        <v>3769</v>
      </c>
      <c r="B99" s="17" t="s">
        <v>357</v>
      </c>
      <c r="C99" s="38">
        <f>SUMIFS(JB_R,JB_S,"[ALT_VIEW]",JB_B,1,JB_EX,"P-8a",JB_CC,"Electronics",JB_H,"LHA",JB_CE,"Aircraft Approach Control Transmitting Set (AACTS) AN/SPN-41B",JB_R,"&lt;&gt;")+SUMIFS(JB_N,JB_S,"[ALT_VIEW]",JB_B,1,JB_EX,"P-8a",JB_CC,"Electronics",JB_H,"LHA",JB_CE,"Aircraft Approach Control Transmitting Set (AACTS) AN/SPN-41B",JB_R,"",JB_N,"&lt;&gt;")+SUMIFS(JB_L,JB_S,"[ALT_VIEW]",JB_B,1,JB_EX,"P-8a",JB_CC,"Electronics",JB_H,"LHA",JB_CE,"Aircraft Approach Control Transmitting Set (AACTS) AN/SPN-41B",JB_R,"",JB_N,"")</f>
        <v>4617</v>
      </c>
      <c r="D99" s="26">
        <f t="shared" si="4"/>
        <v>8.3253541927003037E-3</v>
      </c>
    </row>
    <row r="100" spans="1:4" ht="10" customHeight="1" x14ac:dyDescent="0.2">
      <c r="A100" s="19" t="s">
        <v>3784</v>
      </c>
      <c r="B100" s="17" t="s">
        <v>357</v>
      </c>
      <c r="C100" s="38">
        <f>SUMIFS(JB_R,JB_S,"[ALT_VIEW]",JB_B,1,JB_EX,"P-8a",JB_CC,"Electronics",JB_H,"LHA",JB_CE,"Announcing Systems AN/SIA-127H",JB_R,"&lt;&gt;")+SUMIFS(JB_N,JB_S,"[ALT_VIEW]",JB_B,1,JB_EX,"P-8a",JB_CC,"Electronics",JB_H,"LHA",JB_CE,"Announcing Systems AN/SIA-127H",JB_R,"",JB_N,"&lt;&gt;")+SUMIFS(JB_L,JB_S,"[ALT_VIEW]",JB_B,1,JB_EX,"P-8a",JB_CC,"Electronics",JB_H,"LHA",JB_CE,"Announcing Systems AN/SIA-127H",JB_R,"",JB_N,"")</f>
        <v>2656</v>
      </c>
      <c r="D100" s="26">
        <f t="shared" si="4"/>
        <v>4.789287575441197E-3</v>
      </c>
    </row>
    <row r="101" spans="1:4" ht="10" customHeight="1" x14ac:dyDescent="0.2">
      <c r="A101" s="19" t="s">
        <v>3787</v>
      </c>
      <c r="B101" s="17" t="s">
        <v>357</v>
      </c>
      <c r="C101" s="38">
        <f>SUMIFS(JB_R,JB_S,"[ALT_VIEW]",JB_B,1,JB_EX,"P-8a",JB_CC,"Electronics",JB_H,"LHA",JB_CE,"SATCC",JB_R,"&lt;&gt;")+SUMIFS(JB_N,JB_S,"[ALT_VIEW]",JB_B,1,JB_EX,"P-8a",JB_CC,"Electronics",JB_H,"LHA",JB_CE,"SATCC",JB_R,"",JB_N,"&lt;&gt;")+SUMIFS(JB_L,JB_S,"[ALT_VIEW]",JB_B,1,JB_EX,"P-8a",JB_CC,"Electronics",JB_H,"LHA",JB_CE,"SATCC",JB_R,"",JB_N,"")</f>
        <v>2106</v>
      </c>
      <c r="D101" s="26">
        <f t="shared" si="4"/>
        <v>3.7975299826352262E-3</v>
      </c>
    </row>
    <row r="102" spans="1:4" ht="10" customHeight="1" x14ac:dyDescent="0.2">
      <c r="A102" s="19" t="s">
        <v>3530</v>
      </c>
      <c r="B102" s="17" t="s">
        <v>357</v>
      </c>
      <c r="C102" s="38">
        <f>SUMIFS(JB_R,JB_S,"[ALT_VIEW]",JB_B,1,JB_EX,"P-8a",JB_CC,"Electronics",JB_H,"LHA",JB_CE,"Amphibious Assault Direction System (AADS)",JB_R,"&lt;&gt;")+SUMIFS(JB_N,JB_S,"[ALT_VIEW]",JB_B,1,JB_EX,"P-8a",JB_CC,"Electronics",JB_H,"LHA",JB_CE,"Amphibious Assault Direction System (AADS)",JB_R,"",JB_N,"&lt;&gt;")+SUMIFS(JB_L,JB_S,"[ALT_VIEW]",JB_B,1,JB_EX,"P-8a",JB_CC,"Electronics",JB_H,"LHA",JB_CE,"Amphibious Assault Direction System (AADS)",JB_R,"",JB_N,"")</f>
        <v>1448</v>
      </c>
      <c r="D102" s="26">
        <f t="shared" si="4"/>
        <v>2.6110272625146282E-3</v>
      </c>
    </row>
    <row r="103" spans="1:4" ht="10" customHeight="1" x14ac:dyDescent="0.2">
      <c r="A103" s="19" t="s">
        <v>3801</v>
      </c>
      <c r="B103" s="17" t="s">
        <v>357</v>
      </c>
      <c r="C103" s="38">
        <f>SUMIFS(JB_R,JB_S,"[ALT_VIEW]",JB_B,1,JB_EX,"P-8a",JB_CC,"Electronics",JB_H,"LHA",JB_CE,"30 TV",JB_R,"&lt;&gt;")+SUMIFS(JB_N,JB_S,"[ALT_VIEW]",JB_B,1,JB_EX,"P-8a",JB_CC,"Electronics",JB_H,"LHA",JB_CE,"30 TV",JB_R,"",JB_N,"&lt;&gt;")+SUMIFS(JB_L,JB_S,"[ALT_VIEW]",JB_B,1,JB_EX,"P-8a",JB_CC,"Electronics",JB_H,"LHA",JB_CE,"30 TV",JB_R,"",JB_N,"")</f>
        <v>1326</v>
      </c>
      <c r="D103" s="26">
        <f t="shared" si="4"/>
        <v>2.3910373964740315E-3</v>
      </c>
    </row>
    <row r="104" spans="1:4" ht="10" customHeight="1" x14ac:dyDescent="0.2">
      <c r="A104" s="19" t="s">
        <v>3795</v>
      </c>
      <c r="B104" s="17" t="s">
        <v>357</v>
      </c>
      <c r="C104" s="38">
        <f>SUMIFS(JB_R,JB_S,"[ALT_VIEW]",JB_B,1,JB_EX,"P-8a",JB_CC,"Electronics",JB_H,"LHA",JB_CE,"MK 53 NULKA Decoy Launching System (DLS) Mod 3",JB_R,"&lt;&gt;")+SUMIFS(JB_N,JB_S,"[ALT_VIEW]",JB_B,1,JB_EX,"P-8a",JB_CC,"Electronics",JB_H,"LHA",JB_CE,"MK 53 NULKA Decoy Launching System (DLS) Mod 3",JB_R,"",JB_N,"&lt;&gt;")+SUMIFS(JB_L,JB_S,"[ALT_VIEW]",JB_B,1,JB_EX,"P-8a",JB_CC,"Electronics",JB_H,"LHA",JB_CE,"MK 53 NULKA Decoy Launching System (DLS) Mod 3",JB_R,"",JB_N,"")</f>
        <v>1264</v>
      </c>
      <c r="D104" s="26">
        <f t="shared" si="4"/>
        <v>2.279239267830449E-3</v>
      </c>
    </row>
    <row r="105" spans="1:4" ht="10" customHeight="1" x14ac:dyDescent="0.2">
      <c r="A105" s="19" t="s">
        <v>3804</v>
      </c>
      <c r="B105" s="17" t="s">
        <v>357</v>
      </c>
      <c r="C105" s="38">
        <f>SUMIFS(JB_R,JB_S,"[ALT_VIEW]",JB_B,1,JB_EX,"P-8a",JB_CC,"Electronics",JB_H,"LHA",JB_CE,"Next Generation Navigational Radar",JB_R,"&lt;&gt;")+SUMIFS(JB_N,JB_S,"[ALT_VIEW]",JB_B,1,JB_EX,"P-8a",JB_CC,"Electronics",JB_H,"LHA",JB_CE,"Next Generation Navigational Radar",JB_R,"",JB_N,"&lt;&gt;")+SUMIFS(JB_L,JB_S,"[ALT_VIEW]",JB_B,1,JB_EX,"P-8a",JB_CC,"Electronics",JB_H,"LHA",JB_CE,"Next Generation Navigational Radar",JB_R,"",JB_N,"")</f>
        <v>1232</v>
      </c>
      <c r="D105" s="26">
        <f t="shared" si="4"/>
        <v>2.2215370078853746E-3</v>
      </c>
    </row>
    <row r="106" spans="1:4" ht="10" customHeight="1" x14ac:dyDescent="0.2">
      <c r="A106" s="19" t="s">
        <v>3781</v>
      </c>
      <c r="B106" s="17" t="s">
        <v>357</v>
      </c>
      <c r="C106" s="38">
        <f>SUMIFS(JB_R,JB_S,"[ALT_VIEW]",JB_B,1,JB_EX,"P-8a",JB_CC,"Electronics",JB_H,"LHA",JB_CE,"AN/USQ-T46(V), Battle Force Tactical Training (BFTT)",JB_R,"&lt;&gt;")+SUMIFS(JB_N,JB_S,"[ALT_VIEW]",JB_B,1,JB_EX,"P-8a",JB_CC,"Electronics",JB_H,"LHA",JB_CE,"AN/USQ-T46(V), Battle Force Tactical Training (BFTT)",JB_R,"",JB_N,"&lt;&gt;")+SUMIFS(JB_L,JB_S,"[ALT_VIEW]",JB_B,1,JB_EX,"P-8a",JB_CC,"Electronics",JB_H,"LHA",JB_CE,"AN/USQ-T46(V), Battle Force Tactical Training (BFTT)",JB_R,"",JB_N,"")</f>
        <v>1103</v>
      </c>
      <c r="D106" s="26">
        <f t="shared" si="4"/>
        <v>1.9889247724817921E-3</v>
      </c>
    </row>
    <row r="107" spans="1:4" ht="10" customHeight="1" x14ac:dyDescent="0.2">
      <c r="A107" s="19" t="s">
        <v>3792</v>
      </c>
      <c r="B107" s="17" t="s">
        <v>357</v>
      </c>
      <c r="C107" s="38">
        <f>SUMIFS(JB_R,JB_S,"[ALT_VIEW]",JB_B,1,JB_EX,"P-8a",JB_CC,"Electronics",JB_H,"LHA",JB_CE,"Digital Photo Lab",JB_R,"&lt;&gt;")+SUMIFS(JB_N,JB_S,"[ALT_VIEW]",JB_B,1,JB_EX,"P-8a",JB_CC,"Electronics",JB_H,"LHA",JB_CE,"Digital Photo Lab",JB_R,"",JB_N,"&lt;&gt;")+SUMIFS(JB_L,JB_S,"[ALT_VIEW]",JB_B,1,JB_EX,"P-8a",JB_CC,"Electronics",JB_H,"LHA",JB_CE,"Digital Photo Lab",JB_R,"",JB_N,"")</f>
        <v>623</v>
      </c>
      <c r="D107" s="26">
        <f t="shared" si="4"/>
        <v>1.1233908733056723E-3</v>
      </c>
    </row>
    <row r="108" spans="1:4" ht="10" customHeight="1" x14ac:dyDescent="0.2">
      <c r="A108" s="19" t="s">
        <v>3798</v>
      </c>
      <c r="B108" s="17" t="s">
        <v>357</v>
      </c>
      <c r="C108" s="38">
        <f>SUMIFS(JB_R,JB_S,"[ALT_VIEW]",JB_B,1,JB_EX,"P-8a",JB_CC,"Electronics",JB_H,"LHA",JB_CE,"Print Shop",JB_R,"&lt;&gt;")+SUMIFS(JB_N,JB_S,"[ALT_VIEW]",JB_B,1,JB_EX,"P-8a",JB_CC,"Electronics",JB_H,"LHA",JB_CE,"Print Shop",JB_R,"",JB_N,"&lt;&gt;")+SUMIFS(JB_L,JB_S,"[ALT_VIEW]",JB_B,1,JB_EX,"P-8a",JB_CC,"Electronics",JB_H,"LHA",JB_CE,"Print Shop",JB_R,"",JB_N,"")</f>
        <v>566</v>
      </c>
      <c r="D108" s="26">
        <f t="shared" si="4"/>
        <v>1.0206087227785082E-3</v>
      </c>
    </row>
    <row r="109" spans="1:4" ht="10" customHeight="1" x14ac:dyDescent="0.2">
      <c r="A109" s="19" t="s">
        <v>3225</v>
      </c>
      <c r="B109" s="17" t="s">
        <v>366</v>
      </c>
      <c r="C109" s="38">
        <f>SUMIFS(JB_R,JB_S,"[ALT_VIEW]",JB_B,1,JB_EX,"P-8a",JB_CC,"Ordnance",JB_H,"LHA",JB_CE,"Enterprise Air Surveillance Radar (EASR)",JB_R,"&lt;&gt;")+SUMIFS(JB_N,JB_S,"[ALT_VIEW]",JB_B,1,JB_EX,"P-8a",JB_CC,"Ordnance",JB_H,"LHA",JB_CE,"Enterprise Air Surveillance Radar (EASR)",JB_R,"",JB_N,"&lt;&gt;")+SUMIFS(JB_L,JB_S,"[ALT_VIEW]",JB_B,1,JB_EX,"P-8a",JB_CC,"Ordnance",JB_H,"LHA",JB_CE,"Enterprise Air Surveillance Radar (EASR)",JB_R,"",JB_N,"")</f>
        <v>38262</v>
      </c>
      <c r="D109" s="26">
        <f t="shared" si="4"/>
        <v>6.8993870938076463E-2</v>
      </c>
    </row>
    <row r="110" spans="1:4" ht="10" customHeight="1" x14ac:dyDescent="0.2">
      <c r="A110" s="19" t="s">
        <v>3822</v>
      </c>
      <c r="B110" s="17" t="s">
        <v>366</v>
      </c>
      <c r="C110" s="38">
        <f>SUMIFS(JB_R,JB_S,"[ALT_VIEW]",JB_B,1,JB_EX,"P-8a",JB_CC,"Ordnance",JB_H,"LHA",JB_CE,"NATO Sea Sparrow Missile System (NSSMS) MK 57 Mod 14",JB_R,"&lt;&gt;")+SUMIFS(JB_N,JB_S,"[ALT_VIEW]",JB_B,1,JB_EX,"P-8a",JB_CC,"Ordnance",JB_H,"LHA",JB_CE,"NATO Sea Sparrow Missile System (NSSMS) MK 57 Mod 14",JB_R,"",JB_N,"&lt;&gt;")+SUMIFS(JB_L,JB_S,"[ALT_VIEW]",JB_B,1,JB_EX,"P-8a",JB_CC,"Ordnance",JB_H,"LHA",JB_CE,"NATO Sea Sparrow Missile System (NSSMS) MK 57 Mod 14",JB_R,"",JB_N,"")</f>
        <v>34125</v>
      </c>
      <c r="D110" s="26">
        <f t="shared" si="4"/>
        <v>6.1534050644552273E-2</v>
      </c>
    </row>
    <row r="111" spans="1:4" ht="10" customHeight="1" x14ac:dyDescent="0.2">
      <c r="A111" s="19" t="s">
        <v>3825</v>
      </c>
      <c r="B111" s="17" t="s">
        <v>366</v>
      </c>
      <c r="C111" s="38">
        <f>SUMIFS(JB_R,JB_S,"[ALT_VIEW]",JB_B,1,JB_EX,"P-8a",JB_CC,"Ordnance",JB_H,"LHA",JB_CE,"MK31 Mod 3, Rolling Airframe Missile (RAM) (Tech Refresh)",JB_R,"&lt;&gt;")+SUMIFS(JB_N,JB_S,"[ALT_VIEW]",JB_B,1,JB_EX,"P-8a",JB_CC,"Ordnance",JB_H,"LHA",JB_CE,"MK31 Mod 3, Rolling Airframe Missile (RAM) (Tech Refresh)",JB_R,"",JB_N,"&lt;&gt;")+SUMIFS(JB_L,JB_S,"[ALT_VIEW]",JB_B,1,JB_EX,"P-8a",JB_CC,"Ordnance",JB_H,"LHA",JB_CE,"MK31 Mod 3, Rolling Airframe Missile (RAM) (Tech Refresh)",JB_R,"",JB_N,"")</f>
        <v>22290</v>
      </c>
      <c r="D111" s="26">
        <f t="shared" si="4"/>
        <v>4.0193230442991071E-2</v>
      </c>
    </row>
    <row r="112" spans="1:4" ht="10" customHeight="1" x14ac:dyDescent="0.2">
      <c r="A112" s="19" t="s">
        <v>3828</v>
      </c>
      <c r="B112" s="17" t="s">
        <v>366</v>
      </c>
      <c r="C112" s="38">
        <f>SUMIFS(JB_R,JB_S,"[ALT_VIEW]",JB_B,1,JB_EX,"P-8a",JB_CC,"Ordnance",JB_H,"LHA",JB_CE,"PHALANX Block 1B MK15 Mod 21 &amp; 22, Close-in Weapon System (CIWS)",JB_R,"&lt;&gt;")+SUMIFS(JB_N,JB_S,"[ALT_VIEW]",JB_B,1,JB_EX,"P-8a",JB_CC,"Ordnance",JB_H,"LHA",JB_CE,"PHALANX Block 1B MK15 Mod 21 &amp; 22, Close-in Weapon System (CIWS)",JB_R,"",JB_N,"&lt;&gt;")+SUMIFS(JB_L,JB_S,"[ALT_VIEW]",JB_B,1,JB_EX,"P-8a",JB_CC,"Ordnance",JB_H,"LHA",JB_CE,"PHALANX Block 1B MK15 Mod 21 &amp; 22, Close-in Weapon System (CIWS)",JB_R,"",JB_N,"")</f>
        <v>18458</v>
      </c>
      <c r="D112" s="26">
        <f t="shared" si="4"/>
        <v>3.3283384814568377E-2</v>
      </c>
    </row>
    <row r="113" spans="1:4" ht="10" customHeight="1" x14ac:dyDescent="0.2">
      <c r="A113" s="19" t="s">
        <v>3831</v>
      </c>
      <c r="B113" s="17" t="s">
        <v>366</v>
      </c>
      <c r="C113" s="38">
        <f>SUMIFS(JB_R,JB_S,"[ALT_VIEW]",JB_B,1,JB_EX,"P-8a",JB_CC,"Ordnance",JB_H,"LHA",JB_CE,"Vertical/Stationary Take-Off Landing Optical Landing System (VSTOL OLS)",JB_R,"&lt;&gt;")+SUMIFS(JB_N,JB_S,"[ALT_VIEW]",JB_B,1,JB_EX,"P-8a",JB_CC,"Ordnance",JB_H,"LHA",JB_CE,"Vertical/Stationary Take-Off Landing Optical Landing System (VSTOL OLS)",JB_R,"",JB_N,"&lt;&gt;")+SUMIFS(JB_L,JB_S,"[ALT_VIEW]",JB_B,1,JB_EX,"P-8a",JB_CC,"Ordnance",JB_H,"LHA",JB_CE,"Vertical/Stationary Take-Off Landing Optical Landing System (VSTOL OLS)",JB_R,"",JB_N,"")</f>
        <v>15265</v>
      </c>
      <c r="D113" s="26">
        <f t="shared" si="4"/>
        <v>2.7525781189423896E-2</v>
      </c>
    </row>
    <row r="114" spans="1:4" ht="10" customHeight="1" x14ac:dyDescent="0.2">
      <c r="A114" s="19" t="s">
        <v>3845</v>
      </c>
      <c r="B114" s="17" t="s">
        <v>366</v>
      </c>
      <c r="C114" s="38">
        <f>SUMIFS(JB_R,JB_S,"[ALT_VIEW]",JB_B,1,JB_EX,"P-8a",JB_CC,"Ordnance",JB_H,"LHA",JB_CE,"Aviation Support",JB_R,"&lt;&gt;")+SUMIFS(JB_N,JB_S,"[ALT_VIEW]",JB_B,1,JB_EX,"P-8a",JB_CC,"Ordnance",JB_H,"LHA",JB_CE,"Aviation Support",JB_R,"",JB_N,"&lt;&gt;")+SUMIFS(JB_L,JB_S,"[ALT_VIEW]",JB_B,1,JB_EX,"P-8a",JB_CC,"Ordnance",JB_H,"LHA",JB_CE,"Aviation Support",JB_R,"",JB_N,"")</f>
        <v>8202</v>
      </c>
      <c r="D114" s="26">
        <f t="shared" si="4"/>
        <v>1.4789810502171949E-2</v>
      </c>
    </row>
    <row r="115" spans="1:4" ht="10" customHeight="1" x14ac:dyDescent="0.2">
      <c r="A115" s="19" t="s">
        <v>3582</v>
      </c>
      <c r="B115" s="17" t="s">
        <v>366</v>
      </c>
      <c r="C115" s="38">
        <f>SUMIFS(JB_R,JB_S,"[ALT_VIEW]",JB_B,1,JB_EX,"P-8a",JB_CC,"Ordnance",JB_H,"LHA",JB_CE,"AN/SPQ-9B Radar Set",JB_R,"&lt;&gt;")+SUMIFS(JB_N,JB_S,"[ALT_VIEW]",JB_B,1,JB_EX,"P-8a",JB_CC,"Ordnance",JB_H,"LHA",JB_CE,"AN/SPQ-9B Radar Set",JB_R,"",JB_N,"&lt;&gt;")+SUMIFS(JB_L,JB_S,"[ALT_VIEW]",JB_B,1,JB_EX,"P-8a",JB_CC,"Ordnance",JB_H,"LHA",JB_CE,"AN/SPQ-9B Radar Set",JB_R,"",JB_N,"")</f>
        <v>7628</v>
      </c>
      <c r="D115" s="26">
        <f t="shared" si="4"/>
        <v>1.3754776214407172E-2</v>
      </c>
    </row>
    <row r="116" spans="1:4" ht="10" customHeight="1" x14ac:dyDescent="0.2">
      <c r="A116" s="19" t="s">
        <v>3836</v>
      </c>
      <c r="B116" s="17" t="s">
        <v>366</v>
      </c>
      <c r="C116" s="38">
        <f>SUMIFS(JB_R,JB_S,"[ALT_VIEW]",JB_B,1,JB_EX,"P-8a",JB_CC,"Ordnance",JB_H,"LHA",JB_CE,"MK 38 Mod 2 Stabilized Gun Stand Assembly",JB_R,"&lt;&gt;")+SUMIFS(JB_N,JB_S,"[ALT_VIEW]",JB_B,1,JB_EX,"P-8a",JB_CC,"Ordnance",JB_H,"LHA",JB_CE,"MK 38 Mod 2 Stabilized Gun Stand Assembly",JB_R,"",JB_N,"&lt;&gt;")+SUMIFS(JB_L,JB_S,"[ALT_VIEW]",JB_B,1,JB_EX,"P-8a",JB_CC,"Ordnance",JB_H,"LHA",JB_CE,"MK 38 Mod 2 Stabilized Gun Stand Assembly",JB_R,"",JB_N,"")</f>
        <v>7143</v>
      </c>
      <c r="D116" s="26">
        <f t="shared" si="4"/>
        <v>1.2880226337114635E-2</v>
      </c>
    </row>
    <row r="117" spans="1:4" ht="10" customHeight="1" x14ac:dyDescent="0.2">
      <c r="A117" s="19" t="s">
        <v>3848</v>
      </c>
      <c r="B117" s="17" t="s">
        <v>366</v>
      </c>
      <c r="C117" s="38">
        <f>SUMIFS(JB_R,JB_S,"[ALT_VIEW]",JB_B,1,JB_EX,"P-8a",JB_CC,"Ordnance",JB_H,"LHA",JB_CE,"Miscellaneous Ordnance",JB_R,"&lt;&gt;")+SUMIFS(JB_N,JB_S,"[ALT_VIEW]",JB_B,1,JB_EX,"P-8a",JB_CC,"Ordnance",JB_H,"LHA",JB_CE,"Miscellaneous Ordnance",JB_R,"",JB_N,"&lt;&gt;")+SUMIFS(JB_L,JB_S,"[ALT_VIEW]",JB_B,1,JB_EX,"P-8a",JB_CC,"Ordnance",JB_H,"LHA",JB_CE,"Miscellaneous Ordnance",JB_R,"",JB_N,"")</f>
        <v>2964</v>
      </c>
      <c r="D117" s="26">
        <f t="shared" si="4"/>
        <v>5.3446718274125409E-3</v>
      </c>
    </row>
    <row r="118" spans="1:4" ht="10" customHeight="1" x14ac:dyDescent="0.2">
      <c r="A118" s="19" t="s">
        <v>3842</v>
      </c>
      <c r="B118" s="17" t="s">
        <v>366</v>
      </c>
      <c r="C118" s="38">
        <f>SUMIFS(JB_R,JB_S,"[ALT_VIEW]",JB_B,1,JB_EX,"P-8a",JB_CC,"Ordnance",JB_H,"LHA",JB_CE,"MORIAH",JB_R,"&lt;&gt;")+SUMIFS(JB_N,JB_S,"[ALT_VIEW]",JB_B,1,JB_EX,"P-8a",JB_CC,"Ordnance",JB_H,"LHA",JB_CE,"MORIAH",JB_R,"",JB_N,"&lt;&gt;")+SUMIFS(JB_L,JB_S,"[ALT_VIEW]",JB_B,1,JB_EX,"P-8a",JB_CC,"Ordnance",JB_H,"LHA",JB_CE,"MORIAH",JB_R,"",JB_N,"")</f>
        <v>2395</v>
      </c>
      <c r="D118" s="26">
        <f t="shared" si="4"/>
        <v>4.3186535177641818E-3</v>
      </c>
    </row>
    <row r="119" spans="1:4" ht="10" customHeight="1" x14ac:dyDescent="0.2">
      <c r="A119" s="19" t="s">
        <v>3839</v>
      </c>
      <c r="B119" s="17" t="s">
        <v>366</v>
      </c>
      <c r="C119" s="38">
        <f>SUMIFS(JB_R,JB_S,"[ALT_VIEW]",JB_B,1,JB_EX,"P-8a",JB_CC,"Ordnance",JB_H,"LHA",JB_CE,"AN/SPQ-14",JB_R,"&lt;&gt;")+SUMIFS(JB_N,JB_S,"[ALT_VIEW]",JB_B,1,JB_EX,"P-8a",JB_CC,"Ordnance",JB_H,"LHA",JB_CE,"AN/SPQ-14",JB_R,"",JB_N,"&lt;&gt;")+SUMIFS(JB_L,JB_S,"[ALT_VIEW]",JB_B,1,JB_EX,"P-8a",JB_CC,"Ordnance",JB_H,"LHA",JB_CE,"AN/SPQ-14",JB_R,"",JB_N,"")</f>
        <v>947</v>
      </c>
      <c r="D119" s="26">
        <f t="shared" si="4"/>
        <v>1.7076262552495533E-3</v>
      </c>
    </row>
    <row r="120" spans="1:4" ht="10" customHeight="1" x14ac:dyDescent="0.2">
      <c r="A120" s="19" t="s">
        <v>3810</v>
      </c>
      <c r="B120" s="17" t="s">
        <v>363</v>
      </c>
      <c r="C120" s="38">
        <f>SUMIFS(JB_R,JB_S,"[ALT_VIEW]",JB_B,1,JB_EX,"P-8a",JB_CC,"Hull, Mechanical, and Electrical",JB_H,"LHA",JB_CE,"Equipment &amp; Engineering",JB_R,"&lt;&gt;")+SUMIFS(JB_N,JB_S,"[ALT_VIEW]",JB_B,1,JB_EX,"P-8a",JB_CC,"Hull, Mechanical, and Electrical",JB_H,"LHA",JB_CE,"Equipment &amp; Engineering",JB_R,"",JB_N,"&lt;&gt;")+SUMIFS(JB_L,JB_S,"[ALT_VIEW]",JB_B,1,JB_EX,"P-8a",JB_CC,"Hull, Mechanical, and Electrical",JB_H,"LHA",JB_CE,"Equipment &amp; Engineering",JB_R,"",JB_N,"")</f>
        <v>47605</v>
      </c>
      <c r="D120" s="26">
        <f t="shared" si="4"/>
        <v>8.584112764641498E-2</v>
      </c>
    </row>
    <row r="121" spans="1:4" ht="10" customHeight="1" x14ac:dyDescent="0.2">
      <c r="A121" s="19" t="s">
        <v>3816</v>
      </c>
      <c r="B121" s="17" t="s">
        <v>363</v>
      </c>
      <c r="C121" s="38">
        <f>SUMIFS(JB_R,JB_S,"[ALT_VIEW]",JB_B,1,JB_EX,"P-8a",JB_CC,"Hull, Mechanical, and Electrical",JB_H,"LHA",JB_CE,"Test &amp; Instrumentation",JB_R,"&lt;&gt;")+SUMIFS(JB_N,JB_S,"[ALT_VIEW]",JB_B,1,JB_EX,"P-8a",JB_CC,"Hull, Mechanical, and Electrical",JB_H,"LHA",JB_CE,"Test &amp; Instrumentation",JB_R,"",JB_N,"&lt;&gt;")+SUMIFS(JB_L,JB_S,"[ALT_VIEW]",JB_B,1,JB_EX,"P-8a",JB_CC,"Hull, Mechanical, and Electrical",JB_H,"LHA",JB_CE,"Test &amp; Instrumentation",JB_R,"",JB_N,"")</f>
        <v>9464</v>
      </c>
      <c r="D121" s="26">
        <f t="shared" si="4"/>
        <v>1.7065443378755832E-2</v>
      </c>
    </row>
    <row r="122" spans="1:4" ht="10" customHeight="1" x14ac:dyDescent="0.2">
      <c r="A122" s="19" t="s">
        <v>3813</v>
      </c>
      <c r="B122" s="17" t="s">
        <v>363</v>
      </c>
      <c r="C122" s="38">
        <f>SUMIFS(JB_R,JB_S,"[ALT_VIEW]",JB_B,1,JB_EX,"P-8a",JB_CC,"Hull, Mechanical, and Electrical",JB_H,"LHA",JB_CE,"SUPSHIP Material/Services",JB_R,"&lt;&gt;")+SUMIFS(JB_N,JB_S,"[ALT_VIEW]",JB_B,1,JB_EX,"P-8a",JB_CC,"Hull, Mechanical, and Electrical",JB_H,"LHA",JB_CE,"SUPSHIP Material/Services",JB_R,"",JB_N,"&lt;&gt;")+SUMIFS(JB_L,JB_S,"[ALT_VIEW]",JB_B,1,JB_EX,"P-8a",JB_CC,"Hull, Mechanical, and Electrical",JB_H,"LHA",JB_CE,"SUPSHIP Material/Services",JB_R,"",JB_N,"")</f>
        <v>4813</v>
      </c>
      <c r="D122" s="26">
        <f t="shared" si="4"/>
        <v>8.6787805348638863E-3</v>
      </c>
    </row>
    <row r="123" spans="1:4" ht="10" customHeight="1" x14ac:dyDescent="0.2">
      <c r="A123" s="21" t="s">
        <v>8400</v>
      </c>
      <c r="B123" s="23"/>
      <c r="C123" s="22">
        <f>SUM(C84:C122)</f>
        <v>554571</v>
      </c>
      <c r="D123" s="27">
        <v>1</v>
      </c>
    </row>
    <row r="124" spans="1:4" ht="10" customHeight="1" x14ac:dyDescent="0.2"/>
    <row r="125" spans="1:4" ht="10" customHeight="1" x14ac:dyDescent="0.2">
      <c r="A125" s="35" t="s">
        <v>8366</v>
      </c>
      <c r="B125" s="28"/>
      <c r="C125" s="28"/>
      <c r="D125" s="28"/>
    </row>
    <row r="126" spans="1:4" ht="10" customHeight="1" x14ac:dyDescent="0.2">
      <c r="A126" s="18" t="s">
        <v>8397</v>
      </c>
      <c r="B126" s="18" t="s">
        <v>14</v>
      </c>
      <c r="C126" s="18" t="s">
        <v>8315</v>
      </c>
      <c r="D126" s="18" t="s">
        <v>8398</v>
      </c>
    </row>
    <row r="127" spans="1:4" ht="10" customHeight="1" x14ac:dyDescent="0.2">
      <c r="A127" s="19" t="s">
        <v>3225</v>
      </c>
      <c r="B127" s="17" t="s">
        <v>357</v>
      </c>
      <c r="C127" s="38">
        <f>SUMIFS(JB_R,JB_S,"[ALT_VIEW]",JB_B,1,JB_EX,"P-8a",JB_CC,"Electronics",JB_H,"FFG",JB_CE,"Enterprise Air Surveillance Radar (EASR)",JB_R,"&lt;&gt;")+SUMIFS(JB_N,JB_S,"[ALT_VIEW]",JB_B,1,JB_EX,"P-8a",JB_CC,"Electronics",JB_H,"FFG",JB_CE,"Enterprise Air Surveillance Radar (EASR)",JB_R,"",JB_N,"&lt;&gt;")+SUMIFS(JB_L,JB_S,"[ALT_VIEW]",JB_B,1,JB_EX,"P-8a",JB_CC,"Electronics",JB_H,"FFG",JB_CE,"Enterprise Air Surveillance Radar (EASR)",JB_R,"",JB_N,"")</f>
        <v>122605</v>
      </c>
      <c r="D127" s="26">
        <f t="shared" ref="D127:D144" si="5">IFERROR(C127/C$145,0)</f>
        <v>0.24019896910650018</v>
      </c>
    </row>
    <row r="128" spans="1:4" ht="10" customHeight="1" x14ac:dyDescent="0.2">
      <c r="A128" s="19" t="s">
        <v>3228</v>
      </c>
      <c r="B128" s="17" t="s">
        <v>357</v>
      </c>
      <c r="C128" s="38">
        <f>SUMIFS(JB_R,JB_S,"[ALT_VIEW]",JB_B,1,JB_EX,"P-8a",JB_CC,"Electronics",JB_H,"FFG",JB_CE,"AEGIS Weapon System (AWS)",JB_R,"&lt;&gt;")+SUMIFS(JB_N,JB_S,"[ALT_VIEW]",JB_B,1,JB_EX,"P-8a",JB_CC,"Electronics",JB_H,"FFG",JB_CE,"AEGIS Weapon System (AWS)",JB_R,"",JB_N,"&lt;&gt;")+SUMIFS(JB_L,JB_S,"[ALT_VIEW]",JB_B,1,JB_EX,"P-8a",JB_CC,"Electronics",JB_H,"FFG",JB_CE,"AEGIS Weapon System (AWS)",JB_R,"",JB_N,"")</f>
        <v>92392</v>
      </c>
      <c r="D128" s="26">
        <f t="shared" si="5"/>
        <v>0.1810078149642165</v>
      </c>
    </row>
    <row r="129" spans="1:4" ht="10" customHeight="1" x14ac:dyDescent="0.2">
      <c r="A129" s="19" t="s">
        <v>3231</v>
      </c>
      <c r="B129" s="17" t="s">
        <v>357</v>
      </c>
      <c r="C129" s="38">
        <f>SUMIFS(JB_R,JB_S,"[ALT_VIEW]",JB_B,1,JB_EX,"P-8a",JB_CC,"Electronics",JB_H,"FFG",JB_CE,"Anti-Submarine Warfare (ASW) Combat Suite",JB_R,"&lt;&gt;")+SUMIFS(JB_N,JB_S,"[ALT_VIEW]",JB_B,1,JB_EX,"P-8a",JB_CC,"Electronics",JB_H,"FFG",JB_CE,"Anti-Submarine Warfare (ASW) Combat Suite",JB_R,"",JB_N,"&lt;&gt;")+SUMIFS(JB_L,JB_S,"[ALT_VIEW]",JB_B,1,JB_EX,"P-8a",JB_CC,"Electronics",JB_H,"FFG",JB_CE,"Anti-Submarine Warfare (ASW) Combat Suite",JB_R,"",JB_N,"")</f>
        <v>62571</v>
      </c>
      <c r="D129" s="26">
        <f t="shared" si="5"/>
        <v>0.12258463925584458</v>
      </c>
    </row>
    <row r="130" spans="1:4" ht="10" customHeight="1" x14ac:dyDescent="0.2">
      <c r="A130" s="19" t="s">
        <v>3236</v>
      </c>
      <c r="B130" s="17" t="s">
        <v>357</v>
      </c>
      <c r="C130" s="38">
        <f>SUMIFS(JB_R,JB_S,"[ALT_VIEW]",JB_B,1,JB_EX,"P-8a",JB_CC,"Electronics",JB_H,"FFG",JB_CE,"Tactical COMINT System- Spectral",JB_R,"&lt;&gt;")+SUMIFS(JB_N,JB_S,"[ALT_VIEW]",JB_B,1,JB_EX,"P-8a",JB_CC,"Electronics",JB_H,"FFG",JB_CE,"Tactical COMINT System- Spectral",JB_R,"",JB_N,"&lt;&gt;")+SUMIFS(JB_L,JB_S,"[ALT_VIEW]",JB_B,1,JB_EX,"P-8a",JB_CC,"Electronics",JB_H,"FFG",JB_CE,"Tactical COMINT System- Spectral",JB_R,"",JB_N,"")</f>
        <v>39622</v>
      </c>
      <c r="D130" s="26">
        <f t="shared" si="5"/>
        <v>7.7624595684823217E-2</v>
      </c>
    </row>
    <row r="131" spans="1:4" ht="10" customHeight="1" x14ac:dyDescent="0.2">
      <c r="A131" s="19" t="s">
        <v>3245</v>
      </c>
      <c r="B131" s="17" t="s">
        <v>357</v>
      </c>
      <c r="C131" s="38">
        <f>SUMIFS(JB_R,JB_S,"[ALT_VIEW]",JB_B,1,JB_EX,"P-8a",JB_CC,"Electronics",JB_H,"FFG",JB_CE,"External Communication Suite (EXCOMM)",JB_R,"&lt;&gt;")+SUMIFS(JB_N,JB_S,"[ALT_VIEW]",JB_B,1,JB_EX,"P-8a",JB_CC,"Electronics",JB_H,"FFG",JB_CE,"External Communication Suite (EXCOMM)",JB_R,"",JB_N,"&lt;&gt;")+SUMIFS(JB_L,JB_S,"[ALT_VIEW]",JB_B,1,JB_EX,"P-8a",JB_CC,"Electronics",JB_H,"FFG",JB_CE,"External Communication Suite (EXCOMM)",JB_R,"",JB_N,"")</f>
        <v>17197</v>
      </c>
      <c r="D131" s="26">
        <f t="shared" si="5"/>
        <v>3.3691135530561425E-2</v>
      </c>
    </row>
    <row r="132" spans="1:4" ht="10" customHeight="1" x14ac:dyDescent="0.2">
      <c r="A132" s="19" t="s">
        <v>3239</v>
      </c>
      <c r="B132" s="17" t="s">
        <v>357</v>
      </c>
      <c r="C132" s="38">
        <f>SUMIFS(JB_R,JB_S,"[ALT_VIEW]",JB_B,1,JB_EX,"P-8a",JB_CC,"Electronics",JB_H,"FFG",JB_CE,"Cooperative Engagement Capability (CEC)",JB_R,"&lt;&gt;")+SUMIFS(JB_N,JB_S,"[ALT_VIEW]",JB_B,1,JB_EX,"P-8a",JB_CC,"Electronics",JB_H,"FFG",JB_CE,"Cooperative Engagement Capability (CEC)",JB_R,"",JB_N,"&lt;&gt;")+SUMIFS(JB_L,JB_S,"[ALT_VIEW]",JB_B,1,JB_EX,"P-8a",JB_CC,"Electronics",JB_H,"FFG",JB_CE,"Cooperative Engagement Capability (CEC)",JB_R,"",JB_N,"")</f>
        <v>14764</v>
      </c>
      <c r="D132" s="26">
        <f t="shared" si="5"/>
        <v>2.892457550579804E-2</v>
      </c>
    </row>
    <row r="133" spans="1:4" ht="10" customHeight="1" x14ac:dyDescent="0.2">
      <c r="A133" s="19" t="s">
        <v>3242</v>
      </c>
      <c r="B133" s="17" t="s">
        <v>357</v>
      </c>
      <c r="C133" s="38">
        <f>SUMIFS(JB_R,JB_S,"[ALT_VIEW]",JB_B,1,JB_EX,"P-8a",JB_CC,"Electronics",JB_H,"FFG",JB_CE,"Identification Friend or Foe (IFF) UPX-29",JB_R,"&lt;&gt;")+SUMIFS(JB_N,JB_S,"[ALT_VIEW]",JB_B,1,JB_EX,"P-8a",JB_CC,"Electronics",JB_H,"FFG",JB_CE,"Identification Friend or Foe (IFF) UPX-29",JB_R,"",JB_N,"&lt;&gt;")+SUMIFS(JB_L,JB_S,"[ALT_VIEW]",JB_B,1,JB_EX,"P-8a",JB_CC,"Electronics",JB_H,"FFG",JB_CE,"Identification Friend or Foe (IFF) UPX-29",JB_R,"",JB_N,"")</f>
        <v>11447</v>
      </c>
      <c r="D133" s="26">
        <f t="shared" si="5"/>
        <v>2.2426145747417379E-2</v>
      </c>
    </row>
    <row r="134" spans="1:4" ht="10" customHeight="1" x14ac:dyDescent="0.2">
      <c r="A134" s="19" t="s">
        <v>3272</v>
      </c>
      <c r="B134" s="17" t="s">
        <v>366</v>
      </c>
      <c r="C134" s="38">
        <f>SUMIFS(JB_R,JB_S,"[ALT_VIEW]",JB_B,1,JB_EX,"P-8a",JB_CC,"Ordnance",JB_H,"FFG",JB_CE,"MK 41 Vertical Launch System (VLS)- 32 Cell",JB_R,"&lt;&gt;")+SUMIFS(JB_N,JB_S,"[ALT_VIEW]",JB_B,1,JB_EX,"P-8a",JB_CC,"Ordnance",JB_H,"FFG",JB_CE,"MK 41 Vertical Launch System (VLS)- 32 Cell",JB_R,"",JB_N,"&lt;&gt;")+SUMIFS(JB_L,JB_S,"[ALT_VIEW]",JB_B,1,JB_EX,"P-8a",JB_CC,"Ordnance",JB_H,"FFG",JB_CE,"MK 41 Vertical Launch System (VLS)- 32 Cell",JB_R,"",JB_N,"")</f>
        <v>53315</v>
      </c>
      <c r="D134" s="26">
        <f t="shared" si="5"/>
        <v>0.10445094439796956</v>
      </c>
    </row>
    <row r="135" spans="1:4" ht="10" customHeight="1" x14ac:dyDescent="0.2">
      <c r="A135" s="19" t="s">
        <v>3275</v>
      </c>
      <c r="B135" s="17" t="s">
        <v>366</v>
      </c>
      <c r="C135" s="38">
        <f>SUMIFS(JB_R,JB_S,"[ALT_VIEW]",JB_B,1,JB_EX,"P-8a",JB_CC,"Ordnance",JB_H,"FFG",JB_CE,"MK 48 Gun Weapon System (GWS)",JB_R,"&lt;&gt;")+SUMIFS(JB_N,JB_S,"[ALT_VIEW]",JB_B,1,JB_EX,"P-8a",JB_CC,"Ordnance",JB_H,"FFG",JB_CE,"MK 48 Gun Weapon System (GWS)",JB_R,"",JB_N,"&lt;&gt;")+SUMIFS(JB_L,JB_S,"[ALT_VIEW]",JB_B,1,JB_EX,"P-8a",JB_CC,"Ordnance",JB_H,"FFG",JB_CE,"MK 48 Gun Weapon System (GWS)",JB_R,"",JB_N,"")</f>
        <v>30918</v>
      </c>
      <c r="D135" s="26">
        <f t="shared" si="5"/>
        <v>6.0572339846130037E-2</v>
      </c>
    </row>
    <row r="136" spans="1:4" ht="10" customHeight="1" x14ac:dyDescent="0.2">
      <c r="A136" s="19" t="s">
        <v>3283</v>
      </c>
      <c r="B136" s="17" t="s">
        <v>366</v>
      </c>
      <c r="C136" s="38">
        <f>SUMIFS(JB_R,JB_S,"[ALT_VIEW]",JB_B,1,JB_EX,"P-8a",JB_CC,"Ordnance",JB_H,"FFG",JB_CE,"Other Ordnance",JB_R,"&lt;&gt;")+SUMIFS(JB_N,JB_S,"[ALT_VIEW]",JB_B,1,JB_EX,"P-8a",JB_CC,"Ordnance",JB_H,"FFG",JB_CE,"Other Ordnance",JB_R,"",JB_N,"&lt;&gt;")+SUMIFS(JB_L,JB_S,"[ALT_VIEW]",JB_B,1,JB_EX,"P-8a",JB_CC,"Ordnance",JB_H,"FFG",JB_CE,"Other Ordnance",JB_R,"",JB_N,"")</f>
        <v>6751</v>
      </c>
      <c r="D136" s="26">
        <f t="shared" si="5"/>
        <v>1.3226077569740083E-2</v>
      </c>
    </row>
    <row r="137" spans="1:4" ht="10" customHeight="1" x14ac:dyDescent="0.2">
      <c r="A137" s="19" t="s">
        <v>3280</v>
      </c>
      <c r="B137" s="17" t="s">
        <v>366</v>
      </c>
      <c r="C137" s="38">
        <f>SUMIFS(JB_R,JB_S,"[ALT_VIEW]",JB_B,1,JB_EX,"P-8a",JB_CC,"Ordnance",JB_H,"FFG",JB_CE,"MK 53 Decoy Launching System (DLS) (Nulka)- 4 Launcher",JB_R,"&lt;&gt;")+SUMIFS(JB_N,JB_S,"[ALT_VIEW]",JB_B,1,JB_EX,"P-8a",JB_CC,"Ordnance",JB_H,"FFG",JB_CE,"MK 53 Decoy Launching System (DLS) (Nulka)- 4 Launcher",JB_R,"",JB_N,"&lt;&gt;")+SUMIFS(JB_L,JB_S,"[ALT_VIEW]",JB_B,1,JB_EX,"P-8a",JB_CC,"Ordnance",JB_H,"FFG",JB_CE,"MK 53 Decoy Launching System (DLS) (Nulka)- 4 Launcher",JB_R,"",JB_N,"")</f>
        <v>3098</v>
      </c>
      <c r="D137" s="26">
        <f t="shared" si="5"/>
        <v>6.0693805822922197E-3</v>
      </c>
    </row>
    <row r="138" spans="1:4" ht="10" customHeight="1" x14ac:dyDescent="0.2">
      <c r="A138" s="19" t="s">
        <v>3249</v>
      </c>
      <c r="B138" s="17" t="s">
        <v>363</v>
      </c>
      <c r="C138" s="38">
        <f>SUMIFS(JB_R,JB_S,"[ALT_VIEW]",JB_B,1,JB_EX,"P-8a",JB_CC,"Hull, Mechanical, and Electrical",JB_H,"FFG",JB_CE,"Aircraft Ship Integrated Securing and Traversing System (ASIST)",JB_R,"&lt;&gt;")+SUMIFS(JB_N,JB_S,"[ALT_VIEW]",JB_B,1,JB_EX,"P-8a",JB_CC,"Hull, Mechanical, and Electrical",JB_H,"FFG",JB_CE,"Aircraft Ship Integrated Securing and Traversing System (ASIST)",JB_R,"",JB_N,"&lt;&gt;")+SUMIFS(JB_L,JB_S,"[ALT_VIEW]",JB_B,1,JB_EX,"P-8a",JB_CC,"Hull, Mechanical, and Electrical",JB_H,"FFG",JB_CE,"Aircraft Ship Integrated Securing and Traversing System (ASIST)",JB_R,"",JB_N,"")</f>
        <v>17349</v>
      </c>
      <c r="D138" s="26">
        <f t="shared" si="5"/>
        <v>3.3988923086568021E-2</v>
      </c>
    </row>
    <row r="139" spans="1:4" ht="10" customHeight="1" x14ac:dyDescent="0.2">
      <c r="A139" s="19" t="s">
        <v>1018</v>
      </c>
      <c r="B139" s="17" t="s">
        <v>363</v>
      </c>
      <c r="C139" s="38">
        <f>SUMIFS(JB_R,JB_S,"[ALT_VIEW]",JB_B,1,JB_EX,"P-8a",JB_CC,"Hull, Mechanical, and Electrical",JB_H,"FFG",JB_CE,"Other HM&amp;E",JB_R,"&lt;&gt;")+SUMIFS(JB_N,JB_S,"[ALT_VIEW]",JB_B,1,JB_EX,"P-8a",JB_CC,"Hull, Mechanical, and Electrical",JB_H,"FFG",JB_CE,"Other HM&amp;E",JB_R,"",JB_N,"&lt;&gt;")+SUMIFS(JB_L,JB_S,"[ALT_VIEW]",JB_B,1,JB_EX,"P-8a",JB_CC,"Hull, Mechanical, and Electrical",JB_H,"FFG",JB_CE,"Other HM&amp;E",JB_R,"",JB_N,"")</f>
        <v>11772</v>
      </c>
      <c r="D139" s="26">
        <f t="shared" si="5"/>
        <v>2.306286256124726E-2</v>
      </c>
    </row>
    <row r="140" spans="1:4" ht="10" customHeight="1" x14ac:dyDescent="0.2">
      <c r="A140" s="19" t="s">
        <v>3252</v>
      </c>
      <c r="B140" s="17" t="s">
        <v>363</v>
      </c>
      <c r="C140" s="38">
        <f>SUMIFS(JB_R,JB_S,"[ALT_VIEW]",JB_B,1,JB_EX,"P-8a",JB_CC,"Hull, Mechanical, and Electrical",JB_H,"FFG",JB_CE,"Internal Communication (IC) Voice",JB_R,"&lt;&gt;")+SUMIFS(JB_N,JB_S,"[ALT_VIEW]",JB_B,1,JB_EX,"P-8a",JB_CC,"Hull, Mechanical, and Electrical",JB_H,"FFG",JB_CE,"Internal Communication (IC) Voice",JB_R,"",JB_N,"&lt;&gt;")+SUMIFS(JB_L,JB_S,"[ALT_VIEW]",JB_B,1,JB_EX,"P-8a",JB_CC,"Hull, Mechanical, and Electrical",JB_H,"FFG",JB_CE,"Internal Communication (IC) Voice",JB_R,"",JB_N,"")</f>
        <v>7168</v>
      </c>
      <c r="D140" s="26">
        <f t="shared" si="5"/>
        <v>1.4043034220100269E-2</v>
      </c>
    </row>
    <row r="141" spans="1:4" ht="10" customHeight="1" x14ac:dyDescent="0.2">
      <c r="A141" s="19" t="s">
        <v>3261</v>
      </c>
      <c r="B141" s="17" t="s">
        <v>363</v>
      </c>
      <c r="C141" s="38">
        <f>SUMIFS(JB_R,JB_S,"[ALT_VIEW]",JB_B,1,JB_EX,"P-8a",JB_CC,"Hull, Mechanical, and Electrical",JB_H,"FFG",JB_CE,"Interior Wireless Communication System (IWCS)",JB_R,"&lt;&gt;")+SUMIFS(JB_N,JB_S,"[ALT_VIEW]",JB_B,1,JB_EX,"P-8a",JB_CC,"Hull, Mechanical, and Electrical",JB_H,"FFG",JB_CE,"Interior Wireless Communication System (IWCS)",JB_R,"",JB_N,"&lt;&gt;")+SUMIFS(JB_L,JB_S,"[ALT_VIEW]",JB_B,1,JB_EX,"P-8a",JB_CC,"Hull, Mechanical, and Electrical",JB_H,"FFG",JB_CE,"Interior Wireless Communication System (IWCS)",JB_R,"",JB_N,"")</f>
        <v>5761</v>
      </c>
      <c r="D141" s="26">
        <f t="shared" si="5"/>
        <v>1.1286540198381368E-2</v>
      </c>
    </row>
    <row r="142" spans="1:4" ht="10" customHeight="1" x14ac:dyDescent="0.2">
      <c r="A142" s="19" t="s">
        <v>3258</v>
      </c>
      <c r="B142" s="17" t="s">
        <v>363</v>
      </c>
      <c r="C142" s="38">
        <f>SUMIFS(JB_R,JB_S,"[ALT_VIEW]",JB_B,1,JB_EX,"P-8a",JB_CC,"Hull, Mechanical, and Electrical",JB_H,"FFG",JB_CE,"Unclassified Video System (UVS)",JB_R,"&lt;&gt;")+SUMIFS(JB_N,JB_S,"[ALT_VIEW]",JB_B,1,JB_EX,"P-8a",JB_CC,"Hull, Mechanical, and Electrical",JB_H,"FFG",JB_CE,"Unclassified Video System (UVS)",JB_R,"",JB_N,"&lt;&gt;")+SUMIFS(JB_L,JB_S,"[ALT_VIEW]",JB_B,1,JB_EX,"P-8a",JB_CC,"Hull, Mechanical, and Electrical",JB_H,"FFG",JB_CE,"Unclassified Video System (UVS)",JB_R,"",JB_N,"")</f>
        <v>4853</v>
      </c>
      <c r="D142" s="26">
        <f t="shared" si="5"/>
        <v>9.507651376973578E-3</v>
      </c>
    </row>
    <row r="143" spans="1:4" ht="10" customHeight="1" x14ac:dyDescent="0.2">
      <c r="A143" s="19" t="s">
        <v>3266</v>
      </c>
      <c r="B143" s="17" t="s">
        <v>363</v>
      </c>
      <c r="C143" s="38">
        <f>SUMIFS(JB_R,JB_S,"[ALT_VIEW]",JB_B,1,JB_EX,"P-8a",JB_CC,"Hull, Mechanical, and Electrical",JB_H,"FFG",JB_CE,"Ship Control System-Government (SCS GOV)",JB_R,"&lt;&gt;")+SUMIFS(JB_N,JB_S,"[ALT_VIEW]",JB_B,1,JB_EX,"P-8a",JB_CC,"Hull, Mechanical, and Electrical",JB_H,"FFG",JB_CE,"Ship Control System-Government (SCS GOV)",JB_R,"",JB_N,"&lt;&gt;")+SUMIFS(JB_L,JB_S,"[ALT_VIEW]",JB_B,1,JB_EX,"P-8a",JB_CC,"Hull, Mechanical, and Electrical",JB_H,"FFG",JB_CE,"Ship Control System-Government (SCS GOV)",JB_R,"",JB_N,"")</f>
        <v>4425</v>
      </c>
      <c r="D143" s="26">
        <f t="shared" si="5"/>
        <v>8.6691443113760727E-3</v>
      </c>
    </row>
    <row r="144" spans="1:4" ht="10" customHeight="1" x14ac:dyDescent="0.2">
      <c r="A144" s="19" t="s">
        <v>3255</v>
      </c>
      <c r="B144" s="17" t="s">
        <v>363</v>
      </c>
      <c r="C144" s="38">
        <f>SUMIFS(JB_R,JB_S,"[ALT_VIEW]",JB_B,1,JB_EX,"P-8a",JB_CC,"Hull, Mechanical, and Electrical",JB_H,"FFG",JB_CE,"Advanced Flight Deck Lighting System (AFDLS)",JB_R,"&lt;&gt;")+SUMIFS(JB_N,JB_S,"[ALT_VIEW]",JB_B,1,JB_EX,"P-8a",JB_CC,"Hull, Mechanical, and Electrical",JB_H,"FFG",JB_CE,"Advanced Flight Deck Lighting System (AFDLS)",JB_R,"",JB_N,"&lt;&gt;")+SUMIFS(JB_L,JB_S,"[ALT_VIEW]",JB_B,1,JB_EX,"P-8a",JB_CC,"Hull, Mechanical, and Electrical",JB_H,"FFG",JB_CE,"Advanced Flight Deck Lighting System (AFDLS)",JB_R,"",JB_N,"")</f>
        <v>4423</v>
      </c>
      <c r="D144" s="26">
        <f t="shared" si="5"/>
        <v>8.6652260540601954E-3</v>
      </c>
    </row>
    <row r="145" spans="1:4" ht="10" customHeight="1" x14ac:dyDescent="0.2">
      <c r="A145" s="21" t="s">
        <v>8401</v>
      </c>
      <c r="B145" s="23"/>
      <c r="C145" s="22">
        <f>SUM(C127:C144)</f>
        <v>510431</v>
      </c>
      <c r="D145" s="27">
        <v>1</v>
      </c>
    </row>
    <row r="146" spans="1:4" ht="10" customHeight="1" x14ac:dyDescent="0.2"/>
    <row r="147" spans="1:4" ht="10" customHeight="1" x14ac:dyDescent="0.2">
      <c r="A147" s="35" t="s">
        <v>8362</v>
      </c>
      <c r="B147" s="28"/>
      <c r="C147" s="28"/>
      <c r="D147" s="28"/>
    </row>
    <row r="148" spans="1:4" ht="10" customHeight="1" x14ac:dyDescent="0.2">
      <c r="A148" s="18" t="s">
        <v>8397</v>
      </c>
      <c r="B148" s="18" t="s">
        <v>14</v>
      </c>
      <c r="C148" s="18" t="s">
        <v>8315</v>
      </c>
      <c r="D148" s="18" t="s">
        <v>8398</v>
      </c>
    </row>
    <row r="149" spans="1:4" ht="10" customHeight="1" x14ac:dyDescent="0.2">
      <c r="A149" s="19" t="s">
        <v>2164</v>
      </c>
      <c r="B149" s="17" t="s">
        <v>357</v>
      </c>
      <c r="C149" s="38">
        <f>SUMIFS(JB_R,JB_S,"[ALT_VIEW]",JB_B,1,JB_EX,"P-8a",JB_CC,"Electronics",JB_H,"LPD",JB_CE,"C4ISR",JB_R,"&lt;&gt;")+SUMIFS(JB_N,JB_S,"[ALT_VIEW]",JB_B,1,JB_EX,"P-8a",JB_CC,"Electronics",JB_H,"LPD",JB_CE,"C4ISR",JB_R,"",JB_N,"&lt;&gt;")+SUMIFS(JB_L,JB_S,"[ALT_VIEW]",JB_B,1,JB_EX,"P-8a",JB_CC,"Electronics",JB_H,"LPD",JB_CE,"C4ISR",JB_R,"",JB_N,"")</f>
        <v>83497</v>
      </c>
      <c r="D149" s="26">
        <f t="shared" ref="D149:D181" si="6">IFERROR(C149/C$182,0)</f>
        <v>0.23472477180277912</v>
      </c>
    </row>
    <row r="150" spans="1:4" ht="10" customHeight="1" x14ac:dyDescent="0.2">
      <c r="A150" s="19" t="s">
        <v>3502</v>
      </c>
      <c r="B150" s="17" t="s">
        <v>357</v>
      </c>
      <c r="C150" s="38">
        <f>SUMIFS(JB_R,JB_S,"[ALT_VIEW]",JB_B,1,JB_EX,"P-8a",JB_CC,"Electronics",JB_H,"LPD",JB_CE,"Mission Systems",JB_R,"&lt;&gt;")+SUMIFS(JB_N,JB_S,"[ALT_VIEW]",JB_B,1,JB_EX,"P-8a",JB_CC,"Electronics",JB_H,"LPD",JB_CE,"Mission Systems",JB_R,"",JB_N,"&lt;&gt;")+SUMIFS(JB_L,JB_S,"[ALT_VIEW]",JB_B,1,JB_EX,"P-8a",JB_CC,"Electronics",JB_H,"LPD",JB_CE,"Mission Systems",JB_R,"",JB_N,"")</f>
        <v>48271</v>
      </c>
      <c r="D150" s="26">
        <f t="shared" si="6"/>
        <v>0.13569828209027812</v>
      </c>
    </row>
    <row r="151" spans="1:4" ht="10" customHeight="1" x14ac:dyDescent="0.2">
      <c r="A151" s="19" t="s">
        <v>3545</v>
      </c>
      <c r="B151" s="17" t="s">
        <v>357</v>
      </c>
      <c r="C151" s="38">
        <f>SUMIFS(JB_R,JB_S,"[ALT_VIEW]",JB_B,1,JB_EX,"P-8a",JB_CC,"Electronics",JB_H,"LPD",JB_CE,"Miscellaneous Electronics",JB_R,"&lt;&gt;")+SUMIFS(JB_N,JB_S,"[ALT_VIEW]",JB_B,1,JB_EX,"P-8a",JB_CC,"Electronics",JB_H,"LPD",JB_CE,"Miscellaneous Electronics",JB_R,"",JB_N,"&lt;&gt;")+SUMIFS(JB_L,JB_S,"[ALT_VIEW]",JB_B,1,JB_EX,"P-8a",JB_CC,"Electronics",JB_H,"LPD",JB_CE,"Miscellaneous Electronics",JB_R,"",JB_N,"")</f>
        <v>34698</v>
      </c>
      <c r="D151" s="26">
        <f t="shared" si="6"/>
        <v>9.7542188725497081E-2</v>
      </c>
    </row>
    <row r="152" spans="1:4" ht="10" customHeight="1" x14ac:dyDescent="0.2">
      <c r="A152" s="19" t="s">
        <v>3507</v>
      </c>
      <c r="B152" s="17" t="s">
        <v>357</v>
      </c>
      <c r="C152" s="38">
        <f>SUMIFS(JB_R,JB_S,"[ALT_VIEW]",JB_B,1,JB_EX,"P-8a",JB_CC,"Electronics",JB_H,"LPD",JB_CE,"Ship Self Defense System (SSDS)",JB_R,"&lt;&gt;")+SUMIFS(JB_N,JB_S,"[ALT_VIEW]",JB_B,1,JB_EX,"P-8a",JB_CC,"Electronics",JB_H,"LPD",JB_CE,"Ship Self Defense System (SSDS)",JB_R,"",JB_N,"&lt;&gt;")+SUMIFS(JB_L,JB_S,"[ALT_VIEW]",JB_B,1,JB_EX,"P-8a",JB_CC,"Electronics",JB_H,"LPD",JB_CE,"Ship Self Defense System (SSDS)",JB_R,"",JB_N,"")</f>
        <v>25090</v>
      </c>
      <c r="D152" s="26">
        <f t="shared" si="6"/>
        <v>7.0532408643804306E-2</v>
      </c>
    </row>
    <row r="153" spans="1:4" ht="10" customHeight="1" x14ac:dyDescent="0.2">
      <c r="A153" s="19" t="s">
        <v>3515</v>
      </c>
      <c r="B153" s="17" t="s">
        <v>357</v>
      </c>
      <c r="C153" s="38">
        <f>SUMIFS(JB_R,JB_S,"[ALT_VIEW]",JB_B,1,JB_EX,"P-8a",JB_CC,"Electronics",JB_H,"LPD",JB_CE,"AN/SLQ-32(V)6 Surface Electronic Warfare Improvement Program (SEWIP)",JB_R,"&lt;&gt;")+SUMIFS(JB_N,JB_S,"[ALT_VIEW]",JB_B,1,JB_EX,"P-8a",JB_CC,"Electronics",JB_H,"LPD",JB_CE,"AN/SLQ-32(V)6 Surface Electronic Warfare Improvement Program (SEWIP)",JB_R,"",JB_N,"&lt;&gt;")+SUMIFS(JB_L,JB_S,"[ALT_VIEW]",JB_B,1,JB_EX,"P-8a",JB_CC,"Electronics",JB_H,"LPD",JB_CE,"AN/SLQ-32(V)6 Surface Electronic Warfare Improvement Program (SEWIP)",JB_R,"",JB_N,"")</f>
        <v>14358</v>
      </c>
      <c r="D153" s="26">
        <f t="shared" si="6"/>
        <v>4.0362866612504676E-2</v>
      </c>
    </row>
    <row r="154" spans="1:4" ht="10" customHeight="1" x14ac:dyDescent="0.2">
      <c r="A154" s="19" t="s">
        <v>3239</v>
      </c>
      <c r="B154" s="17" t="s">
        <v>357</v>
      </c>
      <c r="C154" s="38">
        <f>SUMIFS(JB_R,JB_S,"[ALT_VIEW]",JB_B,1,JB_EX,"P-8a",JB_CC,"Electronics",JB_H,"LPD",JB_CE,"Cooperative Engagement Capability (CEC)",JB_R,"&lt;&gt;")+SUMIFS(JB_N,JB_S,"[ALT_VIEW]",JB_B,1,JB_EX,"P-8a",JB_CC,"Electronics",JB_H,"LPD",JB_CE,"Cooperative Engagement Capability (CEC)",JB_R,"",JB_N,"&lt;&gt;")+SUMIFS(JB_L,JB_S,"[ALT_VIEW]",JB_B,1,JB_EX,"P-8a",JB_CC,"Electronics",JB_H,"LPD",JB_CE,"Cooperative Engagement Capability (CEC)",JB_R,"",JB_N,"")</f>
        <v>12200</v>
      </c>
      <c r="D154" s="26">
        <f t="shared" si="6"/>
        <v>3.4296348563348449E-2</v>
      </c>
    </row>
    <row r="155" spans="1:4" ht="10" customHeight="1" x14ac:dyDescent="0.2">
      <c r="A155" s="19" t="s">
        <v>3512</v>
      </c>
      <c r="B155" s="17" t="s">
        <v>357</v>
      </c>
      <c r="C155" s="38">
        <f>SUMIFS(JB_R,JB_S,"[ALT_VIEW]",JB_B,1,JB_EX,"P-8a",JB_CC,"Electronics",JB_H,"LPD",JB_CE,"Interrogator System IFF (Identification Friend or Foe)",JB_R,"&lt;&gt;")+SUMIFS(JB_N,JB_S,"[ALT_VIEW]",JB_B,1,JB_EX,"P-8a",JB_CC,"Electronics",JB_H,"LPD",JB_CE,"Interrogator System IFF (Identification Friend or Foe)",JB_R,"",JB_N,"&lt;&gt;")+SUMIFS(JB_L,JB_S,"[ALT_VIEW]",JB_B,1,JB_EX,"P-8a",JB_CC,"Electronics",JB_H,"LPD",JB_CE,"Interrogator System IFF (Identification Friend or Foe)",JB_R,"",JB_N,"")</f>
        <v>6649</v>
      </c>
      <c r="D155" s="26">
        <f t="shared" si="6"/>
        <v>1.8691509967024903E-2</v>
      </c>
    </row>
    <row r="156" spans="1:4" ht="10" customHeight="1" x14ac:dyDescent="0.2">
      <c r="A156" s="19" t="s">
        <v>3548</v>
      </c>
      <c r="B156" s="17" t="s">
        <v>357</v>
      </c>
      <c r="C156" s="38">
        <f>SUMIFS(JB_R,JB_S,"[ALT_VIEW]",JB_B,1,JB_EX,"P-8a",JB_CC,"Electronics",JB_H,"LPD",JB_CE,"IWS CSI",JB_R,"&lt;&gt;")+SUMIFS(JB_N,JB_S,"[ALT_VIEW]",JB_B,1,JB_EX,"P-8a",JB_CC,"Electronics",JB_H,"LPD",JB_CE,"IWS CSI",JB_R,"",JB_N,"&lt;&gt;")+SUMIFS(JB_L,JB_S,"[ALT_VIEW]",JB_B,1,JB_EX,"P-8a",JB_CC,"Electronics",JB_H,"LPD",JB_CE,"IWS CSI",JB_R,"",JB_N,"")</f>
        <v>4649</v>
      </c>
      <c r="D156" s="26">
        <f t="shared" si="6"/>
        <v>1.3069157743525158E-2</v>
      </c>
    </row>
    <row r="157" spans="1:4" ht="10" customHeight="1" x14ac:dyDescent="0.2">
      <c r="A157" s="19" t="s">
        <v>3524</v>
      </c>
      <c r="B157" s="17" t="s">
        <v>357</v>
      </c>
      <c r="C157" s="38">
        <f>SUMIFS(JB_R,JB_S,"[ALT_VIEW]",JB_B,1,JB_EX,"P-8a",JB_CC,"Electronics",JB_H,"LPD",JB_CE,"AN/WSN-7(RLGN)",JB_R,"&lt;&gt;")+SUMIFS(JB_N,JB_S,"[ALT_VIEW]",JB_B,1,JB_EX,"P-8a",JB_CC,"Electronics",JB_H,"LPD",JB_CE,"AN/WSN-7(RLGN)",JB_R,"",JB_N,"&lt;&gt;")+SUMIFS(JB_L,JB_S,"[ALT_VIEW]",JB_B,1,JB_EX,"P-8a",JB_CC,"Electronics",JB_H,"LPD",JB_CE,"AN/WSN-7(RLGN)",JB_R,"",JB_N,"")</f>
        <v>4365</v>
      </c>
      <c r="D157" s="26">
        <f t="shared" si="6"/>
        <v>1.2270783727788195E-2</v>
      </c>
    </row>
    <row r="158" spans="1:4" ht="10" customHeight="1" x14ac:dyDescent="0.2">
      <c r="A158" s="19" t="s">
        <v>3518</v>
      </c>
      <c r="B158" s="17" t="s">
        <v>357</v>
      </c>
      <c r="C158" s="38">
        <f>SUMIFS(JB_R,JB_S,"[ALT_VIEW]",JB_B,1,JB_EX,"P-8a",JB_CC,"Electronics",JB_H,"LPD",JB_CE,"HM&amp;E Condition System (HMECS)",JB_R,"&lt;&gt;")+SUMIFS(JB_N,JB_S,"[ALT_VIEW]",JB_B,1,JB_EX,"P-8a",JB_CC,"Electronics",JB_H,"LPD",JB_CE,"HM&amp;E Condition System (HMECS)",JB_R,"",JB_N,"&lt;&gt;")+SUMIFS(JB_L,JB_S,"[ALT_VIEW]",JB_B,1,JB_EX,"P-8a",JB_CC,"Electronics",JB_H,"LPD",JB_CE,"HM&amp;E Condition System (HMECS)",JB_R,"",JB_N,"")</f>
        <v>3900</v>
      </c>
      <c r="D158" s="26">
        <f t="shared" si="6"/>
        <v>1.0963586835824504E-2</v>
      </c>
    </row>
    <row r="159" spans="1:4" ht="10" customHeight="1" x14ac:dyDescent="0.2">
      <c r="A159" s="19" t="s">
        <v>3542</v>
      </c>
      <c r="B159" s="17" t="s">
        <v>357</v>
      </c>
      <c r="C159" s="38">
        <f>SUMIFS(JB_R,JB_S,"[ALT_VIEW]",JB_B,1,JB_EX,"P-8a",JB_CC,"Electronics",JB_H,"LPD",JB_CE,"Electronic Charting Display and Information Systems-Navy (ECDIS-N)",JB_R,"&lt;&gt;")+SUMIFS(JB_N,JB_S,"[ALT_VIEW]",JB_B,1,JB_EX,"P-8a",JB_CC,"Electronics",JB_H,"LPD",JB_CE,"Electronic Charting Display and Information Systems-Navy (ECDIS-N)",JB_R,"",JB_N,"&lt;&gt;")+SUMIFS(JB_L,JB_S,"[ALT_VIEW]",JB_B,1,JB_EX,"P-8a",JB_CC,"Electronics",JB_H,"LPD",JB_CE,"Electronic Charting Display and Information Systems-Navy (ECDIS-N)",JB_R,"",JB_N,"")</f>
        <v>1970</v>
      </c>
      <c r="D159" s="26">
        <f t="shared" si="6"/>
        <v>5.5380169401472498E-3</v>
      </c>
    </row>
    <row r="160" spans="1:4" ht="10" customHeight="1" x14ac:dyDescent="0.2">
      <c r="A160" s="19" t="s">
        <v>3527</v>
      </c>
      <c r="B160" s="17" t="s">
        <v>357</v>
      </c>
      <c r="C160" s="38">
        <f>SUMIFS(JB_R,JB_S,"[ALT_VIEW]",JB_B,1,JB_EX,"P-8a",JB_CC,"Electronics",JB_H,"LPD",JB_CE,"Nulka Decoy Launching System (DLS)",JB_R,"&lt;&gt;")+SUMIFS(JB_N,JB_S,"[ALT_VIEW]",JB_B,1,JB_EX,"P-8a",JB_CC,"Electronics",JB_H,"LPD",JB_CE,"Nulka Decoy Launching System (DLS)",JB_R,"",JB_N,"&lt;&gt;")+SUMIFS(JB_L,JB_S,"[ALT_VIEW]",JB_B,1,JB_EX,"P-8a",JB_CC,"Electronics",JB_H,"LPD",JB_CE,"Nulka Decoy Launching System (DLS)",JB_R,"",JB_N,"")</f>
        <v>1596</v>
      </c>
      <c r="D160" s="26">
        <f t="shared" si="6"/>
        <v>4.4866370743527973E-3</v>
      </c>
    </row>
    <row r="161" spans="1:4" ht="10" customHeight="1" x14ac:dyDescent="0.2">
      <c r="A161" s="19" t="s">
        <v>3521</v>
      </c>
      <c r="B161" s="17" t="s">
        <v>357</v>
      </c>
      <c r="C161" s="38">
        <f>SUMIFS(JB_R,JB_S,"[ALT_VIEW]",JB_B,1,JB_EX,"P-8a",JB_CC,"Electronics",JB_H,"LPD",JB_CE,"Advanced Training Domain (ATD)",JB_R,"&lt;&gt;")+SUMIFS(JB_N,JB_S,"[ALT_VIEW]",JB_B,1,JB_EX,"P-8a",JB_CC,"Electronics",JB_H,"LPD",JB_CE,"Advanced Training Domain (ATD)",JB_R,"",JB_N,"&lt;&gt;")+SUMIFS(JB_L,JB_S,"[ALT_VIEW]",JB_B,1,JB_EX,"P-8a",JB_CC,"Electronics",JB_H,"LPD",JB_CE,"Advanced Training Domain (ATD)",JB_R,"",JB_N,"")</f>
        <v>1407</v>
      </c>
      <c r="D161" s="26">
        <f t="shared" si="6"/>
        <v>3.9553247892320708E-3</v>
      </c>
    </row>
    <row r="162" spans="1:4" ht="10" customHeight="1" x14ac:dyDescent="0.2">
      <c r="A162" s="19" t="s">
        <v>3530</v>
      </c>
      <c r="B162" s="17" t="s">
        <v>357</v>
      </c>
      <c r="C162" s="38">
        <f>SUMIFS(JB_R,JB_S,"[ALT_VIEW]",JB_B,1,JB_EX,"P-8a",JB_CC,"Electronics",JB_H,"LPD",JB_CE,"Amphibious Assault Direction System (AADS)",JB_R,"&lt;&gt;")+SUMIFS(JB_N,JB_S,"[ALT_VIEW]",JB_B,1,JB_EX,"P-8a",JB_CC,"Electronics",JB_H,"LPD",JB_CE,"Amphibious Assault Direction System (AADS)",JB_R,"",JB_N,"&lt;&gt;")+SUMIFS(JB_L,JB_S,"[ALT_VIEW]",JB_B,1,JB_EX,"P-8a",JB_CC,"Electronics",JB_H,"LPD",JB_CE,"Amphibious Assault Direction System (AADS)",JB_R,"",JB_N,"")</f>
        <v>1168</v>
      </c>
      <c r="D162" s="26">
        <f t="shared" si="6"/>
        <v>3.2834536985238516E-3</v>
      </c>
    </row>
    <row r="163" spans="1:4" ht="10" customHeight="1" x14ac:dyDescent="0.2">
      <c r="A163" s="19" t="s">
        <v>3539</v>
      </c>
      <c r="B163" s="17" t="s">
        <v>357</v>
      </c>
      <c r="C163" s="38">
        <f>SUMIFS(JB_R,JB_S,"[ALT_VIEW]",JB_B,1,JB_EX,"P-8a",JB_CC,"Electronics",JB_H,"LPD",JB_CE,"DHYSL",JB_R,"&lt;&gt;")+SUMIFS(JB_N,JB_S,"[ALT_VIEW]",JB_B,1,JB_EX,"P-8a",JB_CC,"Electronics",JB_H,"LPD",JB_CE,"DHYSL",JB_R,"",JB_N,"&lt;&gt;")+SUMIFS(JB_L,JB_S,"[ALT_VIEW]",JB_B,1,JB_EX,"P-8a",JB_CC,"Electronics",JB_H,"LPD",JB_CE,"DHYSL",JB_R,"",JB_N,"")</f>
        <v>420</v>
      </c>
      <c r="D163" s="26">
        <f t="shared" si="6"/>
        <v>1.1806939669349466E-3</v>
      </c>
    </row>
    <row r="164" spans="1:4" ht="10" customHeight="1" x14ac:dyDescent="0.2">
      <c r="A164" s="19" t="s">
        <v>3536</v>
      </c>
      <c r="B164" s="17" t="s">
        <v>357</v>
      </c>
      <c r="C164" s="38">
        <f>SUMIFS(JB_R,JB_S,"[ALT_VIEW]",JB_B,1,JB_EX,"P-8a",JB_CC,"Electronics",JB_H,"LPD",JB_CE,"AN/UQN-10",JB_R,"&lt;&gt;")+SUMIFS(JB_N,JB_S,"[ALT_VIEW]",JB_B,1,JB_EX,"P-8a",JB_CC,"Electronics",JB_H,"LPD",JB_CE,"AN/UQN-10",JB_R,"",JB_N,"&lt;&gt;")+SUMIFS(JB_L,JB_S,"[ALT_VIEW]",JB_B,1,JB_EX,"P-8a",JB_CC,"Electronics",JB_H,"LPD",JB_CE,"AN/UQN-10",JB_R,"",JB_N,"")</f>
        <v>229</v>
      </c>
      <c r="D164" s="26">
        <f t="shared" si="6"/>
        <v>6.4375932959072086E-4</v>
      </c>
    </row>
    <row r="165" spans="1:4" ht="10" customHeight="1" x14ac:dyDescent="0.2">
      <c r="A165" s="19" t="s">
        <v>3533</v>
      </c>
      <c r="B165" s="17" t="s">
        <v>357</v>
      </c>
      <c r="C165" s="38">
        <f>SUMIFS(JB_R,JB_S,"[ALT_VIEW]",JB_B,1,JB_EX,"P-8a",JB_CC,"Electronics",JB_H,"LPD",JB_CE,"RADIAC",JB_R,"&lt;&gt;")+SUMIFS(JB_N,JB_S,"[ALT_VIEW]",JB_B,1,JB_EX,"P-8a",JB_CC,"Electronics",JB_H,"LPD",JB_CE,"RADIAC",JB_R,"",JB_N,"&lt;&gt;")+SUMIFS(JB_L,JB_S,"[ALT_VIEW]",JB_B,1,JB_EX,"P-8a",JB_CC,"Electronics",JB_H,"LPD",JB_CE,"RADIAC",JB_R,"",JB_N,"")</f>
        <v>115</v>
      </c>
      <c r="D165" s="26">
        <f t="shared" si="6"/>
        <v>3.2328525285123537E-4</v>
      </c>
    </row>
    <row r="166" spans="1:4" ht="10" customHeight="1" x14ac:dyDescent="0.2">
      <c r="A166" s="19" t="s">
        <v>3585</v>
      </c>
      <c r="B166" s="17" t="s">
        <v>366</v>
      </c>
      <c r="C166" s="38">
        <f>SUMIFS(JB_R,JB_S,"[ALT_VIEW]",JB_B,1,JB_EX,"P-8a",JB_CC,"Ordnance",JB_H,"LPD",JB_CE,"EASR",JB_R,"&lt;&gt;")+SUMIFS(JB_N,JB_S,"[ALT_VIEW]",JB_B,1,JB_EX,"P-8a",JB_CC,"Ordnance",JB_H,"LPD",JB_CE,"EASR",JB_R,"",JB_N,"&lt;&gt;")+SUMIFS(JB_L,JB_S,"[ALT_VIEW]",JB_B,1,JB_EX,"P-8a",JB_CC,"Ordnance",JB_H,"LPD",JB_CE,"EASR",JB_R,"",JB_N,"")</f>
        <v>41004</v>
      </c>
      <c r="D166" s="26">
        <f t="shared" si="6"/>
        <v>0.11526946528619178</v>
      </c>
    </row>
    <row r="167" spans="1:4" ht="10" customHeight="1" x14ac:dyDescent="0.2">
      <c r="A167" s="19" t="s">
        <v>3576</v>
      </c>
      <c r="B167" s="17" t="s">
        <v>366</v>
      </c>
      <c r="C167" s="38">
        <f>SUMIFS(JB_R,JB_S,"[ALT_VIEW]",JB_B,1,JB_EX,"P-8a",JB_CC,"Ordnance",JB_H,"LPD",JB_CE,"RAM BLOCK II",JB_R,"&lt;&gt;")+SUMIFS(JB_N,JB_S,"[ALT_VIEW]",JB_B,1,JB_EX,"P-8a",JB_CC,"Ordnance",JB_H,"LPD",JB_CE,"RAM BLOCK II",JB_R,"",JB_N,"&lt;&gt;")+SUMIFS(JB_L,JB_S,"[ALT_VIEW]",JB_B,1,JB_EX,"P-8a",JB_CC,"Ordnance",JB_H,"LPD",JB_CE,"RAM BLOCK II",JB_R,"",JB_N,"")</f>
        <v>19956</v>
      </c>
      <c r="D167" s="26">
        <f t="shared" si="6"/>
        <v>5.6099830486080464E-2</v>
      </c>
    </row>
    <row r="168" spans="1:4" ht="10" customHeight="1" x14ac:dyDescent="0.2">
      <c r="A168" s="19" t="s">
        <v>3597</v>
      </c>
      <c r="B168" s="17" t="s">
        <v>366</v>
      </c>
      <c r="C168" s="38">
        <f>SUMIFS(JB_R,JB_S,"[ALT_VIEW]",JB_B,1,JB_EX,"P-8a",JB_CC,"Ordnance",JB_H,"LPD",JB_CE,"MISCELLANEOUS ORDNANCE",JB_R,"&lt;&gt;")+SUMIFS(JB_N,JB_S,"[ALT_VIEW]",JB_B,1,JB_EX,"P-8a",JB_CC,"Ordnance",JB_H,"LPD",JB_CE,"MISCELLANEOUS ORDNANCE",JB_R,"",JB_N,"&lt;&gt;")+SUMIFS(JB_L,JB_S,"[ALT_VIEW]",JB_B,1,JB_EX,"P-8a",JB_CC,"Ordnance",JB_H,"LPD",JB_CE,"MISCELLANEOUS ORDNANCE",JB_R,"",JB_N,"")</f>
        <v>15509</v>
      </c>
      <c r="D168" s="26">
        <f t="shared" si="6"/>
        <v>4.3598530317128778E-2</v>
      </c>
    </row>
    <row r="169" spans="1:4" ht="10" customHeight="1" x14ac:dyDescent="0.2">
      <c r="A169" s="19" t="s">
        <v>3579</v>
      </c>
      <c r="B169" s="17" t="s">
        <v>366</v>
      </c>
      <c r="C169" s="38">
        <f>SUMIFS(JB_R,JB_S,"[ALT_VIEW]",JB_B,1,JB_EX,"P-8a",JB_CC,"Ordnance",JB_H,"LPD",JB_CE,"MK 46 GUN",JB_R,"&lt;&gt;")+SUMIFS(JB_N,JB_S,"[ALT_VIEW]",JB_B,1,JB_EX,"P-8a",JB_CC,"Ordnance",JB_H,"LPD",JB_CE,"MK 46 GUN",JB_R,"",JB_N,"&lt;&gt;")+SUMIFS(JB_L,JB_S,"[ALT_VIEW]",JB_B,1,JB_EX,"P-8a",JB_CC,"Ordnance",JB_H,"LPD",JB_CE,"MK 46 GUN",JB_R,"",JB_N,"")</f>
        <v>9778</v>
      </c>
      <c r="D169" s="26">
        <f t="shared" si="6"/>
        <v>2.7487680020690256E-2</v>
      </c>
    </row>
    <row r="170" spans="1:4" ht="10" customHeight="1" x14ac:dyDescent="0.2">
      <c r="A170" s="19" t="s">
        <v>3582</v>
      </c>
      <c r="B170" s="17" t="s">
        <v>366</v>
      </c>
      <c r="C170" s="38">
        <f>SUMIFS(JB_R,JB_S,"[ALT_VIEW]",JB_B,1,JB_EX,"P-8a",JB_CC,"Ordnance",JB_H,"LPD",JB_CE,"AN/SPQ-9B Radar Set",JB_R,"&lt;&gt;")+SUMIFS(JB_N,JB_S,"[ALT_VIEW]",JB_B,1,JB_EX,"P-8a",JB_CC,"Ordnance",JB_H,"LPD",JB_CE,"AN/SPQ-9B Radar Set",JB_R,"",JB_N,"&lt;&gt;")+SUMIFS(JB_L,JB_S,"[ALT_VIEW]",JB_B,1,JB_EX,"P-8a",JB_CC,"Ordnance",JB_H,"LPD",JB_CE,"AN/SPQ-9B Radar Set",JB_R,"",JB_N,"")</f>
        <v>7693</v>
      </c>
      <c r="D170" s="26">
        <f t="shared" si="6"/>
        <v>2.1626377827691771E-2</v>
      </c>
    </row>
    <row r="171" spans="1:4" ht="10" customHeight="1" x14ac:dyDescent="0.2">
      <c r="A171" s="19" t="s">
        <v>3588</v>
      </c>
      <c r="B171" s="17" t="s">
        <v>366</v>
      </c>
      <c r="C171" s="38">
        <f>SUMIFS(JB_R,JB_S,"[ALT_VIEW]",JB_B,1,JB_EX,"P-8a",JB_CC,"Ordnance",JB_H,"LPD",JB_CE,"ASGSI/HOSS/MWS Fit Control &amp; Inst Land Sys",JB_R,"&lt;&gt;")+SUMIFS(JB_N,JB_S,"[ALT_VIEW]",JB_B,1,JB_EX,"P-8a",JB_CC,"Ordnance",JB_H,"LPD",JB_CE,"ASGSI/HOSS/MWS Fit Control &amp; Inst Land Sys",JB_R,"",JB_N,"&lt;&gt;")+SUMIFS(JB_L,JB_S,"[ALT_VIEW]",JB_B,1,JB_EX,"P-8a",JB_CC,"Ordnance",JB_H,"LPD",JB_CE,"ASGSI/HOSS/MWS Fit Control &amp; Inst Land Sys",JB_R,"",JB_N,"")</f>
        <v>3808</v>
      </c>
      <c r="D171" s="26">
        <f t="shared" si="6"/>
        <v>1.0704958633543515E-2</v>
      </c>
    </row>
    <row r="172" spans="1:4" ht="10" customHeight="1" x14ac:dyDescent="0.2">
      <c r="A172" s="19" t="s">
        <v>3594</v>
      </c>
      <c r="B172" s="17" t="s">
        <v>366</v>
      </c>
      <c r="C172" s="38">
        <f>SUMIFS(JB_R,JB_S,"[ALT_VIEW]",JB_B,1,JB_EX,"P-8a",JB_CC,"Ordnance",JB_H,"LPD",JB_CE,"Next Generation Surface Search Radar (NGSSR)",JB_R,"&lt;&gt;")+SUMIFS(JB_N,JB_S,"[ALT_VIEW]",JB_B,1,JB_EX,"P-8a",JB_CC,"Ordnance",JB_H,"LPD",JB_CE,"Next Generation Surface Search Radar (NGSSR)",JB_R,"",JB_N,"&lt;&gt;")+SUMIFS(JB_L,JB_S,"[ALT_VIEW]",JB_B,1,JB_EX,"P-8a",JB_CC,"Ordnance",JB_H,"LPD",JB_CE,"Next Generation Surface Search Radar (NGSSR)",JB_R,"",JB_N,"")</f>
        <v>3228</v>
      </c>
      <c r="D172" s="26">
        <f t="shared" si="6"/>
        <v>9.0744764887285886E-3</v>
      </c>
    </row>
    <row r="173" spans="1:4" ht="10" customHeight="1" x14ac:dyDescent="0.2">
      <c r="A173" s="19" t="s">
        <v>3591</v>
      </c>
      <c r="B173" s="17" t="s">
        <v>366</v>
      </c>
      <c r="C173" s="38">
        <f>SUMIFS(JB_R,JB_S,"[ALT_VIEW]",JB_B,1,JB_EX,"P-8a",JB_CC,"Ordnance",JB_H,"LPD",JB_CE,"ORDNANCE HANDLING EQUIPMENT",JB_R,"&lt;&gt;")+SUMIFS(JB_N,JB_S,"[ALT_VIEW]",JB_B,1,JB_EX,"P-8a",JB_CC,"Ordnance",JB_H,"LPD",JB_CE,"ORDNANCE HANDLING EQUIPMENT",JB_R,"",JB_N,"&lt;&gt;")+SUMIFS(JB_L,JB_S,"[ALT_VIEW]",JB_B,1,JB_EX,"P-8a",JB_CC,"Ordnance",JB_H,"LPD",JB_CE,"ORDNANCE HANDLING EQUIPMENT",JB_R,"",JB_N,"")</f>
        <v>496</v>
      </c>
      <c r="D173" s="26">
        <f t="shared" si="6"/>
        <v>1.3943433514279368E-3</v>
      </c>
    </row>
    <row r="174" spans="1:4" ht="10" customHeight="1" x14ac:dyDescent="0.2">
      <c r="A174" s="19" t="s">
        <v>3258</v>
      </c>
      <c r="B174" s="17" t="s">
        <v>363</v>
      </c>
      <c r="C174" s="38">
        <f>SUMIFS(JB_R,JB_S,"[ALT_VIEW]",JB_B,1,JB_EX,"P-8a",JB_CC,"Hull, Mechanical, and Electrical",JB_H,"LPD",JB_CE,"Unclassified Video System (UVS)",JB_R,"&lt;&gt;")+SUMIFS(JB_N,JB_S,"[ALT_VIEW]",JB_B,1,JB_EX,"P-8a",JB_CC,"Hull, Mechanical, and Electrical",JB_H,"LPD",JB_CE,"Unclassified Video System (UVS)",JB_R,"",JB_N,"&lt;&gt;")+SUMIFS(JB_L,JB_S,"[ALT_VIEW]",JB_B,1,JB_EX,"P-8a",JB_CC,"Hull, Mechanical, and Electrical",JB_H,"LPD",JB_CE,"Unclassified Video System (UVS)",JB_R,"",JB_N,"")</f>
        <v>2801</v>
      </c>
      <c r="D174" s="26">
        <f t="shared" si="6"/>
        <v>7.8741042890113945E-3</v>
      </c>
    </row>
    <row r="175" spans="1:4" ht="10" customHeight="1" x14ac:dyDescent="0.2">
      <c r="A175" s="19" t="s">
        <v>3555</v>
      </c>
      <c r="B175" s="17" t="s">
        <v>363</v>
      </c>
      <c r="C175" s="38">
        <f>SUMIFS(JB_R,JB_S,"[ALT_VIEW]",JB_B,1,JB_EX,"P-8a",JB_CC,"Hull, Mechanical, and Electrical",JB_H,"LPD",JB_CE,"Forklift Trucks",JB_R,"&lt;&gt;")+SUMIFS(JB_N,JB_S,"[ALT_VIEW]",JB_B,1,JB_EX,"P-8a",JB_CC,"Hull, Mechanical, and Electrical",JB_H,"LPD",JB_CE,"Forklift Trucks",JB_R,"",JB_N,"&lt;&gt;")+SUMIFS(JB_L,JB_S,"[ALT_VIEW]",JB_B,1,JB_EX,"P-8a",JB_CC,"Hull, Mechanical, and Electrical",JB_H,"LPD",JB_CE,"Forklift Trucks",JB_R,"",JB_N,"")</f>
        <v>2424</v>
      </c>
      <c r="D175" s="26">
        <f t="shared" si="6"/>
        <v>6.8142908948816919E-3</v>
      </c>
    </row>
    <row r="176" spans="1:4" ht="10" customHeight="1" x14ac:dyDescent="0.2">
      <c r="A176" s="19" t="s">
        <v>3558</v>
      </c>
      <c r="B176" s="17" t="s">
        <v>363</v>
      </c>
      <c r="C176" s="38">
        <f>SUMIFS(JB_R,JB_S,"[ALT_VIEW]",JB_B,1,JB_EX,"P-8a",JB_CC,"Hull, Mechanical, and Electrical",JB_H,"LPD",JB_CE,"Chemical Warfare Detectors",JB_R,"&lt;&gt;")+SUMIFS(JB_N,JB_S,"[ALT_VIEW]",JB_B,1,JB_EX,"P-8a",JB_CC,"Hull, Mechanical, and Electrical",JB_H,"LPD",JB_CE,"Chemical Warfare Detectors",JB_R,"",JB_N,"&lt;&gt;")+SUMIFS(JB_L,JB_S,"[ALT_VIEW]",JB_B,1,JB_EX,"P-8a",JB_CC,"Hull, Mechanical, and Electrical",JB_H,"LPD",JB_CE,"Chemical Warfare Detectors",JB_R,"",JB_N,"")</f>
        <v>1016</v>
      </c>
      <c r="D176" s="26">
        <f t="shared" si="6"/>
        <v>2.8561549295378708E-3</v>
      </c>
    </row>
    <row r="177" spans="1:4" ht="10" customHeight="1" x14ac:dyDescent="0.2">
      <c r="A177" s="19" t="s">
        <v>3564</v>
      </c>
      <c r="B177" s="17" t="s">
        <v>363</v>
      </c>
      <c r="C177" s="38">
        <f>SUMIFS(JB_R,JB_S,"[ALT_VIEW]",JB_B,1,JB_EX,"P-8a",JB_CC,"Hull, Mechanical, and Electrical",JB_H,"LPD",JB_CE,"Motor Operated Pilot Valve (MOPV)",JB_R,"&lt;&gt;")+SUMIFS(JB_N,JB_S,"[ALT_VIEW]",JB_B,1,JB_EX,"P-8a",JB_CC,"Hull, Mechanical, and Electrical",JB_H,"LPD",JB_CE,"Motor Operated Pilot Valve (MOPV)",JB_R,"",JB_N,"&lt;&gt;")+SUMIFS(JB_L,JB_S,"[ALT_VIEW]",JB_B,1,JB_EX,"P-8a",JB_CC,"Hull, Mechanical, and Electrical",JB_H,"LPD",JB_CE,"Motor Operated Pilot Valve (MOPV)",JB_R,"",JB_N,"")</f>
        <v>839</v>
      </c>
      <c r="D177" s="26">
        <f t="shared" si="6"/>
        <v>2.3585767577581434E-3</v>
      </c>
    </row>
    <row r="178" spans="1:4" ht="10" customHeight="1" x14ac:dyDescent="0.2">
      <c r="A178" s="19" t="s">
        <v>3570</v>
      </c>
      <c r="B178" s="17" t="s">
        <v>363</v>
      </c>
      <c r="C178" s="38">
        <f>SUMIFS(JB_R,JB_S,"[ALT_VIEW]",JB_B,1,JB_EX,"P-8a",JB_CC,"Hull, Mechanical, and Electrical",JB_H,"LPD",JB_CE,"Plastic Waste Processing EQP",JB_R,"&lt;&gt;")+SUMIFS(JB_N,JB_S,"[ALT_VIEW]",JB_B,1,JB_EX,"P-8a",JB_CC,"Hull, Mechanical, and Electrical",JB_H,"LPD",JB_CE,"Plastic Waste Processing EQP",JB_R,"",JB_N,"&lt;&gt;")+SUMIFS(JB_L,JB_S,"[ALT_VIEW]",JB_B,1,JB_EX,"P-8a",JB_CC,"Hull, Mechanical, and Electrical",JB_H,"LPD",JB_CE,"Plastic Waste Processing EQP",JB_R,"",JB_N,"")</f>
        <v>836</v>
      </c>
      <c r="D178" s="26">
        <f t="shared" si="6"/>
        <v>2.3501432294228937E-3</v>
      </c>
    </row>
    <row r="179" spans="1:4" ht="10" customHeight="1" x14ac:dyDescent="0.2">
      <c r="A179" s="19" t="s">
        <v>3552</v>
      </c>
      <c r="B179" s="17" t="s">
        <v>363</v>
      </c>
      <c r="C179" s="38">
        <f>SUMIFS(JB_R,JB_S,"[ALT_VIEW]",JB_B,1,JB_EX,"P-8a",JB_CC,"Hull, Mechanical, and Electrical",JB_H,"LPD",JB_CE,"Boats (Rigid Inflatable Boat, 7 meter)",JB_R,"&lt;&gt;")+SUMIFS(JB_N,JB_S,"[ALT_VIEW]",JB_B,1,JB_EX,"P-8a",JB_CC,"Hull, Mechanical, and Electrical",JB_H,"LPD",JB_CE,"Boats (Rigid Inflatable Boat, 7 meter)",JB_R,"",JB_N,"&lt;&gt;")+SUMIFS(JB_L,JB_S,"[ALT_VIEW]",JB_B,1,JB_EX,"P-8a",JB_CC,"Hull, Mechanical, and Electrical",JB_H,"LPD",JB_CE,"Boats (Rigid Inflatable Boat, 7 meter)",JB_R,"",JB_N,"")</f>
        <v>722</v>
      </c>
      <c r="D179" s="26">
        <f t="shared" si="6"/>
        <v>2.029669152683408E-3</v>
      </c>
    </row>
    <row r="180" spans="1:4" ht="10" customHeight="1" x14ac:dyDescent="0.2">
      <c r="A180" s="19" t="s">
        <v>3561</v>
      </c>
      <c r="B180" s="17" t="s">
        <v>363</v>
      </c>
      <c r="C180" s="38">
        <f>SUMIFS(JB_R,JB_S,"[ALT_VIEW]",JB_B,1,JB_EX,"P-8a",JB_CC,"Hull, Mechanical, and Electrical",JB_H,"LPD",JB_CE,"Military Payroll System",JB_R,"&lt;&gt;")+SUMIFS(JB_N,JB_S,"[ALT_VIEW]",JB_B,1,JB_EX,"P-8a",JB_CC,"Hull, Mechanical, and Electrical",JB_H,"LPD",JB_CE,"Military Payroll System",JB_R,"",JB_N,"&lt;&gt;")+SUMIFS(JB_L,JB_S,"[ALT_VIEW]",JB_B,1,JB_EX,"P-8a",JB_CC,"Hull, Mechanical, and Electrical",JB_H,"LPD",JB_CE,"Military Payroll System",JB_R,"",JB_N,"")</f>
        <v>686</v>
      </c>
      <c r="D180" s="26">
        <f t="shared" si="6"/>
        <v>1.9284668126604127E-3</v>
      </c>
    </row>
    <row r="181" spans="1:4" ht="10" customHeight="1" x14ac:dyDescent="0.2">
      <c r="A181" s="19" t="s">
        <v>3567</v>
      </c>
      <c r="B181" s="17" t="s">
        <v>363</v>
      </c>
      <c r="C181" s="38">
        <f>SUMIFS(JB_R,JB_S,"[ALT_VIEW]",JB_B,1,JB_EX,"P-8a",JB_CC,"Hull, Mechanical, and Electrical",JB_H,"LPD",JB_CE,"Oily Water Separator",JB_R,"&lt;&gt;")+SUMIFS(JB_N,JB_S,"[ALT_VIEW]",JB_B,1,JB_EX,"P-8a",JB_CC,"Hull, Mechanical, and Electrical",JB_H,"LPD",JB_CE,"Oily Water Separator",JB_R,"",JB_N,"&lt;&gt;")+SUMIFS(JB_L,JB_S,"[ALT_VIEW]",JB_B,1,JB_EX,"P-8a",JB_CC,"Hull, Mechanical, and Electrical",JB_H,"LPD",JB_CE,"Oily Water Separator",JB_R,"",JB_N,"")</f>
        <v>345</v>
      </c>
      <c r="D181" s="26">
        <f t="shared" si="6"/>
        <v>9.6985575855370611E-4</v>
      </c>
    </row>
    <row r="182" spans="1:4" ht="10" customHeight="1" x14ac:dyDescent="0.2">
      <c r="A182" s="21" t="s">
        <v>8402</v>
      </c>
      <c r="B182" s="23"/>
      <c r="C182" s="22">
        <f>SUM(C149:C181)</f>
        <v>355723</v>
      </c>
      <c r="D182" s="27">
        <v>1</v>
      </c>
    </row>
    <row r="183" spans="1:4" ht="10" customHeight="1" x14ac:dyDescent="0.2"/>
    <row r="184" spans="1:4" ht="10" customHeight="1" x14ac:dyDescent="0.2">
      <c r="A184" s="35" t="s">
        <v>8365</v>
      </c>
      <c r="B184" s="28"/>
      <c r="C184" s="28"/>
      <c r="D184" s="28"/>
    </row>
    <row r="185" spans="1:4" ht="10" customHeight="1" x14ac:dyDescent="0.2">
      <c r="A185" s="18" t="s">
        <v>8397</v>
      </c>
      <c r="B185" s="18" t="s">
        <v>14</v>
      </c>
      <c r="C185" s="18" t="s">
        <v>8315</v>
      </c>
      <c r="D185" s="18" t="s">
        <v>8398</v>
      </c>
    </row>
    <row r="186" spans="1:4" ht="10" customHeight="1" x14ac:dyDescent="0.2">
      <c r="A186" s="19" t="s">
        <v>4206</v>
      </c>
      <c r="B186" s="17" t="s">
        <v>357</v>
      </c>
      <c r="C186" s="38">
        <f>SUMIFS(JB_R,JB_S,"[ALT_VIEW]",JB_B,1,JB_EX,"P-8a",JB_CC,"Electronics",JB_H,"T-AGOS",JB_CE,"Surveillance Towed Array Sensor System (SURTASS)",JB_R,"&lt;&gt;")+SUMIFS(JB_N,JB_S,"[ALT_VIEW]",JB_B,1,JB_EX,"P-8a",JB_CC,"Electronics",JB_H,"T-AGOS",JB_CE,"Surveillance Towed Array Sensor System (SURTASS)",JB_R,"",JB_N,"&lt;&gt;")+SUMIFS(JB_L,JB_S,"[ALT_VIEW]",JB_B,1,JB_EX,"P-8a",JB_CC,"Electronics",JB_H,"T-AGOS",JB_CE,"Surveillance Towed Array Sensor System (SURTASS)",JB_R,"",JB_N,"")</f>
        <v>89515</v>
      </c>
      <c r="D186" s="26">
        <f>IFERROR(C186/C$188,0)</f>
        <v>0.77179414224498422</v>
      </c>
    </row>
    <row r="187" spans="1:4" ht="10" customHeight="1" x14ac:dyDescent="0.2">
      <c r="A187" s="19" t="s">
        <v>4203</v>
      </c>
      <c r="B187" s="17" t="s">
        <v>357</v>
      </c>
      <c r="C187" s="38">
        <f>SUMIFS(JB_R,JB_S,"[ALT_VIEW]",JB_B,1,JB_EX,"P-8a",JB_CC,"Electronics",JB_H,"T-AGOS",JB_CE,"Command, Control, Communications, Computers and Intelligence (C4I)",JB_R,"&lt;&gt;")+SUMIFS(JB_N,JB_S,"[ALT_VIEW]",JB_B,1,JB_EX,"P-8a",JB_CC,"Electronics",JB_H,"T-AGOS",JB_CE,"Command, Control, Communications, Computers and Intelligence (C4I)",JB_R,"",JB_N,"&lt;&gt;")+SUMIFS(JB_L,JB_S,"[ALT_VIEW]",JB_B,1,JB_EX,"P-8a",JB_CC,"Electronics",JB_H,"T-AGOS",JB_CE,"Command, Control, Communications, Computers and Intelligence (C4I)",JB_R,"",JB_N,"")</f>
        <v>26468</v>
      </c>
      <c r="D187" s="26">
        <f>IFERROR(C187/C$188,0)</f>
        <v>0.22820585775501581</v>
      </c>
    </row>
    <row r="188" spans="1:4" ht="10" customHeight="1" x14ac:dyDescent="0.2">
      <c r="A188" s="21" t="s">
        <v>8403</v>
      </c>
      <c r="B188" s="23"/>
      <c r="C188" s="22">
        <f>SUM(C186:C187)</f>
        <v>115983</v>
      </c>
      <c r="D188" s="27">
        <v>1</v>
      </c>
    </row>
    <row r="189" spans="1:4" ht="10" customHeight="1" x14ac:dyDescent="0.2"/>
    <row r="190" spans="1:4" ht="10" customHeight="1" x14ac:dyDescent="0.2">
      <c r="A190" s="35" t="s">
        <v>8360</v>
      </c>
      <c r="B190" s="28"/>
      <c r="C190" s="28"/>
      <c r="D190" s="28"/>
    </row>
    <row r="191" spans="1:4" ht="10" customHeight="1" x14ac:dyDescent="0.2">
      <c r="A191" s="18" t="s">
        <v>8397</v>
      </c>
      <c r="B191" s="18" t="s">
        <v>14</v>
      </c>
      <c r="C191" s="18" t="s">
        <v>8315</v>
      </c>
      <c r="D191" s="18" t="s">
        <v>8398</v>
      </c>
    </row>
    <row r="192" spans="1:4" ht="10" customHeight="1" x14ac:dyDescent="0.2">
      <c r="A192" s="19" t="s">
        <v>4124</v>
      </c>
      <c r="B192" s="17" t="s">
        <v>357</v>
      </c>
      <c r="C192" s="38">
        <f>SUMIFS(JB_R,JB_S,"[ALT_VIEW]",JB_B,1,JB_EX,"P-8a",JB_CC,"Electronics",JB_H,"T-AO",JB_CE,"Network Management System (NMS) 2.0/Consolidated Afloat Networks and Enterprise Services (CANES) [T-AO 214]",JB_R,"&lt;&gt;")+SUMIFS(JB_N,JB_S,"[ALT_VIEW]",JB_B,1,JB_EX,"P-8a",JB_CC,"Electronics",JB_H,"T-AO",JB_CE,"Network Management System (NMS) 2.0/Consolidated Afloat Networks and Enterprise Services (CANES) [T-AO 214]",JB_R,"",JB_N,"&lt;&gt;")+SUMIFS(JB_L,JB_S,"[ALT_VIEW]",JB_B,1,JB_EX,"P-8a",JB_CC,"Electronics",JB_H,"T-AO",JB_CE,"Network Management System (NMS) 2.0/Consolidated Afloat Networks and Enterprise Services (CANES) [T-AO 214]",JB_R,"",JB_N,"")</f>
        <v>17829</v>
      </c>
      <c r="D192" s="26">
        <f t="shared" ref="D192:D205" si="7">IFERROR(C192/C$206,0)</f>
        <v>0.27029198629513962</v>
      </c>
    </row>
    <row r="193" spans="1:4" ht="10" customHeight="1" x14ac:dyDescent="0.2">
      <c r="A193" s="19" t="s">
        <v>4145</v>
      </c>
      <c r="B193" s="17" t="s">
        <v>357</v>
      </c>
      <c r="C193" s="38">
        <f>SUMIFS(JB_R,JB_S,"[ALT_VIEW]",JB_B,1,JB_EX,"P-8a",JB_CC,"Electronics",JB_H,"T-AO",JB_CE,"Minor Systems",JB_R,"&lt;&gt;")+SUMIFS(JB_N,JB_S,"[ALT_VIEW]",JB_B,1,JB_EX,"P-8a",JB_CC,"Electronics",JB_H,"T-AO",JB_CE,"Minor Systems",JB_R,"",JB_N,"&lt;&gt;")+SUMIFS(JB_L,JB_S,"[ALT_VIEW]",JB_B,1,JB_EX,"P-8a",JB_CC,"Electronics",JB_H,"T-AO",JB_CE,"Minor Systems",JB_R,"",JB_N,"")</f>
        <v>7265</v>
      </c>
      <c r="D193" s="26">
        <f t="shared" si="7"/>
        <v>0.11013917103787028</v>
      </c>
    </row>
    <row r="194" spans="1:4" ht="10" customHeight="1" x14ac:dyDescent="0.2">
      <c r="A194" s="19" t="s">
        <v>4121</v>
      </c>
      <c r="B194" s="17" t="s">
        <v>357</v>
      </c>
      <c r="C194" s="38">
        <f>SUMIFS(JB_R,JB_S,"[ALT_VIEW]",JB_B,1,JB_EX,"P-8a",JB_CC,"Electronics",JB_H,"T-AO",JB_CE,"Radio Communication System (RCS) TURNKEY",JB_R,"&lt;&gt;")+SUMIFS(JB_N,JB_S,"[ALT_VIEW]",JB_B,1,JB_EX,"P-8a",JB_CC,"Electronics",JB_H,"T-AO",JB_CE,"Radio Communication System (RCS) TURNKEY",JB_R,"",JB_N,"&lt;&gt;")+SUMIFS(JB_L,JB_S,"[ALT_VIEW]",JB_B,1,JB_EX,"P-8a",JB_CC,"Electronics",JB_H,"T-AO",JB_CE,"Radio Communication System (RCS) TURNKEY",JB_R,"",JB_N,"")</f>
        <v>6574</v>
      </c>
      <c r="D194" s="26">
        <f t="shared" si="7"/>
        <v>9.966344258815682E-2</v>
      </c>
    </row>
    <row r="195" spans="1:4" ht="10" customHeight="1" x14ac:dyDescent="0.2">
      <c r="A195" s="19" t="s">
        <v>4133</v>
      </c>
      <c r="B195" s="17" t="s">
        <v>357</v>
      </c>
      <c r="C195" s="38">
        <f>SUMIFS(JB_R,JB_S,"[ALT_VIEW]",JB_B,1,JB_EX,"P-8a",JB_CC,"Electronics",JB_H,"T-AO",JB_CE,"AN/SLQ-25 NIXIE",JB_R,"&lt;&gt;")+SUMIFS(JB_N,JB_S,"[ALT_VIEW]",JB_B,1,JB_EX,"P-8a",JB_CC,"Electronics",JB_H,"T-AO",JB_CE,"AN/SLQ-25 NIXIE",JB_R,"",JB_N,"&lt;&gt;")+SUMIFS(JB_L,JB_S,"[ALT_VIEW]",JB_B,1,JB_EX,"P-8a",JB_CC,"Electronics",JB_H,"T-AO",JB_CE,"AN/SLQ-25 NIXIE",JB_R,"",JB_N,"")</f>
        <v>6213</v>
      </c>
      <c r="D195" s="26">
        <f t="shared" si="7"/>
        <v>9.4190594584760923E-2</v>
      </c>
    </row>
    <row r="196" spans="1:4" ht="10" customHeight="1" x14ac:dyDescent="0.2">
      <c r="A196" s="19" t="s">
        <v>4127</v>
      </c>
      <c r="B196" s="17" t="s">
        <v>357</v>
      </c>
      <c r="C196" s="38">
        <f>SUMIFS(JB_R,JB_S,"[ALT_VIEW]",JB_B,1,JB_EX,"P-8a",JB_CC,"Electronics",JB_H,"T-AO",JB_CE,"Digital Modular Radio (DMR)",JB_R,"&lt;&gt;")+SUMIFS(JB_N,JB_S,"[ALT_VIEW]",JB_B,1,JB_EX,"P-8a",JB_CC,"Electronics",JB_H,"T-AO",JB_CE,"Digital Modular Radio (DMR)",JB_R,"",JB_N,"&lt;&gt;")+SUMIFS(JB_L,JB_S,"[ALT_VIEW]",JB_B,1,JB_EX,"P-8a",JB_CC,"Electronics",JB_H,"T-AO",JB_CE,"Digital Modular Radio (DMR)",JB_R,"",JB_N,"")</f>
        <v>4624</v>
      </c>
      <c r="D196" s="26">
        <f t="shared" si="7"/>
        <v>7.0100967223552954E-2</v>
      </c>
    </row>
    <row r="197" spans="1:4" ht="10" customHeight="1" x14ac:dyDescent="0.2">
      <c r="A197" s="19" t="s">
        <v>4130</v>
      </c>
      <c r="B197" s="17" t="s">
        <v>357</v>
      </c>
      <c r="C197" s="38">
        <f>SUMIFS(JB_R,JB_S,"[ALT_VIEW]",JB_B,1,JB_EX,"P-8a",JB_CC,"Electronics",JB_H,"T-AO",JB_CE,"Commercial Broadband Satellite Program (CBSP)",JB_R,"&lt;&gt;")+SUMIFS(JB_N,JB_S,"[ALT_VIEW]",JB_B,1,JB_EX,"P-8a",JB_CC,"Electronics",JB_H,"T-AO",JB_CE,"Commercial Broadband Satellite Program (CBSP)",JB_R,"",JB_N,"&lt;&gt;")+SUMIFS(JB_L,JB_S,"[ALT_VIEW]",JB_B,1,JB_EX,"P-8a",JB_CC,"Electronics",JB_H,"T-AO",JB_CE,"Commercial Broadband Satellite Program (CBSP)",JB_R,"",JB_N,"")</f>
        <v>4184</v>
      </c>
      <c r="D197" s="26">
        <f t="shared" si="7"/>
        <v>6.3430459961796179E-2</v>
      </c>
    </row>
    <row r="198" spans="1:4" ht="10" customHeight="1" x14ac:dyDescent="0.2">
      <c r="A198" s="19" t="s">
        <v>4139</v>
      </c>
      <c r="B198" s="17" t="s">
        <v>357</v>
      </c>
      <c r="C198" s="38">
        <f>SUMIFS(JB_R,JB_S,"[ALT_VIEW]",JB_B,1,JB_EX,"P-8a",JB_CC,"Electronics",JB_H,"T-AO",JB_CE,"OA-9277A",JB_R,"&lt;&gt;")+SUMIFS(JB_N,JB_S,"[ALT_VIEW]",JB_B,1,JB_EX,"P-8a",JB_CC,"Electronics",JB_H,"T-AO",JB_CE,"OA-9277A",JB_R,"",JB_N,"&lt;&gt;")+SUMIFS(JB_L,JB_S,"[ALT_VIEW]",JB_B,1,JB_EX,"P-8a",JB_CC,"Electronics",JB_H,"T-AO",JB_CE,"OA-9277A",JB_R,"",JB_N,"")</f>
        <v>1915</v>
      </c>
      <c r="D198" s="26">
        <f t="shared" si="7"/>
        <v>2.9031866832418665E-2</v>
      </c>
    </row>
    <row r="199" spans="1:4" ht="10" customHeight="1" x14ac:dyDescent="0.2">
      <c r="A199" s="19" t="s">
        <v>4142</v>
      </c>
      <c r="B199" s="17" t="s">
        <v>357</v>
      </c>
      <c r="C199" s="38">
        <f>SUMIFS(JB_R,JB_S,"[ALT_VIEW]",JB_B,1,JB_EX,"P-8a",JB_CC,"Electronics",JB_H,"T-AO",JB_CE,"Battle Force Tactical Network (BFTN)/BFTN Resilient Command and Control System Enhancement (BRSE)",JB_R,"&lt;&gt;")+SUMIFS(JB_N,JB_S,"[ALT_VIEW]",JB_B,1,JB_EX,"P-8a",JB_CC,"Electronics",JB_H,"T-AO",JB_CE,"Battle Force Tactical Network (BFTN)/BFTN Resilient Command and Control System Enhancement (BRSE)",JB_R,"",JB_N,"&lt;&gt;")+SUMIFS(JB_L,JB_S,"[ALT_VIEW]",JB_B,1,JB_EX,"P-8a",JB_CC,"Electronics",JB_H,"T-AO",JB_CE,"Battle Force Tactical Network (BFTN)/BFTN Resilient Command and Control System Enhancement (BRSE)",JB_R,"",JB_N,"")</f>
        <v>1533</v>
      </c>
      <c r="D199" s="26">
        <f t="shared" si="7"/>
        <v>2.3240653709711651E-2</v>
      </c>
    </row>
    <row r="200" spans="1:4" ht="10" customHeight="1" x14ac:dyDescent="0.2">
      <c r="A200" s="19" t="s">
        <v>4136</v>
      </c>
      <c r="B200" s="17" t="s">
        <v>357</v>
      </c>
      <c r="C200" s="38">
        <f>SUMIFS(JB_R,JB_S,"[ALT_VIEW]",JB_B,1,JB_EX,"P-8a",JB_CC,"Electronics",JB_H,"T-AO",JB_CE,"AN/USQ-155 Tactical Variant Switch (TVS)",JB_R,"&lt;&gt;")+SUMIFS(JB_N,JB_S,"[ALT_VIEW]",JB_B,1,JB_EX,"P-8a",JB_CC,"Electronics",JB_H,"T-AO",JB_CE,"AN/USQ-155 Tactical Variant Switch (TVS)",JB_R,"",JB_N,"&lt;&gt;")+SUMIFS(JB_L,JB_S,"[ALT_VIEW]",JB_B,1,JB_EX,"P-8a",JB_CC,"Electronics",JB_H,"T-AO",JB_CE,"AN/USQ-155 Tactical Variant Switch (TVS)",JB_R,"",JB_N,"")</f>
        <v>1449</v>
      </c>
      <c r="D200" s="26">
        <f t="shared" si="7"/>
        <v>2.1967193232467177E-2</v>
      </c>
    </row>
    <row r="201" spans="1:4" ht="10" customHeight="1" x14ac:dyDescent="0.2">
      <c r="A201" s="19" t="s">
        <v>4149</v>
      </c>
      <c r="B201" s="17" t="s">
        <v>363</v>
      </c>
      <c r="C201" s="38">
        <f>SUMIFS(JB_R,JB_S,"[ALT_VIEW]",JB_B,1,JB_EX,"P-8a",JB_CC,"Hull, Mechanical, and Electrical",JB_H,"T-AO",JB_CE,"Engineering Services",JB_R,"&lt;&gt;")+SUMIFS(JB_N,JB_S,"[ALT_VIEW]",JB_B,1,JB_EX,"P-8a",JB_CC,"Hull, Mechanical, and Electrical",JB_H,"T-AO",JB_CE,"Engineering Services",JB_R,"",JB_N,"&lt;&gt;")+SUMIFS(JB_L,JB_S,"[ALT_VIEW]",JB_B,1,JB_EX,"P-8a",JB_CC,"Hull, Mechanical, and Electrical",JB_H,"T-AO",JB_CE,"Engineering Services",JB_R,"",JB_N,"")</f>
        <v>10355</v>
      </c>
      <c r="D201" s="26">
        <f t="shared" si="7"/>
        <v>0.15698432430793488</v>
      </c>
    </row>
    <row r="202" spans="1:4" ht="10" customHeight="1" x14ac:dyDescent="0.2">
      <c r="A202" s="19" t="s">
        <v>4152</v>
      </c>
      <c r="B202" s="17" t="s">
        <v>363</v>
      </c>
      <c r="C202" s="38">
        <f>SUMIFS(JB_R,JB_S,"[ALT_VIEW]",JB_B,1,JB_EX,"P-8a",JB_CC,"Hull, Mechanical, and Electrical",JB_H,"T-AO",JB_CE,"Logistics Support Services",JB_R,"&lt;&gt;")+SUMIFS(JB_N,JB_S,"[ALT_VIEW]",JB_B,1,JB_EX,"P-8a",JB_CC,"Hull, Mechanical, and Electrical",JB_H,"T-AO",JB_CE,"Logistics Support Services",JB_R,"",JB_N,"&lt;&gt;")+SUMIFS(JB_L,JB_S,"[ALT_VIEW]",JB_B,1,JB_EX,"P-8a",JB_CC,"Hull, Mechanical, and Electrical",JB_H,"T-AO",JB_CE,"Logistics Support Services",JB_R,"",JB_N,"")</f>
        <v>1729</v>
      </c>
      <c r="D202" s="26">
        <f t="shared" si="7"/>
        <v>2.6212061489948757E-2</v>
      </c>
    </row>
    <row r="203" spans="1:4" ht="10" customHeight="1" x14ac:dyDescent="0.2">
      <c r="A203" s="19" t="s">
        <v>4155</v>
      </c>
      <c r="B203" s="17" t="s">
        <v>363</v>
      </c>
      <c r="C203" s="38">
        <f>SUMIFS(JB_R,JB_S,"[ALT_VIEW]",JB_B,1,JB_EX,"P-8a",JB_CC,"Hull, Mechanical, and Electrical",JB_H,"T-AO",JB_CE,"Material Handling Equipment",JB_R,"&lt;&gt;")+SUMIFS(JB_N,JB_S,"[ALT_VIEW]",JB_B,1,JB_EX,"P-8a",JB_CC,"Hull, Mechanical, and Electrical",JB_H,"T-AO",JB_CE,"Material Handling Equipment",JB_R,"",JB_N,"&lt;&gt;")+SUMIFS(JB_L,JB_S,"[ALT_VIEW]",JB_B,1,JB_EX,"P-8a",JB_CC,"Hull, Mechanical, and Electrical",JB_H,"T-AO",JB_CE,"Material Handling Equipment",JB_R,"",JB_N,"")</f>
        <v>1157</v>
      </c>
      <c r="D203" s="26">
        <f t="shared" si="7"/>
        <v>1.754040204966496E-2</v>
      </c>
    </row>
    <row r="204" spans="1:4" ht="10" customHeight="1" x14ac:dyDescent="0.2">
      <c r="A204" s="19" t="s">
        <v>4161</v>
      </c>
      <c r="B204" s="17" t="s">
        <v>363</v>
      </c>
      <c r="C204" s="38">
        <f>SUMIFS(JB_R,JB_S,"[ALT_VIEW]",JB_B,1,JB_EX,"P-8a",JB_CC,"Hull, Mechanical, and Electrical",JB_H,"T-AO",JB_CE,"Improved Point Detection System - Lifecycle Replacement (IPDS-LR)",JB_R,"&lt;&gt;")+SUMIFS(JB_N,JB_S,"[ALT_VIEW]",JB_B,1,JB_EX,"P-8a",JB_CC,"Hull, Mechanical, and Electrical",JB_H,"T-AO",JB_CE,"Improved Point Detection System - Lifecycle Replacement (IPDS-LR)",JB_R,"",JB_N,"&lt;&gt;")+SUMIFS(JB_L,JB_S,"[ALT_VIEW]",JB_B,1,JB_EX,"P-8a",JB_CC,"Hull, Mechanical, and Electrical",JB_H,"T-AO",JB_CE,"Improved Point Detection System - Lifecycle Replacement (IPDS-LR)",JB_R,"",JB_N,"")</f>
        <v>660</v>
      </c>
      <c r="D204" s="26">
        <f t="shared" si="7"/>
        <v>1.0005760892635154E-2</v>
      </c>
    </row>
    <row r="205" spans="1:4" ht="10" customHeight="1" x14ac:dyDescent="0.2">
      <c r="A205" s="19" t="s">
        <v>4158</v>
      </c>
      <c r="B205" s="17" t="s">
        <v>363</v>
      </c>
      <c r="C205" s="38">
        <f>SUMIFS(JB_R,JB_S,"[ALT_VIEW]",JB_B,1,JB_EX,"P-8a",JB_CC,"Hull, Mechanical, and Electrical",JB_H,"T-AO",JB_CE,"Shipboard Automated Maintenance Module (SAMM)",JB_R,"&lt;&gt;")+SUMIFS(JB_N,JB_S,"[ALT_VIEW]",JB_B,1,JB_EX,"P-8a",JB_CC,"Hull, Mechanical, and Electrical",JB_H,"T-AO",JB_CE,"Shipboard Automated Maintenance Module (SAMM)",JB_R,"",JB_N,"&lt;&gt;")+SUMIFS(JB_L,JB_S,"[ALT_VIEW]",JB_B,1,JB_EX,"P-8a",JB_CC,"Hull, Mechanical, and Electrical",JB_H,"T-AO",JB_CE,"Shipboard Automated Maintenance Module (SAMM)",JB_R,"",JB_N,"")</f>
        <v>475</v>
      </c>
      <c r="D205" s="26">
        <f t="shared" si="7"/>
        <v>7.201115793941967E-3</v>
      </c>
    </row>
    <row r="206" spans="1:4" ht="10" customHeight="1" x14ac:dyDescent="0.2">
      <c r="A206" s="21" t="s">
        <v>8404</v>
      </c>
      <c r="B206" s="23"/>
      <c r="C206" s="22">
        <f>SUM(C192:C205)</f>
        <v>65962</v>
      </c>
      <c r="D206" s="27">
        <v>1</v>
      </c>
    </row>
    <row r="207" spans="1:4" ht="10" customHeight="1" x14ac:dyDescent="0.2"/>
    <row r="208" spans="1:4" ht="10" customHeight="1" x14ac:dyDescent="0.2"/>
    <row r="209" spans="1:5" ht="10" customHeight="1" x14ac:dyDescent="0.2">
      <c r="A209" s="6" t="s">
        <v>8405</v>
      </c>
      <c r="B209" s="7"/>
      <c r="C209" s="7"/>
      <c r="D209" s="7"/>
      <c r="E209" s="7"/>
    </row>
    <row r="210" spans="1:5" ht="10" customHeight="1" x14ac:dyDescent="0.2">
      <c r="A210" s="17" t="s">
        <v>8406</v>
      </c>
    </row>
    <row r="211" spans="1:5" ht="10" customHeight="1" x14ac:dyDescent="0.2">
      <c r="A211" s="18" t="s">
        <v>8397</v>
      </c>
      <c r="B211" s="18" t="s">
        <v>14</v>
      </c>
      <c r="C211" s="18" t="s">
        <v>8315</v>
      </c>
      <c r="D211" s="18" t="s">
        <v>8407</v>
      </c>
      <c r="E211" s="18" t="s">
        <v>8408</v>
      </c>
    </row>
    <row r="212" spans="1:5" ht="10" customHeight="1" x14ac:dyDescent="0.2">
      <c r="A212" s="19" t="s">
        <v>2890</v>
      </c>
      <c r="B212" s="17" t="s">
        <v>366</v>
      </c>
      <c r="C212" s="38">
        <f>SUMIFS(JB_R,JB_S,"[ALT_VIEW]",JB_B,1,JB_EX,"P-8a",JB_CE,"AN/SPY-6(V)1 (AMDR)",JB_R,"&lt;&gt;")+SUMIFS(JB_N,JB_S,"[ALT_VIEW]",JB_B,1,JB_EX,"P-8a",JB_CE,"AN/SPY-6(V)1 (AMDR)",JB_R,"",JB_N,"&lt;&gt;")+SUMIFS(JB_L,JB_S,"[ALT_VIEW]",JB_B,1,JB_EX,"P-8a",JB_CE,"AN/SPY-6(V)1 (AMDR)",JB_R,"",JB_N,"")</f>
        <v>692876</v>
      </c>
      <c r="D212" s="19">
        <v>1</v>
      </c>
      <c r="E212" s="17" t="s">
        <v>116</v>
      </c>
    </row>
    <row r="213" spans="1:5" ht="10" customHeight="1" x14ac:dyDescent="0.2">
      <c r="A213" s="19" t="s">
        <v>2887</v>
      </c>
      <c r="B213" s="17" t="s">
        <v>366</v>
      </c>
      <c r="C213" s="38">
        <f>SUMIFS(JB_R,JB_S,"[ALT_VIEW]",JB_B,1,JB_EX,"P-8a",JB_CE,"AEGIS WEAPON SYSTEM (MK-7)",JB_R,"&lt;&gt;")+SUMIFS(JB_N,JB_S,"[ALT_VIEW]",JB_B,1,JB_EX,"P-8a",JB_CE,"AEGIS WEAPON SYSTEM (MK-7)",JB_R,"",JB_N,"&lt;&gt;")+SUMIFS(JB_L,JB_S,"[ALT_VIEW]",JB_B,1,JB_EX,"P-8a",JB_CE,"AEGIS WEAPON SYSTEM (MK-7)",JB_R,"",JB_N,"")</f>
        <v>465717</v>
      </c>
      <c r="D213" s="19">
        <v>1</v>
      </c>
      <c r="E213" s="17" t="s">
        <v>116</v>
      </c>
    </row>
    <row r="214" spans="1:5" ht="10" customHeight="1" x14ac:dyDescent="0.2">
      <c r="A214" s="19" t="s">
        <v>2632</v>
      </c>
      <c r="B214" s="17" t="s">
        <v>357</v>
      </c>
      <c r="C214" s="38">
        <f>SUMIFS(JB_R,JB_S,"[ALT_VIEW]",JB_B,1,JB_EX,"P-8a",JB_CE,"VERTICAL LAUNCHING SYSTEM (VLS) MK 57 4-CELL MODULES",JB_R,"&lt;&gt;")+SUMIFS(JB_N,JB_S,"[ALT_VIEW]",JB_B,1,JB_EX,"P-8a",JB_CE,"VERTICAL LAUNCHING SYSTEM (VLS) MK 57 4-CELL MODULES",JB_R,"",JB_N,"&lt;&gt;")+SUMIFS(JB_L,JB_S,"[ALT_VIEW]",JB_B,1,JB_EX,"P-8a",JB_CE,"VERTICAL LAUNCHING SYSTEM (VLS) MK 57 4-CELL MODULES",JB_R,"",JB_N,"")</f>
        <v>302815</v>
      </c>
      <c r="D214" s="19">
        <v>1</v>
      </c>
      <c r="E214" s="17" t="s">
        <v>116</v>
      </c>
    </row>
    <row r="215" spans="1:5" ht="10" customHeight="1" x14ac:dyDescent="0.2">
      <c r="A215" s="19" t="s">
        <v>2605</v>
      </c>
      <c r="B215" s="17" t="s">
        <v>357</v>
      </c>
      <c r="C215" s="38">
        <f>SUMIFS(JB_R,JB_S,"[ALT_VIEW]",JB_B,1,JB_EX,"P-8a",JB_CE,"MULTI FUNCTION RADAR (MFR)",JB_R,"&lt;&gt;")+SUMIFS(JB_N,JB_S,"[ALT_VIEW]",JB_B,1,JB_EX,"P-8a",JB_CE,"MULTI FUNCTION RADAR (MFR)",JB_R,"",JB_N,"&lt;&gt;")+SUMIFS(JB_L,JB_S,"[ALT_VIEW]",JB_B,1,JB_EX,"P-8a",JB_CE,"MULTI FUNCTION RADAR (MFR)",JB_R,"",JB_N,"")</f>
        <v>297999</v>
      </c>
      <c r="D215" s="19">
        <v>1</v>
      </c>
      <c r="E215" s="17" t="s">
        <v>116</v>
      </c>
    </row>
    <row r="216" spans="1:5" ht="10" customHeight="1" x14ac:dyDescent="0.2">
      <c r="A216" s="19" t="s">
        <v>2611</v>
      </c>
      <c r="B216" s="17" t="s">
        <v>357</v>
      </c>
      <c r="C216" s="38">
        <f>SUMIFS(JB_R,JB_S,"[ALT_VIEW]",JB_B,1,JB_EX,"P-8a",JB_CE,"TOTAL SHIP COMPUTING ENVIRONMENT (TSCE)",JB_R,"&lt;&gt;")+SUMIFS(JB_N,JB_S,"[ALT_VIEW]",JB_B,1,JB_EX,"P-8a",JB_CE,"TOTAL SHIP COMPUTING ENVIRONMENT (TSCE)",JB_R,"",JB_N,"&lt;&gt;")+SUMIFS(JB_L,JB_S,"[ALT_VIEW]",JB_B,1,JB_EX,"P-8a",JB_CE,"TOTAL SHIP COMPUTING ENVIRONMENT (TSCE)",JB_R,"",JB_N,"")</f>
        <v>259191</v>
      </c>
      <c r="D216" s="19">
        <v>1</v>
      </c>
      <c r="E216" s="17" t="s">
        <v>116</v>
      </c>
    </row>
    <row r="217" spans="1:5" ht="10" customHeight="1" x14ac:dyDescent="0.2">
      <c r="A217" s="19" t="s">
        <v>2666</v>
      </c>
      <c r="B217" s="17" t="s">
        <v>366</v>
      </c>
      <c r="C217" s="38">
        <f>SUMIFS(JB_R,JB_S,"[ALT_VIEW]",JB_B,1,JB_EX,"P-8a",JB_CE,"ADVANCED GUN SYSTEM (AGS)",JB_R,"&lt;&gt;")+SUMIFS(JB_N,JB_S,"[ALT_VIEW]",JB_B,1,JB_EX,"P-8a",JB_CE,"ADVANCED GUN SYSTEM (AGS)",JB_R,"",JB_N,"&lt;&gt;")+SUMIFS(JB_L,JB_S,"[ALT_VIEW]",JB_B,1,JB_EX,"P-8a",JB_CE,"ADVANCED GUN SYSTEM (AGS)",JB_R,"",JB_N,"")</f>
        <v>248596</v>
      </c>
      <c r="D217" s="19">
        <v>1</v>
      </c>
      <c r="E217" s="17" t="s">
        <v>116</v>
      </c>
    </row>
    <row r="218" spans="1:5" ht="10" customHeight="1" x14ac:dyDescent="0.2">
      <c r="A218" s="19" t="s">
        <v>2826</v>
      </c>
      <c r="B218" s="17" t="s">
        <v>357</v>
      </c>
      <c r="C218" s="38">
        <f>SUMIFS(JB_R,JB_S,"[ALT_VIEW]",JB_B,1,JB_EX,"P-8a",JB_CE,"AN/SLQ-32 SEWIP V(7)",JB_R,"&lt;&gt;")+SUMIFS(JB_N,JB_S,"[ALT_VIEW]",JB_B,1,JB_EX,"P-8a",JB_CE,"AN/SLQ-32 SEWIP V(7)",JB_R,"",JB_N,"&lt;&gt;")+SUMIFS(JB_L,JB_S,"[ALT_VIEW]",JB_B,1,JB_EX,"P-8a",JB_CE,"AN/SLQ-32 SEWIP V(7)",JB_R,"",JB_N,"")</f>
        <v>247277</v>
      </c>
      <c r="D218" s="19">
        <v>1</v>
      </c>
      <c r="E218" s="17" t="s">
        <v>116</v>
      </c>
    </row>
    <row r="219" spans="1:5" ht="10" customHeight="1" x14ac:dyDescent="0.2">
      <c r="A219" s="19" t="s">
        <v>2893</v>
      </c>
      <c r="B219" s="17" t="s">
        <v>366</v>
      </c>
      <c r="C219" s="38">
        <f>SUMIFS(JB_R,JB_S,"[ALT_VIEW]",JB_B,1,JB_EX,"P-8a",JB_CE,"VLS MK 41",JB_R,"&lt;&gt;")+SUMIFS(JB_N,JB_S,"[ALT_VIEW]",JB_B,1,JB_EX,"P-8a",JB_CE,"VLS MK 41",JB_R,"",JB_N,"&lt;&gt;")+SUMIFS(JB_L,JB_S,"[ALT_VIEW]",JB_B,1,JB_EX,"P-8a",JB_CE,"VLS MK 41",JB_R,"",JB_N,"")</f>
        <v>219986</v>
      </c>
      <c r="D219" s="19">
        <v>1</v>
      </c>
      <c r="E219" s="17" t="s">
        <v>116</v>
      </c>
    </row>
    <row r="220" spans="1:5" ht="10" customHeight="1" x14ac:dyDescent="0.2">
      <c r="A220" s="19" t="s">
        <v>2832</v>
      </c>
      <c r="B220" s="17" t="s">
        <v>357</v>
      </c>
      <c r="C220" s="38">
        <f>SUMIFS(JB_R,JB_S,"[ALT_VIEW]",JB_B,1,JB_EX,"P-8a",JB_CE,"EXCOMM",JB_R,"&lt;&gt;")+SUMIFS(JB_N,JB_S,"[ALT_VIEW]",JB_B,1,JB_EX,"P-8a",JB_CE,"EXCOMM",JB_R,"",JB_N,"&lt;&gt;")+SUMIFS(JB_L,JB_S,"[ALT_VIEW]",JB_B,1,JB_EX,"P-8a",JB_CE,"EXCOMM",JB_R,"",JB_N,"")</f>
        <v>194160</v>
      </c>
      <c r="D220" s="19">
        <v>1</v>
      </c>
      <c r="E220" s="17" t="s">
        <v>116</v>
      </c>
    </row>
    <row r="221" spans="1:5" ht="10" customHeight="1" x14ac:dyDescent="0.2">
      <c r="A221" s="19" t="s">
        <v>2920</v>
      </c>
      <c r="B221" s="17" t="s">
        <v>366</v>
      </c>
      <c r="C221" s="38">
        <f>SUMIFS(JB_R,JB_S,"[ALT_VIEW]",JB_B,1,JB_EX,"P-8a",JB_CE,"MISC. ORDNANCE",JB_R,"&lt;&gt;")+SUMIFS(JB_N,JB_S,"[ALT_VIEW]",JB_B,1,JB_EX,"P-8a",JB_CE,"MISC. ORDNANCE",JB_R,"",JB_N,"&lt;&gt;")+SUMIFS(JB_L,JB_S,"[ALT_VIEW]",JB_B,1,JB_EX,"P-8a",JB_CE,"MISC. ORDNANCE",JB_R,"",JB_N,"")</f>
        <v>178020</v>
      </c>
      <c r="D221" s="19">
        <v>1</v>
      </c>
      <c r="E221" s="17" t="s">
        <v>116</v>
      </c>
    </row>
    <row r="222" spans="1:5" ht="10" customHeight="1" x14ac:dyDescent="0.2">
      <c r="A222" s="19" t="s">
        <v>2823</v>
      </c>
      <c r="B222" s="17" t="s">
        <v>357</v>
      </c>
      <c r="C222" s="38">
        <f>SUMIFS(JB_R,JB_S,"[ALT_VIEW]",JB_B,1,JB_EX,"P-8a",JB_CE,"SQQ 89 ASW",JB_R,"&lt;&gt;")+SUMIFS(JB_N,JB_S,"[ALT_VIEW]",JB_B,1,JB_EX,"P-8a",JB_CE,"SQQ 89 ASW",JB_R,"",JB_N,"&lt;&gt;")+SUMIFS(JB_L,JB_S,"[ALT_VIEW]",JB_B,1,JB_EX,"P-8a",JB_CE,"SQQ 89 ASW",JB_R,"",JB_N,"")</f>
        <v>177416</v>
      </c>
      <c r="D222" s="19">
        <v>1</v>
      </c>
      <c r="E222" s="17" t="s">
        <v>116</v>
      </c>
    </row>
    <row r="223" spans="1:5" ht="10" customHeight="1" x14ac:dyDescent="0.2">
      <c r="A223" s="19" t="s">
        <v>3736</v>
      </c>
      <c r="B223" s="17" t="s">
        <v>357</v>
      </c>
      <c r="C223" s="38">
        <f>SUMIFS(JB_R,JB_S,"[ALT_VIEW]",JB_B,1,JB_EX,"P-8a",JB_CE,"Command, Control, Communication, Computer Intelligence Surveillance and Reconnaissance (C4ISR)",JB_R,"&lt;&gt;")+SUMIFS(JB_N,JB_S,"[ALT_VIEW]",JB_B,1,JB_EX,"P-8a",JB_CE,"Command, Control, Communication, Computer Intelligence Surveillance and Reconnaissance (C4ISR)",JB_R,"",JB_N,"&lt;&gt;")+SUMIFS(JB_L,JB_S,"[ALT_VIEW]",JB_B,1,JB_EX,"P-8a",JB_CE,"Command, Control, Communication, Computer Intelligence Surveillance and Reconnaissance (C4ISR)",JB_R,"",JB_N,"")</f>
        <v>169701</v>
      </c>
      <c r="D223" s="19">
        <v>1</v>
      </c>
      <c r="E223" s="17" t="s">
        <v>164</v>
      </c>
    </row>
    <row r="224" spans="1:5" ht="10" customHeight="1" x14ac:dyDescent="0.2">
      <c r="A224" s="19" t="s">
        <v>3225</v>
      </c>
      <c r="B224" s="17" t="s">
        <v>366</v>
      </c>
      <c r="C224" s="38">
        <f>SUMIFS(JB_R,JB_S,"[ALT_VIEW]",JB_B,1,JB_EX,"P-8a",JB_CE,"Enterprise Air Surveillance Radar (EASR)",JB_R,"&lt;&gt;")+SUMIFS(JB_N,JB_S,"[ALT_VIEW]",JB_B,1,JB_EX,"P-8a",JB_CE,"Enterprise Air Surveillance Radar (EASR)",JB_R,"",JB_N,"&lt;&gt;")+SUMIFS(JB_L,JB_S,"[ALT_VIEW]",JB_B,1,JB_EX,"P-8a",JB_CE,"Enterprise Air Surveillance Radar (EASR)",JB_R,"",JB_N,"")</f>
        <v>160867</v>
      </c>
      <c r="D224" s="19">
        <v>2</v>
      </c>
      <c r="E224" s="17" t="s">
        <v>8409</v>
      </c>
    </row>
    <row r="225" spans="1:5" ht="10" customHeight="1" x14ac:dyDescent="0.2">
      <c r="A225" s="19" t="s">
        <v>2641</v>
      </c>
      <c r="B225" s="17" t="s">
        <v>357</v>
      </c>
      <c r="C225" s="38">
        <f>SUMIFS(JB_R,JB_S,"[ALT_VIEW]",JB_B,1,JB_EX,"P-8a",JB_CE,"MISSION SYSTEM ENGR INTEGR &amp; TEST (MSEIT)",JB_R,"&lt;&gt;")+SUMIFS(JB_N,JB_S,"[ALT_VIEW]",JB_B,1,JB_EX,"P-8a",JB_CE,"MISSION SYSTEM ENGR INTEGR &amp; TEST (MSEIT)",JB_R,"",JB_N,"&lt;&gt;")+SUMIFS(JB_L,JB_S,"[ALT_VIEW]",JB_B,1,JB_EX,"P-8a",JB_CE,"MISSION SYSTEM ENGR INTEGR &amp; TEST (MSEIT)",JB_R,"",JB_N,"")</f>
        <v>132510</v>
      </c>
      <c r="D225" s="19">
        <v>1</v>
      </c>
      <c r="E225" s="17" t="s">
        <v>116</v>
      </c>
    </row>
    <row r="226" spans="1:5" ht="10" customHeight="1" x14ac:dyDescent="0.2">
      <c r="A226" s="19" t="s">
        <v>2644</v>
      </c>
      <c r="B226" s="17" t="s">
        <v>357</v>
      </c>
      <c r="C226" s="38">
        <f>SUMIFS(JB_R,JB_S,"[ALT_VIEW]",JB_B,1,JB_EX,"P-8a",JB_CE,"MISSION SYSTEM ACTIVATION",JB_R,"&lt;&gt;")+SUMIFS(JB_N,JB_S,"[ALT_VIEW]",JB_B,1,JB_EX,"P-8a",JB_CE,"MISSION SYSTEM ACTIVATION",JB_R,"",JB_N,"&lt;&gt;")+SUMIFS(JB_L,JB_S,"[ALT_VIEW]",JB_B,1,JB_EX,"P-8a",JB_CE,"MISSION SYSTEM ACTIVATION",JB_R,"",JB_N,"")</f>
        <v>130838</v>
      </c>
      <c r="D226" s="19">
        <v>1</v>
      </c>
      <c r="E226" s="17" t="s">
        <v>116</v>
      </c>
    </row>
    <row r="227" spans="1:5" ht="10" customHeight="1" x14ac:dyDescent="0.2">
      <c r="A227" s="19" t="s">
        <v>2623</v>
      </c>
      <c r="B227" s="17" t="s">
        <v>357</v>
      </c>
      <c r="C227" s="38">
        <f>SUMIFS(JB_R,JB_S,"[ALT_VIEW]",JB_B,1,JB_EX,"P-8a",JB_CE,"SHIP CONTROL SYSTEM (SCS)",JB_R,"&lt;&gt;")+SUMIFS(JB_N,JB_S,"[ALT_VIEW]",JB_B,1,JB_EX,"P-8a",JB_CE,"SHIP CONTROL SYSTEM (SCS)",JB_R,"",JB_N,"&lt;&gt;")+SUMIFS(JB_L,JB_S,"[ALT_VIEW]",JB_B,1,JB_EX,"P-8a",JB_CE,"SHIP CONTROL SYSTEM (SCS)",JB_R,"",JB_N,"")</f>
        <v>117229</v>
      </c>
      <c r="D227" s="19">
        <v>1</v>
      </c>
      <c r="E227" s="17" t="s">
        <v>116</v>
      </c>
    </row>
    <row r="228" spans="1:5" ht="10" customHeight="1" x14ac:dyDescent="0.2">
      <c r="A228" s="19" t="s">
        <v>2602</v>
      </c>
      <c r="B228" s="17" t="s">
        <v>357</v>
      </c>
      <c r="C228" s="38">
        <f>SUMIFS(JB_R,JB_S,"[ALT_VIEW]",JB_B,1,JB_EX,"P-8a",JB_CE,"INTEGRATED UNDERSEA WARFARE (IUSW) SYSTEM",JB_R,"&lt;&gt;")+SUMIFS(JB_N,JB_S,"[ALT_VIEW]",JB_B,1,JB_EX,"P-8a",JB_CE,"INTEGRATED UNDERSEA WARFARE (IUSW) SYSTEM",JB_R,"",JB_N,"&lt;&gt;")+SUMIFS(JB_L,JB_S,"[ALT_VIEW]",JB_B,1,JB_EX,"P-8a",JB_CE,"INTEGRATED UNDERSEA WARFARE (IUSW) SYSTEM",JB_R,"",JB_N,"")</f>
        <v>105136</v>
      </c>
      <c r="D228" s="19">
        <v>1</v>
      </c>
      <c r="E228" s="17" t="s">
        <v>116</v>
      </c>
    </row>
    <row r="229" spans="1:5" ht="10" customHeight="1" x14ac:dyDescent="0.2">
      <c r="A229" s="19" t="s">
        <v>2864</v>
      </c>
      <c r="B229" s="17" t="s">
        <v>357</v>
      </c>
      <c r="C229" s="38">
        <f>SUMIFS(JB_R,JB_S,"[ALT_VIEW]",JB_B,1,JB_EX,"P-8a",JB_CE,"MISC. ELECTRONICS",JB_R,"&lt;&gt;")+SUMIFS(JB_N,JB_S,"[ALT_VIEW]",JB_B,1,JB_EX,"P-8a",JB_CE,"MISC. ELECTRONICS",JB_R,"",JB_N,"&lt;&gt;")+SUMIFS(JB_L,JB_S,"[ALT_VIEW]",JB_B,1,JB_EX,"P-8a",JB_CE,"MISC. ELECTRONICS",JB_R,"",JB_N,"")</f>
        <v>94317</v>
      </c>
      <c r="D229" s="19">
        <v>1</v>
      </c>
      <c r="E229" s="17" t="s">
        <v>116</v>
      </c>
    </row>
    <row r="230" spans="1:5" ht="10" customHeight="1" x14ac:dyDescent="0.2">
      <c r="A230" s="19" t="s">
        <v>3228</v>
      </c>
      <c r="B230" s="17" t="s">
        <v>357</v>
      </c>
      <c r="C230" s="38">
        <f>SUMIFS(JB_R,JB_S,"[ALT_VIEW]",JB_B,1,JB_EX,"P-8a",JB_CE,"AEGIS Weapon System (AWS)",JB_R,"&lt;&gt;")+SUMIFS(JB_N,JB_S,"[ALT_VIEW]",JB_B,1,JB_EX,"P-8a",JB_CE,"AEGIS Weapon System (AWS)",JB_R,"",JB_N,"&lt;&gt;")+SUMIFS(JB_L,JB_S,"[ALT_VIEW]",JB_B,1,JB_EX,"P-8a",JB_CE,"AEGIS Weapon System (AWS)",JB_R,"",JB_N,"")</f>
        <v>92392</v>
      </c>
      <c r="D230" s="19">
        <v>1</v>
      </c>
      <c r="E230" s="17" t="s">
        <v>140</v>
      </c>
    </row>
    <row r="231" spans="1:5" ht="10" customHeight="1" x14ac:dyDescent="0.2">
      <c r="A231" s="19" t="s">
        <v>2896</v>
      </c>
      <c r="B231" s="17" t="s">
        <v>366</v>
      </c>
      <c r="C231" s="38">
        <f>SUMIFS(JB_R,JB_S,"[ALT_VIEW]",JB_B,1,JB_EX,"P-8a",JB_CE,"MK 45 Light Weight Gun (LWG)",JB_R,"&lt;&gt;")+SUMIFS(JB_N,JB_S,"[ALT_VIEW]",JB_B,1,JB_EX,"P-8a",JB_CE,"MK 45 Light Weight Gun (LWG)",JB_R,"",JB_N,"&lt;&gt;")+SUMIFS(JB_L,JB_S,"[ALT_VIEW]",JB_B,1,JB_EX,"P-8a",JB_CE,"MK 45 Light Weight Gun (LWG)",JB_R,"",JB_N,"")</f>
        <v>90752</v>
      </c>
      <c r="D231" s="19">
        <v>1</v>
      </c>
      <c r="E231" s="17" t="s">
        <v>116</v>
      </c>
    </row>
    <row r="232" spans="1:5" ht="10" customHeight="1" x14ac:dyDescent="0.2">
      <c r="A232" s="19" t="s">
        <v>4206</v>
      </c>
      <c r="B232" s="17" t="s">
        <v>357</v>
      </c>
      <c r="C232" s="38">
        <f>SUMIFS(JB_R,JB_S,"[ALT_VIEW]",JB_B,1,JB_EX,"P-8a",JB_CE,"Surveillance Towed Array Sensor System (SURTASS)",JB_R,"&lt;&gt;")+SUMIFS(JB_N,JB_S,"[ALT_VIEW]",JB_B,1,JB_EX,"P-8a",JB_CE,"Surveillance Towed Array Sensor System (SURTASS)",JB_R,"",JB_N,"&lt;&gt;")+SUMIFS(JB_L,JB_S,"[ALT_VIEW]",JB_B,1,JB_EX,"P-8a",JB_CE,"Surveillance Towed Array Sensor System (SURTASS)",JB_R,"",JB_N,"")</f>
        <v>89515</v>
      </c>
      <c r="D232" s="19">
        <v>1</v>
      </c>
      <c r="E232" s="17" t="s">
        <v>211</v>
      </c>
    </row>
    <row r="233" spans="1:5" ht="10" customHeight="1" x14ac:dyDescent="0.2">
      <c r="A233" s="19" t="s">
        <v>2164</v>
      </c>
      <c r="B233" s="17" t="s">
        <v>357</v>
      </c>
      <c r="C233" s="38">
        <f>SUMIFS(JB_R,JB_S,"[ALT_VIEW]",JB_B,1,JB_EX,"P-8a",JB_CE,"C4ISR",JB_R,"&lt;&gt;")+SUMIFS(JB_N,JB_S,"[ALT_VIEW]",JB_B,1,JB_EX,"P-8a",JB_CE,"C4ISR",JB_R,"",JB_N,"&lt;&gt;")+SUMIFS(JB_L,JB_S,"[ALT_VIEW]",JB_B,1,JB_EX,"P-8a",JB_CE,"C4ISR",JB_R,"",JB_N,"")</f>
        <v>83497</v>
      </c>
      <c r="D233" s="19">
        <v>1</v>
      </c>
      <c r="E233" s="17" t="s">
        <v>146</v>
      </c>
    </row>
    <row r="234" spans="1:5" ht="10" customHeight="1" x14ac:dyDescent="0.2">
      <c r="A234" s="19" t="s">
        <v>2599</v>
      </c>
      <c r="B234" s="17" t="s">
        <v>357</v>
      </c>
      <c r="C234" s="38">
        <f>SUMIFS(JB_R,JB_S,"[ALT_VIEW]",JB_B,1,JB_EX,"P-8a",JB_CE,"EXTERIOR COMMUNICATIONS (EXCOMMS)",JB_R,"&lt;&gt;")+SUMIFS(JB_N,JB_S,"[ALT_VIEW]",JB_B,1,JB_EX,"P-8a",JB_CE,"EXTERIOR COMMUNICATIONS (EXCOMMS)",JB_R,"",JB_N,"&lt;&gt;")+SUMIFS(JB_L,JB_S,"[ALT_VIEW]",JB_B,1,JB_EX,"P-8a",JB_CE,"EXTERIOR COMMUNICATIONS (EXCOMMS)",JB_R,"",JB_N,"")</f>
        <v>79962</v>
      </c>
      <c r="D234" s="19">
        <v>1</v>
      </c>
      <c r="E234" s="17" t="s">
        <v>116</v>
      </c>
    </row>
    <row r="235" spans="1:5" ht="10" customHeight="1" x14ac:dyDescent="0.2">
      <c r="A235" s="19" t="s">
        <v>1486</v>
      </c>
      <c r="B235" s="17" t="s">
        <v>357</v>
      </c>
      <c r="C235" s="38">
        <f>SUMIFS(JB_R,JB_S,"[ALT_VIEW]",JB_B,1,JB_EX,"P-8a",JB_CE,"SPECTRAL",JB_R,"&lt;&gt;")+SUMIFS(JB_N,JB_S,"[ALT_VIEW]",JB_B,1,JB_EX,"P-8a",JB_CE,"SPECTRAL",JB_R,"",JB_N,"&lt;&gt;")+SUMIFS(JB_L,JB_S,"[ALT_VIEW]",JB_B,1,JB_EX,"P-8a",JB_CE,"SPECTRAL",JB_R,"",JB_N,"")</f>
        <v>86351</v>
      </c>
      <c r="D235" s="19">
        <v>1</v>
      </c>
      <c r="E235" s="17" t="s">
        <v>116</v>
      </c>
    </row>
    <row r="236" spans="1:5" ht="10" customHeight="1" x14ac:dyDescent="0.2">
      <c r="A236" s="19" t="s">
        <v>3231</v>
      </c>
      <c r="B236" s="17" t="s">
        <v>357</v>
      </c>
      <c r="C236" s="38">
        <f>SUMIFS(JB_R,JB_S,"[ALT_VIEW]",JB_B,1,JB_EX,"P-8a",JB_CE,"Anti-Submarine Warfare (ASW) Combat Suite",JB_R,"&lt;&gt;")+SUMIFS(JB_N,JB_S,"[ALT_VIEW]",JB_B,1,JB_EX,"P-8a",JB_CE,"Anti-Submarine Warfare (ASW) Combat Suite",JB_R,"",JB_N,"&lt;&gt;")+SUMIFS(JB_L,JB_S,"[ALT_VIEW]",JB_B,1,JB_EX,"P-8a",JB_CE,"Anti-Submarine Warfare (ASW) Combat Suite",JB_R,"",JB_N,"")</f>
        <v>62571</v>
      </c>
      <c r="D236" s="19">
        <v>1</v>
      </c>
      <c r="E236" s="17" t="s">
        <v>140</v>
      </c>
    </row>
    <row r="237" spans="1:5" ht="10" customHeight="1" x14ac:dyDescent="0.2">
      <c r="A237" s="19" t="s">
        <v>2635</v>
      </c>
      <c r="B237" s="17" t="s">
        <v>357</v>
      </c>
      <c r="C237" s="38">
        <f>SUMIFS(JB_R,JB_S,"[ALT_VIEW]",JB_B,1,JB_EX,"P-8a",JB_CE,"DDG 1002 TSCE MODERNIZATION",JB_R,"&lt;&gt;")+SUMIFS(JB_N,JB_S,"[ALT_VIEW]",JB_B,1,JB_EX,"P-8a",JB_CE,"DDG 1002 TSCE MODERNIZATION",JB_R,"",JB_N,"&lt;&gt;")+SUMIFS(JB_L,JB_S,"[ALT_VIEW]",JB_B,1,JB_EX,"P-8a",JB_CE,"DDG 1002 TSCE MODERNIZATION",JB_R,"",JB_N,"")</f>
        <v>56730</v>
      </c>
      <c r="D237" s="19">
        <v>1</v>
      </c>
      <c r="E237" s="17" t="s">
        <v>116</v>
      </c>
    </row>
    <row r="238" spans="1:5" ht="10" customHeight="1" x14ac:dyDescent="0.2">
      <c r="A238" s="19" t="s">
        <v>3272</v>
      </c>
      <c r="B238" s="17" t="s">
        <v>366</v>
      </c>
      <c r="C238" s="38">
        <f>SUMIFS(JB_R,JB_S,"[ALT_VIEW]",JB_B,1,JB_EX,"P-8a",JB_CE,"MK 41 Vertical Launch System (VLS)- 32 Cell",JB_R,"&lt;&gt;")+SUMIFS(JB_N,JB_S,"[ALT_VIEW]",JB_B,1,JB_EX,"P-8a",JB_CE,"MK 41 Vertical Launch System (VLS)- 32 Cell",JB_R,"",JB_N,"&lt;&gt;")+SUMIFS(JB_L,JB_S,"[ALT_VIEW]",JB_B,1,JB_EX,"P-8a",JB_CE,"MK 41 Vertical Launch System (VLS)- 32 Cell",JB_R,"",JB_N,"")</f>
        <v>53315</v>
      </c>
      <c r="D238" s="19">
        <v>1</v>
      </c>
      <c r="E238" s="17" t="s">
        <v>140</v>
      </c>
    </row>
    <row r="239" spans="1:5" ht="10" customHeight="1" x14ac:dyDescent="0.2">
      <c r="A239" s="19" t="s">
        <v>2883</v>
      </c>
      <c r="B239" s="17" t="s">
        <v>363</v>
      </c>
      <c r="C239" s="38">
        <f>SUMIFS(JB_R,JB_S,"[ALT_VIEW]",JB_B,1,JB_EX,"P-8a",JB_CE,"MISC. HM&amp;E",JB_R,"&lt;&gt;")+SUMIFS(JB_N,JB_S,"[ALT_VIEW]",JB_B,1,JB_EX,"P-8a",JB_CE,"MISC. HM&amp;E",JB_R,"",JB_N,"&lt;&gt;")+SUMIFS(JB_L,JB_S,"[ALT_VIEW]",JB_B,1,JB_EX,"P-8a",JB_CE,"MISC. HM&amp;E",JB_R,"",JB_N,"")</f>
        <v>52611</v>
      </c>
      <c r="D239" s="19">
        <v>1</v>
      </c>
      <c r="E239" s="17" t="s">
        <v>116</v>
      </c>
    </row>
    <row r="240" spans="1:5" ht="10" customHeight="1" x14ac:dyDescent="0.2">
      <c r="A240" s="19" t="s">
        <v>2899</v>
      </c>
      <c r="B240" s="17" t="s">
        <v>366</v>
      </c>
      <c r="C240" s="38">
        <f>SUMIFS(JB_R,JB_S,"[ALT_VIEW]",JB_B,1,JB_EX,"P-8a",JB_CE,"MK 37 TOMAHAWK",JB_R,"&lt;&gt;")+SUMIFS(JB_N,JB_S,"[ALT_VIEW]",JB_B,1,JB_EX,"P-8a",JB_CE,"MK 37 TOMAHAWK",JB_R,"",JB_N,"&lt;&gt;")+SUMIFS(JB_L,JB_S,"[ALT_VIEW]",JB_B,1,JB_EX,"P-8a",JB_CE,"MK 37 TOMAHAWK",JB_R,"",JB_N,"")</f>
        <v>51003</v>
      </c>
      <c r="D240" s="19">
        <v>1</v>
      </c>
      <c r="E240" s="17" t="s">
        <v>116</v>
      </c>
    </row>
    <row r="241" spans="1:5" ht="10" customHeight="1" x14ac:dyDescent="0.2">
      <c r="A241" s="19" t="s">
        <v>2829</v>
      </c>
      <c r="B241" s="17" t="s">
        <v>357</v>
      </c>
      <c r="C241" s="38">
        <f>SUMIFS(JB_R,JB_S,"[ALT_VIEW]",JB_B,1,JB_EX,"P-8a",JB_CE,"USQ 82(V) GEDMS",JB_R,"&lt;&gt;")+SUMIFS(JB_N,JB_S,"[ALT_VIEW]",JB_B,1,JB_EX,"P-8a",JB_CE,"USQ 82(V) GEDMS",JB_R,"",JB_N,"&lt;&gt;")+SUMIFS(JB_L,JB_S,"[ALT_VIEW]",JB_B,1,JB_EX,"P-8a",JB_CE,"USQ 82(V) GEDMS",JB_R,"",JB_N,"")</f>
        <v>48645</v>
      </c>
      <c r="D241" s="19">
        <v>1</v>
      </c>
      <c r="E241" s="17" t="s">
        <v>116</v>
      </c>
    </row>
    <row r="242" spans="1:5" ht="10" customHeight="1" x14ac:dyDescent="0.2">
      <c r="A242" s="21" t="s">
        <v>8410</v>
      </c>
      <c r="B242" s="23"/>
      <c r="C242" s="22">
        <f>SUM(C212:C241)</f>
        <v>5041995</v>
      </c>
      <c r="D242" s="23"/>
      <c r="E242" s="23"/>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L65"/>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15" t="s">
        <v>8411</v>
      </c>
      <c r="B1" s="16"/>
      <c r="C1" s="16"/>
      <c r="D1" s="16"/>
      <c r="E1" s="16"/>
      <c r="F1" s="16"/>
      <c r="G1" s="16"/>
      <c r="H1" s="16"/>
      <c r="I1" s="16"/>
      <c r="J1" s="16"/>
      <c r="K1" s="16"/>
      <c r="L1" s="16"/>
    </row>
    <row r="2" spans="1:12" ht="10" customHeight="1" x14ac:dyDescent="0.2">
      <c r="A2" s="17" t="s">
        <v>8412</v>
      </c>
    </row>
    <row r="3" spans="1:12" ht="10" customHeight="1" x14ac:dyDescent="0.2"/>
    <row r="4" spans="1:12" ht="10" customHeight="1" x14ac:dyDescent="0.2">
      <c r="A4" s="6" t="s">
        <v>8413</v>
      </c>
      <c r="B4" s="7"/>
    </row>
    <row r="5" spans="1:12" ht="10" customHeight="1" x14ac:dyDescent="0.2">
      <c r="A5" s="19" t="s">
        <v>8414</v>
      </c>
      <c r="B5" s="20">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167326432</v>
      </c>
    </row>
    <row r="6" spans="1:12" ht="10" customHeight="1" x14ac:dyDescent="0.2">
      <c r="A6" s="19" t="s">
        <v>8415</v>
      </c>
      <c r="B6" s="20">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-142637349</v>
      </c>
    </row>
    <row r="7" spans="1:12" ht="10" customHeight="1" x14ac:dyDescent="0.2">
      <c r="A7" s="19" t="s">
        <v>8340</v>
      </c>
      <c r="B7" s="20">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-67295</v>
      </c>
    </row>
    <row r="8" spans="1:12" ht="10" customHeight="1" x14ac:dyDescent="0.2">
      <c r="A8" s="19" t="s">
        <v>8341</v>
      </c>
      <c r="B8" s="20">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0</v>
      </c>
    </row>
    <row r="9" spans="1:12" ht="10" customHeight="1" x14ac:dyDescent="0.2">
      <c r="A9" s="21" t="s">
        <v>8416</v>
      </c>
      <c r="B9" s="22">
        <f>B20</f>
        <v>24621788</v>
      </c>
    </row>
    <row r="10" spans="1:12" ht="10" customHeight="1" x14ac:dyDescent="0.2"/>
    <row r="11" spans="1:12" ht="10" customHeight="1" x14ac:dyDescent="0.2"/>
    <row r="12" spans="1:12" ht="10" customHeight="1" x14ac:dyDescent="0.2">
      <c r="A12" s="6" t="s">
        <v>8417</v>
      </c>
      <c r="B12" s="7"/>
      <c r="C12" s="7"/>
    </row>
    <row r="13" spans="1:12" ht="10" customHeight="1" x14ac:dyDescent="0.2">
      <c r="A13" s="18" t="s">
        <v>8314</v>
      </c>
      <c r="B13" s="18" t="s">
        <v>8315</v>
      </c>
      <c r="C13" s="18" t="s">
        <v>8345</v>
      </c>
    </row>
    <row r="14" spans="1:12" ht="10" customHeight="1" x14ac:dyDescent="0.2">
      <c r="A14" s="19" t="s">
        <v>4324</v>
      </c>
      <c r="B14" s="20">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11777059</v>
      </c>
      <c r="C14" s="26">
        <f t="shared" ref="C14:C19" si="0">IFERROR(B14/B$20,0)</f>
        <v>0.4783185932719427</v>
      </c>
    </row>
    <row r="15" spans="1:12" ht="10" customHeight="1" x14ac:dyDescent="0.2">
      <c r="A15" s="19" t="s">
        <v>8418</v>
      </c>
      <c r="B15" s="20">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207938</v>
      </c>
      <c r="C15" s="26">
        <f t="shared" si="0"/>
        <v>8.445284314851545E-3</v>
      </c>
    </row>
    <row r="16" spans="1:12" ht="10" customHeight="1" x14ac:dyDescent="0.2">
      <c r="A16" s="19" t="s">
        <v>8419</v>
      </c>
      <c r="B16" s="20">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10844235</v>
      </c>
      <c r="C16" s="26">
        <f t="shared" si="0"/>
        <v>0.44043247387232803</v>
      </c>
    </row>
    <row r="17" spans="1:4" ht="10" customHeight="1" x14ac:dyDescent="0.2">
      <c r="A17" s="19" t="s">
        <v>8420</v>
      </c>
      <c r="B17" s="20">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1598287</v>
      </c>
      <c r="C17" s="26">
        <f t="shared" si="0"/>
        <v>6.4913522933427906E-2</v>
      </c>
    </row>
    <row r="18" spans="1:4" ht="10" customHeight="1" x14ac:dyDescent="0.2">
      <c r="A18" s="19" t="s">
        <v>8421</v>
      </c>
      <c r="B18" s="20">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156196</v>
      </c>
      <c r="C18" s="26">
        <f t="shared" si="0"/>
        <v>6.3438122365443161E-3</v>
      </c>
    </row>
    <row r="19" spans="1:4" ht="10" customHeight="1" x14ac:dyDescent="0.2">
      <c r="A19" s="19" t="s">
        <v>5513</v>
      </c>
      <c r="B19" s="20">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38073</v>
      </c>
      <c r="C19" s="26">
        <f t="shared" si="0"/>
        <v>1.5463133709054762E-3</v>
      </c>
    </row>
    <row r="20" spans="1:4" ht="10" customHeight="1" x14ac:dyDescent="0.2">
      <c r="A20" s="21" t="s">
        <v>8416</v>
      </c>
      <c r="B20" s="22">
        <f>SUM(B14:B19)</f>
        <v>24621788</v>
      </c>
      <c r="C20" s="27">
        <v>1</v>
      </c>
    </row>
    <row r="21" spans="1:4" ht="10" customHeight="1" x14ac:dyDescent="0.2"/>
    <row r="22" spans="1:4" ht="10" customHeight="1" x14ac:dyDescent="0.2"/>
    <row r="23" spans="1:4" ht="10" customHeight="1" x14ac:dyDescent="0.2">
      <c r="A23" s="6" t="s">
        <v>8422</v>
      </c>
      <c r="B23" s="7"/>
      <c r="C23" s="7"/>
      <c r="D23" s="7"/>
    </row>
    <row r="24" spans="1:4" ht="10" customHeight="1" x14ac:dyDescent="0.2">
      <c r="A24" s="18" t="s">
        <v>19</v>
      </c>
      <c r="B24" s="18" t="s">
        <v>8344</v>
      </c>
      <c r="C24" s="18" t="s">
        <v>8315</v>
      </c>
      <c r="D24" s="18" t="s">
        <v>8345</v>
      </c>
    </row>
    <row r="25" spans="1:4" ht="10" customHeight="1" x14ac:dyDescent="0.2">
      <c r="A25" s="19" t="s">
        <v>48</v>
      </c>
      <c r="B25" s="19" t="s">
        <v>46</v>
      </c>
      <c r="C25" s="20">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D25" s="26">
        <f t="shared" ref="D25:D52" si="1">IFERROR(C25/C$53,0)</f>
        <v>0.46976653360836346</v>
      </c>
    </row>
    <row r="26" spans="1:4" ht="10" customHeight="1" x14ac:dyDescent="0.2">
      <c r="A26" s="19" t="s">
        <v>115</v>
      </c>
      <c r="B26" s="19" t="s">
        <v>46</v>
      </c>
      <c r="C26" s="20">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26" s="26">
        <f t="shared" si="1"/>
        <v>0.24904450481012996</v>
      </c>
    </row>
    <row r="27" spans="1:4" ht="10" customHeight="1" x14ac:dyDescent="0.2">
      <c r="A27" s="19" t="s">
        <v>65</v>
      </c>
      <c r="B27" s="19" t="s">
        <v>46</v>
      </c>
      <c r="C27" s="20">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D27" s="26">
        <f t="shared" si="1"/>
        <v>0.2097122678499222</v>
      </c>
    </row>
    <row r="28" spans="1:4" ht="10" customHeight="1" x14ac:dyDescent="0.2">
      <c r="A28" s="19" t="s">
        <v>145</v>
      </c>
      <c r="B28" s="19" t="s">
        <v>46</v>
      </c>
      <c r="C28" s="20">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D28" s="26">
        <f t="shared" si="1"/>
        <v>6.3772094861672915E-2</v>
      </c>
    </row>
    <row r="29" spans="1:4" ht="10" customHeight="1" x14ac:dyDescent="0.2">
      <c r="A29" s="19" t="s">
        <v>178</v>
      </c>
      <c r="B29" s="19" t="s">
        <v>46</v>
      </c>
      <c r="C29" s="20">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D29" s="26">
        <f t="shared" si="1"/>
        <v>2.5073321238896218E-3</v>
      </c>
    </row>
    <row r="30" spans="1:4" ht="10" customHeight="1" x14ac:dyDescent="0.2">
      <c r="A30" s="19" t="s">
        <v>4855</v>
      </c>
      <c r="B30" s="19" t="s">
        <v>46</v>
      </c>
      <c r="C30" s="20">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D30" s="26">
        <f t="shared" si="1"/>
        <v>1.6833870878914237E-3</v>
      </c>
    </row>
    <row r="31" spans="1:4" ht="10" customHeight="1" x14ac:dyDescent="0.2">
      <c r="A31" s="19" t="s">
        <v>210</v>
      </c>
      <c r="B31" s="19" t="s">
        <v>46</v>
      </c>
      <c r="C31" s="20">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D31" s="26">
        <f t="shared" si="1"/>
        <v>1.2659113139955555E-3</v>
      </c>
    </row>
    <row r="32" spans="1:4" ht="10" customHeight="1" x14ac:dyDescent="0.2">
      <c r="A32" s="19" t="s">
        <v>4680</v>
      </c>
      <c r="B32" s="19" t="s">
        <v>46</v>
      </c>
      <c r="C32" s="20">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D32" s="26">
        <f t="shared" si="1"/>
        <v>9.8892086959728514E-4</v>
      </c>
    </row>
    <row r="33" spans="1:4" ht="10" customHeight="1" x14ac:dyDescent="0.2">
      <c r="A33" s="19" t="s">
        <v>4962</v>
      </c>
      <c r="B33" s="19" t="s">
        <v>46</v>
      </c>
      <c r="C33" s="20">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0</v>
      </c>
      <c r="D33" s="26">
        <f t="shared" si="1"/>
        <v>0</v>
      </c>
    </row>
    <row r="34" spans="1:4" ht="10" customHeight="1" x14ac:dyDescent="0.2">
      <c r="A34" s="19" t="s">
        <v>5268</v>
      </c>
      <c r="B34" s="19" t="s">
        <v>46</v>
      </c>
      <c r="C34" s="20">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0</v>
      </c>
      <c r="D34" s="26">
        <f t="shared" si="1"/>
        <v>0</v>
      </c>
    </row>
    <row r="35" spans="1:4" ht="10" customHeight="1" x14ac:dyDescent="0.2">
      <c r="A35" s="19" t="s">
        <v>229</v>
      </c>
      <c r="B35" s="19" t="s">
        <v>186</v>
      </c>
      <c r="C35" s="20">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0</v>
      </c>
      <c r="D35" s="26">
        <f t="shared" si="1"/>
        <v>0</v>
      </c>
    </row>
    <row r="36" spans="1:4" ht="10" customHeight="1" x14ac:dyDescent="0.2">
      <c r="A36" s="19" t="s">
        <v>4639</v>
      </c>
      <c r="B36" s="19" t="s">
        <v>46</v>
      </c>
      <c r="C36" s="20">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0</v>
      </c>
      <c r="D36" s="26">
        <f t="shared" si="1"/>
        <v>0</v>
      </c>
    </row>
    <row r="37" spans="1:4" ht="10" customHeight="1" x14ac:dyDescent="0.2">
      <c r="A37" s="19" t="s">
        <v>5015</v>
      </c>
      <c r="B37" s="19" t="s">
        <v>46</v>
      </c>
      <c r="C37" s="20">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0</v>
      </c>
      <c r="D37" s="26">
        <f t="shared" si="1"/>
        <v>0</v>
      </c>
    </row>
    <row r="38" spans="1:4" ht="10" customHeight="1" x14ac:dyDescent="0.2">
      <c r="A38" s="19" t="s">
        <v>241</v>
      </c>
      <c r="B38" s="19" t="s">
        <v>46</v>
      </c>
      <c r="C38" s="20">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0</v>
      </c>
      <c r="D38" s="26">
        <f t="shared" si="1"/>
        <v>0</v>
      </c>
    </row>
    <row r="39" spans="1:4" ht="10" customHeight="1" x14ac:dyDescent="0.2">
      <c r="A39" s="19" t="s">
        <v>5273</v>
      </c>
      <c r="B39" s="19" t="s">
        <v>46</v>
      </c>
      <c r="C39" s="20">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0</v>
      </c>
      <c r="D39" s="26">
        <f t="shared" si="1"/>
        <v>0</v>
      </c>
    </row>
    <row r="40" spans="1:4" ht="10" customHeight="1" x14ac:dyDescent="0.2">
      <c r="A40" s="19" t="s">
        <v>222</v>
      </c>
      <c r="B40" s="19" t="s">
        <v>186</v>
      </c>
      <c r="C40" s="20">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0</v>
      </c>
      <c r="D40" s="26">
        <f t="shared" si="1"/>
        <v>0</v>
      </c>
    </row>
    <row r="41" spans="1:4" ht="10" customHeight="1" x14ac:dyDescent="0.2">
      <c r="A41" s="19" t="s">
        <v>4672</v>
      </c>
      <c r="B41" s="19" t="s">
        <v>46</v>
      </c>
      <c r="C41" s="20">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c r="D41" s="26">
        <f t="shared" si="1"/>
        <v>0</v>
      </c>
    </row>
    <row r="42" spans="1:4" ht="10" customHeight="1" x14ac:dyDescent="0.2">
      <c r="A42" s="19" t="s">
        <v>5412</v>
      </c>
      <c r="B42" s="19" t="s">
        <v>46</v>
      </c>
      <c r="C42" s="20">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0</v>
      </c>
      <c r="D42" s="26">
        <f t="shared" si="1"/>
        <v>0</v>
      </c>
    </row>
    <row r="43" spans="1:4" ht="10" customHeight="1" x14ac:dyDescent="0.2">
      <c r="A43" s="19" t="s">
        <v>5025</v>
      </c>
      <c r="B43" s="19" t="s">
        <v>186</v>
      </c>
      <c r="C43" s="20">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0</v>
      </c>
      <c r="D43" s="26">
        <f t="shared" si="1"/>
        <v>0</v>
      </c>
    </row>
    <row r="44" spans="1:4" ht="10" customHeight="1" x14ac:dyDescent="0.2">
      <c r="A44" s="19" t="s">
        <v>4981</v>
      </c>
      <c r="B44" s="19" t="s">
        <v>46</v>
      </c>
      <c r="C44" s="20">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0</v>
      </c>
      <c r="D44" s="26">
        <f t="shared" si="1"/>
        <v>0</v>
      </c>
    </row>
    <row r="45" spans="1:4" ht="10" customHeight="1" x14ac:dyDescent="0.2">
      <c r="A45" s="19" t="s">
        <v>198</v>
      </c>
      <c r="B45" s="19" t="s">
        <v>186</v>
      </c>
      <c r="C45" s="20">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0</v>
      </c>
      <c r="D45" s="26">
        <f t="shared" si="1"/>
        <v>0</v>
      </c>
    </row>
    <row r="46" spans="1:4" ht="10" customHeight="1" x14ac:dyDescent="0.2">
      <c r="A46" s="19" t="s">
        <v>6807</v>
      </c>
      <c r="B46" s="19" t="s">
        <v>6805</v>
      </c>
      <c r="C46" s="20">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D46" s="26">
        <f t="shared" si="1"/>
        <v>1.2590474745375925E-3</v>
      </c>
    </row>
    <row r="47" spans="1:4" ht="10" customHeight="1" x14ac:dyDescent="0.2">
      <c r="A47" s="19" t="s">
        <v>8184</v>
      </c>
      <c r="B47" s="19" t="s">
        <v>6805</v>
      </c>
      <c r="C47" s="20">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0</v>
      </c>
      <c r="D47" s="26">
        <f t="shared" si="1"/>
        <v>0</v>
      </c>
    </row>
    <row r="48" spans="1:4" ht="10" customHeight="1" x14ac:dyDescent="0.2">
      <c r="A48" s="19" t="s">
        <v>8190</v>
      </c>
      <c r="B48" s="19" t="s">
        <v>6805</v>
      </c>
      <c r="C48" s="20">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0</v>
      </c>
      <c r="D48" s="26">
        <f t="shared" si="1"/>
        <v>0</v>
      </c>
    </row>
    <row r="49" spans="1:11" ht="10" customHeight="1" x14ac:dyDescent="0.2">
      <c r="A49" s="19" t="s">
        <v>8209</v>
      </c>
      <c r="B49" s="19" t="s">
        <v>6805</v>
      </c>
      <c r="C49" s="20">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0</v>
      </c>
      <c r="D49" s="26">
        <f t="shared" si="1"/>
        <v>0</v>
      </c>
    </row>
    <row r="50" spans="1:11" ht="10" customHeight="1" x14ac:dyDescent="0.2">
      <c r="A50" s="19" t="s">
        <v>8198</v>
      </c>
      <c r="B50" s="19" t="s">
        <v>6805</v>
      </c>
      <c r="C50" s="20">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0</v>
      </c>
      <c r="D50" s="26">
        <f t="shared" si="1"/>
        <v>0</v>
      </c>
    </row>
    <row r="51" spans="1:11" ht="10" customHeight="1" x14ac:dyDescent="0.2">
      <c r="A51" s="19" t="s">
        <v>8205</v>
      </c>
      <c r="B51" s="19" t="s">
        <v>6805</v>
      </c>
      <c r="C51" s="20">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0</v>
      </c>
      <c r="D51" s="26">
        <f t="shared" si="1"/>
        <v>0</v>
      </c>
    </row>
    <row r="52" spans="1:11" ht="10" customHeight="1" x14ac:dyDescent="0.2">
      <c r="A52" s="19" t="s">
        <v>8171</v>
      </c>
      <c r="B52" s="19" t="s">
        <v>6805</v>
      </c>
      <c r="C52" s="20">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0</v>
      </c>
      <c r="D52" s="26">
        <f t="shared" si="1"/>
        <v>0</v>
      </c>
    </row>
    <row r="53" spans="1:11" ht="10" customHeight="1" x14ac:dyDescent="0.2">
      <c r="A53" s="21" t="s">
        <v>8416</v>
      </c>
      <c r="B53" s="21"/>
      <c r="C53" s="22">
        <f>SUM(C25:C52)</f>
        <v>24621788</v>
      </c>
      <c r="D53" s="27">
        <v>1</v>
      </c>
    </row>
    <row r="54" spans="1:11" ht="10" customHeight="1" x14ac:dyDescent="0.2"/>
    <row r="55" spans="1:11" ht="10" customHeight="1" x14ac:dyDescent="0.2"/>
    <row r="56" spans="1:11" ht="10" customHeight="1" x14ac:dyDescent="0.2">
      <c r="A56" s="6" t="s">
        <v>8423</v>
      </c>
      <c r="B56" s="7"/>
      <c r="C56" s="7"/>
      <c r="D56" s="7"/>
      <c r="E56" s="7"/>
      <c r="F56" s="7"/>
      <c r="G56" s="7"/>
      <c r="H56" s="7"/>
      <c r="I56" s="7"/>
      <c r="J56" s="7"/>
      <c r="K56" s="7"/>
    </row>
    <row r="57" spans="1:11" ht="10" customHeight="1" x14ac:dyDescent="0.2">
      <c r="A57" s="28"/>
      <c r="B57" s="29" t="s">
        <v>46</v>
      </c>
      <c r="C57" s="28"/>
      <c r="D57" s="28"/>
      <c r="E57" s="28"/>
      <c r="F57" s="28"/>
      <c r="G57" s="28"/>
      <c r="H57" s="28"/>
      <c r="I57" s="28"/>
      <c r="J57" s="29" t="s">
        <v>6805</v>
      </c>
      <c r="K57" s="30"/>
    </row>
    <row r="58" spans="1:11" ht="10" customHeight="1" x14ac:dyDescent="0.2">
      <c r="A58" s="18" t="s">
        <v>8314</v>
      </c>
      <c r="B58" s="31" t="s">
        <v>48</v>
      </c>
      <c r="C58" s="18" t="s">
        <v>115</v>
      </c>
      <c r="D58" s="18" t="s">
        <v>65</v>
      </c>
      <c r="E58" s="18" t="s">
        <v>145</v>
      </c>
      <c r="F58" s="18" t="s">
        <v>178</v>
      </c>
      <c r="G58" s="18" t="s">
        <v>4855</v>
      </c>
      <c r="H58" s="18" t="s">
        <v>210</v>
      </c>
      <c r="I58" s="18" t="s">
        <v>4680</v>
      </c>
      <c r="J58" s="31" t="s">
        <v>6807</v>
      </c>
      <c r="K58" s="31" t="s">
        <v>8323</v>
      </c>
    </row>
    <row r="59" spans="1:11" ht="10" customHeight="1" x14ac:dyDescent="0.2">
      <c r="A59" s="19" t="s">
        <v>4324</v>
      </c>
      <c r="B59" s="32">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0.54625213936948214</v>
      </c>
      <c r="C59" s="26">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0.26936061309335196</v>
      </c>
      <c r="D59" s="26">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0.60086364050987984</v>
      </c>
      <c r="E59" s="26">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0.40471142535615273</v>
      </c>
      <c r="F59" s="26">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0.38328338867741152</v>
      </c>
      <c r="G59" s="26">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0.53493534066782478</v>
      </c>
      <c r="H59" s="26">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0</v>
      </c>
      <c r="I59" s="26">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0.95613782906895561</v>
      </c>
      <c r="J59" s="32">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0</v>
      </c>
      <c r="K59" s="32">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0.4783185932719427</v>
      </c>
    </row>
    <row r="60" spans="1:11" ht="10" customHeight="1" x14ac:dyDescent="0.2">
      <c r="A60" s="19" t="s">
        <v>8418</v>
      </c>
      <c r="B60" s="32">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0</v>
      </c>
      <c r="C60" s="26">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3.3736572927146324E-2</v>
      </c>
      <c r="D60" s="26">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0</v>
      </c>
      <c r="E60" s="26">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0</v>
      </c>
      <c r="F60" s="26">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0</v>
      </c>
      <c r="G60" s="26">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0</v>
      </c>
      <c r="H60" s="26">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0</v>
      </c>
      <c r="I60" s="26">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4.3862170931044393E-2</v>
      </c>
      <c r="J60" s="32">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0</v>
      </c>
      <c r="K60" s="32">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8.445284314851545E-3</v>
      </c>
    </row>
    <row r="61" spans="1:11" ht="10" customHeight="1" x14ac:dyDescent="0.2">
      <c r="A61" s="19" t="s">
        <v>8419</v>
      </c>
      <c r="B61" s="32">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0.4407659643044754</v>
      </c>
      <c r="C61" s="26">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0.69591764146994062</v>
      </c>
      <c r="D61" s="26">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9.3333366902353471E-2</v>
      </c>
      <c r="E61" s="26">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0.59528857464384721</v>
      </c>
      <c r="F61" s="26">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0</v>
      </c>
      <c r="G61" s="26">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0</v>
      </c>
      <c r="H61" s="26">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1</v>
      </c>
      <c r="I61" s="26">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0</v>
      </c>
      <c r="J61" s="32">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1</v>
      </c>
      <c r="K61" s="32">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0.44043247387232803</v>
      </c>
    </row>
    <row r="62" spans="1:11" ht="10" customHeight="1" x14ac:dyDescent="0.2">
      <c r="A62" s="19" t="s">
        <v>8420</v>
      </c>
      <c r="B62" s="32">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0</v>
      </c>
      <c r="C62" s="26">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0</v>
      </c>
      <c r="D62" s="26">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0.30580299258776666</v>
      </c>
      <c r="E62" s="26">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0</v>
      </c>
      <c r="F62" s="26">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0</v>
      </c>
      <c r="G62" s="26">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0.46506465933217528</v>
      </c>
      <c r="H62" s="26">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0</v>
      </c>
      <c r="I62" s="26">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0</v>
      </c>
      <c r="J62" s="32">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0</v>
      </c>
      <c r="K62" s="32">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6.4913522933427906E-2</v>
      </c>
    </row>
    <row r="63" spans="1:11" ht="10" customHeight="1" x14ac:dyDescent="0.2">
      <c r="A63" s="19" t="s">
        <v>8421</v>
      </c>
      <c r="B63" s="32">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1.2981896326042503E-2</v>
      </c>
      <c r="C63" s="26">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9.8517250956103321E-4</v>
      </c>
      <c r="D63" s="26">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0</v>
      </c>
      <c r="E63" s="26">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0</v>
      </c>
      <c r="F63" s="26">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0</v>
      </c>
      <c r="G63" s="26">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0</v>
      </c>
      <c r="H63" s="26">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0</v>
      </c>
      <c r="I63" s="26">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0</v>
      </c>
      <c r="J63" s="32">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0</v>
      </c>
      <c r="K63" s="32">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6.3438122365443161E-3</v>
      </c>
    </row>
    <row r="64" spans="1:11" ht="10" customHeight="1" x14ac:dyDescent="0.2">
      <c r="A64" s="19" t="s">
        <v>5513</v>
      </c>
      <c r="B64" s="32">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0</v>
      </c>
      <c r="C64" s="26">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0</v>
      </c>
      <c r="D64" s="26">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0</v>
      </c>
      <c r="E64" s="26">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0</v>
      </c>
      <c r="F64" s="26">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0.61671661132258848</v>
      </c>
      <c r="G64" s="26">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0</v>
      </c>
      <c r="H64" s="26">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0</v>
      </c>
      <c r="I64" s="26">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0</v>
      </c>
      <c r="J64" s="32">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0</v>
      </c>
      <c r="K64" s="32">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1.5463133709054762E-3</v>
      </c>
    </row>
    <row r="65" spans="1:11" ht="10" customHeight="1" x14ac:dyDescent="0.2">
      <c r="A65" s="21" t="s">
        <v>8351</v>
      </c>
      <c r="B65" s="33">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C65" s="22">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65" s="22">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E65" s="22">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F65" s="22">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G65" s="22">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H65" s="22">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I65" s="22">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J65" s="33">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K65" s="33">
        <f>SUM(B65:J65)</f>
        <v>24621788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48"/>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15" t="s">
        <v>8424</v>
      </c>
      <c r="B1" s="16"/>
      <c r="C1" s="16"/>
      <c r="D1" s="16"/>
      <c r="E1" s="16"/>
      <c r="F1" s="16"/>
      <c r="G1" s="16"/>
      <c r="H1" s="16"/>
      <c r="I1" s="16"/>
      <c r="J1" s="16"/>
    </row>
    <row r="2" spans="1:10" ht="10" customHeight="1" x14ac:dyDescent="0.2">
      <c r="A2" s="17" t="s">
        <v>8425</v>
      </c>
    </row>
    <row r="3" spans="1:10" ht="10" customHeight="1" x14ac:dyDescent="0.2"/>
    <row r="4" spans="1:10" ht="10" customHeight="1" x14ac:dyDescent="0.2">
      <c r="A4" s="6" t="s">
        <v>8426</v>
      </c>
      <c r="B4" s="7"/>
    </row>
    <row r="5" spans="1:10" ht="10" customHeight="1" x14ac:dyDescent="0.2">
      <c r="A5" s="19" t="s">
        <v>8416</v>
      </c>
      <c r="B5" s="38">
        <f>'FY26 MRO TAM'!B20</f>
        <v>24621788</v>
      </c>
    </row>
    <row r="6" spans="1:10" ht="10" customHeight="1" x14ac:dyDescent="0.2">
      <c r="A6" s="19" t="s">
        <v>8376</v>
      </c>
      <c r="B6" s="20">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row>
    <row r="7" spans="1:10" ht="10" customHeight="1" x14ac:dyDescent="0.2">
      <c r="A7" s="19" t="s">
        <v>8377</v>
      </c>
      <c r="B7" s="20">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row>
    <row r="8" spans="1:10" ht="10" customHeight="1" x14ac:dyDescent="0.2">
      <c r="A8" s="19" t="s">
        <v>8378</v>
      </c>
      <c r="B8" s="20">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row>
    <row r="9" spans="1:10" ht="10" customHeight="1" x14ac:dyDescent="0.2">
      <c r="A9" s="19" t="s">
        <v>8427</v>
      </c>
      <c r="B9" s="20">
        <f>-(B5+B6+B7+B8-B10)</f>
        <v>-271328</v>
      </c>
    </row>
    <row r="10" spans="1:10" ht="10" customHeight="1" x14ac:dyDescent="0.2">
      <c r="A10" s="21" t="s">
        <v>8428</v>
      </c>
      <c r="B10" s="22">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7620477</v>
      </c>
    </row>
    <row r="11" spans="1:10" ht="10" customHeight="1" x14ac:dyDescent="0.2"/>
    <row r="12" spans="1:10" ht="10" customHeight="1" x14ac:dyDescent="0.2"/>
    <row r="13" spans="1:10" ht="10" customHeight="1" x14ac:dyDescent="0.2">
      <c r="A13" s="6" t="s">
        <v>8429</v>
      </c>
      <c r="B13" s="7"/>
      <c r="C13" s="7"/>
      <c r="D13" s="7"/>
      <c r="E13" s="7"/>
      <c r="F13" s="7"/>
    </row>
    <row r="14" spans="1:10" ht="10" customHeight="1" x14ac:dyDescent="0.2">
      <c r="A14" s="18" t="s">
        <v>19</v>
      </c>
      <c r="B14" s="18" t="s">
        <v>8344</v>
      </c>
      <c r="C14" s="18" t="s">
        <v>8430</v>
      </c>
      <c r="D14" s="18" t="s">
        <v>8431</v>
      </c>
      <c r="E14" s="18" t="s">
        <v>8351</v>
      </c>
      <c r="F14" s="18" t="s">
        <v>8381</v>
      </c>
    </row>
    <row r="15" spans="1:10" ht="10" customHeight="1" x14ac:dyDescent="0.2">
      <c r="A15" s="19" t="s">
        <v>115</v>
      </c>
      <c r="B15" s="19" t="s">
        <v>46</v>
      </c>
      <c r="C15" s="20">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1651698</v>
      </c>
      <c r="D15" s="20">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4267312</v>
      </c>
      <c r="E15" s="20">
        <f t="shared" ref="E15:E39" si="0">C15+D15</f>
        <v>5919010</v>
      </c>
      <c r="F15" s="26">
        <f t="shared" ref="F15:F39" si="1">IFERROR(E15/E$40,0)</f>
        <v>0.77672434415850866</v>
      </c>
    </row>
    <row r="16" spans="1:10" ht="10" customHeight="1" x14ac:dyDescent="0.2">
      <c r="A16" s="19" t="s">
        <v>145</v>
      </c>
      <c r="B16" s="19" t="s">
        <v>46</v>
      </c>
      <c r="C16" s="20">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635471</v>
      </c>
      <c r="D16" s="20">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934712</v>
      </c>
      <c r="E16" s="20">
        <f t="shared" si="0"/>
        <v>1570183</v>
      </c>
      <c r="F16" s="26">
        <f t="shared" si="1"/>
        <v>0.20604786288312399</v>
      </c>
    </row>
    <row r="17" spans="1:6" ht="10" customHeight="1" x14ac:dyDescent="0.2">
      <c r="A17" s="19" t="s">
        <v>210</v>
      </c>
      <c r="B17" s="19" t="s">
        <v>46</v>
      </c>
      <c r="C17" s="20">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0</v>
      </c>
      <c r="D17" s="20">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E17" s="20">
        <f t="shared" si="0"/>
        <v>31169</v>
      </c>
      <c r="F17" s="26">
        <f t="shared" si="1"/>
        <v>4.0901639096870184E-3</v>
      </c>
    </row>
    <row r="18" spans="1:6" ht="10" customHeight="1" x14ac:dyDescent="0.2">
      <c r="A18" s="19" t="s">
        <v>178</v>
      </c>
      <c r="B18" s="19" t="s">
        <v>46</v>
      </c>
      <c r="C18" s="20">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23662</v>
      </c>
      <c r="D18" s="20">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0</v>
      </c>
      <c r="E18" s="20">
        <f t="shared" si="0"/>
        <v>23662</v>
      </c>
      <c r="F18" s="26">
        <f t="shared" si="1"/>
        <v>3.1050549722806066E-3</v>
      </c>
    </row>
    <row r="19" spans="1:6" ht="10" customHeight="1" x14ac:dyDescent="0.2">
      <c r="A19" s="19" t="s">
        <v>4680</v>
      </c>
      <c r="B19" s="19" t="s">
        <v>46</v>
      </c>
      <c r="C19" s="20">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23281</v>
      </c>
      <c r="D19" s="20">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0</v>
      </c>
      <c r="E19" s="20">
        <f t="shared" si="0"/>
        <v>23281</v>
      </c>
      <c r="F19" s="26">
        <f t="shared" si="1"/>
        <v>3.0550581020059504E-3</v>
      </c>
    </row>
    <row r="20" spans="1:6" ht="10" customHeight="1" x14ac:dyDescent="0.2">
      <c r="A20" s="19" t="s">
        <v>4855</v>
      </c>
      <c r="B20" s="19" t="s">
        <v>46</v>
      </c>
      <c r="C20" s="20">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22172</v>
      </c>
      <c r="D20" s="20">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0</v>
      </c>
      <c r="E20" s="20">
        <f t="shared" si="0"/>
        <v>22172</v>
      </c>
      <c r="F20" s="26">
        <f t="shared" si="1"/>
        <v>2.9095291541461248E-3</v>
      </c>
    </row>
    <row r="21" spans="1:6" ht="10" customHeight="1" x14ac:dyDescent="0.2">
      <c r="A21" s="19" t="s">
        <v>4962</v>
      </c>
      <c r="B21" s="19" t="s">
        <v>46</v>
      </c>
      <c r="C21" s="20">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0</v>
      </c>
      <c r="D21" s="20">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0</v>
      </c>
      <c r="E21" s="20">
        <f t="shared" si="0"/>
        <v>0</v>
      </c>
      <c r="F21" s="26">
        <f t="shared" si="1"/>
        <v>0</v>
      </c>
    </row>
    <row r="22" spans="1:6" ht="10" customHeight="1" x14ac:dyDescent="0.2">
      <c r="A22" s="19" t="s">
        <v>5268</v>
      </c>
      <c r="B22" s="19" t="s">
        <v>46</v>
      </c>
      <c r="C22" s="20">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0</v>
      </c>
      <c r="D22" s="20">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0</v>
      </c>
      <c r="E22" s="20">
        <f t="shared" si="0"/>
        <v>0</v>
      </c>
      <c r="F22" s="26">
        <f t="shared" si="1"/>
        <v>0</v>
      </c>
    </row>
    <row r="23" spans="1:6" ht="10" customHeight="1" x14ac:dyDescent="0.2">
      <c r="A23" s="19" t="s">
        <v>5412</v>
      </c>
      <c r="B23" s="19" t="s">
        <v>46</v>
      </c>
      <c r="C23" s="20">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0</v>
      </c>
      <c r="D23" s="20">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0</v>
      </c>
      <c r="E23" s="20">
        <f t="shared" si="0"/>
        <v>0</v>
      </c>
      <c r="F23" s="26">
        <f t="shared" si="1"/>
        <v>0</v>
      </c>
    </row>
    <row r="24" spans="1:6" ht="10" customHeight="1" x14ac:dyDescent="0.2">
      <c r="A24" s="19" t="s">
        <v>5025</v>
      </c>
      <c r="B24" s="19" t="s">
        <v>186</v>
      </c>
      <c r="C24" s="20">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0</v>
      </c>
      <c r="D24" s="20">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0</v>
      </c>
      <c r="E24" s="20">
        <f t="shared" si="0"/>
        <v>0</v>
      </c>
      <c r="F24" s="26">
        <f t="shared" si="1"/>
        <v>0</v>
      </c>
    </row>
    <row r="25" spans="1:6" ht="10" customHeight="1" x14ac:dyDescent="0.2">
      <c r="A25" s="19" t="s">
        <v>229</v>
      </c>
      <c r="B25" s="19" t="s">
        <v>186</v>
      </c>
      <c r="C25" s="20">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0</v>
      </c>
      <c r="D25" s="20">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0</v>
      </c>
      <c r="E25" s="20">
        <f t="shared" si="0"/>
        <v>0</v>
      </c>
      <c r="F25" s="26">
        <f t="shared" si="1"/>
        <v>0</v>
      </c>
    </row>
    <row r="26" spans="1:6" ht="10" customHeight="1" x14ac:dyDescent="0.2">
      <c r="A26" s="19" t="s">
        <v>4639</v>
      </c>
      <c r="B26" s="19" t="s">
        <v>46</v>
      </c>
      <c r="C26" s="20">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0</v>
      </c>
      <c r="D26" s="20">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0</v>
      </c>
      <c r="E26" s="20">
        <f t="shared" si="0"/>
        <v>0</v>
      </c>
      <c r="F26" s="26">
        <f t="shared" si="1"/>
        <v>0</v>
      </c>
    </row>
    <row r="27" spans="1:6" ht="10" customHeight="1" x14ac:dyDescent="0.2">
      <c r="A27" s="19" t="s">
        <v>5015</v>
      </c>
      <c r="B27" s="19" t="s">
        <v>46</v>
      </c>
      <c r="C27" s="20">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0</v>
      </c>
      <c r="D27" s="20">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0</v>
      </c>
      <c r="E27" s="20">
        <f t="shared" si="0"/>
        <v>0</v>
      </c>
      <c r="F27" s="26">
        <f t="shared" si="1"/>
        <v>0</v>
      </c>
    </row>
    <row r="28" spans="1:6" ht="10" customHeight="1" x14ac:dyDescent="0.2">
      <c r="A28" s="19" t="s">
        <v>4981</v>
      </c>
      <c r="B28" s="19" t="s">
        <v>46</v>
      </c>
      <c r="C28" s="20">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0</v>
      </c>
      <c r="D28" s="20">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0</v>
      </c>
      <c r="E28" s="20">
        <f t="shared" si="0"/>
        <v>0</v>
      </c>
      <c r="F28" s="26">
        <f t="shared" si="1"/>
        <v>0</v>
      </c>
    </row>
    <row r="29" spans="1:6" ht="10" customHeight="1" x14ac:dyDescent="0.2">
      <c r="A29" s="19" t="s">
        <v>241</v>
      </c>
      <c r="B29" s="19" t="s">
        <v>46</v>
      </c>
      <c r="C29" s="20">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0</v>
      </c>
      <c r="D29" s="20">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0</v>
      </c>
      <c r="E29" s="20">
        <f t="shared" si="0"/>
        <v>0</v>
      </c>
      <c r="F29" s="26">
        <f t="shared" si="1"/>
        <v>0</v>
      </c>
    </row>
    <row r="30" spans="1:6" ht="10" customHeight="1" x14ac:dyDescent="0.2">
      <c r="A30" s="19" t="s">
        <v>5273</v>
      </c>
      <c r="B30" s="19" t="s">
        <v>46</v>
      </c>
      <c r="C30" s="20">
        <f>SUMIFS(JB_R,JB_B,2,JB_W,"Crane Ship",JB_S,"",JB_R,"&lt;&gt;")+SUMIFS(JB_N,JB_B,2,JB_W,"Crane Ship",JB_S,"",JB_R,"",JB_N,"&lt;&gt;")+SUMIFS(JB_L,JB_B,2,JB_W,"Crane Ship",JB_S,"",JB_R,"",JB_N,"")+SUMIFS(JB_R,JB_B,2,JB_W,"Crane Ship",JB_S,"[PARENT]",JB_R,"&lt;&gt;")+SUMIFS(JB_N,JB_B,2,JB_W,"Crane Ship",JB_S,"[PARENT]",JB_R,"",JB_N,"&lt;&gt;")+SUMIFS(JB_L,JB_B,2,JB_W,"Crane Ship",JB_S,"[PARENT]",JB_R,"",JB_N,"")</f>
        <v>0</v>
      </c>
      <c r="D30" s="20">
        <f>SUMIFS(JB_R,JB_B,4,JB_W,"Crane Ship",JB_S,"",JB_R,"&lt;&gt;")+SUMIFS(JB_N,JB_B,4,JB_W,"Crane Ship",JB_S,"",JB_R,"",JB_N,"&lt;&gt;")+SUMIFS(JB_L,JB_B,4,JB_W,"Crane Ship",JB_S,"",JB_R,"",JB_N,"")+SUMIFS(JB_R,JB_B,4,JB_W,"Crane Ship",JB_S,"[PARENT]",JB_R,"&lt;&gt;")+SUMIFS(JB_N,JB_B,4,JB_W,"Crane Ship",JB_S,"[PARENT]",JB_R,"",JB_N,"&lt;&gt;")+SUMIFS(JB_L,JB_B,4,JB_W,"Crane Ship",JB_S,"[PARENT]",JB_R,"",JB_N,"")</f>
        <v>0</v>
      </c>
      <c r="E30" s="20">
        <f t="shared" si="0"/>
        <v>0</v>
      </c>
      <c r="F30" s="26">
        <f t="shared" si="1"/>
        <v>0</v>
      </c>
    </row>
    <row r="31" spans="1:6" ht="10" customHeight="1" x14ac:dyDescent="0.2">
      <c r="A31" s="19" t="s">
        <v>222</v>
      </c>
      <c r="B31" s="19" t="s">
        <v>186</v>
      </c>
      <c r="C31" s="20">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0</v>
      </c>
      <c r="D31" s="20">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0</v>
      </c>
      <c r="E31" s="20">
        <f t="shared" si="0"/>
        <v>0</v>
      </c>
      <c r="F31" s="26">
        <f t="shared" si="1"/>
        <v>0</v>
      </c>
    </row>
    <row r="32" spans="1:6" ht="10" customHeight="1" x14ac:dyDescent="0.2">
      <c r="A32" s="19" t="s">
        <v>198</v>
      </c>
      <c r="B32" s="19" t="s">
        <v>186</v>
      </c>
      <c r="C32" s="20">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0</v>
      </c>
      <c r="D32" s="20">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0</v>
      </c>
      <c r="E32" s="20">
        <f t="shared" si="0"/>
        <v>0</v>
      </c>
      <c r="F32" s="26">
        <f t="shared" si="1"/>
        <v>0</v>
      </c>
    </row>
    <row r="33" spans="1:9" ht="10" customHeight="1" x14ac:dyDescent="0.2">
      <c r="A33" s="19" t="s">
        <v>6807</v>
      </c>
      <c r="B33" s="19" t="s">
        <v>6805</v>
      </c>
      <c r="C33" s="20">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0</v>
      </c>
      <c r="D33" s="20">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E33" s="20">
        <f t="shared" si="0"/>
        <v>31000</v>
      </c>
      <c r="F33" s="26">
        <f t="shared" si="1"/>
        <v>4.0679868202476042E-3</v>
      </c>
    </row>
    <row r="34" spans="1:9" ht="10" customHeight="1" x14ac:dyDescent="0.2">
      <c r="A34" s="19" t="s">
        <v>8184</v>
      </c>
      <c r="B34" s="19" t="s">
        <v>6805</v>
      </c>
      <c r="C34" s="20">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0</v>
      </c>
      <c r="D34" s="20">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0</v>
      </c>
      <c r="E34" s="20">
        <f t="shared" si="0"/>
        <v>0</v>
      </c>
      <c r="F34" s="26">
        <f t="shared" si="1"/>
        <v>0</v>
      </c>
    </row>
    <row r="35" spans="1:9" ht="10" customHeight="1" x14ac:dyDescent="0.2">
      <c r="A35" s="19" t="s">
        <v>8205</v>
      </c>
      <c r="B35" s="19" t="s">
        <v>6805</v>
      </c>
      <c r="C35" s="20">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0</v>
      </c>
      <c r="D35" s="20">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0</v>
      </c>
      <c r="E35" s="20">
        <f t="shared" si="0"/>
        <v>0</v>
      </c>
      <c r="F35" s="26">
        <f t="shared" si="1"/>
        <v>0</v>
      </c>
    </row>
    <row r="36" spans="1:9" ht="10" customHeight="1" x14ac:dyDescent="0.2">
      <c r="A36" s="19" t="s">
        <v>8190</v>
      </c>
      <c r="B36" s="19" t="s">
        <v>6805</v>
      </c>
      <c r="C36" s="20">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0</v>
      </c>
      <c r="D36" s="20">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0</v>
      </c>
      <c r="E36" s="20">
        <f t="shared" si="0"/>
        <v>0</v>
      </c>
      <c r="F36" s="26">
        <f t="shared" si="1"/>
        <v>0</v>
      </c>
    </row>
    <row r="37" spans="1:9" ht="10" customHeight="1" x14ac:dyDescent="0.2">
      <c r="A37" s="19" t="s">
        <v>8171</v>
      </c>
      <c r="B37" s="19" t="s">
        <v>6805</v>
      </c>
      <c r="C37" s="20">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0</v>
      </c>
      <c r="D37" s="20">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0</v>
      </c>
      <c r="E37" s="20">
        <f t="shared" si="0"/>
        <v>0</v>
      </c>
      <c r="F37" s="26">
        <f t="shared" si="1"/>
        <v>0</v>
      </c>
    </row>
    <row r="38" spans="1:9" ht="10" customHeight="1" x14ac:dyDescent="0.2">
      <c r="A38" s="19" t="s">
        <v>8209</v>
      </c>
      <c r="B38" s="19" t="s">
        <v>6805</v>
      </c>
      <c r="C38" s="20">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0</v>
      </c>
      <c r="D38" s="20">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0</v>
      </c>
      <c r="E38" s="20">
        <f t="shared" si="0"/>
        <v>0</v>
      </c>
      <c r="F38" s="26">
        <f t="shared" si="1"/>
        <v>0</v>
      </c>
    </row>
    <row r="39" spans="1:9" ht="10" customHeight="1" x14ac:dyDescent="0.2">
      <c r="A39" s="19" t="s">
        <v>8198</v>
      </c>
      <c r="B39" s="19" t="s">
        <v>6805</v>
      </c>
      <c r="C39" s="20">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0</v>
      </c>
      <c r="D39" s="20">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0</v>
      </c>
      <c r="E39" s="20">
        <f t="shared" si="0"/>
        <v>0</v>
      </c>
      <c r="F39" s="26">
        <f t="shared" si="1"/>
        <v>0</v>
      </c>
    </row>
    <row r="40" spans="1:9" ht="10" customHeight="1" x14ac:dyDescent="0.2">
      <c r="A40" s="21" t="s">
        <v>8428</v>
      </c>
      <c r="B40" s="21"/>
      <c r="C40" s="22">
        <f>SUM(C15:C39)</f>
        <v>2356284</v>
      </c>
      <c r="D40" s="22">
        <f>SUM(D15:D39)</f>
        <v>5264193</v>
      </c>
      <c r="E40" s="22">
        <f>SUM(E15:E39)</f>
        <v>7620477</v>
      </c>
      <c r="F40" s="27">
        <v>1</v>
      </c>
    </row>
    <row r="41" spans="1:9" ht="10" customHeight="1" x14ac:dyDescent="0.2"/>
    <row r="42" spans="1:9" ht="10" customHeight="1" x14ac:dyDescent="0.2"/>
    <row r="43" spans="1:9" ht="10" customHeight="1" x14ac:dyDescent="0.2">
      <c r="A43" s="6" t="s">
        <v>8432</v>
      </c>
      <c r="B43" s="7"/>
      <c r="C43" s="7"/>
      <c r="D43" s="7"/>
      <c r="E43" s="7"/>
      <c r="F43" s="7"/>
      <c r="G43" s="7"/>
      <c r="H43" s="7"/>
      <c r="I43" s="7"/>
    </row>
    <row r="44" spans="1:9" ht="10" customHeight="1" x14ac:dyDescent="0.2">
      <c r="A44" s="28"/>
      <c r="B44" s="29" t="s">
        <v>46</v>
      </c>
      <c r="C44" s="28"/>
      <c r="D44" s="28"/>
      <c r="E44" s="28"/>
      <c r="F44" s="28"/>
      <c r="G44" s="28"/>
      <c r="H44" s="29" t="s">
        <v>6805</v>
      </c>
      <c r="I44" s="30"/>
    </row>
    <row r="45" spans="1:9" ht="10" customHeight="1" x14ac:dyDescent="0.2">
      <c r="A45" s="18" t="s">
        <v>8314</v>
      </c>
      <c r="B45" s="31" t="s">
        <v>115</v>
      </c>
      <c r="C45" s="18" t="s">
        <v>145</v>
      </c>
      <c r="D45" s="18" t="s">
        <v>178</v>
      </c>
      <c r="E45" s="18" t="s">
        <v>4855</v>
      </c>
      <c r="F45" s="18" t="s">
        <v>210</v>
      </c>
      <c r="G45" s="18" t="s">
        <v>4680</v>
      </c>
      <c r="H45" s="31" t="s">
        <v>6807</v>
      </c>
      <c r="I45" s="31" t="s">
        <v>8323</v>
      </c>
    </row>
    <row r="46" spans="1:9" ht="10" customHeight="1" x14ac:dyDescent="0.2">
      <c r="A46" s="19" t="s">
        <v>4324</v>
      </c>
      <c r="B46" s="32">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0.27904970594744727</v>
      </c>
      <c r="C46" s="26">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0.40471142535615273</v>
      </c>
      <c r="D46" s="26">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1</v>
      </c>
      <c r="E46" s="26">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1</v>
      </c>
      <c r="F46" s="26">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0</v>
      </c>
      <c r="G46" s="26">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1</v>
      </c>
      <c r="H46" s="32">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0</v>
      </c>
      <c r="I46" s="32">
        <f>IFERROR(1-I47,0)</f>
        <v>0.30920426634710663</v>
      </c>
    </row>
    <row r="47" spans="1:9" ht="10" customHeight="1" x14ac:dyDescent="0.2">
      <c r="A47" s="19" t="s">
        <v>8419</v>
      </c>
      <c r="B47" s="32">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0.72095029405255273</v>
      </c>
      <c r="C47" s="26">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0.59528857464384721</v>
      </c>
      <c r="D47" s="26">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0</v>
      </c>
      <c r="E47" s="26">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0</v>
      </c>
      <c r="F47" s="26">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1</v>
      </c>
      <c r="G47" s="26">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0</v>
      </c>
      <c r="H47" s="32">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1</v>
      </c>
      <c r="I47" s="32">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0.69079573365289337</v>
      </c>
    </row>
    <row r="48" spans="1:9" ht="10" customHeight="1" x14ac:dyDescent="0.2">
      <c r="A48" s="21" t="s">
        <v>8351</v>
      </c>
      <c r="B48" s="33">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5919010</v>
      </c>
      <c r="C48" s="22">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1570183</v>
      </c>
      <c r="D48" s="22">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23662</v>
      </c>
      <c r="E48" s="22">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22172</v>
      </c>
      <c r="F48" s="22">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G48" s="22">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23281</v>
      </c>
      <c r="H48" s="33">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I48" s="33">
        <f>SUM(B48:H48)</f>
        <v>7620477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F1"/>
  <sheetViews>
    <sheetView showGridLines="0" workbookViewId="0"/>
  </sheetViews>
  <sheetFormatPr baseColWidth="10" defaultColWidth="8.83203125" defaultRowHeight="15" x14ac:dyDescent="0.2"/>
  <sheetData>
    <row r="1" spans="1:6" ht="10" customHeight="1" x14ac:dyDescent="0.2">
      <c r="A1" s="15" t="s">
        <v>8433</v>
      </c>
      <c r="B1" s="16"/>
      <c r="C1" s="16"/>
      <c r="D1" s="16"/>
      <c r="E1" s="16"/>
      <c r="F1" s="16"/>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15" t="s">
        <v>8311</v>
      </c>
      <c r="B1" s="16"/>
      <c r="C1" s="16"/>
    </row>
    <row r="2" spans="1:3" ht="10" customHeight="1" x14ac:dyDescent="0.2">
      <c r="A2" s="17" t="s">
        <v>8434</v>
      </c>
    </row>
    <row r="3" spans="1:3" ht="10" customHeight="1" x14ac:dyDescent="0.2"/>
    <row r="4" spans="1:3" ht="10" customHeight="1" x14ac:dyDescent="0.2">
      <c r="A4" s="6" t="s">
        <v>8435</v>
      </c>
      <c r="B4" s="7"/>
    </row>
    <row r="5" spans="1:3" ht="10" customHeight="1" x14ac:dyDescent="0.2">
      <c r="A5" s="18" t="s">
        <v>8314</v>
      </c>
      <c r="B5" s="18" t="s">
        <v>8436</v>
      </c>
    </row>
    <row r="6" spans="1:3" ht="10" customHeight="1" x14ac:dyDescent="0.2">
      <c r="A6" s="19" t="s">
        <v>8316</v>
      </c>
      <c r="B6" s="20">
        <f>SUMIFS(JB_27U,JB_B,1,JB_S,"",JB_27U,"&lt;&gt;")+SUMIFS(JB_27S,JB_B,1,JB_S,"",JB_27U,"")+SUMIFS(JB_27U,JB_B,1,JB_S,"[PARENT]",JB_27U,"&lt;&gt;")+SUMIFS(JB_27S,JB_B,1,JB_S,"[PARENT]",JB_27U,"")</f>
        <v>61800680</v>
      </c>
    </row>
    <row r="7" spans="1:3" ht="10" customHeight="1" x14ac:dyDescent="0.2">
      <c r="A7" s="19" t="s">
        <v>8317</v>
      </c>
      <c r="B7" s="20">
        <f>SUMIFS(JB_27U,JB_B,2,JB_S,"",JB_27U,"&lt;&gt;")+SUMIFS(JB_27S,JB_B,2,JB_S,"",JB_27U,"")+SUMIFS(JB_27U,JB_B,2,JB_S,"[PARENT]",JB_27U,"&lt;&gt;")+SUMIFS(JB_27S,JB_B,2,JB_S,"[PARENT]",JB_27U,"")</f>
        <v>0</v>
      </c>
    </row>
    <row r="8" spans="1:3" ht="10" customHeight="1" x14ac:dyDescent="0.2">
      <c r="A8" s="19" t="s">
        <v>8318</v>
      </c>
      <c r="B8" s="20">
        <f>SUMIFS(JB_27U,JB_B,3,JB_S,"",JB_27U,"&lt;&gt;")+SUMIFS(JB_27S,JB_B,3,JB_S,"",JB_27U,"")+SUMIFS(JB_27U,JB_B,3,JB_S,"[PARENT]",JB_27U,"&lt;&gt;")+SUMIFS(JB_27S,JB_B,3,JB_S,"[PARENT]",JB_27U,"")</f>
        <v>0</v>
      </c>
    </row>
    <row r="9" spans="1:3" ht="10" customHeight="1" x14ac:dyDescent="0.2">
      <c r="A9" s="19" t="s">
        <v>8319</v>
      </c>
      <c r="B9" s="20">
        <f>SUMIFS(JB_27U,JB_B,4,JB_S,"",JB_27U,"&lt;&gt;")+SUMIFS(JB_27S,JB_B,4,JB_S,"",JB_27U,"")+SUMIFS(JB_27U,JB_B,4,JB_S,"[PARENT]",JB_27U,"&lt;&gt;")+SUMIFS(JB_27S,JB_B,4,JB_S,"[PARENT]",JB_27U,"")</f>
        <v>26947767</v>
      </c>
    </row>
    <row r="10" spans="1:3" ht="10" customHeight="1" x14ac:dyDescent="0.2">
      <c r="A10" s="19" t="s">
        <v>8320</v>
      </c>
      <c r="B10" s="20">
        <f>SUMIFS(JB_27U,JB_B,5,JB_S,"",JB_27U,"&lt;&gt;")+SUMIFS(JB_27S,JB_B,5,JB_S,"",JB_27U,"")+SUMIFS(JB_27U,JB_B,5,JB_S,"[PARENT]",JB_27U,"&lt;&gt;")+SUMIFS(JB_27S,JB_B,5,JB_S,"[PARENT]",JB_27U,"")</f>
        <v>4540736</v>
      </c>
    </row>
    <row r="11" spans="1:3" ht="10" customHeight="1" x14ac:dyDescent="0.2">
      <c r="A11" s="19" t="s">
        <v>8321</v>
      </c>
      <c r="B11" s="20">
        <f>SUMIFS(JB_27U,JB_B,6,JB_S,"",JB_27U,"&lt;&gt;")+SUMIFS(JB_27S,JB_B,6,JB_S,"",JB_27U,"")+SUMIFS(JB_27U,JB_B,6,JB_S,"[PARENT]",JB_27U,"&lt;&gt;")+SUMIFS(JB_27S,JB_B,6,JB_S,"[PARENT]",JB_27U,"")</f>
        <v>3540796</v>
      </c>
    </row>
    <row r="12" spans="1:3" ht="10" customHeight="1" x14ac:dyDescent="0.2">
      <c r="A12" s="19" t="s">
        <v>8322</v>
      </c>
      <c r="B12" s="20">
        <f>SUMIFS(JB_27U,JB_B,7,JB_S,"",JB_27U,"&lt;&gt;")+SUMIFS(JB_27S,JB_B,7,JB_S,"",JB_27U,"")+SUMIFS(JB_27U,JB_B,7,JB_S,"[PARENT]",JB_27U,"&lt;&gt;")+SUMIFS(JB_27S,JB_B,7,JB_S,"[PARENT]",JB_27U,"")</f>
        <v>646857</v>
      </c>
    </row>
    <row r="13" spans="1:3" ht="10" customHeight="1" x14ac:dyDescent="0.2">
      <c r="A13" s="21" t="s">
        <v>8323</v>
      </c>
      <c r="B13" s="22">
        <f>SUM(B6:B12)</f>
        <v>97476836</v>
      </c>
    </row>
    <row r="14" spans="1:3" ht="10" customHeight="1" x14ac:dyDescent="0.2"/>
    <row r="15" spans="1:3" ht="10" customHeight="1" x14ac:dyDescent="0.2"/>
    <row r="16" spans="1:3" ht="10" customHeight="1" x14ac:dyDescent="0.2">
      <c r="A16" s="6" t="s">
        <v>8437</v>
      </c>
      <c r="B16" s="7"/>
      <c r="C16" s="7"/>
    </row>
    <row r="17" spans="1:3" ht="10" customHeight="1" x14ac:dyDescent="0.2">
      <c r="A17" s="18" t="s">
        <v>8325</v>
      </c>
      <c r="B17" s="18" t="s">
        <v>8436</v>
      </c>
      <c r="C17" s="18" t="s">
        <v>8326</v>
      </c>
    </row>
    <row r="18" spans="1:3" ht="10" customHeight="1" x14ac:dyDescent="0.2">
      <c r="A18" s="19" t="s">
        <v>47</v>
      </c>
      <c r="B18" s="20">
        <f>SUMIFS(JB_27U,JB_V,"Combatant Ships",JB_S,"",JB_27U,"&lt;&gt;")+SUMIFS(JB_27S,JB_V,"Combatant Ships",JB_S,"",JB_27U,"")+SUMIFS(JB_27U,JB_V,"Combatant Ships",JB_S,"[PARENT]",JB_27U,"&lt;&gt;")+SUMIFS(JB_27S,JB_V,"Combatant Ships",JB_S,"[PARENT]",JB_27U,"")</f>
        <v>74026722</v>
      </c>
      <c r="C18" s="17" t="s">
        <v>8327</v>
      </c>
    </row>
    <row r="19" spans="1:3" ht="10" customHeight="1" x14ac:dyDescent="0.2">
      <c r="A19" s="19" t="s">
        <v>228</v>
      </c>
      <c r="B19" s="20">
        <f>SUMIFS(JB_27U,JB_V,"Auxiliary Ships",JB_S,"",JB_27U,"&lt;&gt;")+SUMIFS(JB_27S,JB_V,"Auxiliary Ships",JB_S,"",JB_27U,"")+SUMIFS(JB_27U,JB_V,"Auxiliary Ships",JB_S,"[PARENT]",JB_27U,"&lt;&gt;")+SUMIFS(JB_27S,JB_V,"Auxiliary Ships",JB_S,"[PARENT]",JB_27U,"")</f>
        <v>1230000</v>
      </c>
      <c r="C19" s="17" t="s">
        <v>8327</v>
      </c>
    </row>
    <row r="20" spans="1:3" ht="10" customHeight="1" x14ac:dyDescent="0.2">
      <c r="A20" s="19" t="s">
        <v>6806</v>
      </c>
      <c r="B20" s="20">
        <f>SUMIFS(JB_27U,JB_V,"Cutters",JB_S,"",JB_27U,"&lt;&gt;")+SUMIFS(JB_27S,JB_V,"Cutters",JB_S,"",JB_27U,"")+SUMIFS(JB_27U,JB_V,"Cutters",JB_S,"[PARENT]",JB_27U,"&lt;&gt;")+SUMIFS(JB_27S,JB_V,"Cutters",JB_S,"[PARENT]",JB_27U,"")</f>
        <v>0</v>
      </c>
      <c r="C20" s="17" t="s">
        <v>8327</v>
      </c>
    </row>
    <row r="21" spans="1:3" ht="10" customHeight="1" x14ac:dyDescent="0.2">
      <c r="A21" s="19" t="s">
        <v>4671</v>
      </c>
      <c r="B21" s="20">
        <f>SUMIFS(JB_27U,JB_V,"Unmanned Maritime Platforms",JB_S,"",JB_27U,"&lt;&gt;")+SUMIFS(JB_27S,JB_V,"Unmanned Maritime Platforms",JB_S,"",JB_27U,"")+SUMIFS(JB_27U,JB_V,"Unmanned Maritime Platforms",JB_S,"[PARENT]",JB_27U,"&lt;&gt;")+SUMIFS(JB_27S,JB_V,"Unmanned Maritime Platforms",JB_S,"[PARENT]",JB_27U,"")</f>
        <v>417887</v>
      </c>
      <c r="C21" s="17" t="s">
        <v>8327</v>
      </c>
    </row>
    <row r="22" spans="1:3" ht="10" customHeight="1" x14ac:dyDescent="0.2">
      <c r="A22" s="19" t="s">
        <v>235</v>
      </c>
      <c r="B22" s="20">
        <f>SUMIFS(JB_27U,JB_V,"Combatant Crafts",JB_S,"",JB_27U,"&lt;&gt;")+SUMIFS(JB_27S,JB_V,"Combatant Crafts",JB_S,"",JB_27U,"")+SUMIFS(JB_27U,JB_V,"Combatant Crafts",JB_S,"[PARENT]",JB_27U,"&lt;&gt;")+SUMIFS(JB_27S,JB_V,"Combatant Crafts",JB_S,"[PARENT]",JB_27U,"")</f>
        <v>794408</v>
      </c>
      <c r="C22" s="17" t="s">
        <v>8328</v>
      </c>
    </row>
    <row r="23" spans="1:3" ht="10" customHeight="1" x14ac:dyDescent="0.2">
      <c r="A23" s="19" t="s">
        <v>300</v>
      </c>
      <c r="B23" s="20">
        <f>SUMIFS(JB_27U,JB_V,"Support Crafts",JB_S,"",JB_27U,"&lt;&gt;")+SUMIFS(JB_27S,JB_V,"Support Crafts",JB_S,"",JB_27U,"")+SUMIFS(JB_27U,JB_V,"Support Crafts",JB_S,"[PARENT]",JB_27U,"&lt;&gt;")+SUMIFS(JB_27S,JB_V,"Support Crafts",JB_S,"[PARENT]",JB_27U,"")</f>
        <v>355500</v>
      </c>
      <c r="C23" s="17" t="s">
        <v>8329</v>
      </c>
    </row>
    <row r="24" spans="1:3" ht="10" customHeight="1" x14ac:dyDescent="0.2">
      <c r="A24" s="19" t="s">
        <v>8194</v>
      </c>
      <c r="B24" s="20">
        <f>SUMIFS(JB_27U,JB_V,"Boats",JB_S,"",JB_27U,"&lt;&gt;")+SUMIFS(JB_27S,JB_V,"Boats",JB_S,"",JB_27U,"")+SUMIFS(JB_27U,JB_V,"Boats",JB_S,"[PARENT]",JB_27U,"&lt;&gt;")+SUMIFS(JB_27S,JB_V,"Boats",JB_S,"[PARENT]",JB_27U,"")</f>
        <v>0</v>
      </c>
      <c r="C24" s="17" t="s">
        <v>8330</v>
      </c>
    </row>
    <row r="25" spans="1:3" ht="10" customHeight="1" x14ac:dyDescent="0.2">
      <c r="A25" s="19" t="s">
        <v>8331</v>
      </c>
      <c r="B25" s="20">
        <f>SUMIFS(JB_27U,JB_V,"",JB_S,"",JB_27U,"&lt;&gt;")+SUMIFS(JB_27S,JB_V,"",JB_S,"",JB_27U,"")+SUMIFS(JB_27U,JB_V,"",JB_S,"[PARENT]",JB_27U,"&lt;&gt;")+SUMIFS(JB_27S,JB_V,"",JB_S,"[PARENT]",JB_27U,"")</f>
        <v>23513809</v>
      </c>
      <c r="C25" s="17" t="s">
        <v>8332</v>
      </c>
    </row>
    <row r="26" spans="1:3" ht="10" customHeight="1" x14ac:dyDescent="0.2">
      <c r="A26" s="21" t="s">
        <v>8323</v>
      </c>
      <c r="B26" s="22">
        <f>SUM(B18:B25)</f>
        <v>100338326</v>
      </c>
      <c r="C26" s="23"/>
    </row>
    <row r="27" spans="1:3" ht="10" customHeight="1" x14ac:dyDescent="0.2">
      <c r="A27" s="24" t="s">
        <v>8333</v>
      </c>
      <c r="B27" s="25">
        <f>B18+B19+B20+B21</f>
        <v>75674609</v>
      </c>
    </row>
    <row r="28" spans="1:3" ht="10" customHeight="1" x14ac:dyDescent="0.2"/>
    <row r="29" spans="1:3" ht="10" customHeight="1" x14ac:dyDescent="0.2"/>
    <row r="30" spans="1:3" ht="10" customHeight="1" x14ac:dyDescent="0.2">
      <c r="A30" s="6" t="s">
        <v>8438</v>
      </c>
      <c r="B30" s="7"/>
    </row>
    <row r="31" spans="1:3" ht="10" customHeight="1" x14ac:dyDescent="0.2">
      <c r="A31" s="18" t="s">
        <v>7</v>
      </c>
      <c r="B31" s="18" t="s">
        <v>8436</v>
      </c>
    </row>
    <row r="32" spans="1:3" ht="10" customHeight="1" x14ac:dyDescent="0.2">
      <c r="A32" s="19" t="s">
        <v>40</v>
      </c>
      <c r="B32" s="20">
        <f>SUMIFS(JB_27U,JB_A,"SCN",JB_S,"",JB_27U,"&lt;&gt;")+SUMIFS(JB_27S,JB_A,"SCN",JB_S,"",JB_27U,"")+SUMIFS(JB_27U,JB_A,"SCN",JB_S,"[PARENT]",JB_27U,"&lt;&gt;")+SUMIFS(JB_27S,JB_A,"SCN",JB_S,"[PARENT]",JB_27U,"")</f>
        <v>65825017</v>
      </c>
    </row>
    <row r="33" spans="1:2" ht="10" customHeight="1" x14ac:dyDescent="0.2">
      <c r="A33" s="19" t="s">
        <v>7931</v>
      </c>
      <c r="B33" s="20">
        <f>SUMIFS(JB_27U,JB_A,"WPN",JB_S,"",JB_27U,"&lt;&gt;")+SUMIFS(JB_27S,JB_A,"WPN",JB_S,"",JB_27U,"")+SUMIFS(JB_27U,JB_A,"WPN",JB_S,"[PARENT]",JB_27U,"&lt;&gt;")+SUMIFS(JB_27S,JB_A,"WPN",JB_S,"[PARENT]",JB_27U,"")</f>
        <v>16149250</v>
      </c>
    </row>
    <row r="34" spans="1:2" ht="10" customHeight="1" x14ac:dyDescent="0.2">
      <c r="A34" s="19" t="s">
        <v>6457</v>
      </c>
      <c r="B34" s="20">
        <f>SUMIFS(JB_27U,JB_A,"OPN_BA2",JB_S,"",JB_27U,"&lt;&gt;")+SUMIFS(JB_27S,JB_A,"OPN_BA2",JB_S,"",JB_27U,"")+SUMIFS(JB_27U,JB_A,"OPN_BA2",JB_S,"[PARENT]",JB_27U,"&lt;&gt;")+SUMIFS(JB_27S,JB_A,"OPN_BA2",JB_S,"[PARENT]",JB_27U,"")</f>
        <v>5388598</v>
      </c>
    </row>
    <row r="35" spans="1:2" ht="10" customHeight="1" x14ac:dyDescent="0.2">
      <c r="A35" s="19" t="s">
        <v>6254</v>
      </c>
      <c r="B35" s="20">
        <f>SUMIFS(JB_27U,JB_A,"OPN_BA1",JB_S,"",JB_27U,"&lt;&gt;")+SUMIFS(JB_27S,JB_A,"OPN_BA1",JB_S,"",JB_27U,"")+SUMIFS(JB_27U,JB_A,"OPN_BA1",JB_S,"[PARENT]",JB_27U,"&lt;&gt;")+SUMIFS(JB_27S,JB_A,"OPN_BA1",JB_S,"[PARENT]",JB_27U,"")</f>
        <v>7523206</v>
      </c>
    </row>
    <row r="36" spans="1:2" ht="10" customHeight="1" x14ac:dyDescent="0.2">
      <c r="A36" s="19" t="s">
        <v>7149</v>
      </c>
      <c r="B36" s="20">
        <f>SUMIFS(JB_27U,JB_A,"OPN_BA4",JB_S,"",JB_27U,"&lt;&gt;")+SUMIFS(JB_27S,JB_A,"OPN_BA4",JB_S,"",JB_27U,"")+SUMIFS(JB_27U,JB_A,"OPN_BA4",JB_S,"[PARENT]",JB_27U,"&lt;&gt;")+SUMIFS(JB_27S,JB_A,"OPN_BA4",JB_S,"[PARENT]",JB_27U,"")</f>
        <v>2249429</v>
      </c>
    </row>
    <row r="37" spans="1:2" ht="10" customHeight="1" x14ac:dyDescent="0.2">
      <c r="A37" s="19" t="s">
        <v>6832</v>
      </c>
      <c r="B37" s="20">
        <f>SUMIFS(JB_27U,JB_A,"OPN_BA3",JB_S,"",JB_27U,"&lt;&gt;")+SUMIFS(JB_27S,JB_A,"OPN_BA3",JB_S,"",JB_27U,"")+SUMIFS(JB_27U,JB_A,"OPN_BA3",JB_S,"[PARENT]",JB_27U,"&lt;&gt;")+SUMIFS(JB_27S,JB_A,"OPN_BA3",JB_S,"[PARENT]",JB_27U,"")</f>
        <v>1665190</v>
      </c>
    </row>
    <row r="38" spans="1:2" ht="10" customHeight="1" x14ac:dyDescent="0.2">
      <c r="A38" s="19" t="s">
        <v>7786</v>
      </c>
      <c r="B38" s="20">
        <f>SUMIFS(JB_27U,JB_A,"OPN_BA5-8",JB_S,"",JB_27U,"&lt;&gt;")+SUMIFS(JB_27S,JB_A,"OPN_BA5-8",JB_S,"",JB_27U,"")+SUMIFS(JB_27U,JB_A,"OPN_BA5-8",JB_S,"[PARENT]",JB_27U,"&lt;&gt;")+SUMIFS(JB_27S,JB_A,"OPN_BA5-8",JB_S,"[PARENT]",JB_27U,"")</f>
        <v>1537636</v>
      </c>
    </row>
    <row r="39" spans="1:2" ht="10" customHeight="1" x14ac:dyDescent="0.2">
      <c r="A39" s="19" t="s">
        <v>4313</v>
      </c>
      <c r="B39" s="20">
        <f>SUMIFS(JB_27U,JB_A,"NWCF",JB_S,"",JB_27U,"&lt;&gt;")+SUMIFS(JB_27S,JB_A,"NWCF",JB_S,"",JB_27U,"")+SUMIFS(JB_27U,JB_A,"NWCF",JB_S,"[PARENT]",JB_27U,"&lt;&gt;")+SUMIFS(JB_27S,JB_A,"NWCF",JB_S,"[PARENT]",JB_27U,"")</f>
        <v>0</v>
      </c>
    </row>
    <row r="40" spans="1:2" ht="10" customHeight="1" x14ac:dyDescent="0.2">
      <c r="A40" s="19" t="s">
        <v>4708</v>
      </c>
      <c r="B40" s="20">
        <f>SUMIFS(JB_27U,JB_A,"OMN",JB_S,"",JB_27U,"&lt;&gt;")+SUMIFS(JB_27S,JB_A,"OMN",JB_S,"",JB_27U,"")+SUMIFS(JB_27U,JB_A,"OMN",JB_S,"[PARENT]",JB_27U,"&lt;&gt;")+SUMIFS(JB_27S,JB_A,"OMN",JB_S,"[PARENT]",JB_27U,"")</f>
        <v>0</v>
      </c>
    </row>
    <row r="41" spans="1:2" ht="10" customHeight="1" x14ac:dyDescent="0.2">
      <c r="A41" s="19" t="s">
        <v>5444</v>
      </c>
      <c r="B41" s="20">
        <f>SUMIFS(JB_27U,JB_A,"OMN_Vol2",JB_S,"",JB_27U,"&lt;&gt;")+SUMIFS(JB_27S,JB_A,"OMN_Vol2",JB_S,"",JB_27U,"")+SUMIFS(JB_27U,JB_A,"OMN_Vol2",JB_S,"[PARENT]",JB_27U,"&lt;&gt;")+SUMIFS(JB_27S,JB_A,"OMN_Vol2",JB_S,"[PARENT]",JB_27U,"")</f>
        <v>0</v>
      </c>
    </row>
    <row r="42" spans="1:2" ht="10" customHeight="1" x14ac:dyDescent="0.2">
      <c r="A42" s="19" t="s">
        <v>6805</v>
      </c>
      <c r="B42" s="20">
        <f>SUMIFS(JB_27U,JB_A,"USCG",JB_S,"",JB_27U,"&lt;&gt;")+SUMIFS(JB_27S,JB_A,"USCG",JB_S,"",JB_27U,"")+SUMIFS(JB_27U,JB_A,"USCG",JB_S,"[PARENT]",JB_27U,"&lt;&gt;")+SUMIFS(JB_27S,JB_A,"USCG",JB_S,"[PARENT]",JB_27U,"")</f>
        <v>0</v>
      </c>
    </row>
    <row r="43" spans="1:2" ht="10" customHeight="1" x14ac:dyDescent="0.2">
      <c r="A43" s="21" t="s">
        <v>8323</v>
      </c>
      <c r="B43" s="22">
        <f>SUM(B32:B42)</f>
        <v>100338326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O72"/>
  <sheetViews>
    <sheetView showGridLines="0" workbookViewId="0"/>
  </sheetViews>
  <sheetFormatPr baseColWidth="10" defaultColWidth="8.83203125" defaultRowHeight="15" x14ac:dyDescent="0.2"/>
  <cols>
    <col min="1" max="1" width="30" customWidth="1"/>
    <col min="2" max="2" width="8" customWidth="1"/>
    <col min="3" max="3" width="12" customWidth="1"/>
    <col min="4" max="4" width="10" customWidth="1"/>
    <col min="5" max="14" width="12" customWidth="1"/>
  </cols>
  <sheetData>
    <row r="1" spans="1:15" ht="10" customHeight="1" x14ac:dyDescent="0.2">
      <c r="A1" s="15" t="s">
        <v>8439</v>
      </c>
      <c r="B1" s="16"/>
      <c r="C1" s="16"/>
      <c r="D1" s="16"/>
      <c r="E1" s="16"/>
      <c r="F1" s="16"/>
      <c r="G1" s="16"/>
      <c r="H1" s="16"/>
      <c r="I1" s="16"/>
      <c r="J1" s="16"/>
      <c r="K1" s="16"/>
      <c r="L1" s="16"/>
      <c r="M1" s="16"/>
      <c r="N1" s="16"/>
      <c r="O1" s="16"/>
    </row>
    <row r="2" spans="1:15" ht="10" customHeight="1" x14ac:dyDescent="0.2">
      <c r="A2" s="17" t="s">
        <v>8336</v>
      </c>
    </row>
    <row r="3" spans="1:15" ht="10" customHeight="1" x14ac:dyDescent="0.2"/>
    <row r="4" spans="1:15" ht="10" customHeight="1" x14ac:dyDescent="0.2">
      <c r="A4" s="6" t="s">
        <v>8337</v>
      </c>
      <c r="B4" s="7"/>
    </row>
    <row r="5" spans="1:15" ht="10" customHeight="1" x14ac:dyDescent="0.2">
      <c r="A5" s="19" t="s">
        <v>8338</v>
      </c>
      <c r="B5" s="20">
        <f>SUMIFS(JB_27U,JB_B,1,JB_S,"",JB_27U,"&lt;&gt;")+SUMIFS(JB_27S,JB_B,1,JB_S,"",JB_27U,"")+SUMIFS(JB_27U,JB_B,1,JB_S,"[PARENT]",JB_27U,"&lt;&gt;")+SUMIFS(JB_27S,JB_B,1,JB_S,"[PARENT]",JB_27U,"")</f>
        <v>61800680</v>
      </c>
    </row>
    <row r="6" spans="1:15" ht="10" customHeight="1" x14ac:dyDescent="0.2">
      <c r="A6" s="19" t="s">
        <v>8339</v>
      </c>
      <c r="B6" s="20">
        <f>-(SUMIFS(JB_27U,JB_B,1,JB_V,"",JB_S,"",JB_27U,"&lt;&gt;")+SUMIFS(JB_27S,JB_B,1,JB_V,"",JB_S,"",JB_27U,"")+SUMIFS(JB_27U,JB_B,1,JB_V,"",JB_S,"[PARENT]",JB_27U,"&lt;&gt;")+SUMIFS(JB_27S,JB_B,1,JB_V,"",JB_S,"[PARENT]",JB_27U,""))</f>
        <v>-3628085</v>
      </c>
    </row>
    <row r="7" spans="1:15" ht="10" customHeight="1" x14ac:dyDescent="0.2">
      <c r="A7" s="19" t="s">
        <v>8340</v>
      </c>
      <c r="B7" s="20">
        <f>-(SUMIFS(JB_27U,JB_B,1,JB_V,"Combatant Crafts",JB_S,"",JB_27U,"&lt;&gt;")+SUMIFS(JB_27S,JB_B,1,JB_V,"Combatant Crafts",JB_S,"",JB_27U,"")+SUMIFS(JB_27U,JB_B,1,JB_V,"Combatant Crafts",JB_S,"[PARENT]",JB_27U,"&lt;&gt;")+SUMIFS(JB_27S,JB_B,1,JB_V,"Combatant Crafts",JB_S,"[PARENT]",JB_27U,""))</f>
        <v>-733895</v>
      </c>
    </row>
    <row r="8" spans="1:15" ht="10" customHeight="1" x14ac:dyDescent="0.2">
      <c r="A8" s="19" t="s">
        <v>8341</v>
      </c>
      <c r="B8" s="20">
        <f>-(SUMIFS(JB_27U,JB_B,1,JB_V,"Support Crafts",JB_S,"",JB_27U,"&lt;&gt;")+SUMIFS(JB_27S,JB_B,1,JB_V,"Support Crafts",JB_S,"",JB_27U,"")+SUMIFS(JB_27U,JB_B,1,JB_V,"Support Crafts",JB_S,"[PARENT]",JB_27U,"&lt;&gt;")+SUMIFS(JB_27S,JB_B,1,JB_V,"Support Crafts",JB_S,"[PARENT]",JB_27U,""))</f>
        <v>-355500</v>
      </c>
    </row>
    <row r="9" spans="1:15" ht="10" customHeight="1" x14ac:dyDescent="0.2">
      <c r="A9" s="21" t="s">
        <v>8342</v>
      </c>
      <c r="B9" s="22">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10" spans="1:15" ht="10" customHeight="1" x14ac:dyDescent="0.2"/>
    <row r="11" spans="1:15" ht="10" customHeight="1" x14ac:dyDescent="0.2"/>
    <row r="12" spans="1:15" ht="10" customHeight="1" x14ac:dyDescent="0.2">
      <c r="A12" s="6" t="s">
        <v>8343</v>
      </c>
      <c r="B12" s="7"/>
      <c r="C12" s="7"/>
      <c r="D12" s="7"/>
    </row>
    <row r="13" spans="1:15" ht="10" customHeight="1" x14ac:dyDescent="0.2">
      <c r="A13" s="18" t="s">
        <v>19</v>
      </c>
      <c r="B13" s="18" t="s">
        <v>8344</v>
      </c>
      <c r="C13" s="18" t="s">
        <v>8436</v>
      </c>
      <c r="D13" s="18" t="s">
        <v>8345</v>
      </c>
    </row>
    <row r="14" spans="1:15" ht="10" customHeight="1" x14ac:dyDescent="0.2">
      <c r="A14" s="19" t="s">
        <v>48</v>
      </c>
      <c r="B14" s="19" t="s">
        <v>46</v>
      </c>
      <c r="C14" s="20">
        <f>SUMIFS(JB_27U,JB_B,1,JB_W,"Submarines",JB_S,"",JB_27U,"&lt;&gt;")+SUMIFS(JB_27S,JB_B,1,JB_W,"Submarines",JB_S,"",JB_27U,"")+SUMIFS(JB_27U,JB_B,1,JB_W,"Submarines",JB_S,"[PARENT]",JB_27U,"&lt;&gt;")+SUMIFS(JB_27S,JB_B,1,JB_W,"Submarines",JB_S,"[PARENT]",JB_27U,"")</f>
        <v>29188808</v>
      </c>
      <c r="D14" s="26">
        <f t="shared" ref="D14:D41" si="0">IFERROR(C14/C$42,0)</f>
        <v>0.51133797684782911</v>
      </c>
    </row>
    <row r="15" spans="1:15" ht="10" customHeight="1" x14ac:dyDescent="0.2">
      <c r="A15" s="19" t="s">
        <v>145</v>
      </c>
      <c r="B15" s="19" t="s">
        <v>46</v>
      </c>
      <c r="C15" s="20">
        <f>SUMIFS(JB_27U,JB_B,1,JB_W,"Amphibious Warfare Ships",JB_S,"",JB_27U,"&lt;&gt;")+SUMIFS(JB_27S,JB_B,1,JB_W,"Amphibious Warfare Ships",JB_S,"",JB_27U,"")+SUMIFS(JB_27U,JB_B,1,JB_W,"Amphibious Warfare Ships",JB_S,"[PARENT]",JB_27U,"&lt;&gt;")+SUMIFS(JB_27S,JB_B,1,JB_W,"Amphibious Warfare Ships",JB_S,"[PARENT]",JB_27U,"")</f>
        <v>6400969</v>
      </c>
      <c r="D15" s="26">
        <f t="shared" si="0"/>
        <v>0.11213402542254114</v>
      </c>
    </row>
    <row r="16" spans="1:15" ht="10" customHeight="1" x14ac:dyDescent="0.2">
      <c r="A16" s="19" t="s">
        <v>115</v>
      </c>
      <c r="B16" s="19" t="s">
        <v>46</v>
      </c>
      <c r="C16" s="20">
        <f>SUMIFS(JB_27U,JB_B,1,JB_W,"Surface Combatants",JB_S,"",JB_27U,"&lt;&gt;")+SUMIFS(JB_27S,JB_B,1,JB_W,"Surface Combatants",JB_S,"",JB_27U,"")+SUMIFS(JB_27U,JB_B,1,JB_W,"Surface Combatants",JB_S,"[PARENT]",JB_27U,"&lt;&gt;")+SUMIFS(JB_27S,JB_B,1,JB_W,"Surface Combatants",JB_S,"[PARENT]",JB_27U,"")</f>
        <v>5857134</v>
      </c>
      <c r="D16" s="26">
        <f t="shared" si="0"/>
        <v>0.10260696667320683</v>
      </c>
    </row>
    <row r="17" spans="1:4" ht="10" customHeight="1" x14ac:dyDescent="0.2">
      <c r="A17" s="19" t="s">
        <v>4962</v>
      </c>
      <c r="B17" s="19" t="s">
        <v>46</v>
      </c>
      <c r="C17" s="20">
        <f>SUMIFS(JB_27U,JB_B,1,JB_W,"Material Support Ships",JB_S,"",JB_27U,"&lt;&gt;")+SUMIFS(JB_27S,JB_B,1,JB_W,"Material Support Ships",JB_S,"",JB_27U,"")+SUMIFS(JB_27U,JB_B,1,JB_W,"Material Support Ships",JB_S,"[PARENT]",JB_27U,"&lt;&gt;")+SUMIFS(JB_27S,JB_B,1,JB_W,"Material Support Ships",JB_S,"[PARENT]",JB_27U,"")</f>
        <v>4444000</v>
      </c>
      <c r="D17" s="26">
        <f t="shared" si="0"/>
        <v>7.7851276732909161E-2</v>
      </c>
    </row>
    <row r="18" spans="1:4" ht="10" customHeight="1" x14ac:dyDescent="0.2">
      <c r="A18" s="19" t="s">
        <v>65</v>
      </c>
      <c r="B18" s="19" t="s">
        <v>46</v>
      </c>
      <c r="C18" s="20">
        <f>SUMIFS(JB_27U,JB_B,1,JB_W,"Aircraft Carriers",JB_S,"",JB_27U,"&lt;&gt;")+SUMIFS(JB_27S,JB_B,1,JB_W,"Aircraft Carriers",JB_S,"",JB_27U,"")+SUMIFS(JB_27U,JB_B,1,JB_W,"Aircraft Carriers",JB_S,"[PARENT]",JB_27U,"&lt;&gt;")+SUMIFS(JB_27S,JB_B,1,JB_W,"Aircraft Carriers",JB_S,"[PARENT]",JB_27U,"")</f>
        <v>4067355</v>
      </c>
      <c r="D18" s="26">
        <f t="shared" si="0"/>
        <v>7.1253100737169603E-2</v>
      </c>
    </row>
    <row r="19" spans="1:4" ht="10" customHeight="1" x14ac:dyDescent="0.2">
      <c r="A19" s="19" t="s">
        <v>198</v>
      </c>
      <c r="B19" s="19" t="s">
        <v>186</v>
      </c>
      <c r="C19" s="20">
        <f>SUMIFS(JB_27U,JB_B,1,JB_W,"Combat Logistics Ships",JB_S,"",JB_27U,"&lt;&gt;")+SUMIFS(JB_27S,JB_B,1,JB_W,"Combat Logistics Ships",JB_S,"",JB_27U,"")+SUMIFS(JB_27U,JB_B,1,JB_W,"Combat Logistics Ships",JB_S,"[PARENT]",JB_27U,"&lt;&gt;")+SUMIFS(JB_27S,JB_B,1,JB_W,"Combat Logistics Ships",JB_S,"[PARENT]",JB_27U,"")</f>
        <v>2678883</v>
      </c>
      <c r="D19" s="26">
        <f t="shared" si="0"/>
        <v>4.6929446842503574E-2</v>
      </c>
    </row>
    <row r="20" spans="1:4" ht="10" customHeight="1" x14ac:dyDescent="0.2">
      <c r="A20" s="19" t="s">
        <v>178</v>
      </c>
      <c r="B20" s="19" t="s">
        <v>46</v>
      </c>
      <c r="C20" s="20">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20" s="26">
        <f t="shared" si="0"/>
        <v>3.3065770664573814E-2</v>
      </c>
    </row>
    <row r="21" spans="1:4" ht="10" customHeight="1" x14ac:dyDescent="0.2">
      <c r="A21" s="19" t="s">
        <v>210</v>
      </c>
      <c r="B21" s="19" t="s">
        <v>46</v>
      </c>
      <c r="C21" s="20">
        <f>SUMIFS(JB_27U,JB_B,1,JB_W,"Surveillance Ships",JB_S,"",JB_27U,"&lt;&gt;")+SUMIFS(JB_27S,JB_B,1,JB_W,"Surveillance Ships",JB_S,"",JB_27U,"")+SUMIFS(JB_27U,JB_B,1,JB_W,"Surveillance Ships",JB_S,"[PARENT]",JB_27U,"&lt;&gt;")+SUMIFS(JB_27S,JB_B,1,JB_W,"Surveillance Ships",JB_S,"[PARENT]",JB_27U,"")</f>
        <v>910664</v>
      </c>
      <c r="D21" s="26">
        <f t="shared" si="0"/>
        <v>1.5953275219328978E-2</v>
      </c>
    </row>
    <row r="22" spans="1:4" ht="10" customHeight="1" x14ac:dyDescent="0.2">
      <c r="A22" s="19" t="s">
        <v>5025</v>
      </c>
      <c r="B22" s="19" t="s">
        <v>186</v>
      </c>
      <c r="C22" s="20">
        <f>SUMIFS(JB_27U,JB_B,1,JB_W,"Hospital Ship",JB_S,"",JB_27U,"&lt;&gt;")+SUMIFS(JB_27S,JB_B,1,JB_W,"Hospital Ship",JB_S,"",JB_27U,"")+SUMIFS(JB_27U,JB_B,1,JB_W,"Hospital Ship",JB_S,"[PARENT]",JB_27U,"&lt;&gt;")+SUMIFS(JB_27S,JB_B,1,JB_W,"Hospital Ship",JB_S,"[PARENT]",JB_27U,"")</f>
        <v>650000</v>
      </c>
      <c r="D22" s="26">
        <f t="shared" si="0"/>
        <v>1.1386887910979061E-2</v>
      </c>
    </row>
    <row r="23" spans="1:4" ht="10" customHeight="1" x14ac:dyDescent="0.2">
      <c r="A23" s="19" t="s">
        <v>241</v>
      </c>
      <c r="B23" s="19" t="s">
        <v>46</v>
      </c>
      <c r="C23" s="20">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3" s="26">
        <f t="shared" si="0"/>
        <v>1.0160607674412086E-2</v>
      </c>
    </row>
    <row r="24" spans="1:4" ht="10" customHeight="1" x14ac:dyDescent="0.2">
      <c r="A24" s="19" t="s">
        <v>4672</v>
      </c>
      <c r="B24" s="19" t="s">
        <v>46</v>
      </c>
      <c r="C24" s="20">
        <f>SUMIFS(JB_27U,JB_B,1,JB_W,"Unmanned Undersea Vehicles",JB_S,"",JB_27U,"&lt;&gt;")+SUMIFS(JB_27S,JB_B,1,JB_W,"Unmanned Undersea Vehicles",JB_S,"",JB_27U,"")+SUMIFS(JB_27U,JB_B,1,JB_W,"Unmanned Undersea Vehicles",JB_S,"[PARENT]",JB_27U,"&lt;&gt;")+SUMIFS(JB_27S,JB_B,1,JB_W,"Unmanned Undersea Vehicles",JB_S,"[PARENT]",JB_27U,"")</f>
        <v>246757</v>
      </c>
      <c r="D24" s="26">
        <f t="shared" si="0"/>
        <v>4.3227604619222471E-3</v>
      </c>
    </row>
    <row r="25" spans="1:4" ht="10" customHeight="1" x14ac:dyDescent="0.2">
      <c r="A25" s="19" t="s">
        <v>5412</v>
      </c>
      <c r="B25" s="19" t="s">
        <v>46</v>
      </c>
      <c r="C25" s="20">
        <f>SUMIFS(JB_27U,JB_B,1,JB_W,"Unmanned Surface Vehicles",JB_S,"",JB_27U,"&lt;&gt;")+SUMIFS(JB_27S,JB_B,1,JB_W,"Unmanned Surface Vehicles",JB_S,"",JB_27U,"")+SUMIFS(JB_27U,JB_B,1,JB_W,"Unmanned Surface Vehicles",JB_S,"[PARENT]",JB_27U,"&lt;&gt;")+SUMIFS(JB_27S,JB_B,1,JB_W,"Unmanned Surface Vehicles",JB_S,"[PARENT]",JB_27U,"")</f>
        <v>171130</v>
      </c>
      <c r="D25" s="26">
        <f t="shared" si="0"/>
        <v>2.9979048126243797E-3</v>
      </c>
    </row>
    <row r="26" spans="1:4" ht="10" customHeight="1" x14ac:dyDescent="0.2">
      <c r="A26" s="19" t="s">
        <v>5268</v>
      </c>
      <c r="B26" s="19" t="s">
        <v>46</v>
      </c>
      <c r="C26" s="20">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26" s="26">
        <f t="shared" si="0"/>
        <v>0</v>
      </c>
    </row>
    <row r="27" spans="1:4" ht="10" customHeight="1" x14ac:dyDescent="0.2">
      <c r="A27" s="19" t="s">
        <v>229</v>
      </c>
      <c r="B27" s="19" t="s">
        <v>186</v>
      </c>
      <c r="C27" s="20">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27" s="26">
        <f t="shared" si="0"/>
        <v>0</v>
      </c>
    </row>
    <row r="28" spans="1:4" ht="10" customHeight="1" x14ac:dyDescent="0.2">
      <c r="A28" s="19" t="s">
        <v>4639</v>
      </c>
      <c r="B28" s="19" t="s">
        <v>46</v>
      </c>
      <c r="C28" s="20">
        <f>SUMIFS(JB_27U,JB_B,1,JB_W,"General Auxiliary",JB_S,"",JB_27U,"&lt;&gt;")+SUMIFS(JB_27S,JB_B,1,JB_W,"General Auxiliary",JB_S,"",JB_27U,"")+SUMIFS(JB_27U,JB_B,1,JB_W,"General Auxiliary",JB_S,"[PARENT]",JB_27U,"&lt;&gt;")+SUMIFS(JB_27S,JB_B,1,JB_W,"General Auxiliary",JB_S,"[PARENT]",JB_27U,"")</f>
        <v>0</v>
      </c>
      <c r="D28" s="26">
        <f t="shared" si="0"/>
        <v>0</v>
      </c>
    </row>
    <row r="29" spans="1:4" ht="10" customHeight="1" x14ac:dyDescent="0.2">
      <c r="A29" s="19" t="s">
        <v>5015</v>
      </c>
      <c r="B29" s="19" t="s">
        <v>46</v>
      </c>
      <c r="C29" s="20">
        <f>SUMIFS(JB_27U,JB_B,1,JB_W,"Submarine Escort Ship",JB_S,"",JB_27U,"&lt;&gt;")+SUMIFS(JB_27S,JB_B,1,JB_W,"Submarine Escort Ship",JB_S,"",JB_27U,"")+SUMIFS(JB_27U,JB_B,1,JB_W,"Submarine Escort Ship",JB_S,"[PARENT]",JB_27U,"&lt;&gt;")+SUMIFS(JB_27S,JB_B,1,JB_W,"Submarine Escort Ship",JB_S,"[PARENT]",JB_27U,"")</f>
        <v>0</v>
      </c>
      <c r="D29" s="26">
        <f t="shared" si="0"/>
        <v>0</v>
      </c>
    </row>
    <row r="30" spans="1:4" ht="10" customHeight="1" x14ac:dyDescent="0.2">
      <c r="A30" s="19" t="s">
        <v>4855</v>
      </c>
      <c r="B30" s="19" t="s">
        <v>46</v>
      </c>
      <c r="C30" s="20">
        <f>SUMIFS(JB_27U,JB_B,1,JB_W,"Command Ships",JB_S,"",JB_27U,"&lt;&gt;")+SUMIFS(JB_27S,JB_B,1,JB_W,"Command Ships",JB_S,"",JB_27U,"")+SUMIFS(JB_27U,JB_B,1,JB_W,"Command Ships",JB_S,"[PARENT]",JB_27U,"&lt;&gt;")+SUMIFS(JB_27S,JB_B,1,JB_W,"Command Ships",JB_S,"[PARENT]",JB_27U,"")</f>
        <v>0</v>
      </c>
      <c r="D30" s="26">
        <f t="shared" si="0"/>
        <v>0</v>
      </c>
    </row>
    <row r="31" spans="1:4" ht="10" customHeight="1" x14ac:dyDescent="0.2">
      <c r="A31" s="19" t="s">
        <v>5273</v>
      </c>
      <c r="B31" s="19" t="s">
        <v>46</v>
      </c>
      <c r="C31" s="20">
        <f>SUMIFS(JB_27U,JB_B,1,JB_W,"Crane Ship",JB_S,"",JB_27U,"&lt;&gt;")+SUMIFS(JB_27S,JB_B,1,JB_W,"Crane Ship",JB_S,"",JB_27U,"")+SUMIFS(JB_27U,JB_B,1,JB_W,"Crane Ship",JB_S,"[PARENT]",JB_27U,"&lt;&gt;")+SUMIFS(JB_27S,JB_B,1,JB_W,"Crane Ship",JB_S,"[PARENT]",JB_27U,"")</f>
        <v>0</v>
      </c>
      <c r="D31" s="26">
        <f t="shared" si="0"/>
        <v>0</v>
      </c>
    </row>
    <row r="32" spans="1:4" ht="10" customHeight="1" x14ac:dyDescent="0.2">
      <c r="A32" s="19" t="s">
        <v>222</v>
      </c>
      <c r="B32" s="19" t="s">
        <v>186</v>
      </c>
      <c r="C32" s="20">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32" s="26">
        <f t="shared" si="0"/>
        <v>0</v>
      </c>
    </row>
    <row r="33" spans="1:14" ht="10" customHeight="1" x14ac:dyDescent="0.2">
      <c r="A33" s="19" t="s">
        <v>4680</v>
      </c>
      <c r="B33" s="19" t="s">
        <v>46</v>
      </c>
      <c r="C33" s="20">
        <f>SUMIFS(JB_27U,JB_B,1,JB_W,"Mine Warfare",JB_S,"",JB_27U,"&lt;&gt;")+SUMIFS(JB_27S,JB_B,1,JB_W,"Mine Warfare",JB_S,"",JB_27U,"")+SUMIFS(JB_27U,JB_B,1,JB_W,"Mine Warfare",JB_S,"[PARENT]",JB_27U,"&lt;&gt;")+SUMIFS(JB_27S,JB_B,1,JB_W,"Mine Warfare",JB_S,"[PARENT]",JB_27U,"")</f>
        <v>0</v>
      </c>
      <c r="D33" s="26">
        <f t="shared" si="0"/>
        <v>0</v>
      </c>
    </row>
    <row r="34" spans="1:14" ht="10" customHeight="1" x14ac:dyDescent="0.2">
      <c r="A34" s="19" t="s">
        <v>4981</v>
      </c>
      <c r="B34" s="19" t="s">
        <v>46</v>
      </c>
      <c r="C34" s="20">
        <f>SUMIFS(JB_27U,JB_B,1,JB_W,"High Speed Transport",JB_S,"",JB_27U,"&lt;&gt;")+SUMIFS(JB_27S,JB_B,1,JB_W,"High Speed Transport",JB_S,"",JB_27U,"")+SUMIFS(JB_27U,JB_B,1,JB_W,"High Speed Transport",JB_S,"[PARENT]",JB_27U,"&lt;&gt;")+SUMIFS(JB_27S,JB_B,1,JB_W,"High Speed Transport",JB_S,"[PARENT]",JB_27U,"")</f>
        <v>0</v>
      </c>
      <c r="D34" s="26">
        <f t="shared" si="0"/>
        <v>0</v>
      </c>
    </row>
    <row r="35" spans="1:14" ht="10" customHeight="1" x14ac:dyDescent="0.2">
      <c r="A35" s="19" t="s">
        <v>8184</v>
      </c>
      <c r="B35" s="19" t="s">
        <v>6805</v>
      </c>
      <c r="C35" s="20">
        <f>SUMIFS(JB_27U,JB_B,1,JB_W,"Offshore Patrol Cutter",JB_S,"",JB_27U,"&lt;&gt;")+SUMIFS(JB_27S,JB_B,1,JB_W,"Offshore Patrol Cutter",JB_S,"",JB_27U,"")+SUMIFS(JB_27U,JB_B,1,JB_W,"Offshore Patrol Cutter",JB_S,"[PARENT]",JB_27U,"&lt;&gt;")+SUMIFS(JB_27S,JB_B,1,JB_W,"Offshore Patrol Cutter",JB_S,"[PARENT]",JB_27U,"")</f>
        <v>0</v>
      </c>
      <c r="D35" s="26">
        <f t="shared" si="0"/>
        <v>0</v>
      </c>
    </row>
    <row r="36" spans="1:14" ht="10" customHeight="1" x14ac:dyDescent="0.2">
      <c r="A36" s="19" t="s">
        <v>8190</v>
      </c>
      <c r="B36" s="19" t="s">
        <v>6805</v>
      </c>
      <c r="C36" s="20">
        <f>SUMIFS(JB_27U,JB_B,1,JB_W,"Fast Response Cutters",JB_S,"",JB_27U,"&lt;&gt;")+SUMIFS(JB_27S,JB_B,1,JB_W,"Fast Response Cutters",JB_S,"",JB_27U,"")+SUMIFS(JB_27U,JB_B,1,JB_W,"Fast Response Cutters",JB_S,"[PARENT]",JB_27U,"&lt;&gt;")+SUMIFS(JB_27S,JB_B,1,JB_W,"Fast Response Cutters",JB_S,"[PARENT]",JB_27U,"")</f>
        <v>0</v>
      </c>
      <c r="D36" s="26">
        <f t="shared" si="0"/>
        <v>0</v>
      </c>
    </row>
    <row r="37" spans="1:14" ht="10" customHeight="1" x14ac:dyDescent="0.2">
      <c r="A37" s="19" t="s">
        <v>8209</v>
      </c>
      <c r="B37" s="19" t="s">
        <v>6805</v>
      </c>
      <c r="C37" s="20">
        <f>SUMIFS(JB_27U,JB_B,1,JB_W,"Waterways Commerce Cutters",JB_S,"",JB_27U,"&lt;&gt;")+SUMIFS(JB_27S,JB_B,1,JB_W,"Waterways Commerce Cutters",JB_S,"",JB_27U,"")+SUMIFS(JB_27U,JB_B,1,JB_W,"Waterways Commerce Cutters",JB_S,"[PARENT]",JB_27U,"&lt;&gt;")+SUMIFS(JB_27S,JB_B,1,JB_W,"Waterways Commerce Cutters",JB_S,"[PARENT]",JB_27U,"")</f>
        <v>0</v>
      </c>
      <c r="D37" s="26">
        <f t="shared" si="0"/>
        <v>0</v>
      </c>
    </row>
    <row r="38" spans="1:14" ht="10" customHeight="1" x14ac:dyDescent="0.2">
      <c r="A38" s="19" t="s">
        <v>6807</v>
      </c>
      <c r="B38" s="19" t="s">
        <v>6805</v>
      </c>
      <c r="C38" s="20">
        <f>SUMIFS(JB_27U,JB_B,1,JB_W,"National Security Cutters",JB_S,"",JB_27U,"&lt;&gt;")+SUMIFS(JB_27S,JB_B,1,JB_W,"National Security Cutters",JB_S,"",JB_27U,"")+SUMIFS(JB_27U,JB_B,1,JB_W,"National Security Cutters",JB_S,"[PARENT]",JB_27U,"&lt;&gt;")+SUMIFS(JB_27S,JB_B,1,JB_W,"National Security Cutters",JB_S,"[PARENT]",JB_27U,"")</f>
        <v>0</v>
      </c>
      <c r="D38" s="26">
        <f t="shared" si="0"/>
        <v>0</v>
      </c>
    </row>
    <row r="39" spans="1:14" ht="10" customHeight="1" x14ac:dyDescent="0.2">
      <c r="A39" s="19" t="s">
        <v>8198</v>
      </c>
      <c r="B39" s="19" t="s">
        <v>6805</v>
      </c>
      <c r="C39" s="20">
        <f>SUMIFS(JB_27U,JB_B,1,JB_W,"Icebreakers, Oceangoing",JB_S,"",JB_27U,"&lt;&gt;")+SUMIFS(JB_27S,JB_B,1,JB_W,"Icebreakers, Oceangoing",JB_S,"",JB_27U,"")+SUMIFS(JB_27U,JB_B,1,JB_W,"Icebreakers, Oceangoing",JB_S,"[PARENT]",JB_27U,"&lt;&gt;")+SUMIFS(JB_27S,JB_B,1,JB_W,"Icebreakers, Oceangoing",JB_S,"[PARENT]",JB_27U,"")</f>
        <v>0</v>
      </c>
      <c r="D39" s="26">
        <f t="shared" si="0"/>
        <v>0</v>
      </c>
    </row>
    <row r="40" spans="1:14" ht="10" customHeight="1" x14ac:dyDescent="0.2">
      <c r="A40" s="19" t="s">
        <v>8205</v>
      </c>
      <c r="B40" s="19" t="s">
        <v>6805</v>
      </c>
      <c r="C40" s="20">
        <f>SUMIFS(JB_27U,JB_B,1,JB_W,"Icebreakers, Great Lakes",JB_S,"",JB_27U,"&lt;&gt;")+SUMIFS(JB_27S,JB_B,1,JB_W,"Icebreakers, Great Lakes",JB_S,"",JB_27U,"")+SUMIFS(JB_27U,JB_B,1,JB_W,"Icebreakers, Great Lakes",JB_S,"[PARENT]",JB_27U,"&lt;&gt;")+SUMIFS(JB_27S,JB_B,1,JB_W,"Icebreakers, Great Lakes",JB_S,"[PARENT]",JB_27U,"")</f>
        <v>0</v>
      </c>
      <c r="D40" s="26">
        <f t="shared" si="0"/>
        <v>0</v>
      </c>
    </row>
    <row r="41" spans="1:14" ht="10" customHeight="1" x14ac:dyDescent="0.2">
      <c r="A41" s="19" t="s">
        <v>8171</v>
      </c>
      <c r="B41" s="19" t="s">
        <v>6805</v>
      </c>
      <c r="C41" s="20">
        <f>SUMIFS(JB_27U,JB_B,1,JB_W,"Coastal Buoy Tenders",JB_S,"",JB_27U,"&lt;&gt;")+SUMIFS(JB_27S,JB_B,1,JB_W,"Coastal Buoy Tenders",JB_S,"",JB_27U,"")+SUMIFS(JB_27U,JB_B,1,JB_W,"Coastal Buoy Tenders",JB_S,"[PARENT]",JB_27U,"&lt;&gt;")+SUMIFS(JB_27S,JB_B,1,JB_W,"Coastal Buoy Tenders",JB_S,"[PARENT]",JB_27U,"")</f>
        <v>0</v>
      </c>
      <c r="D41" s="26">
        <f t="shared" si="0"/>
        <v>0</v>
      </c>
    </row>
    <row r="42" spans="1:14" ht="10" customHeight="1" x14ac:dyDescent="0.2">
      <c r="A42" s="21" t="s">
        <v>8342</v>
      </c>
      <c r="B42" s="21"/>
      <c r="C42" s="22">
        <f>SUM(C14:C41)</f>
        <v>57083200</v>
      </c>
      <c r="D42" s="27">
        <v>1</v>
      </c>
    </row>
    <row r="43" spans="1:14" ht="10" customHeight="1" x14ac:dyDescent="0.2"/>
    <row r="44" spans="1:14" ht="10" customHeight="1" x14ac:dyDescent="0.2"/>
    <row r="45" spans="1:14" ht="10" customHeight="1" x14ac:dyDescent="0.2">
      <c r="A45" s="6" t="s">
        <v>8346</v>
      </c>
      <c r="B45" s="7"/>
      <c r="C45" s="7"/>
      <c r="D45" s="7"/>
      <c r="E45" s="7"/>
      <c r="F45" s="7"/>
      <c r="G45" s="7"/>
      <c r="H45" s="7"/>
      <c r="I45" s="7"/>
      <c r="J45" s="7"/>
      <c r="K45" s="7"/>
      <c r="L45" s="7"/>
      <c r="M45" s="7"/>
      <c r="N45" s="7"/>
    </row>
    <row r="46" spans="1:14" ht="10" customHeight="1" x14ac:dyDescent="0.2">
      <c r="A46" s="28"/>
      <c r="B46" s="29" t="s">
        <v>46</v>
      </c>
      <c r="C46" s="28"/>
      <c r="D46" s="28"/>
      <c r="E46" s="28"/>
      <c r="F46" s="28"/>
      <c r="G46" s="28"/>
      <c r="H46" s="28"/>
      <c r="I46" s="28"/>
      <c r="J46" s="28"/>
      <c r="K46" s="28"/>
      <c r="L46" s="28"/>
      <c r="M46" s="28"/>
      <c r="N46" s="30"/>
    </row>
    <row r="47" spans="1:14" ht="10" customHeight="1" x14ac:dyDescent="0.2">
      <c r="A47" s="18" t="s">
        <v>8347</v>
      </c>
      <c r="B47" s="31" t="s">
        <v>48</v>
      </c>
      <c r="C47" s="18" t="s">
        <v>145</v>
      </c>
      <c r="D47" s="18" t="s">
        <v>115</v>
      </c>
      <c r="E47" s="18" t="s">
        <v>4962</v>
      </c>
      <c r="F47" s="18" t="s">
        <v>65</v>
      </c>
      <c r="G47" s="18" t="s">
        <v>198</v>
      </c>
      <c r="H47" s="18" t="s">
        <v>178</v>
      </c>
      <c r="I47" s="18" t="s">
        <v>210</v>
      </c>
      <c r="J47" s="18" t="s">
        <v>5025</v>
      </c>
      <c r="K47" s="18" t="s">
        <v>241</v>
      </c>
      <c r="L47" s="18" t="s">
        <v>4672</v>
      </c>
      <c r="M47" s="18" t="s">
        <v>5412</v>
      </c>
      <c r="N47" s="31" t="s">
        <v>8323</v>
      </c>
    </row>
    <row r="48" spans="1:14" ht="10" customHeight="1" x14ac:dyDescent="0.2">
      <c r="A48" s="19" t="s">
        <v>8348</v>
      </c>
      <c r="B48" s="32">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0.63846896385765395</v>
      </c>
      <c r="C48" s="26">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0.94439123201502773</v>
      </c>
      <c r="D48" s="26">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0.81332508356476052</v>
      </c>
      <c r="E48" s="26">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1</v>
      </c>
      <c r="F48" s="26">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0.52289239567237189</v>
      </c>
      <c r="G48" s="26">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1</v>
      </c>
      <c r="H48" s="26">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1</v>
      </c>
      <c r="I48" s="26">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1</v>
      </c>
      <c r="J48" s="26">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1</v>
      </c>
      <c r="K48" s="26">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1</v>
      </c>
      <c r="L48" s="26">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1</v>
      </c>
      <c r="M48" s="26">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1</v>
      </c>
      <c r="N48" s="32">
        <f>IFERROR(1-N49,0)</f>
        <v>0.75738613112089026</v>
      </c>
    </row>
    <row r="49" spans="1:14" ht="10" customHeight="1" x14ac:dyDescent="0.2">
      <c r="A49" s="19" t="s">
        <v>8349</v>
      </c>
      <c r="B49" s="32">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0.36153103614234605</v>
      </c>
      <c r="C49" s="26">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5.5608767984972274E-2</v>
      </c>
      <c r="D49" s="26">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0.17073196549711855</v>
      </c>
      <c r="E49" s="26">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0</v>
      </c>
      <c r="F49" s="26">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0.47710760432762817</v>
      </c>
      <c r="G49" s="26">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0</v>
      </c>
      <c r="H49" s="26">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0</v>
      </c>
      <c r="I49" s="26">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0</v>
      </c>
      <c r="J49" s="26">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0</v>
      </c>
      <c r="K49" s="26">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0</v>
      </c>
      <c r="L49" s="26">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0</v>
      </c>
      <c r="M49" s="26">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0</v>
      </c>
      <c r="N49" s="32">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0.2426138688791098</v>
      </c>
    </row>
    <row r="50" spans="1:14" ht="10" customHeight="1" x14ac:dyDescent="0.2">
      <c r="A50" s="19" t="s">
        <v>8350</v>
      </c>
      <c r="B50" s="32">
        <f t="shared" ref="B50:N50" si="1">IFERROR(1-B48-B49,0)</f>
        <v>0</v>
      </c>
      <c r="C50" s="26">
        <f t="shared" si="1"/>
        <v>0</v>
      </c>
      <c r="D50" s="26">
        <f t="shared" si="1"/>
        <v>1.5942950938120926E-2</v>
      </c>
      <c r="E50" s="26">
        <f t="shared" si="1"/>
        <v>0</v>
      </c>
      <c r="F50" s="26">
        <f t="shared" si="1"/>
        <v>-5.5511151231257827E-17</v>
      </c>
      <c r="G50" s="26">
        <f t="shared" si="1"/>
        <v>0</v>
      </c>
      <c r="H50" s="26">
        <f t="shared" si="1"/>
        <v>0</v>
      </c>
      <c r="I50" s="26">
        <f t="shared" si="1"/>
        <v>0</v>
      </c>
      <c r="J50" s="26">
        <f t="shared" si="1"/>
        <v>0</v>
      </c>
      <c r="K50" s="26">
        <f t="shared" si="1"/>
        <v>0</v>
      </c>
      <c r="L50" s="26">
        <f t="shared" si="1"/>
        <v>0</v>
      </c>
      <c r="M50" s="26">
        <f t="shared" si="1"/>
        <v>0</v>
      </c>
      <c r="N50" s="32">
        <f t="shared" si="1"/>
        <v>-5.5511151231257827E-17</v>
      </c>
    </row>
    <row r="51" spans="1:14" ht="10" customHeight="1" x14ac:dyDescent="0.2">
      <c r="A51" s="21" t="s">
        <v>8351</v>
      </c>
      <c r="B51" s="33">
        <f>SUMIFS(JB_27U,JB_B,1,JB_W,"Submarines",JB_S,"",JB_27U,"&lt;&gt;")+SUMIFS(JB_27S,JB_B,1,JB_W,"Submarines",JB_S,"",JB_27U,"")+SUMIFS(JB_27U,JB_B,1,JB_W,"Submarines",JB_S,"[PARENT]",JB_27U,"&lt;&gt;")+SUMIFS(JB_27S,JB_B,1,JB_W,"Submarines",JB_S,"[PARENT]",JB_27U,"")</f>
        <v>29188808</v>
      </c>
      <c r="C51" s="22">
        <f>SUMIFS(JB_27U,JB_B,1,JB_W,"Amphibious Warfare Ships",JB_S,"",JB_27U,"&lt;&gt;")+SUMIFS(JB_27S,JB_B,1,JB_W,"Amphibious Warfare Ships",JB_S,"",JB_27U,"")+SUMIFS(JB_27U,JB_B,1,JB_W,"Amphibious Warfare Ships",JB_S,"[PARENT]",JB_27U,"&lt;&gt;")+SUMIFS(JB_27S,JB_B,1,JB_W,"Amphibious Warfare Ships",JB_S,"[PARENT]",JB_27U,"")</f>
        <v>6400969</v>
      </c>
      <c r="D51" s="22">
        <f>SUMIFS(JB_27U,JB_B,1,JB_W,"Surface Combatants",JB_S,"",JB_27U,"&lt;&gt;")+SUMIFS(JB_27S,JB_B,1,JB_W,"Surface Combatants",JB_S,"",JB_27U,"")+SUMIFS(JB_27U,JB_B,1,JB_W,"Surface Combatants",JB_S,"[PARENT]",JB_27U,"&lt;&gt;")+SUMIFS(JB_27S,JB_B,1,JB_W,"Surface Combatants",JB_S,"[PARENT]",JB_27U,"")</f>
        <v>5857134</v>
      </c>
      <c r="E51" s="22">
        <f>SUMIFS(JB_27U,JB_B,1,JB_W,"Material Support Ships",JB_S,"",JB_27U,"&lt;&gt;")+SUMIFS(JB_27S,JB_B,1,JB_W,"Material Support Ships",JB_S,"",JB_27U,"")+SUMIFS(JB_27U,JB_B,1,JB_W,"Material Support Ships",JB_S,"[PARENT]",JB_27U,"&lt;&gt;")+SUMIFS(JB_27S,JB_B,1,JB_W,"Material Support Ships",JB_S,"[PARENT]",JB_27U,"")</f>
        <v>4444000</v>
      </c>
      <c r="F51" s="22">
        <f>SUMIFS(JB_27U,JB_B,1,JB_W,"Aircraft Carriers",JB_S,"",JB_27U,"&lt;&gt;")+SUMIFS(JB_27S,JB_B,1,JB_W,"Aircraft Carriers",JB_S,"",JB_27U,"")+SUMIFS(JB_27U,JB_B,1,JB_W,"Aircraft Carriers",JB_S,"[PARENT]",JB_27U,"&lt;&gt;")+SUMIFS(JB_27S,JB_B,1,JB_W,"Aircraft Carriers",JB_S,"[PARENT]",JB_27U,"")</f>
        <v>4067355</v>
      </c>
      <c r="G51" s="22">
        <f>SUMIFS(JB_27U,JB_B,1,JB_W,"Combat Logistics Ships",JB_S,"",JB_27U,"&lt;&gt;")+SUMIFS(JB_27S,JB_B,1,JB_W,"Combat Logistics Ships",JB_S,"",JB_27U,"")+SUMIFS(JB_27U,JB_B,1,JB_W,"Combat Logistics Ships",JB_S,"[PARENT]",JB_27U,"&lt;&gt;")+SUMIFS(JB_27S,JB_B,1,JB_W,"Combat Logistics Ships",JB_S,"[PARENT]",JB_27U,"")</f>
        <v>2678883</v>
      </c>
      <c r="H51" s="22">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I51" s="22">
        <f>SUMIFS(JB_27U,JB_B,1,JB_W,"Surveillance Ships",JB_S,"",JB_27U,"&lt;&gt;")+SUMIFS(JB_27S,JB_B,1,JB_W,"Surveillance Ships",JB_S,"",JB_27U,"")+SUMIFS(JB_27U,JB_B,1,JB_W,"Surveillance Ships",JB_S,"[PARENT]",JB_27U,"&lt;&gt;")+SUMIFS(JB_27S,JB_B,1,JB_W,"Surveillance Ships",JB_S,"[PARENT]",JB_27U,"")</f>
        <v>910664</v>
      </c>
      <c r="J51" s="22">
        <f>SUMIFS(JB_27U,JB_B,1,JB_W,"Hospital Ship",JB_S,"",JB_27U,"&lt;&gt;")+SUMIFS(JB_27S,JB_B,1,JB_W,"Hospital Ship",JB_S,"",JB_27U,"")+SUMIFS(JB_27U,JB_B,1,JB_W,"Hospital Ship",JB_S,"[PARENT]",JB_27U,"&lt;&gt;")+SUMIFS(JB_27S,JB_B,1,JB_W,"Hospital Ship",JB_S,"[PARENT]",JB_27U,"")</f>
        <v>650000</v>
      </c>
      <c r="K51" s="22">
        <f>SUMIFS(JB_27U,JB_B,1,JB_W,"Cargo &amp; Vehicle Cargo Ships",JB_S,"",JB_27U,"&lt;&gt;")+SUMIFS(JB_27S,JB_B,1,JB_W,"Cargo &amp; Vehicle Cargo Ships",JB_S,"",JB_27U,"")+SUMIFS(JB_27U,JB_B,1,JB_W,"Cargo &amp; Vehicle Cargo Ships",JB_S,"[PARENT]",JB_27U,"&lt;&gt;")+SUMIFS(JB_27S,JB_B,1,JB_W,"Cargo &amp; Vehicle Cargo Ships",JB_S,"[PARENT]",JB_27U,"")</f>
        <v>580000</v>
      </c>
      <c r="L51" s="22">
        <f>SUMIFS(JB_27U,JB_B,1,JB_W,"Unmanned Undersea Vehicles",JB_S,"",JB_27U,"&lt;&gt;")+SUMIFS(JB_27S,JB_B,1,JB_W,"Unmanned Undersea Vehicles",JB_S,"",JB_27U,"")+SUMIFS(JB_27U,JB_B,1,JB_W,"Unmanned Undersea Vehicles",JB_S,"[PARENT]",JB_27U,"&lt;&gt;")+SUMIFS(JB_27S,JB_B,1,JB_W,"Unmanned Undersea Vehicles",JB_S,"[PARENT]",JB_27U,"")</f>
        <v>246757</v>
      </c>
      <c r="M51" s="22">
        <f>SUMIFS(JB_27U,JB_B,1,JB_W,"Unmanned Surface Vehicles",JB_S,"",JB_27U,"&lt;&gt;")+SUMIFS(JB_27S,JB_B,1,JB_W,"Unmanned Surface Vehicles",JB_S,"",JB_27U,"")+SUMIFS(JB_27U,JB_B,1,JB_W,"Unmanned Surface Vehicles",JB_S,"[PARENT]",JB_27U,"&lt;&gt;")+SUMIFS(JB_27S,JB_B,1,JB_W,"Unmanned Surface Vehicles",JB_S,"[PARENT]",JB_27U,"")</f>
        <v>171130</v>
      </c>
      <c r="N51" s="33">
        <f>SUM(B51:M51)</f>
        <v>57083200</v>
      </c>
    </row>
    <row r="52" spans="1:14" ht="10" customHeight="1" x14ac:dyDescent="0.2"/>
    <row r="53" spans="1:14" ht="10" customHeight="1" x14ac:dyDescent="0.2"/>
    <row r="54" spans="1:14" ht="10" customHeight="1" x14ac:dyDescent="0.2">
      <c r="A54" s="6" t="s">
        <v>8440</v>
      </c>
      <c r="B54" s="7"/>
      <c r="C54" s="7"/>
      <c r="D54" s="7"/>
    </row>
    <row r="55" spans="1:14" ht="10" customHeight="1" x14ac:dyDescent="0.2">
      <c r="A55" s="17" t="s">
        <v>8353</v>
      </c>
    </row>
    <row r="56" spans="1:14" ht="10" customHeight="1" x14ac:dyDescent="0.2">
      <c r="A56" s="18" t="s">
        <v>8354</v>
      </c>
      <c r="B56" s="18" t="s">
        <v>8344</v>
      </c>
      <c r="C56" s="18" t="s">
        <v>8436</v>
      </c>
      <c r="D56" s="18" t="s">
        <v>8345</v>
      </c>
    </row>
    <row r="57" spans="1:14" ht="10" customHeight="1" x14ac:dyDescent="0.2">
      <c r="A57" s="19" t="s">
        <v>8356</v>
      </c>
      <c r="B57" s="19" t="s">
        <v>46</v>
      </c>
      <c r="C57" s="20">
        <f>SUMIFS(JB_27U,JB_B,1,JB_H,"SSBN",JB_S,"",JB_27U,"&lt;&gt;")+SUMIFS(JB_27S,JB_B,1,JB_H,"SSBN",JB_S,"",JB_27U,"")+SUMIFS(JB_27U,JB_B,1,JB_H,"SSBN",JB_S,"[PARENT]",JB_27U,"&lt;&gt;")+SUMIFS(JB_27S,JB_B,1,JB_H,"SSBN",JB_S,"[PARENT]",JB_27U,"")</f>
        <v>15202874</v>
      </c>
      <c r="D57" s="26">
        <f t="shared" ref="D57:D71" si="2">IFERROR(C57/C$72,0)</f>
        <v>0.27471852998437651</v>
      </c>
    </row>
    <row r="58" spans="1:14" ht="10" customHeight="1" x14ac:dyDescent="0.2">
      <c r="A58" s="19" t="s">
        <v>8355</v>
      </c>
      <c r="B58" s="19" t="s">
        <v>46</v>
      </c>
      <c r="C58" s="20">
        <f>SUMIFS(JB_27U,JB_B,1,JB_H,"SSN",JB_S,"",JB_27U,"&lt;&gt;")+SUMIFS(JB_27S,JB_B,1,JB_H,"SSN",JB_S,"",JB_27U,"")+SUMIFS(JB_27U,JB_B,1,JB_H,"SSN",JB_S,"[PARENT]",JB_27U,"&lt;&gt;")+SUMIFS(JB_27S,JB_B,1,JB_H,"SSN",JB_S,"[PARENT]",JB_27U,"")</f>
        <v>13985934</v>
      </c>
      <c r="D58" s="26">
        <f t="shared" si="2"/>
        <v>0.2527282163187376</v>
      </c>
    </row>
    <row r="59" spans="1:14" ht="10" customHeight="1" x14ac:dyDescent="0.2">
      <c r="A59" s="19" t="s">
        <v>8441</v>
      </c>
      <c r="B59" s="19" t="s">
        <v>46</v>
      </c>
      <c r="C59" s="20">
        <f>SUMIFS(JB_27U,JB_B,1,JB_H,"AS",JB_S,"",JB_27U,"&lt;&gt;")+SUMIFS(JB_27S,JB_B,1,JB_H,"AS",JB_S,"",JB_27U,"")+SUMIFS(JB_27U,JB_B,1,JB_H,"AS",JB_S,"[PARENT]",JB_27U,"&lt;&gt;")+SUMIFS(JB_27S,JB_B,1,JB_H,"AS",JB_S,"[PARENT]",JB_27U,"")</f>
        <v>4444000</v>
      </c>
      <c r="D59" s="26">
        <f t="shared" si="2"/>
        <v>8.0303839080069286E-2</v>
      </c>
    </row>
    <row r="60" spans="1:14" ht="10" customHeight="1" x14ac:dyDescent="0.2">
      <c r="A60" s="19" t="s">
        <v>8358</v>
      </c>
      <c r="B60" s="19" t="s">
        <v>46</v>
      </c>
      <c r="C60" s="20">
        <f>SUMIFS(JB_27U,JB_B,1,JB_H,"CVN",JB_S,"",JB_27U,"&lt;&gt;")+SUMIFS(JB_27S,JB_B,1,JB_H,"CVN",JB_S,"",JB_27U,"")+SUMIFS(JB_27U,JB_B,1,JB_H,"CVN",JB_S,"[PARENT]",JB_27U,"&lt;&gt;")+SUMIFS(JB_27S,JB_B,1,JB_H,"CVN",JB_S,"[PARENT]",JB_27U,"")</f>
        <v>4067355</v>
      </c>
      <c r="D60" s="26">
        <f t="shared" si="2"/>
        <v>7.349779959530045E-2</v>
      </c>
    </row>
    <row r="61" spans="1:14" ht="10" customHeight="1" x14ac:dyDescent="0.2">
      <c r="A61" s="19" t="s">
        <v>8364</v>
      </c>
      <c r="B61" s="19" t="s">
        <v>46</v>
      </c>
      <c r="C61" s="20">
        <f>SUMIFS(JB_27U,JB_B,1,JB_H,"LHA",JB_S,"",JB_27U,"&lt;&gt;")+SUMIFS(JB_27S,JB_B,1,JB_H,"LHA",JB_S,"",JB_27U,"")+SUMIFS(JB_27U,JB_B,1,JB_H,"LHA",JB_S,"[PARENT]",JB_27U,"&lt;&gt;")+SUMIFS(JB_27S,JB_B,1,JB_H,"LHA",JB_S,"[PARENT]",JB_27U,"")</f>
        <v>3852319</v>
      </c>
      <c r="D61" s="26">
        <f t="shared" si="2"/>
        <v>6.9612062344980519E-2</v>
      </c>
    </row>
    <row r="62" spans="1:14" ht="10" customHeight="1" x14ac:dyDescent="0.2">
      <c r="A62" s="19" t="s">
        <v>8357</v>
      </c>
      <c r="B62" s="19" t="s">
        <v>46</v>
      </c>
      <c r="C62" s="20">
        <f>SUMIFS(JB_27U,JB_B,1,JB_H,"DDG",JB_S,"",JB_27U,"&lt;&gt;")+SUMIFS(JB_27S,JB_B,1,JB_H,"DDG",JB_S,"",JB_27U,"")+SUMIFS(JB_27U,JB_B,1,JB_H,"DDG",JB_S,"[PARENT]",JB_27U,"&lt;&gt;")+SUMIFS(JB_27S,JB_B,1,JB_H,"DDG",JB_S,"[PARENT]",JB_27U,"")</f>
        <v>3334754</v>
      </c>
      <c r="D62" s="26">
        <f t="shared" si="2"/>
        <v>6.0259574389652876E-2</v>
      </c>
    </row>
    <row r="63" spans="1:14" ht="10" customHeight="1" x14ac:dyDescent="0.2">
      <c r="A63" s="19" t="s">
        <v>8362</v>
      </c>
      <c r="B63" s="19" t="s">
        <v>46</v>
      </c>
      <c r="C63" s="20">
        <f>SUMIFS(JB_27U,JB_B,1,JB_H,"LPD",JB_S,"",JB_27U,"&lt;&gt;")+SUMIFS(JB_27S,JB_B,1,JB_H,"LPD",JB_S,"",JB_27U,"")+SUMIFS(JB_27U,JB_B,1,JB_H,"LPD",JB_S,"[PARENT]",JB_27U,"&lt;&gt;")+SUMIFS(JB_27S,JB_B,1,JB_H,"LPD",JB_S,"[PARENT]",JB_27U,"")</f>
        <v>2548650</v>
      </c>
      <c r="D63" s="26">
        <f t="shared" si="2"/>
        <v>4.6054540835152695E-2</v>
      </c>
    </row>
    <row r="64" spans="1:14" ht="10" customHeight="1" x14ac:dyDescent="0.2">
      <c r="A64" s="19" t="s">
        <v>8360</v>
      </c>
      <c r="B64" s="19" t="s">
        <v>186</v>
      </c>
      <c r="C64" s="20">
        <f>SUMIFS(JB_27U,JB_B,1,JB_H,"T-AO",JB_S,"",JB_27U,"&lt;&gt;")+SUMIFS(JB_27S,JB_B,1,JB_H,"T-AO",JB_S,"",JB_27U,"")+SUMIFS(JB_27U,JB_B,1,JB_H,"T-AO",JB_S,"[PARENT]",JB_27U,"&lt;&gt;")+SUMIFS(JB_27S,JB_B,1,JB_H,"T-AO",JB_S,"[PARENT]",JB_27U,"")</f>
        <v>2228883</v>
      </c>
      <c r="D64" s="26">
        <f t="shared" si="2"/>
        <v>4.027629652572054E-2</v>
      </c>
    </row>
    <row r="65" spans="1:4" ht="10" customHeight="1" x14ac:dyDescent="0.2">
      <c r="A65" s="19" t="s">
        <v>8359</v>
      </c>
      <c r="B65" s="19" t="s">
        <v>46</v>
      </c>
      <c r="C65" s="20">
        <f>SUMIFS(JB_27U,JB_B,1,JB_H,"LSM",JB_S,"",JB_27U,"&lt;&gt;")+SUMIFS(JB_27S,JB_B,1,JB_H,"LSM",JB_S,"",JB_27U,"")+SUMIFS(JB_27U,JB_B,1,JB_H,"LSM",JB_S,"[PARENT]",JB_27U,"&lt;&gt;")+SUMIFS(JB_27S,JB_B,1,JB_H,"LSM",JB_S,"[PARENT]",JB_27U,"")</f>
        <v>1887500</v>
      </c>
      <c r="D65" s="26">
        <f t="shared" si="2"/>
        <v>3.4107447404057328E-2</v>
      </c>
    </row>
    <row r="66" spans="1:4" ht="10" customHeight="1" x14ac:dyDescent="0.2">
      <c r="A66" s="19" t="s">
        <v>8366</v>
      </c>
      <c r="B66" s="19" t="s">
        <v>46</v>
      </c>
      <c r="C66" s="20">
        <f>SUMIFS(JB_27U,JB_B,1,JB_H,"FFG",JB_S,"",JB_27U,"&lt;&gt;")+SUMIFS(JB_27S,JB_B,1,JB_H,"FFG",JB_S,"",JB_27U,"")+SUMIFS(JB_27U,JB_B,1,JB_H,"FFG",JB_S,"[PARENT]",JB_27U,"&lt;&gt;")+SUMIFS(JB_27S,JB_B,1,JB_H,"FFG",JB_S,"[PARENT]",JB_27U,"")</f>
        <v>1429000</v>
      </c>
      <c r="D66" s="26">
        <f t="shared" si="2"/>
        <v>2.5822274087628039E-2</v>
      </c>
    </row>
    <row r="67" spans="1:4" ht="10" customHeight="1" x14ac:dyDescent="0.2">
      <c r="A67" s="19" t="s">
        <v>8365</v>
      </c>
      <c r="B67" s="19" t="s">
        <v>186</v>
      </c>
      <c r="C67" s="20">
        <f>SUMIFS(JB_27U,JB_B,1,JB_H,"T-AGOS",JB_S,"",JB_27U,"&lt;&gt;")+SUMIFS(JB_27S,JB_B,1,JB_H,"T-AGOS",JB_S,"",JB_27U,"")+SUMIFS(JB_27U,JB_B,1,JB_H,"T-AGOS",JB_S,"[PARENT]",JB_27U,"&lt;&gt;")+SUMIFS(JB_27S,JB_B,1,JB_H,"T-AGOS",JB_S,"[PARENT]",JB_27U,"")</f>
        <v>710664</v>
      </c>
      <c r="D67" s="26">
        <f t="shared" si="2"/>
        <v>1.284181986858649E-2</v>
      </c>
    </row>
    <row r="68" spans="1:4" ht="10" customHeight="1" x14ac:dyDescent="0.2">
      <c r="A68" s="19" t="s">
        <v>8442</v>
      </c>
      <c r="B68" s="19" t="s">
        <v>186</v>
      </c>
      <c r="C68" s="20">
        <f>SUMIFS(JB_27U,JB_B,1,JB_H,"T-AH",JB_S,"",JB_27U,"&lt;&gt;")+SUMIFS(JB_27S,JB_B,1,JB_H,"T-AH",JB_S,"",JB_27U,"")+SUMIFS(JB_27U,JB_B,1,JB_H,"T-AH",JB_S,"[PARENT]",JB_27U,"&lt;&gt;")+SUMIFS(JB_27S,JB_B,1,JB_H,"T-AH",JB_S,"[PARENT]",JB_27U,"")</f>
        <v>650000</v>
      </c>
      <c r="D68" s="26">
        <f t="shared" si="2"/>
        <v>1.174561102656279E-2</v>
      </c>
    </row>
    <row r="69" spans="1:4" ht="10" customHeight="1" x14ac:dyDescent="0.2">
      <c r="A69" s="19" t="s">
        <v>8363</v>
      </c>
      <c r="B69" s="19" t="s">
        <v>186</v>
      </c>
      <c r="C69" s="20">
        <f>SUMIFS(JB_27U,JB_B,1,JB_H,"T-AK / T-AKR",JB_S,"",JB_27U,"&lt;&gt;")+SUMIFS(JB_27S,JB_B,1,JB_H,"T-AK / T-AKR",JB_S,"",JB_27U,"")+SUMIFS(JB_27U,JB_B,1,JB_H,"T-AK / T-AKR",JB_S,"[PARENT]",JB_27U,"&lt;&gt;")+SUMIFS(JB_27S,JB_B,1,JB_H,"T-AK / T-AKR",JB_S,"[PARENT]",JB_27U,"")</f>
        <v>580000</v>
      </c>
      <c r="D69" s="26">
        <f t="shared" si="2"/>
        <v>1.0480699069856029E-2</v>
      </c>
    </row>
    <row r="70" spans="1:4" ht="10" customHeight="1" x14ac:dyDescent="0.2">
      <c r="A70" s="19" t="s">
        <v>8367</v>
      </c>
      <c r="B70" s="19" t="s">
        <v>46</v>
      </c>
      <c r="C70" s="20">
        <f>SUMIFS(JB_27U,JB_B,1,JB_H,"UUV",JB_S,"",JB_27U,"&lt;&gt;")+SUMIFS(JB_27S,JB_B,1,JB_H,"UUV",JB_S,"",JB_27U,"")+SUMIFS(JB_27U,JB_B,1,JB_H,"UUV",JB_S,"[PARENT]",JB_27U,"&lt;&gt;")+SUMIFS(JB_27S,JB_B,1,JB_H,"UUV",JB_S,"[PARENT]",JB_27U,"")</f>
        <v>246757</v>
      </c>
      <c r="D70" s="26">
        <f t="shared" si="2"/>
        <v>4.4589411385870066E-3</v>
      </c>
    </row>
    <row r="71" spans="1:4" ht="10" customHeight="1" x14ac:dyDescent="0.2">
      <c r="A71" s="19" t="s">
        <v>8361</v>
      </c>
      <c r="B71" s="19" t="s">
        <v>46</v>
      </c>
      <c r="C71" s="20">
        <f>SUMIFS(JB_27U,JB_B,1,JB_H,"MUSV",JB_S,"",JB_27U,"&lt;&gt;")+SUMIFS(JB_27S,JB_B,1,JB_H,"MUSV",JB_S,"",JB_27U,"")+SUMIFS(JB_27U,JB_B,1,JB_H,"MUSV",JB_S,"[PARENT]",JB_27U,"&lt;&gt;")+SUMIFS(JB_27S,JB_B,1,JB_H,"MUSV",JB_S,"[PARENT]",JB_27U,"")</f>
        <v>171130</v>
      </c>
      <c r="D71" s="26">
        <f t="shared" si="2"/>
        <v>3.0923483307318312E-3</v>
      </c>
    </row>
    <row r="72" spans="1:4" ht="10" customHeight="1" x14ac:dyDescent="0.2">
      <c r="A72" s="21" t="s">
        <v>8342</v>
      </c>
      <c r="B72" s="21"/>
      <c r="C72" s="22">
        <f>SUM(C57:C71)</f>
        <v>55339820</v>
      </c>
      <c r="D72" s="27">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sheetPr>
  <dimension ref="A1:L64"/>
  <sheetViews>
    <sheetView showGridLines="0" workbookViewId="0"/>
  </sheetViews>
  <sheetFormatPr baseColWidth="10" defaultColWidth="8.83203125" defaultRowHeight="15" x14ac:dyDescent="0.2"/>
  <cols>
    <col min="1" max="1" width="30" customWidth="1"/>
    <col min="2" max="2" width="8" customWidth="1"/>
    <col min="3" max="3" width="12" customWidth="1"/>
    <col min="4" max="4" width="10" customWidth="1"/>
    <col min="5" max="11" width="12" customWidth="1"/>
  </cols>
  <sheetData>
    <row r="1" spans="1:12" ht="10" customHeight="1" x14ac:dyDescent="0.2">
      <c r="A1" s="15" t="s">
        <v>8443</v>
      </c>
      <c r="B1" s="16"/>
      <c r="C1" s="16"/>
      <c r="D1" s="16"/>
      <c r="E1" s="16"/>
      <c r="F1" s="16"/>
      <c r="G1" s="16"/>
      <c r="H1" s="16"/>
      <c r="I1" s="16"/>
      <c r="J1" s="16"/>
      <c r="K1" s="16"/>
      <c r="L1" s="16"/>
    </row>
    <row r="2" spans="1:12" ht="10" customHeight="1" x14ac:dyDescent="0.2">
      <c r="A2" s="17" t="s">
        <v>8374</v>
      </c>
    </row>
    <row r="3" spans="1:12" ht="10" customHeight="1" x14ac:dyDescent="0.2"/>
    <row r="4" spans="1:12" ht="10" customHeight="1" x14ac:dyDescent="0.2">
      <c r="A4" s="6" t="s">
        <v>8375</v>
      </c>
      <c r="B4" s="7"/>
    </row>
    <row r="5" spans="1:12" ht="10" customHeight="1" x14ac:dyDescent="0.2">
      <c r="A5" s="19" t="s">
        <v>8342</v>
      </c>
      <c r="B5" s="20">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6" spans="1:12" ht="10" customHeight="1" x14ac:dyDescent="0.2">
      <c r="A6" s="19" t="s">
        <v>8376</v>
      </c>
      <c r="B6" s="20">
        <f>-(SUMIFS(JB_27U,JB_B,1,JB_W,"Submarines",JB_S,"",JB_27U,"&lt;&gt;")+SUMIFS(JB_27S,JB_B,1,JB_W,"Submarines",JB_S,"",JB_27U,"")+SUMIFS(JB_27U,JB_B,1,JB_W,"Submarines",JB_S,"[PARENT]",JB_27U,"&lt;&gt;")+SUMIFS(JB_27S,JB_B,1,JB_W,"Submarines",JB_S,"[PARENT]",JB_27U,""))</f>
        <v>-29188808</v>
      </c>
    </row>
    <row r="7" spans="1:12" ht="10" customHeight="1" x14ac:dyDescent="0.2">
      <c r="A7" s="19" t="s">
        <v>8377</v>
      </c>
      <c r="B7" s="20">
        <f>-(SUMIFS(JB_27U,JB_B,1,JB_W,"Aircraft Carriers",JB_S,"",JB_27U,"&lt;&gt;")+SUMIFS(JB_27S,JB_B,1,JB_W,"Aircraft Carriers",JB_S,"",JB_27U,"")+SUMIFS(JB_27U,JB_B,1,JB_W,"Aircraft Carriers",JB_S,"[PARENT]",JB_27U,"&lt;&gt;")+SUMIFS(JB_27S,JB_B,1,JB_W,"Aircraft Carriers",JB_S,"[PARENT]",JB_27U,""))</f>
        <v>-4067355</v>
      </c>
    </row>
    <row r="8" spans="1:12" ht="10" customHeight="1" x14ac:dyDescent="0.2">
      <c r="A8" s="19" t="s">
        <v>8378</v>
      </c>
      <c r="B8" s="20">
        <f>-(SUMIFS(JB_27U,JB_B,1,JB_W,"Unmanned Undersea Vehicles",JB_S,"",JB_27U,"&lt;&gt;")+SUMIFS(JB_27S,JB_B,1,JB_W,"Unmanned Undersea Vehicles",JB_S,"",JB_27U,"")+SUMIFS(JB_27U,JB_B,1,JB_W,"Unmanned Undersea Vehicles",JB_S,"[PARENT]",JB_27U,"&lt;&gt;")+SUMIFS(JB_27S,JB_B,1,JB_W,"Unmanned Undersea Vehicles",JB_S,"[PARENT]",JB_27U,""))</f>
        <v>-246757</v>
      </c>
    </row>
    <row r="9" spans="1:12" ht="10" customHeight="1" x14ac:dyDescent="0.2">
      <c r="A9" s="21" t="s">
        <v>8379</v>
      </c>
      <c r="B9" s="22">
        <f>SUM(B5:B8)</f>
        <v>23580280</v>
      </c>
    </row>
    <row r="10" spans="1:12" ht="10" customHeight="1" x14ac:dyDescent="0.2"/>
    <row r="11" spans="1:12" ht="10" customHeight="1" x14ac:dyDescent="0.2"/>
    <row r="12" spans="1:12" ht="10" customHeight="1" x14ac:dyDescent="0.2">
      <c r="A12" s="6" t="s">
        <v>8380</v>
      </c>
      <c r="B12" s="7"/>
      <c r="C12" s="7"/>
      <c r="D12" s="7"/>
    </row>
    <row r="13" spans="1:12" ht="10" customHeight="1" x14ac:dyDescent="0.2">
      <c r="A13" s="18" t="s">
        <v>19</v>
      </c>
      <c r="B13" s="18" t="s">
        <v>8344</v>
      </c>
      <c r="C13" s="18" t="s">
        <v>8436</v>
      </c>
      <c r="D13" s="18" t="s">
        <v>8381</v>
      </c>
    </row>
    <row r="14" spans="1:12" ht="10" customHeight="1" x14ac:dyDescent="0.2">
      <c r="A14" s="19" t="s">
        <v>145</v>
      </c>
      <c r="B14" s="19" t="s">
        <v>46</v>
      </c>
      <c r="C14" s="20">
        <f>SUMIFS(JB_27U,JB_B,1,JB_W,"Amphibious Warfare Ships",JB_S,"",JB_27U,"&lt;&gt;")+SUMIFS(JB_27S,JB_B,1,JB_W,"Amphibious Warfare Ships",JB_S,"",JB_27U,"")+SUMIFS(JB_27U,JB_B,1,JB_W,"Amphibious Warfare Ships",JB_S,"[PARENT]",JB_27U,"&lt;&gt;")+SUMIFS(JB_27S,JB_B,1,JB_W,"Amphibious Warfare Ships",JB_S,"[PARENT]",JB_27U,"")</f>
        <v>6400969</v>
      </c>
      <c r="D14" s="26">
        <f t="shared" ref="D14:D38" si="0">IFERROR(C14/C$39,0)</f>
        <v>0.27145432539393088</v>
      </c>
    </row>
    <row r="15" spans="1:12" ht="10" customHeight="1" x14ac:dyDescent="0.2">
      <c r="A15" s="19" t="s">
        <v>115</v>
      </c>
      <c r="B15" s="19" t="s">
        <v>46</v>
      </c>
      <c r="C15" s="20">
        <f>SUMIFS(JB_27U,JB_B,1,JB_W,"Surface Combatants",JB_S,"",JB_27U,"&lt;&gt;")+SUMIFS(JB_27S,JB_B,1,JB_W,"Surface Combatants",JB_S,"",JB_27U,"")+SUMIFS(JB_27U,JB_B,1,JB_W,"Surface Combatants",JB_S,"[PARENT]",JB_27U,"&lt;&gt;")+SUMIFS(JB_27S,JB_B,1,JB_W,"Surface Combatants",JB_S,"[PARENT]",JB_27U,"")</f>
        <v>5857134</v>
      </c>
      <c r="D15" s="26">
        <f t="shared" si="0"/>
        <v>0.24839119806889487</v>
      </c>
    </row>
    <row r="16" spans="1:12" ht="10" customHeight="1" x14ac:dyDescent="0.2">
      <c r="A16" s="19" t="s">
        <v>4962</v>
      </c>
      <c r="B16" s="19" t="s">
        <v>46</v>
      </c>
      <c r="C16" s="20">
        <f>SUMIFS(JB_27U,JB_B,1,JB_W,"Material Support Ships",JB_S,"",JB_27U,"&lt;&gt;")+SUMIFS(JB_27S,JB_B,1,JB_W,"Material Support Ships",JB_S,"",JB_27U,"")+SUMIFS(JB_27U,JB_B,1,JB_W,"Material Support Ships",JB_S,"[PARENT]",JB_27U,"&lt;&gt;")+SUMIFS(JB_27S,JB_B,1,JB_W,"Material Support Ships",JB_S,"[PARENT]",JB_27U,"")</f>
        <v>4444000</v>
      </c>
      <c r="D16" s="26">
        <f t="shared" si="0"/>
        <v>0.18846256278551399</v>
      </c>
    </row>
    <row r="17" spans="1:4" ht="10" customHeight="1" x14ac:dyDescent="0.2">
      <c r="A17" s="19" t="s">
        <v>198</v>
      </c>
      <c r="B17" s="19" t="s">
        <v>186</v>
      </c>
      <c r="C17" s="20">
        <f>SUMIFS(JB_27U,JB_B,1,JB_W,"Combat Logistics Ships",JB_S,"",JB_27U,"&lt;&gt;")+SUMIFS(JB_27S,JB_B,1,JB_W,"Combat Logistics Ships",JB_S,"",JB_27U,"")+SUMIFS(JB_27U,JB_B,1,JB_W,"Combat Logistics Ships",JB_S,"[PARENT]",JB_27U,"&lt;&gt;")+SUMIFS(JB_27S,JB_B,1,JB_W,"Combat Logistics Ships",JB_S,"[PARENT]",JB_27U,"")</f>
        <v>2678883</v>
      </c>
      <c r="D17" s="26">
        <f t="shared" si="0"/>
        <v>0.11360692069814268</v>
      </c>
    </row>
    <row r="18" spans="1:4" ht="10" customHeight="1" x14ac:dyDescent="0.2">
      <c r="A18" s="19" t="s">
        <v>178</v>
      </c>
      <c r="B18" s="19" t="s">
        <v>46</v>
      </c>
      <c r="C18" s="20">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18" s="26">
        <f t="shared" si="0"/>
        <v>8.004569920289327E-2</v>
      </c>
    </row>
    <row r="19" spans="1:4" ht="10" customHeight="1" x14ac:dyDescent="0.2">
      <c r="A19" s="19" t="s">
        <v>210</v>
      </c>
      <c r="B19" s="19" t="s">
        <v>46</v>
      </c>
      <c r="C19" s="20">
        <f>SUMIFS(JB_27U,JB_B,1,JB_W,"Surveillance Ships",JB_S,"",JB_27U,"&lt;&gt;")+SUMIFS(JB_27S,JB_B,1,JB_W,"Surveillance Ships",JB_S,"",JB_27U,"")+SUMIFS(JB_27U,JB_B,1,JB_W,"Surveillance Ships",JB_S,"[PARENT]",JB_27U,"&lt;&gt;")+SUMIFS(JB_27S,JB_B,1,JB_W,"Surveillance Ships",JB_S,"[PARENT]",JB_27U,"")</f>
        <v>910664</v>
      </c>
      <c r="D19" s="26">
        <f t="shared" si="0"/>
        <v>3.8619728010015147E-2</v>
      </c>
    </row>
    <row r="20" spans="1:4" ht="10" customHeight="1" x14ac:dyDescent="0.2">
      <c r="A20" s="19" t="s">
        <v>5025</v>
      </c>
      <c r="B20" s="19" t="s">
        <v>186</v>
      </c>
      <c r="C20" s="20">
        <f>SUMIFS(JB_27U,JB_B,1,JB_W,"Hospital Ship",JB_S,"",JB_27U,"&lt;&gt;")+SUMIFS(JB_27S,JB_B,1,JB_W,"Hospital Ship",JB_S,"",JB_27U,"")+SUMIFS(JB_27U,JB_B,1,JB_W,"Hospital Ship",JB_S,"[PARENT]",JB_27U,"&lt;&gt;")+SUMIFS(JB_27S,JB_B,1,JB_W,"Hospital Ship",JB_S,"[PARENT]",JB_27U,"")</f>
        <v>650000</v>
      </c>
      <c r="D20" s="26">
        <f t="shared" si="0"/>
        <v>2.7565406348016224E-2</v>
      </c>
    </row>
    <row r="21" spans="1:4" ht="10" customHeight="1" x14ac:dyDescent="0.2">
      <c r="A21" s="19" t="s">
        <v>241</v>
      </c>
      <c r="B21" s="19" t="s">
        <v>46</v>
      </c>
      <c r="C21" s="20">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1" s="26">
        <f t="shared" si="0"/>
        <v>2.4596824125922168E-2</v>
      </c>
    </row>
    <row r="22" spans="1:4" ht="10" customHeight="1" x14ac:dyDescent="0.2">
      <c r="A22" s="19" t="s">
        <v>5412</v>
      </c>
      <c r="B22" s="19" t="s">
        <v>46</v>
      </c>
      <c r="C22" s="20">
        <f>SUMIFS(JB_27U,JB_B,1,JB_W,"Unmanned Surface Vehicles",JB_S,"",JB_27U,"&lt;&gt;")+SUMIFS(JB_27S,JB_B,1,JB_W,"Unmanned Surface Vehicles",JB_S,"",JB_27U,"")+SUMIFS(JB_27U,JB_B,1,JB_W,"Unmanned Surface Vehicles",JB_S,"[PARENT]",JB_27U,"&lt;&gt;")+SUMIFS(JB_27S,JB_B,1,JB_W,"Unmanned Surface Vehicles",JB_S,"[PARENT]",JB_27U,"")</f>
        <v>171130</v>
      </c>
      <c r="D22" s="26">
        <f t="shared" si="0"/>
        <v>7.2573353666707946E-3</v>
      </c>
    </row>
    <row r="23" spans="1:4" ht="10" customHeight="1" x14ac:dyDescent="0.2">
      <c r="A23" s="19" t="s">
        <v>5268</v>
      </c>
      <c r="B23" s="19" t="s">
        <v>46</v>
      </c>
      <c r="C23" s="20">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23" s="26">
        <f t="shared" si="0"/>
        <v>0</v>
      </c>
    </row>
    <row r="24" spans="1:4" ht="10" customHeight="1" x14ac:dyDescent="0.2">
      <c r="A24" s="19" t="s">
        <v>229</v>
      </c>
      <c r="B24" s="19" t="s">
        <v>186</v>
      </c>
      <c r="C24" s="20">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24" s="26">
        <f t="shared" si="0"/>
        <v>0</v>
      </c>
    </row>
    <row r="25" spans="1:4" ht="10" customHeight="1" x14ac:dyDescent="0.2">
      <c r="A25" s="19" t="s">
        <v>4639</v>
      </c>
      <c r="B25" s="19" t="s">
        <v>46</v>
      </c>
      <c r="C25" s="20">
        <f>SUMIFS(JB_27U,JB_B,1,JB_W,"General Auxiliary",JB_S,"",JB_27U,"&lt;&gt;")+SUMIFS(JB_27S,JB_B,1,JB_W,"General Auxiliary",JB_S,"",JB_27U,"")+SUMIFS(JB_27U,JB_B,1,JB_W,"General Auxiliary",JB_S,"[PARENT]",JB_27U,"&lt;&gt;")+SUMIFS(JB_27S,JB_B,1,JB_W,"General Auxiliary",JB_S,"[PARENT]",JB_27U,"")</f>
        <v>0</v>
      </c>
      <c r="D25" s="26">
        <f t="shared" si="0"/>
        <v>0</v>
      </c>
    </row>
    <row r="26" spans="1:4" ht="10" customHeight="1" x14ac:dyDescent="0.2">
      <c r="A26" s="19" t="s">
        <v>4680</v>
      </c>
      <c r="B26" s="19" t="s">
        <v>46</v>
      </c>
      <c r="C26" s="20">
        <f>SUMIFS(JB_27U,JB_B,1,JB_W,"Mine Warfare",JB_S,"",JB_27U,"&lt;&gt;")+SUMIFS(JB_27S,JB_B,1,JB_W,"Mine Warfare",JB_S,"",JB_27U,"")+SUMIFS(JB_27U,JB_B,1,JB_W,"Mine Warfare",JB_S,"[PARENT]",JB_27U,"&lt;&gt;")+SUMIFS(JB_27S,JB_B,1,JB_W,"Mine Warfare",JB_S,"[PARENT]",JB_27U,"")</f>
        <v>0</v>
      </c>
      <c r="D26" s="26">
        <f t="shared" si="0"/>
        <v>0</v>
      </c>
    </row>
    <row r="27" spans="1:4" ht="10" customHeight="1" x14ac:dyDescent="0.2">
      <c r="A27" s="19" t="s">
        <v>5015</v>
      </c>
      <c r="B27" s="19" t="s">
        <v>46</v>
      </c>
      <c r="C27" s="20">
        <f>SUMIFS(JB_27U,JB_B,1,JB_W,"Submarine Escort Ship",JB_S,"",JB_27U,"&lt;&gt;")+SUMIFS(JB_27S,JB_B,1,JB_W,"Submarine Escort Ship",JB_S,"",JB_27U,"")+SUMIFS(JB_27U,JB_B,1,JB_W,"Submarine Escort Ship",JB_S,"[PARENT]",JB_27U,"&lt;&gt;")+SUMIFS(JB_27S,JB_B,1,JB_W,"Submarine Escort Ship",JB_S,"[PARENT]",JB_27U,"")</f>
        <v>0</v>
      </c>
      <c r="D27" s="26">
        <f t="shared" si="0"/>
        <v>0</v>
      </c>
    </row>
    <row r="28" spans="1:4" ht="10" customHeight="1" x14ac:dyDescent="0.2">
      <c r="A28" s="19" t="s">
        <v>4981</v>
      </c>
      <c r="B28" s="19" t="s">
        <v>46</v>
      </c>
      <c r="C28" s="20">
        <f>SUMIFS(JB_27U,JB_B,1,JB_W,"High Speed Transport",JB_S,"",JB_27U,"&lt;&gt;")+SUMIFS(JB_27S,JB_B,1,JB_W,"High Speed Transport",JB_S,"",JB_27U,"")+SUMIFS(JB_27U,JB_B,1,JB_W,"High Speed Transport",JB_S,"[PARENT]",JB_27U,"&lt;&gt;")+SUMIFS(JB_27S,JB_B,1,JB_W,"High Speed Transport",JB_S,"[PARENT]",JB_27U,"")</f>
        <v>0</v>
      </c>
      <c r="D28" s="26">
        <f t="shared" si="0"/>
        <v>0</v>
      </c>
    </row>
    <row r="29" spans="1:4" ht="10" customHeight="1" x14ac:dyDescent="0.2">
      <c r="A29" s="19" t="s">
        <v>4855</v>
      </c>
      <c r="B29" s="19" t="s">
        <v>46</v>
      </c>
      <c r="C29" s="20">
        <f>SUMIFS(JB_27U,JB_B,1,JB_W,"Command Ships",JB_S,"",JB_27U,"&lt;&gt;")+SUMIFS(JB_27S,JB_B,1,JB_W,"Command Ships",JB_S,"",JB_27U,"")+SUMIFS(JB_27U,JB_B,1,JB_W,"Command Ships",JB_S,"[PARENT]",JB_27U,"&lt;&gt;")+SUMIFS(JB_27S,JB_B,1,JB_W,"Command Ships",JB_S,"[PARENT]",JB_27U,"")</f>
        <v>0</v>
      </c>
      <c r="D29" s="26">
        <f t="shared" si="0"/>
        <v>0</v>
      </c>
    </row>
    <row r="30" spans="1:4" ht="10" customHeight="1" x14ac:dyDescent="0.2">
      <c r="A30" s="19" t="s">
        <v>5273</v>
      </c>
      <c r="B30" s="19" t="s">
        <v>46</v>
      </c>
      <c r="C30" s="20">
        <f>SUMIFS(JB_27U,JB_B,1,JB_W,"Crane Ship",JB_S,"",JB_27U,"&lt;&gt;")+SUMIFS(JB_27S,JB_B,1,JB_W,"Crane Ship",JB_S,"",JB_27U,"")+SUMIFS(JB_27U,JB_B,1,JB_W,"Crane Ship",JB_S,"[PARENT]",JB_27U,"&lt;&gt;")+SUMIFS(JB_27S,JB_B,1,JB_W,"Crane Ship",JB_S,"[PARENT]",JB_27U,"")</f>
        <v>0</v>
      </c>
      <c r="D30" s="26">
        <f t="shared" si="0"/>
        <v>0</v>
      </c>
    </row>
    <row r="31" spans="1:4" ht="10" customHeight="1" x14ac:dyDescent="0.2">
      <c r="A31" s="19" t="s">
        <v>222</v>
      </c>
      <c r="B31" s="19" t="s">
        <v>186</v>
      </c>
      <c r="C31" s="20">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31" s="26">
        <f t="shared" si="0"/>
        <v>0</v>
      </c>
    </row>
    <row r="32" spans="1:4" ht="10" customHeight="1" x14ac:dyDescent="0.2">
      <c r="A32" s="19" t="s">
        <v>8184</v>
      </c>
      <c r="B32" s="19" t="s">
        <v>6805</v>
      </c>
      <c r="C32" s="20">
        <f>SUMIFS(JB_27U,JB_B,1,JB_W,"Offshore Patrol Cutter",JB_S,"",JB_27U,"&lt;&gt;")+SUMIFS(JB_27S,JB_B,1,JB_W,"Offshore Patrol Cutter",JB_S,"",JB_27U,"")+SUMIFS(JB_27U,JB_B,1,JB_W,"Offshore Patrol Cutter",JB_S,"[PARENT]",JB_27U,"&lt;&gt;")+SUMIFS(JB_27S,JB_B,1,JB_W,"Offshore Patrol Cutter",JB_S,"[PARENT]",JB_27U,"")</f>
        <v>0</v>
      </c>
      <c r="D32" s="26">
        <f t="shared" si="0"/>
        <v>0</v>
      </c>
    </row>
    <row r="33" spans="1:11" ht="10" customHeight="1" x14ac:dyDescent="0.2">
      <c r="A33" s="19" t="s">
        <v>8205</v>
      </c>
      <c r="B33" s="19" t="s">
        <v>6805</v>
      </c>
      <c r="C33" s="20">
        <f>SUMIFS(JB_27U,JB_B,1,JB_W,"Icebreakers, Great Lakes",JB_S,"",JB_27U,"&lt;&gt;")+SUMIFS(JB_27S,JB_B,1,JB_W,"Icebreakers, Great Lakes",JB_S,"",JB_27U,"")+SUMIFS(JB_27U,JB_B,1,JB_W,"Icebreakers, Great Lakes",JB_S,"[PARENT]",JB_27U,"&lt;&gt;")+SUMIFS(JB_27S,JB_B,1,JB_W,"Icebreakers, Great Lakes",JB_S,"[PARENT]",JB_27U,"")</f>
        <v>0</v>
      </c>
      <c r="D33" s="26">
        <f t="shared" si="0"/>
        <v>0</v>
      </c>
    </row>
    <row r="34" spans="1:11" ht="10" customHeight="1" x14ac:dyDescent="0.2">
      <c r="A34" s="19" t="s">
        <v>8190</v>
      </c>
      <c r="B34" s="19" t="s">
        <v>6805</v>
      </c>
      <c r="C34" s="20">
        <f>SUMIFS(JB_27U,JB_B,1,JB_W,"Fast Response Cutters",JB_S,"",JB_27U,"&lt;&gt;")+SUMIFS(JB_27S,JB_B,1,JB_W,"Fast Response Cutters",JB_S,"",JB_27U,"")+SUMIFS(JB_27U,JB_B,1,JB_W,"Fast Response Cutters",JB_S,"[PARENT]",JB_27U,"&lt;&gt;")+SUMIFS(JB_27S,JB_B,1,JB_W,"Fast Response Cutters",JB_S,"[PARENT]",JB_27U,"")</f>
        <v>0</v>
      </c>
      <c r="D34" s="26">
        <f t="shared" si="0"/>
        <v>0</v>
      </c>
    </row>
    <row r="35" spans="1:11" ht="10" customHeight="1" x14ac:dyDescent="0.2">
      <c r="A35" s="19" t="s">
        <v>8171</v>
      </c>
      <c r="B35" s="19" t="s">
        <v>6805</v>
      </c>
      <c r="C35" s="20">
        <f>SUMIFS(JB_27U,JB_B,1,JB_W,"Coastal Buoy Tenders",JB_S,"",JB_27U,"&lt;&gt;")+SUMIFS(JB_27S,JB_B,1,JB_W,"Coastal Buoy Tenders",JB_S,"",JB_27U,"")+SUMIFS(JB_27U,JB_B,1,JB_W,"Coastal Buoy Tenders",JB_S,"[PARENT]",JB_27U,"&lt;&gt;")+SUMIFS(JB_27S,JB_B,1,JB_W,"Coastal Buoy Tenders",JB_S,"[PARENT]",JB_27U,"")</f>
        <v>0</v>
      </c>
      <c r="D35" s="26">
        <f t="shared" si="0"/>
        <v>0</v>
      </c>
    </row>
    <row r="36" spans="1:11" ht="10" customHeight="1" x14ac:dyDescent="0.2">
      <c r="A36" s="19" t="s">
        <v>8209</v>
      </c>
      <c r="B36" s="19" t="s">
        <v>6805</v>
      </c>
      <c r="C36" s="20">
        <f>SUMIFS(JB_27U,JB_B,1,JB_W,"Waterways Commerce Cutters",JB_S,"",JB_27U,"&lt;&gt;")+SUMIFS(JB_27S,JB_B,1,JB_W,"Waterways Commerce Cutters",JB_S,"",JB_27U,"")+SUMIFS(JB_27U,JB_B,1,JB_W,"Waterways Commerce Cutters",JB_S,"[PARENT]",JB_27U,"&lt;&gt;")+SUMIFS(JB_27S,JB_B,1,JB_W,"Waterways Commerce Cutters",JB_S,"[PARENT]",JB_27U,"")</f>
        <v>0</v>
      </c>
      <c r="D36" s="26">
        <f t="shared" si="0"/>
        <v>0</v>
      </c>
    </row>
    <row r="37" spans="1:11" ht="10" customHeight="1" x14ac:dyDescent="0.2">
      <c r="A37" s="19" t="s">
        <v>6807</v>
      </c>
      <c r="B37" s="19" t="s">
        <v>6805</v>
      </c>
      <c r="C37" s="20">
        <f>SUMIFS(JB_27U,JB_B,1,JB_W,"National Security Cutters",JB_S,"",JB_27U,"&lt;&gt;")+SUMIFS(JB_27S,JB_B,1,JB_W,"National Security Cutters",JB_S,"",JB_27U,"")+SUMIFS(JB_27U,JB_B,1,JB_W,"National Security Cutters",JB_S,"[PARENT]",JB_27U,"&lt;&gt;")+SUMIFS(JB_27S,JB_B,1,JB_W,"National Security Cutters",JB_S,"[PARENT]",JB_27U,"")</f>
        <v>0</v>
      </c>
      <c r="D37" s="26">
        <f t="shared" si="0"/>
        <v>0</v>
      </c>
    </row>
    <row r="38" spans="1:11" ht="10" customHeight="1" x14ac:dyDescent="0.2">
      <c r="A38" s="19" t="s">
        <v>8198</v>
      </c>
      <c r="B38" s="19" t="s">
        <v>6805</v>
      </c>
      <c r="C38" s="20">
        <f>SUMIFS(JB_27U,JB_B,1,JB_W,"Icebreakers, Oceangoing",JB_S,"",JB_27U,"&lt;&gt;")+SUMIFS(JB_27S,JB_B,1,JB_W,"Icebreakers, Oceangoing",JB_S,"",JB_27U,"")+SUMIFS(JB_27U,JB_B,1,JB_W,"Icebreakers, Oceangoing",JB_S,"[PARENT]",JB_27U,"&lt;&gt;")+SUMIFS(JB_27S,JB_B,1,JB_W,"Icebreakers, Oceangoing",JB_S,"[PARENT]",JB_27U,"")</f>
        <v>0</v>
      </c>
      <c r="D38" s="26">
        <f t="shared" si="0"/>
        <v>0</v>
      </c>
    </row>
    <row r="39" spans="1:11" ht="10" customHeight="1" x14ac:dyDescent="0.2">
      <c r="A39" s="21" t="s">
        <v>8379</v>
      </c>
      <c r="B39" s="21"/>
      <c r="C39" s="22">
        <f>SUM(C14:C38)</f>
        <v>23580280</v>
      </c>
      <c r="D39" s="27">
        <v>1</v>
      </c>
    </row>
    <row r="40" spans="1:11" ht="10" customHeight="1" x14ac:dyDescent="0.2"/>
    <row r="41" spans="1:11" ht="10" customHeight="1" x14ac:dyDescent="0.2"/>
    <row r="42" spans="1:11" ht="10" customHeight="1" x14ac:dyDescent="0.2">
      <c r="A42" s="6" t="s">
        <v>8382</v>
      </c>
      <c r="B42" s="7"/>
      <c r="C42" s="7"/>
      <c r="D42" s="7"/>
      <c r="E42" s="7"/>
      <c r="F42" s="7"/>
      <c r="G42" s="7"/>
      <c r="H42" s="7"/>
      <c r="I42" s="7"/>
      <c r="J42" s="7"/>
      <c r="K42" s="7"/>
    </row>
    <row r="43" spans="1:11" ht="10" customHeight="1" x14ac:dyDescent="0.2">
      <c r="A43" s="28"/>
      <c r="B43" s="29" t="s">
        <v>46</v>
      </c>
      <c r="C43" s="28"/>
      <c r="D43" s="28"/>
      <c r="E43" s="28"/>
      <c r="F43" s="28"/>
      <c r="G43" s="28"/>
      <c r="H43" s="28"/>
      <c r="I43" s="28"/>
      <c r="J43" s="28"/>
      <c r="K43" s="30"/>
    </row>
    <row r="44" spans="1:11" ht="10" customHeight="1" x14ac:dyDescent="0.2">
      <c r="A44" s="18" t="s">
        <v>8347</v>
      </c>
      <c r="B44" s="31" t="s">
        <v>145</v>
      </c>
      <c r="C44" s="18" t="s">
        <v>115</v>
      </c>
      <c r="D44" s="18" t="s">
        <v>4962</v>
      </c>
      <c r="E44" s="18" t="s">
        <v>198</v>
      </c>
      <c r="F44" s="18" t="s">
        <v>178</v>
      </c>
      <c r="G44" s="18" t="s">
        <v>210</v>
      </c>
      <c r="H44" s="18" t="s">
        <v>5025</v>
      </c>
      <c r="I44" s="18" t="s">
        <v>241</v>
      </c>
      <c r="J44" s="18" t="s">
        <v>5412</v>
      </c>
      <c r="K44" s="31" t="s">
        <v>8323</v>
      </c>
    </row>
    <row r="45" spans="1:11" ht="10" customHeight="1" x14ac:dyDescent="0.2">
      <c r="A45" s="19" t="s">
        <v>8348</v>
      </c>
      <c r="B45" s="32">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0.94439123201502773</v>
      </c>
      <c r="C45" s="26">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0.81332508356476052</v>
      </c>
      <c r="D45" s="26">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1</v>
      </c>
      <c r="E45" s="26">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1</v>
      </c>
      <c r="F45" s="26">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1</v>
      </c>
      <c r="G45" s="26">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1</v>
      </c>
      <c r="H45" s="26">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1</v>
      </c>
      <c r="I45" s="26">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1</v>
      </c>
      <c r="J45" s="26">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1</v>
      </c>
      <c r="K45" s="32">
        <f>IFERROR(1-K46,0)</f>
        <v>0.41267974765354776</v>
      </c>
    </row>
    <row r="46" spans="1:11" ht="10" customHeight="1" x14ac:dyDescent="0.2">
      <c r="A46" s="19" t="s">
        <v>8349</v>
      </c>
      <c r="B46" s="32">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5.5608767984972274E-2</v>
      </c>
      <c r="C46" s="26">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0.17073196549711855</v>
      </c>
      <c r="D46" s="26">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0</v>
      </c>
      <c r="E46" s="26">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0</v>
      </c>
      <c r="F46" s="26">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0</v>
      </c>
      <c r="G46" s="26">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0</v>
      </c>
      <c r="H46" s="26">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0</v>
      </c>
      <c r="I46" s="26">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0</v>
      </c>
      <c r="J46" s="26">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0</v>
      </c>
      <c r="K46" s="32">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0.58732025234645224</v>
      </c>
    </row>
    <row r="47" spans="1:11" ht="10" customHeight="1" x14ac:dyDescent="0.2">
      <c r="A47" s="21" t="s">
        <v>8351</v>
      </c>
      <c r="B47" s="33">
        <f>SUMIFS(JB_27U,JB_B,1,JB_W,"Amphibious Warfare Ships",JB_S,"",JB_27U,"&lt;&gt;")+SUMIFS(JB_27S,JB_B,1,JB_W,"Amphibious Warfare Ships",JB_S,"",JB_27U,"")+SUMIFS(JB_27U,JB_B,1,JB_W,"Amphibious Warfare Ships",JB_S,"[PARENT]",JB_27U,"&lt;&gt;")+SUMIFS(JB_27S,JB_B,1,JB_W,"Amphibious Warfare Ships",JB_S,"[PARENT]",JB_27U,"")</f>
        <v>6400969</v>
      </c>
      <c r="C47" s="22">
        <f>SUMIFS(JB_27U,JB_B,1,JB_W,"Surface Combatants",JB_S,"",JB_27U,"&lt;&gt;")+SUMIFS(JB_27S,JB_B,1,JB_W,"Surface Combatants",JB_S,"",JB_27U,"")+SUMIFS(JB_27U,JB_B,1,JB_W,"Surface Combatants",JB_S,"[PARENT]",JB_27U,"&lt;&gt;")+SUMIFS(JB_27S,JB_B,1,JB_W,"Surface Combatants",JB_S,"[PARENT]",JB_27U,"")</f>
        <v>5857134</v>
      </c>
      <c r="D47" s="22">
        <f>SUMIFS(JB_27U,JB_B,1,JB_W,"Material Support Ships",JB_S,"",JB_27U,"&lt;&gt;")+SUMIFS(JB_27S,JB_B,1,JB_W,"Material Support Ships",JB_S,"",JB_27U,"")+SUMIFS(JB_27U,JB_B,1,JB_W,"Material Support Ships",JB_S,"[PARENT]",JB_27U,"&lt;&gt;")+SUMIFS(JB_27S,JB_B,1,JB_W,"Material Support Ships",JB_S,"[PARENT]",JB_27U,"")</f>
        <v>4444000</v>
      </c>
      <c r="E47" s="22">
        <f>SUMIFS(JB_27U,JB_B,1,JB_W,"Combat Logistics Ships",JB_S,"",JB_27U,"&lt;&gt;")+SUMIFS(JB_27S,JB_B,1,JB_W,"Combat Logistics Ships",JB_S,"",JB_27U,"")+SUMIFS(JB_27U,JB_B,1,JB_W,"Combat Logistics Ships",JB_S,"[PARENT]",JB_27U,"&lt;&gt;")+SUMIFS(JB_27S,JB_B,1,JB_W,"Combat Logistics Ships",JB_S,"[PARENT]",JB_27U,"")</f>
        <v>2678883</v>
      </c>
      <c r="F47" s="22">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G47" s="22">
        <f>SUMIFS(JB_27U,JB_B,1,JB_W,"Surveillance Ships",JB_S,"",JB_27U,"&lt;&gt;")+SUMIFS(JB_27S,JB_B,1,JB_W,"Surveillance Ships",JB_S,"",JB_27U,"")+SUMIFS(JB_27U,JB_B,1,JB_W,"Surveillance Ships",JB_S,"[PARENT]",JB_27U,"&lt;&gt;")+SUMIFS(JB_27S,JB_B,1,JB_W,"Surveillance Ships",JB_S,"[PARENT]",JB_27U,"")</f>
        <v>910664</v>
      </c>
      <c r="H47" s="22">
        <f>SUMIFS(JB_27U,JB_B,1,JB_W,"Hospital Ship",JB_S,"",JB_27U,"&lt;&gt;")+SUMIFS(JB_27S,JB_B,1,JB_W,"Hospital Ship",JB_S,"",JB_27U,"")+SUMIFS(JB_27U,JB_B,1,JB_W,"Hospital Ship",JB_S,"[PARENT]",JB_27U,"&lt;&gt;")+SUMIFS(JB_27S,JB_B,1,JB_W,"Hospital Ship",JB_S,"[PARENT]",JB_27U,"")</f>
        <v>650000</v>
      </c>
      <c r="I47" s="22">
        <f>SUMIFS(JB_27U,JB_B,1,JB_W,"Cargo &amp; Vehicle Cargo Ships",JB_S,"",JB_27U,"&lt;&gt;")+SUMIFS(JB_27S,JB_B,1,JB_W,"Cargo &amp; Vehicle Cargo Ships",JB_S,"",JB_27U,"")+SUMIFS(JB_27U,JB_B,1,JB_W,"Cargo &amp; Vehicle Cargo Ships",JB_S,"[PARENT]",JB_27U,"&lt;&gt;")+SUMIFS(JB_27S,JB_B,1,JB_W,"Cargo &amp; Vehicle Cargo Ships",JB_S,"[PARENT]",JB_27U,"")</f>
        <v>580000</v>
      </c>
      <c r="J47" s="22">
        <f>SUMIFS(JB_27U,JB_B,1,JB_W,"Unmanned Surface Vehicles",JB_S,"",JB_27U,"&lt;&gt;")+SUMIFS(JB_27S,JB_B,1,JB_W,"Unmanned Surface Vehicles",JB_S,"",JB_27U,"")+SUMIFS(JB_27U,JB_B,1,JB_W,"Unmanned Surface Vehicles",JB_S,"[PARENT]",JB_27U,"&lt;&gt;")+SUMIFS(JB_27S,JB_B,1,JB_W,"Unmanned Surface Vehicles",JB_S,"[PARENT]",JB_27U,"")</f>
        <v>171130</v>
      </c>
      <c r="K47" s="33">
        <f>SUM(B47:J47)</f>
        <v>23580280</v>
      </c>
    </row>
    <row r="48" spans="1:11" ht="10" customHeight="1" x14ac:dyDescent="0.2"/>
    <row r="49" spans="1:4" ht="10" customHeight="1" x14ac:dyDescent="0.2"/>
    <row r="50" spans="1:4" ht="10" customHeight="1" x14ac:dyDescent="0.2">
      <c r="A50" s="6" t="s">
        <v>8444</v>
      </c>
      <c r="B50" s="7"/>
      <c r="C50" s="7"/>
      <c r="D50" s="7"/>
    </row>
    <row r="51" spans="1:4" ht="10" customHeight="1" x14ac:dyDescent="0.2">
      <c r="A51" s="17" t="s">
        <v>8384</v>
      </c>
    </row>
    <row r="52" spans="1:4" ht="10" customHeight="1" x14ac:dyDescent="0.2">
      <c r="A52" s="18" t="s">
        <v>8354</v>
      </c>
      <c r="B52" s="18" t="s">
        <v>8344</v>
      </c>
      <c r="C52" s="18" t="s">
        <v>8436</v>
      </c>
      <c r="D52" s="18" t="s">
        <v>8381</v>
      </c>
    </row>
    <row r="53" spans="1:4" ht="10" customHeight="1" x14ac:dyDescent="0.2">
      <c r="A53" s="19" t="s">
        <v>8441</v>
      </c>
      <c r="B53" s="19" t="s">
        <v>46</v>
      </c>
      <c r="C53" s="20">
        <f>SUMIFS(JB_27U,JB_B,1,JB_H,"AS",JB_S,"",JB_27U,"&lt;&gt;")+SUMIFS(JB_27S,JB_B,1,JB_H,"AS",JB_S,"",JB_27U,"")+SUMIFS(JB_27U,JB_B,1,JB_H,"AS",JB_S,"[PARENT]",JB_27U,"&lt;&gt;")+SUMIFS(JB_27S,JB_B,1,JB_H,"AS",JB_S,"[PARENT]",JB_27U,"")</f>
        <v>4444000</v>
      </c>
      <c r="D53" s="26">
        <f t="shared" ref="D53:D63" si="1">IFERROR(C53/C$64,0)</f>
        <v>0.20350873979365203</v>
      </c>
    </row>
    <row r="54" spans="1:4" ht="10" customHeight="1" x14ac:dyDescent="0.2">
      <c r="A54" s="19" t="s">
        <v>8364</v>
      </c>
      <c r="B54" s="19" t="s">
        <v>46</v>
      </c>
      <c r="C54" s="20">
        <f>SUMIFS(JB_27U,JB_B,1,JB_H,"LHA",JB_S,"",JB_27U,"&lt;&gt;")+SUMIFS(JB_27S,JB_B,1,JB_H,"LHA",JB_S,"",JB_27U,"")+SUMIFS(JB_27U,JB_B,1,JB_H,"LHA",JB_S,"[PARENT]",JB_27U,"&lt;&gt;")+SUMIFS(JB_27S,JB_B,1,JB_H,"LHA",JB_S,"[PARENT]",JB_27U,"")</f>
        <v>3852319</v>
      </c>
      <c r="D54" s="26">
        <f t="shared" si="1"/>
        <v>0.17641327294625153</v>
      </c>
    </row>
    <row r="55" spans="1:4" ht="10" customHeight="1" x14ac:dyDescent="0.2">
      <c r="A55" s="19" t="s">
        <v>8357</v>
      </c>
      <c r="B55" s="19" t="s">
        <v>46</v>
      </c>
      <c r="C55" s="20">
        <f>SUMIFS(JB_27U,JB_B,1,JB_H,"DDG",JB_S,"",JB_27U,"&lt;&gt;")+SUMIFS(JB_27S,JB_B,1,JB_H,"DDG",JB_S,"",JB_27U,"")+SUMIFS(JB_27U,JB_B,1,JB_H,"DDG",JB_S,"[PARENT]",JB_27U,"&lt;&gt;")+SUMIFS(JB_27S,JB_B,1,JB_H,"DDG",JB_S,"[PARENT]",JB_27U,"")</f>
        <v>3334754</v>
      </c>
      <c r="D55" s="26">
        <f t="shared" si="1"/>
        <v>0.15271187760167423</v>
      </c>
    </row>
    <row r="56" spans="1:4" ht="10" customHeight="1" x14ac:dyDescent="0.2">
      <c r="A56" s="19" t="s">
        <v>8362</v>
      </c>
      <c r="B56" s="19" t="s">
        <v>46</v>
      </c>
      <c r="C56" s="20">
        <f>SUMIFS(JB_27U,JB_B,1,JB_H,"LPD",JB_S,"",JB_27U,"&lt;&gt;")+SUMIFS(JB_27S,JB_B,1,JB_H,"LPD",JB_S,"",JB_27U,"")+SUMIFS(JB_27U,JB_B,1,JB_H,"LPD",JB_S,"[PARENT]",JB_27U,"&lt;&gt;")+SUMIFS(JB_27S,JB_B,1,JB_H,"LPD",JB_S,"[PARENT]",JB_27U,"")</f>
        <v>2548650</v>
      </c>
      <c r="D56" s="26">
        <f t="shared" si="1"/>
        <v>0.11671299497639318</v>
      </c>
    </row>
    <row r="57" spans="1:4" ht="10" customHeight="1" x14ac:dyDescent="0.2">
      <c r="A57" s="19" t="s">
        <v>8360</v>
      </c>
      <c r="B57" s="19" t="s">
        <v>186</v>
      </c>
      <c r="C57" s="20">
        <f>SUMIFS(JB_27U,JB_B,1,JB_H,"T-AO",JB_S,"",JB_27U,"&lt;&gt;")+SUMIFS(JB_27S,JB_B,1,JB_H,"T-AO",JB_S,"",JB_27U,"")+SUMIFS(JB_27U,JB_B,1,JB_H,"T-AO",JB_S,"[PARENT]",JB_27U,"&lt;&gt;")+SUMIFS(JB_27S,JB_B,1,JB_H,"T-AO",JB_S,"[PARENT]",JB_27U,"")</f>
        <v>2228883</v>
      </c>
      <c r="D57" s="26">
        <f t="shared" si="1"/>
        <v>0.10206957031446771</v>
      </c>
    </row>
    <row r="58" spans="1:4" ht="10" customHeight="1" x14ac:dyDescent="0.2">
      <c r="A58" s="19" t="s">
        <v>8359</v>
      </c>
      <c r="B58" s="19" t="s">
        <v>46</v>
      </c>
      <c r="C58" s="20">
        <f>SUMIFS(JB_27U,JB_B,1,JB_H,"LSM",JB_S,"",JB_27U,"&lt;&gt;")+SUMIFS(JB_27S,JB_B,1,JB_H,"LSM",JB_S,"",JB_27U,"")+SUMIFS(JB_27U,JB_B,1,JB_H,"LSM",JB_S,"[PARENT]",JB_27U,"&lt;&gt;")+SUMIFS(JB_27S,JB_B,1,JB_H,"LSM",JB_S,"[PARENT]",JB_27U,"")</f>
        <v>1887500</v>
      </c>
      <c r="D58" s="26">
        <f t="shared" si="1"/>
        <v>8.6436261557272326E-2</v>
      </c>
    </row>
    <row r="59" spans="1:4" ht="10" customHeight="1" x14ac:dyDescent="0.2">
      <c r="A59" s="19" t="s">
        <v>8366</v>
      </c>
      <c r="B59" s="19" t="s">
        <v>46</v>
      </c>
      <c r="C59" s="20">
        <f>SUMIFS(JB_27U,JB_B,1,JB_H,"FFG",JB_S,"",JB_27U,"&lt;&gt;")+SUMIFS(JB_27S,JB_B,1,JB_H,"FFG",JB_S,"",JB_27U,"")+SUMIFS(JB_27U,JB_B,1,JB_H,"FFG",JB_S,"[PARENT]",JB_27U,"&lt;&gt;")+SUMIFS(JB_27S,JB_B,1,JB_H,"FFG",JB_S,"[PARENT]",JB_27U,"")</f>
        <v>1429000</v>
      </c>
      <c r="D59" s="26">
        <f t="shared" si="1"/>
        <v>6.5439691531307104E-2</v>
      </c>
    </row>
    <row r="60" spans="1:4" ht="10" customHeight="1" x14ac:dyDescent="0.2">
      <c r="A60" s="19" t="s">
        <v>8365</v>
      </c>
      <c r="B60" s="19" t="s">
        <v>186</v>
      </c>
      <c r="C60" s="20">
        <f>SUMIFS(JB_27U,JB_B,1,JB_H,"T-AGOS",JB_S,"",JB_27U,"&lt;&gt;")+SUMIFS(JB_27S,JB_B,1,JB_H,"T-AGOS",JB_S,"",JB_27U,"")+SUMIFS(JB_27U,JB_B,1,JB_H,"T-AGOS",JB_S,"[PARENT]",JB_27U,"&lt;&gt;")+SUMIFS(JB_27S,JB_B,1,JB_H,"T-AGOS",JB_S,"[PARENT]",JB_27U,"")</f>
        <v>710664</v>
      </c>
      <c r="D60" s="26">
        <f t="shared" si="1"/>
        <v>3.254417980574166E-2</v>
      </c>
    </row>
    <row r="61" spans="1:4" ht="10" customHeight="1" x14ac:dyDescent="0.2">
      <c r="A61" s="19" t="s">
        <v>8442</v>
      </c>
      <c r="B61" s="19" t="s">
        <v>186</v>
      </c>
      <c r="C61" s="20">
        <f>SUMIFS(JB_27U,JB_B,1,JB_H,"T-AH",JB_S,"",JB_27U,"&lt;&gt;")+SUMIFS(JB_27S,JB_B,1,JB_H,"T-AH",JB_S,"",JB_27U,"")+SUMIFS(JB_27U,JB_B,1,JB_H,"T-AH",JB_S,"[PARENT]",JB_27U,"&lt;&gt;")+SUMIFS(JB_27S,JB_B,1,JB_H,"T-AH",JB_S,"[PARENT]",JB_27U,"")</f>
        <v>650000</v>
      </c>
      <c r="D61" s="26">
        <f t="shared" si="1"/>
        <v>2.976612980780239E-2</v>
      </c>
    </row>
    <row r="62" spans="1:4" ht="10" customHeight="1" x14ac:dyDescent="0.2">
      <c r="A62" s="19" t="s">
        <v>8363</v>
      </c>
      <c r="B62" s="19" t="s">
        <v>186</v>
      </c>
      <c r="C62" s="20">
        <f>SUMIFS(JB_27U,JB_B,1,JB_H,"T-AK / T-AKR",JB_S,"",JB_27U,"&lt;&gt;")+SUMIFS(JB_27S,JB_B,1,JB_H,"T-AK / T-AKR",JB_S,"",JB_27U,"")+SUMIFS(JB_27U,JB_B,1,JB_H,"T-AK / T-AKR",JB_S,"[PARENT]",JB_27U,"&lt;&gt;")+SUMIFS(JB_27S,JB_B,1,JB_H,"T-AK / T-AKR",JB_S,"[PARENT]",JB_27U,"")</f>
        <v>580000</v>
      </c>
      <c r="D62" s="26">
        <f t="shared" si="1"/>
        <v>2.6560546597731362E-2</v>
      </c>
    </row>
    <row r="63" spans="1:4" ht="10" customHeight="1" x14ac:dyDescent="0.2">
      <c r="A63" s="19" t="s">
        <v>8361</v>
      </c>
      <c r="B63" s="19" t="s">
        <v>46</v>
      </c>
      <c r="C63" s="20">
        <f>SUMIFS(JB_27U,JB_B,1,JB_H,"MUSV",JB_S,"",JB_27U,"&lt;&gt;")+SUMIFS(JB_27S,JB_B,1,JB_H,"MUSV",JB_S,"",JB_27U,"")+SUMIFS(JB_27U,JB_B,1,JB_H,"MUSV",JB_S,"[PARENT]",JB_27U,"&lt;&gt;")+SUMIFS(JB_27S,JB_B,1,JB_H,"MUSV",JB_S,"[PARENT]",JB_27U,"")</f>
        <v>171130</v>
      </c>
      <c r="D63" s="26">
        <f t="shared" si="1"/>
        <v>7.8367350677064976E-3</v>
      </c>
    </row>
    <row r="64" spans="1:4" ht="10" customHeight="1" x14ac:dyDescent="0.2">
      <c r="A64" s="21" t="s">
        <v>8379</v>
      </c>
      <c r="B64" s="21"/>
      <c r="C64" s="22">
        <f>SUM(C53:C63)</f>
        <v>21836900</v>
      </c>
      <c r="D64" s="27">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J61"/>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15" t="s">
        <v>8445</v>
      </c>
      <c r="B1" s="16"/>
      <c r="C1" s="16"/>
      <c r="D1" s="16"/>
      <c r="E1" s="16"/>
      <c r="F1" s="16"/>
      <c r="G1" s="16"/>
      <c r="H1" s="16"/>
      <c r="I1" s="16"/>
      <c r="J1" s="16"/>
    </row>
    <row r="2" spans="1:10" ht="10" customHeight="1" x14ac:dyDescent="0.2">
      <c r="A2" s="17" t="s">
        <v>8412</v>
      </c>
    </row>
    <row r="3" spans="1:10" ht="10" customHeight="1" x14ac:dyDescent="0.2"/>
    <row r="4" spans="1:10" ht="10" customHeight="1" x14ac:dyDescent="0.2">
      <c r="A4" s="6" t="s">
        <v>8413</v>
      </c>
      <c r="B4" s="7"/>
    </row>
    <row r="5" spans="1:10" ht="10" customHeight="1" x14ac:dyDescent="0.2">
      <c r="A5" s="19" t="s">
        <v>8414</v>
      </c>
      <c r="B5" s="20">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35676156</v>
      </c>
    </row>
    <row r="6" spans="1:10" ht="10" customHeight="1" x14ac:dyDescent="0.2">
      <c r="A6" s="19" t="s">
        <v>8415</v>
      </c>
      <c r="B6" s="20">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-17024234</v>
      </c>
    </row>
    <row r="7" spans="1:10" ht="10" customHeight="1" x14ac:dyDescent="0.2">
      <c r="A7" s="19" t="s">
        <v>8340</v>
      </c>
      <c r="B7" s="20">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-60513</v>
      </c>
    </row>
    <row r="8" spans="1:10" ht="10" customHeight="1" x14ac:dyDescent="0.2">
      <c r="A8" s="19" t="s">
        <v>8341</v>
      </c>
      <c r="B8" s="20">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0</v>
      </c>
    </row>
    <row r="9" spans="1:10" ht="10" customHeight="1" x14ac:dyDescent="0.2">
      <c r="A9" s="21" t="s">
        <v>8416</v>
      </c>
      <c r="B9" s="22">
        <f>B18</f>
        <v>18591409</v>
      </c>
    </row>
    <row r="10" spans="1:10" ht="10" customHeight="1" x14ac:dyDescent="0.2"/>
    <row r="11" spans="1:10" ht="10" customHeight="1" x14ac:dyDescent="0.2"/>
    <row r="12" spans="1:10" ht="10" customHeight="1" x14ac:dyDescent="0.2">
      <c r="A12" s="6" t="s">
        <v>8417</v>
      </c>
      <c r="B12" s="7"/>
      <c r="C12" s="7"/>
    </row>
    <row r="13" spans="1:10" ht="10" customHeight="1" x14ac:dyDescent="0.2">
      <c r="A13" s="18" t="s">
        <v>8314</v>
      </c>
      <c r="B13" s="18" t="s">
        <v>8436</v>
      </c>
      <c r="C13" s="18" t="s">
        <v>8345</v>
      </c>
    </row>
    <row r="14" spans="1:10" ht="10" customHeight="1" x14ac:dyDescent="0.2">
      <c r="A14" s="19" t="s">
        <v>8419</v>
      </c>
      <c r="B14" s="20">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13835373</v>
      </c>
      <c r="C14" s="26">
        <f>IFERROR(B14/B$18,0)</f>
        <v>0.74418098165663504</v>
      </c>
    </row>
    <row r="15" spans="1:10" ht="10" customHeight="1" x14ac:dyDescent="0.2">
      <c r="A15" s="19" t="s">
        <v>8420</v>
      </c>
      <c r="B15" s="20">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4502738</v>
      </c>
      <c r="C15" s="26">
        <f>IFERROR(B15/B$18,0)</f>
        <v>0.24219455340905038</v>
      </c>
    </row>
    <row r="16" spans="1:10" ht="10" customHeight="1" x14ac:dyDescent="0.2">
      <c r="A16" s="19" t="s">
        <v>8421</v>
      </c>
      <c r="B16" s="20">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199382</v>
      </c>
      <c r="C16" s="26">
        <f>IFERROR(B16/B$18,0)</f>
        <v>1.0724415777201179E-2</v>
      </c>
    </row>
    <row r="17" spans="1:4" ht="10" customHeight="1" x14ac:dyDescent="0.2">
      <c r="A17" s="19" t="s">
        <v>5513</v>
      </c>
      <c r="B17" s="20">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53916</v>
      </c>
      <c r="C17" s="26">
        <f>IFERROR(B17/B$18,0)</f>
        <v>2.9000491571133744E-3</v>
      </c>
    </row>
    <row r="18" spans="1:4" ht="10" customHeight="1" x14ac:dyDescent="0.2">
      <c r="A18" s="21" t="s">
        <v>8416</v>
      </c>
      <c r="B18" s="22">
        <f>SUM(B14:B17)</f>
        <v>18591409</v>
      </c>
      <c r="C18" s="27">
        <v>1</v>
      </c>
    </row>
    <row r="19" spans="1:4" ht="10" customHeight="1" x14ac:dyDescent="0.2"/>
    <row r="20" spans="1:4" ht="10" customHeight="1" x14ac:dyDescent="0.2"/>
    <row r="21" spans="1:4" ht="10" customHeight="1" x14ac:dyDescent="0.2">
      <c r="A21" s="6" t="s">
        <v>8422</v>
      </c>
      <c r="B21" s="7"/>
      <c r="C21" s="7"/>
      <c r="D21" s="7"/>
    </row>
    <row r="22" spans="1:4" ht="10" customHeight="1" x14ac:dyDescent="0.2">
      <c r="A22" s="18" t="s">
        <v>19</v>
      </c>
      <c r="B22" s="18" t="s">
        <v>8344</v>
      </c>
      <c r="C22" s="18" t="s">
        <v>8436</v>
      </c>
      <c r="D22" s="18" t="s">
        <v>8345</v>
      </c>
    </row>
    <row r="23" spans="1:4" ht="10" customHeight="1" x14ac:dyDescent="0.2">
      <c r="A23" s="19" t="s">
        <v>48</v>
      </c>
      <c r="B23" s="19" t="s">
        <v>46</v>
      </c>
      <c r="C23" s="20">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D23" s="26">
        <f t="shared" ref="D23:D50" si="0">IFERROR(C23/C$51,0)</f>
        <v>0.37413043841916449</v>
      </c>
    </row>
    <row r="24" spans="1:4" ht="10" customHeight="1" x14ac:dyDescent="0.2">
      <c r="A24" s="19" t="s">
        <v>115</v>
      </c>
      <c r="B24" s="19" t="s">
        <v>46</v>
      </c>
      <c r="C24" s="20">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24" s="26">
        <f t="shared" si="0"/>
        <v>0.32909420689954161</v>
      </c>
    </row>
    <row r="25" spans="1:4" ht="10" customHeight="1" x14ac:dyDescent="0.2">
      <c r="A25" s="19" t="s">
        <v>65</v>
      </c>
      <c r="B25" s="19" t="s">
        <v>46</v>
      </c>
      <c r="C25" s="20">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D25" s="26">
        <f t="shared" si="0"/>
        <v>0.27137921606694793</v>
      </c>
    </row>
    <row r="26" spans="1:4" ht="10" customHeight="1" x14ac:dyDescent="0.2">
      <c r="A26" s="19" t="s">
        <v>145</v>
      </c>
      <c r="B26" s="19" t="s">
        <v>46</v>
      </c>
      <c r="C26" s="20">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D26" s="26">
        <f t="shared" si="0"/>
        <v>1.8571911359703829E-2</v>
      </c>
    </row>
    <row r="27" spans="1:4" ht="10" customHeight="1" x14ac:dyDescent="0.2">
      <c r="A27" s="19" t="s">
        <v>210</v>
      </c>
      <c r="B27" s="19" t="s">
        <v>46</v>
      </c>
      <c r="C27" s="20">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D27" s="26">
        <f t="shared" si="0"/>
        <v>3.882976271459576E-3</v>
      </c>
    </row>
    <row r="28" spans="1:4" ht="10" customHeight="1" x14ac:dyDescent="0.2">
      <c r="A28" s="19" t="s">
        <v>178</v>
      </c>
      <c r="B28" s="19" t="s">
        <v>46</v>
      </c>
      <c r="C28" s="20">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D28" s="26">
        <f t="shared" si="0"/>
        <v>2.9000491571133744E-3</v>
      </c>
    </row>
    <row r="29" spans="1:4" ht="10" customHeight="1" x14ac:dyDescent="0.2">
      <c r="A29" s="19" t="s">
        <v>4855</v>
      </c>
      <c r="B29" s="19" t="s">
        <v>46</v>
      </c>
      <c r="C29" s="20">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D29" s="26">
        <f t="shared" si="0"/>
        <v>4.1201826069234454E-5</v>
      </c>
    </row>
    <row r="30" spans="1:4" ht="10" customHeight="1" x14ac:dyDescent="0.2">
      <c r="A30" s="19" t="s">
        <v>4962</v>
      </c>
      <c r="B30" s="19" t="s">
        <v>46</v>
      </c>
      <c r="C30" s="20">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0</v>
      </c>
      <c r="D30" s="26">
        <f t="shared" si="0"/>
        <v>0</v>
      </c>
    </row>
    <row r="31" spans="1:4" ht="10" customHeight="1" x14ac:dyDescent="0.2">
      <c r="A31" s="19" t="s">
        <v>5268</v>
      </c>
      <c r="B31" s="19" t="s">
        <v>46</v>
      </c>
      <c r="C31" s="20">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0</v>
      </c>
      <c r="D31" s="26">
        <f t="shared" si="0"/>
        <v>0</v>
      </c>
    </row>
    <row r="32" spans="1:4" ht="10" customHeight="1" x14ac:dyDescent="0.2">
      <c r="A32" s="19" t="s">
        <v>229</v>
      </c>
      <c r="B32" s="19" t="s">
        <v>186</v>
      </c>
      <c r="C32" s="20">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0</v>
      </c>
      <c r="D32" s="26">
        <f t="shared" si="0"/>
        <v>0</v>
      </c>
    </row>
    <row r="33" spans="1:4" ht="10" customHeight="1" x14ac:dyDescent="0.2">
      <c r="A33" s="19" t="s">
        <v>4639</v>
      </c>
      <c r="B33" s="19" t="s">
        <v>46</v>
      </c>
      <c r="C33" s="20">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0</v>
      </c>
      <c r="D33" s="26">
        <f t="shared" si="0"/>
        <v>0</v>
      </c>
    </row>
    <row r="34" spans="1:4" ht="10" customHeight="1" x14ac:dyDescent="0.2">
      <c r="A34" s="19" t="s">
        <v>5015</v>
      </c>
      <c r="B34" s="19" t="s">
        <v>46</v>
      </c>
      <c r="C34" s="20">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0</v>
      </c>
      <c r="D34" s="26">
        <f t="shared" si="0"/>
        <v>0</v>
      </c>
    </row>
    <row r="35" spans="1:4" ht="10" customHeight="1" x14ac:dyDescent="0.2">
      <c r="A35" s="19" t="s">
        <v>241</v>
      </c>
      <c r="B35" s="19" t="s">
        <v>46</v>
      </c>
      <c r="C35" s="20">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0</v>
      </c>
      <c r="D35" s="26">
        <f t="shared" si="0"/>
        <v>0</v>
      </c>
    </row>
    <row r="36" spans="1:4" ht="10" customHeight="1" x14ac:dyDescent="0.2">
      <c r="A36" s="19" t="s">
        <v>5273</v>
      </c>
      <c r="B36" s="19" t="s">
        <v>46</v>
      </c>
      <c r="C36" s="20">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0</v>
      </c>
      <c r="D36" s="26">
        <f t="shared" si="0"/>
        <v>0</v>
      </c>
    </row>
    <row r="37" spans="1:4" ht="10" customHeight="1" x14ac:dyDescent="0.2">
      <c r="A37" s="19" t="s">
        <v>222</v>
      </c>
      <c r="B37" s="19" t="s">
        <v>186</v>
      </c>
      <c r="C37" s="20">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0</v>
      </c>
      <c r="D37" s="26">
        <f t="shared" si="0"/>
        <v>0</v>
      </c>
    </row>
    <row r="38" spans="1:4" ht="10" customHeight="1" x14ac:dyDescent="0.2">
      <c r="A38" s="19" t="s">
        <v>4672</v>
      </c>
      <c r="B38" s="19" t="s">
        <v>46</v>
      </c>
      <c r="C38" s="20">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c r="D38" s="26">
        <f t="shared" si="0"/>
        <v>0</v>
      </c>
    </row>
    <row r="39" spans="1:4" ht="10" customHeight="1" x14ac:dyDescent="0.2">
      <c r="A39" s="19" t="s">
        <v>5412</v>
      </c>
      <c r="B39" s="19" t="s">
        <v>46</v>
      </c>
      <c r="C39" s="20">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0</v>
      </c>
      <c r="D39" s="26">
        <f t="shared" si="0"/>
        <v>0</v>
      </c>
    </row>
    <row r="40" spans="1:4" ht="10" customHeight="1" x14ac:dyDescent="0.2">
      <c r="A40" s="19" t="s">
        <v>5025</v>
      </c>
      <c r="B40" s="19" t="s">
        <v>186</v>
      </c>
      <c r="C40" s="20">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0</v>
      </c>
      <c r="D40" s="26">
        <f t="shared" si="0"/>
        <v>0</v>
      </c>
    </row>
    <row r="41" spans="1:4" ht="10" customHeight="1" x14ac:dyDescent="0.2">
      <c r="A41" s="19" t="s">
        <v>4680</v>
      </c>
      <c r="B41" s="19" t="s">
        <v>46</v>
      </c>
      <c r="C41" s="20">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0</v>
      </c>
      <c r="D41" s="26">
        <f t="shared" si="0"/>
        <v>0</v>
      </c>
    </row>
    <row r="42" spans="1:4" ht="10" customHeight="1" x14ac:dyDescent="0.2">
      <c r="A42" s="19" t="s">
        <v>4981</v>
      </c>
      <c r="B42" s="19" t="s">
        <v>46</v>
      </c>
      <c r="C42" s="20">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0</v>
      </c>
      <c r="D42" s="26">
        <f t="shared" si="0"/>
        <v>0</v>
      </c>
    </row>
    <row r="43" spans="1:4" ht="10" customHeight="1" x14ac:dyDescent="0.2">
      <c r="A43" s="19" t="s">
        <v>198</v>
      </c>
      <c r="B43" s="19" t="s">
        <v>186</v>
      </c>
      <c r="C43" s="20">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0</v>
      </c>
      <c r="D43" s="26">
        <f t="shared" si="0"/>
        <v>0</v>
      </c>
    </row>
    <row r="44" spans="1:4" ht="10" customHeight="1" x14ac:dyDescent="0.2">
      <c r="A44" s="19" t="s">
        <v>8184</v>
      </c>
      <c r="B44" s="19" t="s">
        <v>6805</v>
      </c>
      <c r="C44" s="20">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0</v>
      </c>
      <c r="D44" s="26">
        <f t="shared" si="0"/>
        <v>0</v>
      </c>
    </row>
    <row r="45" spans="1:4" ht="10" customHeight="1" x14ac:dyDescent="0.2">
      <c r="A45" s="19" t="s">
        <v>8190</v>
      </c>
      <c r="B45" s="19" t="s">
        <v>6805</v>
      </c>
      <c r="C45" s="20">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0</v>
      </c>
      <c r="D45" s="26">
        <f t="shared" si="0"/>
        <v>0</v>
      </c>
    </row>
    <row r="46" spans="1:4" ht="10" customHeight="1" x14ac:dyDescent="0.2">
      <c r="A46" s="19" t="s">
        <v>8209</v>
      </c>
      <c r="B46" s="19" t="s">
        <v>6805</v>
      </c>
      <c r="C46" s="20">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0</v>
      </c>
      <c r="D46" s="26">
        <f t="shared" si="0"/>
        <v>0</v>
      </c>
    </row>
    <row r="47" spans="1:4" ht="10" customHeight="1" x14ac:dyDescent="0.2">
      <c r="A47" s="19" t="s">
        <v>6807</v>
      </c>
      <c r="B47" s="19" t="s">
        <v>6805</v>
      </c>
      <c r="C47" s="20">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0</v>
      </c>
      <c r="D47" s="26">
        <f t="shared" si="0"/>
        <v>0</v>
      </c>
    </row>
    <row r="48" spans="1:4" ht="10" customHeight="1" x14ac:dyDescent="0.2">
      <c r="A48" s="19" t="s">
        <v>8198</v>
      </c>
      <c r="B48" s="19" t="s">
        <v>6805</v>
      </c>
      <c r="C48" s="20">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0</v>
      </c>
      <c r="D48" s="26">
        <f t="shared" si="0"/>
        <v>0</v>
      </c>
    </row>
    <row r="49" spans="1:9" ht="10" customHeight="1" x14ac:dyDescent="0.2">
      <c r="A49" s="19" t="s">
        <v>8205</v>
      </c>
      <c r="B49" s="19" t="s">
        <v>6805</v>
      </c>
      <c r="C49" s="20">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0</v>
      </c>
      <c r="D49" s="26">
        <f t="shared" si="0"/>
        <v>0</v>
      </c>
    </row>
    <row r="50" spans="1:9" ht="10" customHeight="1" x14ac:dyDescent="0.2">
      <c r="A50" s="19" t="s">
        <v>8171</v>
      </c>
      <c r="B50" s="19" t="s">
        <v>6805</v>
      </c>
      <c r="C50" s="20">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0</v>
      </c>
      <c r="D50" s="26">
        <f t="shared" si="0"/>
        <v>0</v>
      </c>
    </row>
    <row r="51" spans="1:9" ht="10" customHeight="1" x14ac:dyDescent="0.2">
      <c r="A51" s="21" t="s">
        <v>8416</v>
      </c>
      <c r="B51" s="21"/>
      <c r="C51" s="22">
        <f>SUM(C23:C50)</f>
        <v>18591409</v>
      </c>
      <c r="D51" s="27">
        <v>1</v>
      </c>
    </row>
    <row r="52" spans="1:9" ht="10" customHeight="1" x14ac:dyDescent="0.2"/>
    <row r="53" spans="1:9" ht="10" customHeight="1" x14ac:dyDescent="0.2"/>
    <row r="54" spans="1:9" ht="10" customHeight="1" x14ac:dyDescent="0.2">
      <c r="A54" s="6" t="s">
        <v>8423</v>
      </c>
      <c r="B54" s="7"/>
      <c r="C54" s="7"/>
      <c r="D54" s="7"/>
      <c r="E54" s="7"/>
      <c r="F54" s="7"/>
      <c r="G54" s="7"/>
      <c r="H54" s="7"/>
      <c r="I54" s="7"/>
    </row>
    <row r="55" spans="1:9" ht="10" customHeight="1" x14ac:dyDescent="0.2">
      <c r="A55" s="28"/>
      <c r="B55" s="29" t="s">
        <v>46</v>
      </c>
      <c r="C55" s="28"/>
      <c r="D55" s="28"/>
      <c r="E55" s="28"/>
      <c r="F55" s="28"/>
      <c r="G55" s="28"/>
      <c r="H55" s="28"/>
      <c r="I55" s="30"/>
    </row>
    <row r="56" spans="1:9" ht="10" customHeight="1" x14ac:dyDescent="0.2">
      <c r="A56" s="18" t="s">
        <v>8314</v>
      </c>
      <c r="B56" s="31" t="s">
        <v>48</v>
      </c>
      <c r="C56" s="18" t="s">
        <v>115</v>
      </c>
      <c r="D56" s="18" t="s">
        <v>65</v>
      </c>
      <c r="E56" s="18" t="s">
        <v>145</v>
      </c>
      <c r="F56" s="18" t="s">
        <v>210</v>
      </c>
      <c r="G56" s="18" t="s">
        <v>178</v>
      </c>
      <c r="H56" s="18" t="s">
        <v>4855</v>
      </c>
      <c r="I56" s="31" t="s">
        <v>8323</v>
      </c>
    </row>
    <row r="57" spans="1:9" ht="10" customHeight="1" x14ac:dyDescent="0.2">
      <c r="A57" s="19" t="s">
        <v>8419</v>
      </c>
      <c r="B57" s="32">
        <f>IFERROR((SUMIFS(JB_27U,JB_B,4,JB_W,"Submarines",JB_S,"",JB_27U,"&lt;&gt;")+SUMIFS(JB_27S,JB_B,4,JB_W,"Submarines",JB_S,"",JB_27U,"")+SUMIFS(JB_27U,JB_B,4,JB_W,"Submarines",JB_S,"[PARENT]",JB_27U,"&lt;&gt;")+SUMIFS(JB_27S,JB_B,4,JB_W,"Submarines",JB_S,"[PARENT]",JB_27U,""))/B$61,0)</f>
        <v>0.97416618408272337</v>
      </c>
      <c r="C57" s="26">
        <f>IFERROR((SUMIFS(JB_27U,JB_B,4,JB_W,"Surface Combatants",JB_S,"",JB_27U,"&lt;&gt;")+SUMIFS(JB_27S,JB_B,4,JB_W,"Surface Combatants",JB_S,"",JB_27U,"")+SUMIFS(JB_27U,JB_B,4,JB_W,"Surface Combatants",JB_S,"[PARENT]",JB_27U,"&lt;&gt;")+SUMIFS(JB_27S,JB_B,4,JB_W,"Surface Combatants",JB_S,"[PARENT]",JB_27U,""))/C$61,0)</f>
        <v>0.99678147205321721</v>
      </c>
      <c r="D57" s="26">
        <f>IFERROR((SUMIFS(JB_27U,JB_B,4,JB_W,"Aircraft Carriers",JB_S,"",JB_27U,"&lt;&gt;")+SUMIFS(JB_27S,JB_B,4,JB_W,"Aircraft Carriers",JB_S,"",JB_27U,"")+SUMIFS(JB_27U,JB_B,4,JB_W,"Aircraft Carriers",JB_S,"[PARENT]",JB_27U,"&lt;&gt;")+SUMIFS(JB_27S,JB_B,4,JB_W,"Aircraft Carriers",JB_S,"[PARENT]",JB_27U,""))/D$61,0)</f>
        <v>0.10769382013675242</v>
      </c>
      <c r="E57" s="26">
        <f>IFERROR((SUMIFS(JB_27U,JB_B,4,JB_W,"Amphibious Warfare Ships",JB_S,"",JB_27U,"&lt;&gt;")+SUMIFS(JB_27S,JB_B,4,JB_W,"Amphibious Warfare Ships",JB_S,"",JB_27U,"")+SUMIFS(JB_27U,JB_B,4,JB_W,"Amphibious Warfare Ships",JB_S,"[PARENT]",JB_27U,"&lt;&gt;")+SUMIFS(JB_27S,JB_B,4,JB_W,"Amphibious Warfare Ships",JB_S,"[PARENT]",JB_27U,""))/E$61,0)</f>
        <v>1</v>
      </c>
      <c r="F57" s="26">
        <f>IFERROR((SUMIFS(JB_27U,JB_B,4,JB_W,"Surveillance Ships",JB_S,"",JB_27U,"&lt;&gt;")+SUMIFS(JB_27S,JB_B,4,JB_W,"Surveillance Ships",JB_S,"",JB_27U,"")+SUMIFS(JB_27U,JB_B,4,JB_W,"Surveillance Ships",JB_S,"[PARENT]",JB_27U,"&lt;&gt;")+SUMIFS(JB_27S,JB_B,4,JB_W,"Surveillance Ships",JB_S,"[PARENT]",JB_27U,""))/F$61,0)</f>
        <v>1</v>
      </c>
      <c r="G57" s="26">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0</v>
      </c>
      <c r="H57" s="26">
        <f>IFERROR((SUMIFS(JB_27U,JB_B,4,JB_W,"Command Ships",JB_S,"",JB_27U,"&lt;&gt;")+SUMIFS(JB_27S,JB_B,4,JB_W,"Command Ships",JB_S,"",JB_27U,"")+SUMIFS(JB_27U,JB_B,4,JB_W,"Command Ships",JB_S,"[PARENT]",JB_27U,"&lt;&gt;")+SUMIFS(JB_27S,JB_B,4,JB_W,"Command Ships",JB_S,"[PARENT]",JB_27U,""))/H$61,0)</f>
        <v>0</v>
      </c>
      <c r="I57" s="32">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0.74418098165663504</v>
      </c>
    </row>
    <row r="58" spans="1:9" ht="10" customHeight="1" x14ac:dyDescent="0.2">
      <c r="A58" s="19" t="s">
        <v>8420</v>
      </c>
      <c r="B58" s="32">
        <f>IFERROR((SUMIFS(JB_27U,JB_B,5,JB_W,"Submarines",JB_S,"",JB_27U,"&lt;&gt;")+SUMIFS(JB_27S,JB_B,5,JB_W,"Submarines",JB_S,"",JB_27U,"")+SUMIFS(JB_27U,JB_B,5,JB_W,"Submarines",JB_S,"[PARENT]",JB_27U,"&lt;&gt;")+SUMIFS(JB_27S,JB_B,5,JB_W,"Submarines",JB_S,"[PARENT]",JB_27U,""))/B$61,0)</f>
        <v>0</v>
      </c>
      <c r="C58" s="26">
        <f>IFERROR((SUMIFS(JB_27U,JB_B,5,JB_W,"Surface Combatants",JB_S,"",JB_27U,"&lt;&gt;")+SUMIFS(JB_27S,JB_B,5,JB_W,"Surface Combatants",JB_S,"",JB_27U,"")+SUMIFS(JB_27U,JB_B,5,JB_W,"Surface Combatants",JB_S,"[PARENT]",JB_27U,"&lt;&gt;")+SUMIFS(JB_27S,JB_B,5,JB_W,"Surface Combatants",JB_S,"[PARENT]",JB_27U,""))/C$61,0)</f>
        <v>0</v>
      </c>
      <c r="D58" s="26">
        <f>IFERROR((SUMIFS(JB_27U,JB_B,5,JB_W,"Aircraft Carriers",JB_S,"",JB_27U,"&lt;&gt;")+SUMIFS(JB_27S,JB_B,5,JB_W,"Aircraft Carriers",JB_S,"",JB_27U,"")+SUMIFS(JB_27U,JB_B,5,JB_W,"Aircraft Carriers",JB_S,"[PARENT]",JB_27U,"&lt;&gt;")+SUMIFS(JB_27S,JB_B,5,JB_W,"Aircraft Carriers",JB_S,"[PARENT]",JB_27U,""))/D$61,0)</f>
        <v>0.89230617986324756</v>
      </c>
      <c r="E58" s="26">
        <f>IFERROR((SUMIFS(JB_27U,JB_B,5,JB_W,"Amphibious Warfare Ships",JB_S,"",JB_27U,"&lt;&gt;")+SUMIFS(JB_27S,JB_B,5,JB_W,"Amphibious Warfare Ships",JB_S,"",JB_27U,"")+SUMIFS(JB_27U,JB_B,5,JB_W,"Amphibious Warfare Ships",JB_S,"[PARENT]",JB_27U,"&lt;&gt;")+SUMIFS(JB_27S,JB_B,5,JB_W,"Amphibious Warfare Ships",JB_S,"[PARENT]",JB_27U,""))/E$61,0)</f>
        <v>0</v>
      </c>
      <c r="F58" s="26">
        <f>IFERROR((SUMIFS(JB_27U,JB_B,5,JB_W,"Surveillance Ships",JB_S,"",JB_27U,"&lt;&gt;")+SUMIFS(JB_27S,JB_B,5,JB_W,"Surveillance Ships",JB_S,"",JB_27U,"")+SUMIFS(JB_27U,JB_B,5,JB_W,"Surveillance Ships",JB_S,"[PARENT]",JB_27U,"&lt;&gt;")+SUMIFS(JB_27S,JB_B,5,JB_W,"Surveillance Ships",JB_S,"[PARENT]",JB_27U,""))/F$61,0)</f>
        <v>0</v>
      </c>
      <c r="G58" s="26">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0</v>
      </c>
      <c r="H58" s="26">
        <f>IFERROR((SUMIFS(JB_27U,JB_B,5,JB_W,"Command Ships",JB_S,"",JB_27U,"&lt;&gt;")+SUMIFS(JB_27S,JB_B,5,JB_W,"Command Ships",JB_S,"",JB_27U,"")+SUMIFS(JB_27U,JB_B,5,JB_W,"Command Ships",JB_S,"[PARENT]",JB_27U,"&lt;&gt;")+SUMIFS(JB_27S,JB_B,5,JB_W,"Command Ships",JB_S,"[PARENT]",JB_27U,""))/H$61,0)</f>
        <v>1</v>
      </c>
      <c r="I58" s="32">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0.24219455340905038</v>
      </c>
    </row>
    <row r="59" spans="1:9" ht="10" customHeight="1" x14ac:dyDescent="0.2">
      <c r="A59" s="19" t="s">
        <v>8421</v>
      </c>
      <c r="B59" s="32">
        <f>IFERROR((SUMIFS(JB_27U,JB_B,6,JB_W,"Submarines",JB_S,"",JB_27U,"&lt;&gt;")+SUMIFS(JB_27S,JB_B,6,JB_W,"Submarines",JB_S,"",JB_27U,"")+SUMIFS(JB_27U,JB_B,6,JB_W,"Submarines",JB_S,"[PARENT]",JB_27U,"&lt;&gt;")+SUMIFS(JB_27S,JB_B,6,JB_W,"Submarines",JB_S,"[PARENT]",JB_27U,""))/B$61,0)</f>
        <v>2.5833815917276581E-2</v>
      </c>
      <c r="C59" s="26">
        <f>IFERROR((SUMIFS(JB_27U,JB_B,6,JB_W,"Surface Combatants",JB_S,"",JB_27U,"&lt;&gt;")+SUMIFS(JB_27S,JB_B,6,JB_W,"Surface Combatants",JB_S,"",JB_27U,"")+SUMIFS(JB_27U,JB_B,6,JB_W,"Surface Combatants",JB_S,"[PARENT]",JB_27U,"&lt;&gt;")+SUMIFS(JB_27S,JB_B,6,JB_W,"Surface Combatants",JB_S,"[PARENT]",JB_27U,""))/C$61,0)</f>
        <v>3.2185279467828207E-3</v>
      </c>
      <c r="D59" s="26">
        <f>IFERROR((SUMIFS(JB_27U,JB_B,6,JB_W,"Aircraft Carriers",JB_S,"",JB_27U,"&lt;&gt;")+SUMIFS(JB_27S,JB_B,6,JB_W,"Aircraft Carriers",JB_S,"",JB_27U,"")+SUMIFS(JB_27U,JB_B,6,JB_W,"Aircraft Carriers",JB_S,"[PARENT]",JB_27U,"&lt;&gt;")+SUMIFS(JB_27S,JB_B,6,JB_W,"Aircraft Carriers",JB_S,"[PARENT]",JB_27U,""))/D$61,0)</f>
        <v>0</v>
      </c>
      <c r="E59" s="26">
        <f>IFERROR((SUMIFS(JB_27U,JB_B,6,JB_W,"Amphibious Warfare Ships",JB_S,"",JB_27U,"&lt;&gt;")+SUMIFS(JB_27S,JB_B,6,JB_W,"Amphibious Warfare Ships",JB_S,"",JB_27U,"")+SUMIFS(JB_27U,JB_B,6,JB_W,"Amphibious Warfare Ships",JB_S,"[PARENT]",JB_27U,"&lt;&gt;")+SUMIFS(JB_27S,JB_B,6,JB_W,"Amphibious Warfare Ships",JB_S,"[PARENT]",JB_27U,""))/E$61,0)</f>
        <v>0</v>
      </c>
      <c r="F59" s="26">
        <f>IFERROR((SUMIFS(JB_27U,JB_B,6,JB_W,"Surveillance Ships",JB_S,"",JB_27U,"&lt;&gt;")+SUMIFS(JB_27S,JB_B,6,JB_W,"Surveillance Ships",JB_S,"",JB_27U,"")+SUMIFS(JB_27U,JB_B,6,JB_W,"Surveillance Ships",JB_S,"[PARENT]",JB_27U,"&lt;&gt;")+SUMIFS(JB_27S,JB_B,6,JB_W,"Surveillance Ships",JB_S,"[PARENT]",JB_27U,""))/F$61,0)</f>
        <v>0</v>
      </c>
      <c r="G59" s="26">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0</v>
      </c>
      <c r="H59" s="26">
        <f>IFERROR((SUMIFS(JB_27U,JB_B,6,JB_W,"Command Ships",JB_S,"",JB_27U,"&lt;&gt;")+SUMIFS(JB_27S,JB_B,6,JB_W,"Command Ships",JB_S,"",JB_27U,"")+SUMIFS(JB_27U,JB_B,6,JB_W,"Command Ships",JB_S,"[PARENT]",JB_27U,"&lt;&gt;")+SUMIFS(JB_27S,JB_B,6,JB_W,"Command Ships",JB_S,"[PARENT]",JB_27U,""))/H$61,0)</f>
        <v>0</v>
      </c>
      <c r="I59" s="32">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1.0724415777201179E-2</v>
      </c>
    </row>
    <row r="60" spans="1:9" ht="10" customHeight="1" x14ac:dyDescent="0.2">
      <c r="A60" s="19" t="s">
        <v>5513</v>
      </c>
      <c r="B60" s="32">
        <f>IFERROR((SUMIFS(JB_27U,JB_B,7,JB_W,"Submarines",JB_S,"",JB_27U,"&lt;&gt;")+SUMIFS(JB_27S,JB_B,7,JB_W,"Submarines",JB_S,"",JB_27U,"")+SUMIFS(JB_27U,JB_B,7,JB_W,"Submarines",JB_S,"[PARENT]",JB_27U,"&lt;&gt;")+SUMIFS(JB_27S,JB_B,7,JB_W,"Submarines",JB_S,"[PARENT]",JB_27U,""))/B$61,0)</f>
        <v>0</v>
      </c>
      <c r="C60" s="26">
        <f>IFERROR((SUMIFS(JB_27U,JB_B,7,JB_W,"Surface Combatants",JB_S,"",JB_27U,"&lt;&gt;")+SUMIFS(JB_27S,JB_B,7,JB_W,"Surface Combatants",JB_S,"",JB_27U,"")+SUMIFS(JB_27U,JB_B,7,JB_W,"Surface Combatants",JB_S,"[PARENT]",JB_27U,"&lt;&gt;")+SUMIFS(JB_27S,JB_B,7,JB_W,"Surface Combatants",JB_S,"[PARENT]",JB_27U,""))/C$61,0)</f>
        <v>0</v>
      </c>
      <c r="D60" s="26">
        <f>IFERROR((SUMIFS(JB_27U,JB_B,7,JB_W,"Aircraft Carriers",JB_S,"",JB_27U,"&lt;&gt;")+SUMIFS(JB_27S,JB_B,7,JB_W,"Aircraft Carriers",JB_S,"",JB_27U,"")+SUMIFS(JB_27U,JB_B,7,JB_W,"Aircraft Carriers",JB_S,"[PARENT]",JB_27U,"&lt;&gt;")+SUMIFS(JB_27S,JB_B,7,JB_W,"Aircraft Carriers",JB_S,"[PARENT]",JB_27U,""))/D$61,0)</f>
        <v>0</v>
      </c>
      <c r="E60" s="26">
        <f>IFERROR((SUMIFS(JB_27U,JB_B,7,JB_W,"Amphibious Warfare Ships",JB_S,"",JB_27U,"&lt;&gt;")+SUMIFS(JB_27S,JB_B,7,JB_W,"Amphibious Warfare Ships",JB_S,"",JB_27U,"")+SUMIFS(JB_27U,JB_B,7,JB_W,"Amphibious Warfare Ships",JB_S,"[PARENT]",JB_27U,"&lt;&gt;")+SUMIFS(JB_27S,JB_B,7,JB_W,"Amphibious Warfare Ships",JB_S,"[PARENT]",JB_27U,""))/E$61,0)</f>
        <v>0</v>
      </c>
      <c r="F60" s="26">
        <f>IFERROR((SUMIFS(JB_27U,JB_B,7,JB_W,"Surveillance Ships",JB_S,"",JB_27U,"&lt;&gt;")+SUMIFS(JB_27S,JB_B,7,JB_W,"Surveillance Ships",JB_S,"",JB_27U,"")+SUMIFS(JB_27U,JB_B,7,JB_W,"Surveillance Ships",JB_S,"[PARENT]",JB_27U,"&lt;&gt;")+SUMIFS(JB_27S,JB_B,7,JB_W,"Surveillance Ships",JB_S,"[PARENT]",JB_27U,""))/F$61,0)</f>
        <v>0</v>
      </c>
      <c r="G60" s="26">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1</v>
      </c>
      <c r="H60" s="26">
        <f>IFERROR((SUMIFS(JB_27U,JB_B,7,JB_W,"Command Ships",JB_S,"",JB_27U,"&lt;&gt;")+SUMIFS(JB_27S,JB_B,7,JB_W,"Command Ships",JB_S,"",JB_27U,"")+SUMIFS(JB_27U,JB_B,7,JB_W,"Command Ships",JB_S,"[PARENT]",JB_27U,"&lt;&gt;")+SUMIFS(JB_27S,JB_B,7,JB_W,"Command Ships",JB_S,"[PARENT]",JB_27U,""))/H$61,0)</f>
        <v>0</v>
      </c>
      <c r="I60" s="32">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2.9000491571133744E-3</v>
      </c>
    </row>
    <row r="61" spans="1:9" ht="10" customHeight="1" x14ac:dyDescent="0.2">
      <c r="A61" s="21" t="s">
        <v>8351</v>
      </c>
      <c r="B61" s="33">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C61" s="22">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61" s="22">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E61" s="22">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F61" s="22">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G61" s="22">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H61" s="22">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I61" s="33">
        <f>SUM(B61:H61)</f>
        <v>18591409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548235"/>
  </sheetPr>
  <dimension ref="A1:F48"/>
  <sheetViews>
    <sheetView showGridLines="0" workbookViewId="0"/>
  </sheetViews>
  <sheetFormatPr baseColWidth="10" defaultColWidth="8.83203125" defaultRowHeight="15" x14ac:dyDescent="0.2"/>
  <cols>
    <col min="1" max="1" width="30" customWidth="1"/>
    <col min="2" max="5" width="12" customWidth="1"/>
    <col min="6" max="6" width="10" customWidth="1"/>
  </cols>
  <sheetData>
    <row r="1" spans="1:6" ht="10" customHeight="1" x14ac:dyDescent="0.2">
      <c r="A1" s="15" t="s">
        <v>8446</v>
      </c>
      <c r="B1" s="16"/>
      <c r="C1" s="16"/>
      <c r="D1" s="16"/>
      <c r="E1" s="16"/>
      <c r="F1" s="16"/>
    </row>
    <row r="2" spans="1:6" ht="10" customHeight="1" x14ac:dyDescent="0.2">
      <c r="A2" s="17" t="s">
        <v>8425</v>
      </c>
    </row>
    <row r="3" spans="1:6" ht="10" customHeight="1" x14ac:dyDescent="0.2"/>
    <row r="4" spans="1:6" ht="10" customHeight="1" x14ac:dyDescent="0.2">
      <c r="A4" s="6" t="s">
        <v>8426</v>
      </c>
      <c r="B4" s="7"/>
    </row>
    <row r="5" spans="1:6" ht="10" customHeight="1" x14ac:dyDescent="0.2">
      <c r="A5" s="19" t="s">
        <v>8416</v>
      </c>
      <c r="B5" s="38">
        <f>'FY27 MRO TAM'!B18</f>
        <v>18591409</v>
      </c>
    </row>
    <row r="6" spans="1:6" ht="10" customHeight="1" x14ac:dyDescent="0.2">
      <c r="A6" s="19" t="s">
        <v>8376</v>
      </c>
      <c r="B6" s="20">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row>
    <row r="7" spans="1:6" ht="10" customHeight="1" x14ac:dyDescent="0.2">
      <c r="A7" s="19" t="s">
        <v>8377</v>
      </c>
      <c r="B7" s="20">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row>
    <row r="8" spans="1:6" ht="10" customHeight="1" x14ac:dyDescent="0.2">
      <c r="A8" s="19" t="s">
        <v>8378</v>
      </c>
      <c r="B8" s="20">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row>
    <row r="9" spans="1:6" ht="10" customHeight="1" x14ac:dyDescent="0.2">
      <c r="A9" s="19" t="s">
        <v>8427</v>
      </c>
      <c r="B9" s="20">
        <f>-(B5+B6+B7+B8-B10)</f>
        <v>-74374</v>
      </c>
    </row>
    <row r="10" spans="1:6" ht="10" customHeight="1" x14ac:dyDescent="0.2">
      <c r="A10" s="21" t="s">
        <v>8428</v>
      </c>
      <c r="B10" s="22">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6516101</v>
      </c>
    </row>
    <row r="11" spans="1:6" ht="10" customHeight="1" x14ac:dyDescent="0.2"/>
    <row r="12" spans="1:6" ht="10" customHeight="1" x14ac:dyDescent="0.2"/>
    <row r="13" spans="1:6" ht="10" customHeight="1" x14ac:dyDescent="0.2">
      <c r="A13" s="6" t="s">
        <v>8429</v>
      </c>
      <c r="B13" s="7"/>
      <c r="C13" s="7"/>
      <c r="D13" s="7"/>
      <c r="E13" s="7"/>
      <c r="F13" s="7"/>
    </row>
    <row r="14" spans="1:6" ht="10" customHeight="1" x14ac:dyDescent="0.2">
      <c r="A14" s="18" t="s">
        <v>19</v>
      </c>
      <c r="B14" s="18" t="s">
        <v>8344</v>
      </c>
      <c r="C14" s="18" t="s">
        <v>8430</v>
      </c>
      <c r="D14" s="18" t="s">
        <v>8431</v>
      </c>
      <c r="E14" s="18" t="s">
        <v>8351</v>
      </c>
      <c r="F14" s="18" t="s">
        <v>8381</v>
      </c>
    </row>
    <row r="15" spans="1:6" ht="10" customHeight="1" x14ac:dyDescent="0.2">
      <c r="A15" s="19" t="s">
        <v>115</v>
      </c>
      <c r="B15" s="19" t="s">
        <v>46</v>
      </c>
      <c r="C15" s="20">
        <f>SUMIFS(JB_27U,JB_B,2,JB_W,"Surface Combatants",JB_S,"",JB_27U,"&lt;&gt;")+SUMIFS(JB_27S,JB_B,2,JB_W,"Surface Combatants",JB_S,"",JB_27U,"")+SUMIFS(JB_27U,JB_B,2,JB_W,"Surface Combatants",JB_S,"[PARENT]",JB_27U,"&lt;&gt;")+SUMIFS(JB_27S,JB_B,2,JB_W,"Surface Combatants",JB_S,"[PARENT]",JB_27U,"")</f>
        <v>0</v>
      </c>
      <c r="D15" s="20">
        <f>SUMIFS(JB_27U,JB_B,4,JB_W,"Surface Combatants",JB_S,"",JB_27U,"&lt;&gt;")+SUMIFS(JB_27S,JB_B,4,JB_W,"Surface Combatants",JB_S,"",JB_27U,"")+SUMIFS(JB_27U,JB_B,4,JB_W,"Surface Combatants",JB_S,"[PARENT]",JB_27U,"&lt;&gt;")+SUMIFS(JB_27S,JB_B,4,JB_W,"Surface Combatants",JB_S,"[PARENT]",JB_27U,"")</f>
        <v>6098633</v>
      </c>
      <c r="E15" s="20">
        <f t="shared" ref="E15:E39" si="0">C15+D15</f>
        <v>6098633</v>
      </c>
      <c r="F15" s="26">
        <f t="shared" ref="F15:F39" si="1">IFERROR(E15/E$40,0)</f>
        <v>0.93593285309727392</v>
      </c>
    </row>
    <row r="16" spans="1:6" ht="10" customHeight="1" x14ac:dyDescent="0.2">
      <c r="A16" s="19" t="s">
        <v>145</v>
      </c>
      <c r="B16" s="19" t="s">
        <v>46</v>
      </c>
      <c r="C16" s="20">
        <f>SUMIFS(JB_27U,JB_B,2,JB_W,"Amphibious Warfare Ships",JB_S,"",JB_27U,"&lt;&gt;")+SUMIFS(JB_27S,JB_B,2,JB_W,"Amphibious Warfare Ships",JB_S,"",JB_27U,"")+SUMIFS(JB_27U,JB_B,2,JB_W,"Amphibious Warfare Ships",JB_S,"[PARENT]",JB_27U,"&lt;&gt;")+SUMIFS(JB_27S,JB_B,2,JB_W,"Amphibious Warfare Ships",JB_S,"[PARENT]",JB_27U,"")</f>
        <v>0</v>
      </c>
      <c r="D16" s="20">
        <f>SUMIFS(JB_27U,JB_B,4,JB_W,"Amphibious Warfare Ships",JB_S,"",JB_27U,"&lt;&gt;")+SUMIFS(JB_27S,JB_B,4,JB_W,"Amphibious Warfare Ships",JB_S,"",JB_27U,"")+SUMIFS(JB_27U,JB_B,4,JB_W,"Amphibious Warfare Ships",JB_S,"[PARENT]",JB_27U,"&lt;&gt;")+SUMIFS(JB_27S,JB_B,4,JB_W,"Amphibious Warfare Ships",JB_S,"[PARENT]",JB_27U,"")</f>
        <v>345278</v>
      </c>
      <c r="E16" s="20">
        <f t="shared" si="0"/>
        <v>345278</v>
      </c>
      <c r="F16" s="26">
        <f t="shared" si="1"/>
        <v>5.2988435875993944E-2</v>
      </c>
    </row>
    <row r="17" spans="1:6" ht="10" customHeight="1" x14ac:dyDescent="0.2">
      <c r="A17" s="19" t="s">
        <v>210</v>
      </c>
      <c r="B17" s="19" t="s">
        <v>46</v>
      </c>
      <c r="C17" s="20">
        <f>SUMIFS(JB_27U,JB_B,2,JB_W,"Surveillance Ships",JB_S,"",JB_27U,"&lt;&gt;")+SUMIFS(JB_27S,JB_B,2,JB_W,"Surveillance Ships",JB_S,"",JB_27U,"")+SUMIFS(JB_27U,JB_B,2,JB_W,"Surveillance Ships",JB_S,"[PARENT]",JB_27U,"&lt;&gt;")+SUMIFS(JB_27S,JB_B,2,JB_W,"Surveillance Ships",JB_S,"[PARENT]",JB_27U,"")</f>
        <v>0</v>
      </c>
      <c r="D17" s="20">
        <f>SUMIFS(JB_27U,JB_B,4,JB_W,"Surveillance Ships",JB_S,"",JB_27U,"&lt;&gt;")+SUMIFS(JB_27S,JB_B,4,JB_W,"Surveillance Ships",JB_S,"",JB_27U,"")+SUMIFS(JB_27U,JB_B,4,JB_W,"Surveillance Ships",JB_S,"[PARENT]",JB_27U,"&lt;&gt;")+SUMIFS(JB_27S,JB_B,4,JB_W,"Surveillance Ships",JB_S,"[PARENT]",JB_27U,"")</f>
        <v>72190</v>
      </c>
      <c r="E17" s="20">
        <f t="shared" si="0"/>
        <v>72190</v>
      </c>
      <c r="F17" s="26">
        <f t="shared" si="1"/>
        <v>1.107871102673209E-2</v>
      </c>
    </row>
    <row r="18" spans="1:6" ht="10" customHeight="1" x14ac:dyDescent="0.2">
      <c r="A18" s="19" t="s">
        <v>4962</v>
      </c>
      <c r="B18" s="19" t="s">
        <v>46</v>
      </c>
      <c r="C18" s="20">
        <f>SUMIFS(JB_27U,JB_B,2,JB_W,"Material Support Ships",JB_S,"",JB_27U,"&lt;&gt;")+SUMIFS(JB_27S,JB_B,2,JB_W,"Material Support Ships",JB_S,"",JB_27U,"")+SUMIFS(JB_27U,JB_B,2,JB_W,"Material Support Ships",JB_S,"[PARENT]",JB_27U,"&lt;&gt;")+SUMIFS(JB_27S,JB_B,2,JB_W,"Material Support Ships",JB_S,"[PARENT]",JB_27U,"")</f>
        <v>0</v>
      </c>
      <c r="D18" s="20">
        <f>SUMIFS(JB_27U,JB_B,4,JB_W,"Material Support Ships",JB_S,"",JB_27U,"&lt;&gt;")+SUMIFS(JB_27S,JB_B,4,JB_W,"Material Support Ships",JB_S,"",JB_27U,"")+SUMIFS(JB_27U,JB_B,4,JB_W,"Material Support Ships",JB_S,"[PARENT]",JB_27U,"&lt;&gt;")+SUMIFS(JB_27S,JB_B,4,JB_W,"Material Support Ships",JB_S,"[PARENT]",JB_27U,"")</f>
        <v>0</v>
      </c>
      <c r="E18" s="20">
        <f t="shared" si="0"/>
        <v>0</v>
      </c>
      <c r="F18" s="26">
        <f t="shared" si="1"/>
        <v>0</v>
      </c>
    </row>
    <row r="19" spans="1:6" ht="10" customHeight="1" x14ac:dyDescent="0.2">
      <c r="A19" s="19" t="s">
        <v>5268</v>
      </c>
      <c r="B19" s="19" t="s">
        <v>46</v>
      </c>
      <c r="C19" s="20">
        <f>SUMIFS(JB_27U,JB_B,2,JB_W,"Aviation Logistics Support Ship",JB_S,"",JB_27U,"&lt;&gt;")+SUMIFS(JB_27S,JB_B,2,JB_W,"Aviation Logistics Support Ship",JB_S,"",JB_27U,"")+SUMIFS(JB_27U,JB_B,2,JB_W,"Aviation Logistics Support Ship",JB_S,"[PARENT]",JB_27U,"&lt;&gt;")+SUMIFS(JB_27S,JB_B,2,JB_W,"Aviation Logistics Support Ship",JB_S,"[PARENT]",JB_27U,"")</f>
        <v>0</v>
      </c>
      <c r="D19" s="20">
        <f>SUMIFS(JB_27U,JB_B,4,JB_W,"Aviation Logistics Support Ship",JB_S,"",JB_27U,"&lt;&gt;")+SUMIFS(JB_27S,JB_B,4,JB_W,"Aviation Logistics Support Ship",JB_S,"",JB_27U,"")+SUMIFS(JB_27U,JB_B,4,JB_W,"Aviation Logistics Support Ship",JB_S,"[PARENT]",JB_27U,"&lt;&gt;")+SUMIFS(JB_27S,JB_B,4,JB_W,"Aviation Logistics Support Ship",JB_S,"[PARENT]",JB_27U,"")</f>
        <v>0</v>
      </c>
      <c r="E19" s="20">
        <f t="shared" si="0"/>
        <v>0</v>
      </c>
      <c r="F19" s="26">
        <f t="shared" si="1"/>
        <v>0</v>
      </c>
    </row>
    <row r="20" spans="1:6" ht="10" customHeight="1" x14ac:dyDescent="0.2">
      <c r="A20" s="19" t="s">
        <v>5412</v>
      </c>
      <c r="B20" s="19" t="s">
        <v>46</v>
      </c>
      <c r="C20" s="20">
        <f>SUMIFS(JB_27U,JB_B,2,JB_W,"Unmanned Surface Vehicles",JB_S,"",JB_27U,"&lt;&gt;")+SUMIFS(JB_27S,JB_B,2,JB_W,"Unmanned Surface Vehicles",JB_S,"",JB_27U,"")+SUMIFS(JB_27U,JB_B,2,JB_W,"Unmanned Surface Vehicles",JB_S,"[PARENT]",JB_27U,"&lt;&gt;")+SUMIFS(JB_27S,JB_B,2,JB_W,"Unmanned Surface Vehicles",JB_S,"[PARENT]",JB_27U,"")</f>
        <v>0</v>
      </c>
      <c r="D20" s="20">
        <f>SUMIFS(JB_27U,JB_B,4,JB_W,"Unmanned Surface Vehicles",JB_S,"",JB_27U,"&lt;&gt;")+SUMIFS(JB_27S,JB_B,4,JB_W,"Unmanned Surface Vehicles",JB_S,"",JB_27U,"")+SUMIFS(JB_27U,JB_B,4,JB_W,"Unmanned Surface Vehicles",JB_S,"[PARENT]",JB_27U,"&lt;&gt;")+SUMIFS(JB_27S,JB_B,4,JB_W,"Unmanned Surface Vehicles",JB_S,"[PARENT]",JB_27U,"")</f>
        <v>0</v>
      </c>
      <c r="E20" s="20">
        <f t="shared" si="0"/>
        <v>0</v>
      </c>
      <c r="F20" s="26">
        <f t="shared" si="1"/>
        <v>0</v>
      </c>
    </row>
    <row r="21" spans="1:6" ht="10" customHeight="1" x14ac:dyDescent="0.2">
      <c r="A21" s="19" t="s">
        <v>5025</v>
      </c>
      <c r="B21" s="19" t="s">
        <v>186</v>
      </c>
      <c r="C21" s="20">
        <f>SUMIFS(JB_27U,JB_B,2,JB_W,"Hospital Ship",JB_S,"",JB_27U,"&lt;&gt;")+SUMIFS(JB_27S,JB_B,2,JB_W,"Hospital Ship",JB_S,"",JB_27U,"")+SUMIFS(JB_27U,JB_B,2,JB_W,"Hospital Ship",JB_S,"[PARENT]",JB_27U,"&lt;&gt;")+SUMIFS(JB_27S,JB_B,2,JB_W,"Hospital Ship",JB_S,"[PARENT]",JB_27U,"")</f>
        <v>0</v>
      </c>
      <c r="D21" s="20">
        <f>SUMIFS(JB_27U,JB_B,4,JB_W,"Hospital Ship",JB_S,"",JB_27U,"&lt;&gt;")+SUMIFS(JB_27S,JB_B,4,JB_W,"Hospital Ship",JB_S,"",JB_27U,"")+SUMIFS(JB_27U,JB_B,4,JB_W,"Hospital Ship",JB_S,"[PARENT]",JB_27U,"&lt;&gt;")+SUMIFS(JB_27S,JB_B,4,JB_W,"Hospital Ship",JB_S,"[PARENT]",JB_27U,"")</f>
        <v>0</v>
      </c>
      <c r="E21" s="20">
        <f t="shared" si="0"/>
        <v>0</v>
      </c>
      <c r="F21" s="26">
        <f t="shared" si="1"/>
        <v>0</v>
      </c>
    </row>
    <row r="22" spans="1:6" ht="10" customHeight="1" x14ac:dyDescent="0.2">
      <c r="A22" s="19" t="s">
        <v>229</v>
      </c>
      <c r="B22" s="19" t="s">
        <v>186</v>
      </c>
      <c r="C22" s="20">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0</v>
      </c>
      <c r="D22" s="20">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0</v>
      </c>
      <c r="E22" s="20">
        <f t="shared" si="0"/>
        <v>0</v>
      </c>
      <c r="F22" s="26">
        <f t="shared" si="1"/>
        <v>0</v>
      </c>
    </row>
    <row r="23" spans="1:6" ht="10" customHeight="1" x14ac:dyDescent="0.2">
      <c r="A23" s="19" t="s">
        <v>4639</v>
      </c>
      <c r="B23" s="19" t="s">
        <v>46</v>
      </c>
      <c r="C23" s="20">
        <f>SUMIFS(JB_27U,JB_B,2,JB_W,"General Auxiliary",JB_S,"",JB_27U,"&lt;&gt;")+SUMIFS(JB_27S,JB_B,2,JB_W,"General Auxiliary",JB_S,"",JB_27U,"")+SUMIFS(JB_27U,JB_B,2,JB_W,"General Auxiliary",JB_S,"[PARENT]",JB_27U,"&lt;&gt;")+SUMIFS(JB_27S,JB_B,2,JB_W,"General Auxiliary",JB_S,"[PARENT]",JB_27U,"")</f>
        <v>0</v>
      </c>
      <c r="D23" s="20">
        <f>SUMIFS(JB_27U,JB_B,4,JB_W,"General Auxiliary",JB_S,"",JB_27U,"&lt;&gt;")+SUMIFS(JB_27S,JB_B,4,JB_W,"General Auxiliary",JB_S,"",JB_27U,"")+SUMIFS(JB_27U,JB_B,4,JB_W,"General Auxiliary",JB_S,"[PARENT]",JB_27U,"&lt;&gt;")+SUMIFS(JB_27S,JB_B,4,JB_W,"General Auxiliary",JB_S,"[PARENT]",JB_27U,"")</f>
        <v>0</v>
      </c>
      <c r="E23" s="20">
        <f t="shared" si="0"/>
        <v>0</v>
      </c>
      <c r="F23" s="26">
        <f t="shared" si="1"/>
        <v>0</v>
      </c>
    </row>
    <row r="24" spans="1:6" ht="10" customHeight="1" x14ac:dyDescent="0.2">
      <c r="A24" s="19" t="s">
        <v>4680</v>
      </c>
      <c r="B24" s="19" t="s">
        <v>46</v>
      </c>
      <c r="C24" s="20">
        <f>SUMIFS(JB_27U,JB_B,2,JB_W,"Mine Warfare",JB_S,"",JB_27U,"&lt;&gt;")+SUMIFS(JB_27S,JB_B,2,JB_W,"Mine Warfare",JB_S,"",JB_27U,"")+SUMIFS(JB_27U,JB_B,2,JB_W,"Mine Warfare",JB_S,"[PARENT]",JB_27U,"&lt;&gt;")+SUMIFS(JB_27S,JB_B,2,JB_W,"Mine Warfare",JB_S,"[PARENT]",JB_27U,"")</f>
        <v>0</v>
      </c>
      <c r="D24" s="20">
        <f>SUMIFS(JB_27U,JB_B,4,JB_W,"Mine Warfare",JB_S,"",JB_27U,"&lt;&gt;")+SUMIFS(JB_27S,JB_B,4,JB_W,"Mine Warfare",JB_S,"",JB_27U,"")+SUMIFS(JB_27U,JB_B,4,JB_W,"Mine Warfare",JB_S,"[PARENT]",JB_27U,"&lt;&gt;")+SUMIFS(JB_27S,JB_B,4,JB_W,"Mine Warfare",JB_S,"[PARENT]",JB_27U,"")</f>
        <v>0</v>
      </c>
      <c r="E24" s="20">
        <f t="shared" si="0"/>
        <v>0</v>
      </c>
      <c r="F24" s="26">
        <f t="shared" si="1"/>
        <v>0</v>
      </c>
    </row>
    <row r="25" spans="1:6" ht="10" customHeight="1" x14ac:dyDescent="0.2">
      <c r="A25" s="19" t="s">
        <v>5015</v>
      </c>
      <c r="B25" s="19" t="s">
        <v>46</v>
      </c>
      <c r="C25" s="20">
        <f>SUMIFS(JB_27U,JB_B,2,JB_W,"Submarine Escort Ship",JB_S,"",JB_27U,"&lt;&gt;")+SUMIFS(JB_27S,JB_B,2,JB_W,"Submarine Escort Ship",JB_S,"",JB_27U,"")+SUMIFS(JB_27U,JB_B,2,JB_W,"Submarine Escort Ship",JB_S,"[PARENT]",JB_27U,"&lt;&gt;")+SUMIFS(JB_27S,JB_B,2,JB_W,"Submarine Escort Ship",JB_S,"[PARENT]",JB_27U,"")</f>
        <v>0</v>
      </c>
      <c r="D25" s="20">
        <f>SUMIFS(JB_27U,JB_B,4,JB_W,"Submarine Escort Ship",JB_S,"",JB_27U,"&lt;&gt;")+SUMIFS(JB_27S,JB_B,4,JB_W,"Submarine Escort Ship",JB_S,"",JB_27U,"")+SUMIFS(JB_27U,JB_B,4,JB_W,"Submarine Escort Ship",JB_S,"[PARENT]",JB_27U,"&lt;&gt;")+SUMIFS(JB_27S,JB_B,4,JB_W,"Submarine Escort Ship",JB_S,"[PARENT]",JB_27U,"")</f>
        <v>0</v>
      </c>
      <c r="E25" s="20">
        <f t="shared" si="0"/>
        <v>0</v>
      </c>
      <c r="F25" s="26">
        <f t="shared" si="1"/>
        <v>0</v>
      </c>
    </row>
    <row r="26" spans="1:6" ht="10" customHeight="1" x14ac:dyDescent="0.2">
      <c r="A26" s="19" t="s">
        <v>4981</v>
      </c>
      <c r="B26" s="19" t="s">
        <v>46</v>
      </c>
      <c r="C26" s="20">
        <f>SUMIFS(JB_27U,JB_B,2,JB_W,"High Speed Transport",JB_S,"",JB_27U,"&lt;&gt;")+SUMIFS(JB_27S,JB_B,2,JB_W,"High Speed Transport",JB_S,"",JB_27U,"")+SUMIFS(JB_27U,JB_B,2,JB_W,"High Speed Transport",JB_S,"[PARENT]",JB_27U,"&lt;&gt;")+SUMIFS(JB_27S,JB_B,2,JB_W,"High Speed Transport",JB_S,"[PARENT]",JB_27U,"")</f>
        <v>0</v>
      </c>
      <c r="D26" s="20">
        <f>SUMIFS(JB_27U,JB_B,4,JB_W,"High Speed Transport",JB_S,"",JB_27U,"&lt;&gt;")+SUMIFS(JB_27S,JB_B,4,JB_W,"High Speed Transport",JB_S,"",JB_27U,"")+SUMIFS(JB_27U,JB_B,4,JB_W,"High Speed Transport",JB_S,"[PARENT]",JB_27U,"&lt;&gt;")+SUMIFS(JB_27S,JB_B,4,JB_W,"High Speed Transport",JB_S,"[PARENT]",JB_27U,"")</f>
        <v>0</v>
      </c>
      <c r="E26" s="20">
        <f t="shared" si="0"/>
        <v>0</v>
      </c>
      <c r="F26" s="26">
        <f t="shared" si="1"/>
        <v>0</v>
      </c>
    </row>
    <row r="27" spans="1:6" ht="10" customHeight="1" x14ac:dyDescent="0.2">
      <c r="A27" s="19" t="s">
        <v>4855</v>
      </c>
      <c r="B27" s="19" t="s">
        <v>46</v>
      </c>
      <c r="C27" s="20">
        <f>SUMIFS(JB_27U,JB_B,2,JB_W,"Command Ships",JB_S,"",JB_27U,"&lt;&gt;")+SUMIFS(JB_27S,JB_B,2,JB_W,"Command Ships",JB_S,"",JB_27U,"")+SUMIFS(JB_27U,JB_B,2,JB_W,"Command Ships",JB_S,"[PARENT]",JB_27U,"&lt;&gt;")+SUMIFS(JB_27S,JB_B,2,JB_W,"Command Ships",JB_S,"[PARENT]",JB_27U,"")</f>
        <v>0</v>
      </c>
      <c r="D27" s="20">
        <f>SUMIFS(JB_27U,JB_B,4,JB_W,"Command Ships",JB_S,"",JB_27U,"&lt;&gt;")+SUMIFS(JB_27S,JB_B,4,JB_W,"Command Ships",JB_S,"",JB_27U,"")+SUMIFS(JB_27U,JB_B,4,JB_W,"Command Ships",JB_S,"[PARENT]",JB_27U,"&lt;&gt;")+SUMIFS(JB_27S,JB_B,4,JB_W,"Command Ships",JB_S,"[PARENT]",JB_27U,"")</f>
        <v>0</v>
      </c>
      <c r="E27" s="20">
        <f t="shared" si="0"/>
        <v>0</v>
      </c>
      <c r="F27" s="26">
        <f t="shared" si="1"/>
        <v>0</v>
      </c>
    </row>
    <row r="28" spans="1:6" ht="10" customHeight="1" x14ac:dyDescent="0.2">
      <c r="A28" s="19" t="s">
        <v>241</v>
      </c>
      <c r="B28" s="19" t="s">
        <v>46</v>
      </c>
      <c r="C28" s="20">
        <f>SUMIFS(JB_27U,JB_B,2,JB_W,"Cargo &amp; Vehicle Cargo Ships",JB_S,"",JB_27U,"&lt;&gt;")+SUMIFS(JB_27S,JB_B,2,JB_W,"Cargo &amp; Vehicle Cargo Ships",JB_S,"",JB_27U,"")+SUMIFS(JB_27U,JB_B,2,JB_W,"Cargo &amp; Vehicle Cargo Ships",JB_S,"[PARENT]",JB_27U,"&lt;&gt;")+SUMIFS(JB_27S,JB_B,2,JB_W,"Cargo &amp; Vehicle Cargo Ships",JB_S,"[PARENT]",JB_27U,"")</f>
        <v>0</v>
      </c>
      <c r="D28" s="20">
        <f>SUMIFS(JB_27U,JB_B,4,JB_W,"Cargo &amp; Vehicle Cargo Ships",JB_S,"",JB_27U,"&lt;&gt;")+SUMIFS(JB_27S,JB_B,4,JB_W,"Cargo &amp; Vehicle Cargo Ships",JB_S,"",JB_27U,"")+SUMIFS(JB_27U,JB_B,4,JB_W,"Cargo &amp; Vehicle Cargo Ships",JB_S,"[PARENT]",JB_27U,"&lt;&gt;")+SUMIFS(JB_27S,JB_B,4,JB_W,"Cargo &amp; Vehicle Cargo Ships",JB_S,"[PARENT]",JB_27U,"")</f>
        <v>0</v>
      </c>
      <c r="E28" s="20">
        <f t="shared" si="0"/>
        <v>0</v>
      </c>
      <c r="F28" s="26">
        <f t="shared" si="1"/>
        <v>0</v>
      </c>
    </row>
    <row r="29" spans="1:6" ht="10" customHeight="1" x14ac:dyDescent="0.2">
      <c r="A29" s="19" t="s">
        <v>5273</v>
      </c>
      <c r="B29" s="19" t="s">
        <v>46</v>
      </c>
      <c r="C29" s="20">
        <f>SUMIFS(JB_27U,JB_B,2,JB_W,"Crane Ship",JB_S,"",JB_27U,"&lt;&gt;")+SUMIFS(JB_27S,JB_B,2,JB_W,"Crane Ship",JB_S,"",JB_27U,"")+SUMIFS(JB_27U,JB_B,2,JB_W,"Crane Ship",JB_S,"[PARENT]",JB_27U,"&lt;&gt;")+SUMIFS(JB_27S,JB_B,2,JB_W,"Crane Ship",JB_S,"[PARENT]",JB_27U,"")</f>
        <v>0</v>
      </c>
      <c r="D29" s="20">
        <f>SUMIFS(JB_27U,JB_B,4,JB_W,"Crane Ship",JB_S,"",JB_27U,"&lt;&gt;")+SUMIFS(JB_27S,JB_B,4,JB_W,"Crane Ship",JB_S,"",JB_27U,"")+SUMIFS(JB_27U,JB_B,4,JB_W,"Crane Ship",JB_S,"[PARENT]",JB_27U,"&lt;&gt;")+SUMIFS(JB_27S,JB_B,4,JB_W,"Crane Ship",JB_S,"[PARENT]",JB_27U,"")</f>
        <v>0</v>
      </c>
      <c r="E29" s="20">
        <f t="shared" si="0"/>
        <v>0</v>
      </c>
      <c r="F29" s="26">
        <f t="shared" si="1"/>
        <v>0</v>
      </c>
    </row>
    <row r="30" spans="1:6" ht="10" customHeight="1" x14ac:dyDescent="0.2">
      <c r="A30" s="19" t="s">
        <v>222</v>
      </c>
      <c r="B30" s="19" t="s">
        <v>186</v>
      </c>
      <c r="C30" s="20">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0</v>
      </c>
      <c r="D30" s="20">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0</v>
      </c>
      <c r="E30" s="20">
        <f t="shared" si="0"/>
        <v>0</v>
      </c>
      <c r="F30" s="26">
        <f t="shared" si="1"/>
        <v>0</v>
      </c>
    </row>
    <row r="31" spans="1:6" ht="10" customHeight="1" x14ac:dyDescent="0.2">
      <c r="A31" s="19" t="s">
        <v>178</v>
      </c>
      <c r="B31" s="19" t="s">
        <v>46</v>
      </c>
      <c r="C31" s="20">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0</v>
      </c>
      <c r="D31" s="20">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0</v>
      </c>
      <c r="E31" s="20">
        <f t="shared" si="0"/>
        <v>0</v>
      </c>
      <c r="F31" s="26">
        <f t="shared" si="1"/>
        <v>0</v>
      </c>
    </row>
    <row r="32" spans="1:6" ht="10" customHeight="1" x14ac:dyDescent="0.2">
      <c r="A32" s="19" t="s">
        <v>198</v>
      </c>
      <c r="B32" s="19" t="s">
        <v>186</v>
      </c>
      <c r="C32" s="20">
        <f>SUMIFS(JB_27U,JB_B,2,JB_W,"Combat Logistics Ships",JB_S,"",JB_27U,"&lt;&gt;")+SUMIFS(JB_27S,JB_B,2,JB_W,"Combat Logistics Ships",JB_S,"",JB_27U,"")+SUMIFS(JB_27U,JB_B,2,JB_W,"Combat Logistics Ships",JB_S,"[PARENT]",JB_27U,"&lt;&gt;")+SUMIFS(JB_27S,JB_B,2,JB_W,"Combat Logistics Ships",JB_S,"[PARENT]",JB_27U,"")</f>
        <v>0</v>
      </c>
      <c r="D32" s="20">
        <f>SUMIFS(JB_27U,JB_B,4,JB_W,"Combat Logistics Ships",JB_S,"",JB_27U,"&lt;&gt;")+SUMIFS(JB_27S,JB_B,4,JB_W,"Combat Logistics Ships",JB_S,"",JB_27U,"")+SUMIFS(JB_27U,JB_B,4,JB_W,"Combat Logistics Ships",JB_S,"[PARENT]",JB_27U,"&lt;&gt;")+SUMIFS(JB_27S,JB_B,4,JB_W,"Combat Logistics Ships",JB_S,"[PARENT]",JB_27U,"")</f>
        <v>0</v>
      </c>
      <c r="E32" s="20">
        <f t="shared" si="0"/>
        <v>0</v>
      </c>
      <c r="F32" s="26">
        <f t="shared" si="1"/>
        <v>0</v>
      </c>
    </row>
    <row r="33" spans="1:6" ht="10" customHeight="1" x14ac:dyDescent="0.2">
      <c r="A33" s="19" t="s">
        <v>8184</v>
      </c>
      <c r="B33" s="19" t="s">
        <v>6805</v>
      </c>
      <c r="C33" s="20">
        <f>SUMIFS(JB_27U,JB_B,2,JB_W,"Offshore Patrol Cutter",JB_S,"",JB_27U,"&lt;&gt;")+SUMIFS(JB_27S,JB_B,2,JB_W,"Offshore Patrol Cutter",JB_S,"",JB_27U,"")+SUMIFS(JB_27U,JB_B,2,JB_W,"Offshore Patrol Cutter",JB_S,"[PARENT]",JB_27U,"&lt;&gt;")+SUMIFS(JB_27S,JB_B,2,JB_W,"Offshore Patrol Cutter",JB_S,"[PARENT]",JB_27U,"")</f>
        <v>0</v>
      </c>
      <c r="D33" s="20">
        <f>SUMIFS(JB_27U,JB_B,4,JB_W,"Offshore Patrol Cutter",JB_S,"",JB_27U,"&lt;&gt;")+SUMIFS(JB_27S,JB_B,4,JB_W,"Offshore Patrol Cutter",JB_S,"",JB_27U,"")+SUMIFS(JB_27U,JB_B,4,JB_W,"Offshore Patrol Cutter",JB_S,"[PARENT]",JB_27U,"&lt;&gt;")+SUMIFS(JB_27S,JB_B,4,JB_W,"Offshore Patrol Cutter",JB_S,"[PARENT]",JB_27U,"")</f>
        <v>0</v>
      </c>
      <c r="E33" s="20">
        <f t="shared" si="0"/>
        <v>0</v>
      </c>
      <c r="F33" s="26">
        <f t="shared" si="1"/>
        <v>0</v>
      </c>
    </row>
    <row r="34" spans="1:6" ht="10" customHeight="1" x14ac:dyDescent="0.2">
      <c r="A34" s="19" t="s">
        <v>8205</v>
      </c>
      <c r="B34" s="19" t="s">
        <v>6805</v>
      </c>
      <c r="C34" s="20">
        <f>SUMIFS(JB_27U,JB_B,2,JB_W,"Icebreakers, Great Lakes",JB_S,"",JB_27U,"&lt;&gt;")+SUMIFS(JB_27S,JB_B,2,JB_W,"Icebreakers, Great Lakes",JB_S,"",JB_27U,"")+SUMIFS(JB_27U,JB_B,2,JB_W,"Icebreakers, Great Lakes",JB_S,"[PARENT]",JB_27U,"&lt;&gt;")+SUMIFS(JB_27S,JB_B,2,JB_W,"Icebreakers, Great Lakes",JB_S,"[PARENT]",JB_27U,"")</f>
        <v>0</v>
      </c>
      <c r="D34" s="20">
        <f>SUMIFS(JB_27U,JB_B,4,JB_W,"Icebreakers, Great Lakes",JB_S,"",JB_27U,"&lt;&gt;")+SUMIFS(JB_27S,JB_B,4,JB_W,"Icebreakers, Great Lakes",JB_S,"",JB_27U,"")+SUMIFS(JB_27U,JB_B,4,JB_W,"Icebreakers, Great Lakes",JB_S,"[PARENT]",JB_27U,"&lt;&gt;")+SUMIFS(JB_27S,JB_B,4,JB_W,"Icebreakers, Great Lakes",JB_S,"[PARENT]",JB_27U,"")</f>
        <v>0</v>
      </c>
      <c r="E34" s="20">
        <f t="shared" si="0"/>
        <v>0</v>
      </c>
      <c r="F34" s="26">
        <f t="shared" si="1"/>
        <v>0</v>
      </c>
    </row>
    <row r="35" spans="1:6" ht="10" customHeight="1" x14ac:dyDescent="0.2">
      <c r="A35" s="19" t="s">
        <v>8190</v>
      </c>
      <c r="B35" s="19" t="s">
        <v>6805</v>
      </c>
      <c r="C35" s="20">
        <f>SUMIFS(JB_27U,JB_B,2,JB_W,"Fast Response Cutters",JB_S,"",JB_27U,"&lt;&gt;")+SUMIFS(JB_27S,JB_B,2,JB_W,"Fast Response Cutters",JB_S,"",JB_27U,"")+SUMIFS(JB_27U,JB_B,2,JB_W,"Fast Response Cutters",JB_S,"[PARENT]",JB_27U,"&lt;&gt;")+SUMIFS(JB_27S,JB_B,2,JB_W,"Fast Response Cutters",JB_S,"[PARENT]",JB_27U,"")</f>
        <v>0</v>
      </c>
      <c r="D35" s="20">
        <f>SUMIFS(JB_27U,JB_B,4,JB_W,"Fast Response Cutters",JB_S,"",JB_27U,"&lt;&gt;")+SUMIFS(JB_27S,JB_B,4,JB_W,"Fast Response Cutters",JB_S,"",JB_27U,"")+SUMIFS(JB_27U,JB_B,4,JB_W,"Fast Response Cutters",JB_S,"[PARENT]",JB_27U,"&lt;&gt;")+SUMIFS(JB_27S,JB_B,4,JB_W,"Fast Response Cutters",JB_S,"[PARENT]",JB_27U,"")</f>
        <v>0</v>
      </c>
      <c r="E35" s="20">
        <f t="shared" si="0"/>
        <v>0</v>
      </c>
      <c r="F35" s="26">
        <f t="shared" si="1"/>
        <v>0</v>
      </c>
    </row>
    <row r="36" spans="1:6" ht="10" customHeight="1" x14ac:dyDescent="0.2">
      <c r="A36" s="19" t="s">
        <v>8171</v>
      </c>
      <c r="B36" s="19" t="s">
        <v>6805</v>
      </c>
      <c r="C36" s="20">
        <f>SUMIFS(JB_27U,JB_B,2,JB_W,"Coastal Buoy Tenders",JB_S,"",JB_27U,"&lt;&gt;")+SUMIFS(JB_27S,JB_B,2,JB_W,"Coastal Buoy Tenders",JB_S,"",JB_27U,"")+SUMIFS(JB_27U,JB_B,2,JB_W,"Coastal Buoy Tenders",JB_S,"[PARENT]",JB_27U,"&lt;&gt;")+SUMIFS(JB_27S,JB_B,2,JB_W,"Coastal Buoy Tenders",JB_S,"[PARENT]",JB_27U,"")</f>
        <v>0</v>
      </c>
      <c r="D36" s="20">
        <f>SUMIFS(JB_27U,JB_B,4,JB_W,"Coastal Buoy Tenders",JB_S,"",JB_27U,"&lt;&gt;")+SUMIFS(JB_27S,JB_B,4,JB_W,"Coastal Buoy Tenders",JB_S,"",JB_27U,"")+SUMIFS(JB_27U,JB_B,4,JB_W,"Coastal Buoy Tenders",JB_S,"[PARENT]",JB_27U,"&lt;&gt;")+SUMIFS(JB_27S,JB_B,4,JB_W,"Coastal Buoy Tenders",JB_S,"[PARENT]",JB_27U,"")</f>
        <v>0</v>
      </c>
      <c r="E36" s="20">
        <f t="shared" si="0"/>
        <v>0</v>
      </c>
      <c r="F36" s="26">
        <f t="shared" si="1"/>
        <v>0</v>
      </c>
    </row>
    <row r="37" spans="1:6" ht="10" customHeight="1" x14ac:dyDescent="0.2">
      <c r="A37" s="19" t="s">
        <v>8209</v>
      </c>
      <c r="B37" s="19" t="s">
        <v>6805</v>
      </c>
      <c r="C37" s="20">
        <f>SUMIFS(JB_27U,JB_B,2,JB_W,"Waterways Commerce Cutters",JB_S,"",JB_27U,"&lt;&gt;")+SUMIFS(JB_27S,JB_B,2,JB_W,"Waterways Commerce Cutters",JB_S,"",JB_27U,"")+SUMIFS(JB_27U,JB_B,2,JB_W,"Waterways Commerce Cutters",JB_S,"[PARENT]",JB_27U,"&lt;&gt;")+SUMIFS(JB_27S,JB_B,2,JB_W,"Waterways Commerce Cutters",JB_S,"[PARENT]",JB_27U,"")</f>
        <v>0</v>
      </c>
      <c r="D37" s="20">
        <f>SUMIFS(JB_27U,JB_B,4,JB_W,"Waterways Commerce Cutters",JB_S,"",JB_27U,"&lt;&gt;")+SUMIFS(JB_27S,JB_B,4,JB_W,"Waterways Commerce Cutters",JB_S,"",JB_27U,"")+SUMIFS(JB_27U,JB_B,4,JB_W,"Waterways Commerce Cutters",JB_S,"[PARENT]",JB_27U,"&lt;&gt;")+SUMIFS(JB_27S,JB_B,4,JB_W,"Waterways Commerce Cutters",JB_S,"[PARENT]",JB_27U,"")</f>
        <v>0</v>
      </c>
      <c r="E37" s="20">
        <f t="shared" si="0"/>
        <v>0</v>
      </c>
      <c r="F37" s="26">
        <f t="shared" si="1"/>
        <v>0</v>
      </c>
    </row>
    <row r="38" spans="1:6" ht="10" customHeight="1" x14ac:dyDescent="0.2">
      <c r="A38" s="19" t="s">
        <v>6807</v>
      </c>
      <c r="B38" s="19" t="s">
        <v>6805</v>
      </c>
      <c r="C38" s="20">
        <f>SUMIFS(JB_27U,JB_B,2,JB_W,"National Security Cutters",JB_S,"",JB_27U,"&lt;&gt;")+SUMIFS(JB_27S,JB_B,2,JB_W,"National Security Cutters",JB_S,"",JB_27U,"")+SUMIFS(JB_27U,JB_B,2,JB_W,"National Security Cutters",JB_S,"[PARENT]",JB_27U,"&lt;&gt;")+SUMIFS(JB_27S,JB_B,2,JB_W,"National Security Cutters",JB_S,"[PARENT]",JB_27U,"")</f>
        <v>0</v>
      </c>
      <c r="D38" s="20">
        <f>SUMIFS(JB_27U,JB_B,4,JB_W,"National Security Cutters",JB_S,"",JB_27U,"&lt;&gt;")+SUMIFS(JB_27S,JB_B,4,JB_W,"National Security Cutters",JB_S,"",JB_27U,"")+SUMIFS(JB_27U,JB_B,4,JB_W,"National Security Cutters",JB_S,"[PARENT]",JB_27U,"&lt;&gt;")+SUMIFS(JB_27S,JB_B,4,JB_W,"National Security Cutters",JB_S,"[PARENT]",JB_27U,"")</f>
        <v>0</v>
      </c>
      <c r="E38" s="20">
        <f t="shared" si="0"/>
        <v>0</v>
      </c>
      <c r="F38" s="26">
        <f t="shared" si="1"/>
        <v>0</v>
      </c>
    </row>
    <row r="39" spans="1:6" ht="10" customHeight="1" x14ac:dyDescent="0.2">
      <c r="A39" s="19" t="s">
        <v>8198</v>
      </c>
      <c r="B39" s="19" t="s">
        <v>6805</v>
      </c>
      <c r="C39" s="20">
        <f>SUMIFS(JB_27U,JB_B,2,JB_W,"Icebreakers, Oceangoing",JB_S,"",JB_27U,"&lt;&gt;")+SUMIFS(JB_27S,JB_B,2,JB_W,"Icebreakers, Oceangoing",JB_S,"",JB_27U,"")+SUMIFS(JB_27U,JB_B,2,JB_W,"Icebreakers, Oceangoing",JB_S,"[PARENT]",JB_27U,"&lt;&gt;")+SUMIFS(JB_27S,JB_B,2,JB_W,"Icebreakers, Oceangoing",JB_S,"[PARENT]",JB_27U,"")</f>
        <v>0</v>
      </c>
      <c r="D39" s="20">
        <f>SUMIFS(JB_27U,JB_B,4,JB_W,"Icebreakers, Oceangoing",JB_S,"",JB_27U,"&lt;&gt;")+SUMIFS(JB_27S,JB_B,4,JB_W,"Icebreakers, Oceangoing",JB_S,"",JB_27U,"")+SUMIFS(JB_27U,JB_B,4,JB_W,"Icebreakers, Oceangoing",JB_S,"[PARENT]",JB_27U,"&lt;&gt;")+SUMIFS(JB_27S,JB_B,4,JB_W,"Icebreakers, Oceangoing",JB_S,"[PARENT]",JB_27U,"")</f>
        <v>0</v>
      </c>
      <c r="E39" s="20">
        <f t="shared" si="0"/>
        <v>0</v>
      </c>
      <c r="F39" s="26">
        <f t="shared" si="1"/>
        <v>0</v>
      </c>
    </row>
    <row r="40" spans="1:6" ht="10" customHeight="1" x14ac:dyDescent="0.2">
      <c r="A40" s="21" t="s">
        <v>8428</v>
      </c>
      <c r="B40" s="21"/>
      <c r="C40" s="22">
        <f>SUM(C15:C39)</f>
        <v>0</v>
      </c>
      <c r="D40" s="22">
        <f>SUM(D15:D39)</f>
        <v>6516101</v>
      </c>
      <c r="E40" s="22">
        <f>SUM(E15:E39)</f>
        <v>6516101</v>
      </c>
      <c r="F40" s="27">
        <v>1</v>
      </c>
    </row>
    <row r="41" spans="1:6" ht="10" customHeight="1" x14ac:dyDescent="0.2"/>
    <row r="42" spans="1:6" ht="10" customHeight="1" x14ac:dyDescent="0.2"/>
    <row r="43" spans="1:6" ht="10" customHeight="1" x14ac:dyDescent="0.2">
      <c r="A43" s="6" t="s">
        <v>8432</v>
      </c>
      <c r="B43" s="7"/>
      <c r="C43" s="7"/>
      <c r="D43" s="7"/>
      <c r="E43" s="7"/>
    </row>
    <row r="44" spans="1:6" ht="10" customHeight="1" x14ac:dyDescent="0.2">
      <c r="A44" s="28"/>
      <c r="B44" s="29" t="s">
        <v>46</v>
      </c>
      <c r="C44" s="28"/>
      <c r="D44" s="28"/>
      <c r="E44" s="30"/>
    </row>
    <row r="45" spans="1:6" ht="10" customHeight="1" x14ac:dyDescent="0.2">
      <c r="A45" s="18" t="s">
        <v>8314</v>
      </c>
      <c r="B45" s="31" t="s">
        <v>115</v>
      </c>
      <c r="C45" s="18" t="s">
        <v>145</v>
      </c>
      <c r="D45" s="18" t="s">
        <v>210</v>
      </c>
      <c r="E45" s="31" t="s">
        <v>8323</v>
      </c>
    </row>
    <row r="46" spans="1:6" ht="10" customHeight="1" x14ac:dyDescent="0.2">
      <c r="A46" s="19" t="s">
        <v>4324</v>
      </c>
      <c r="B46" s="32">
        <f>IFERROR((SUMIFS(JB_27U,JB_B,2,JB_W,"Surface Combatants",JB_S,"",JB_27U,"&lt;&gt;")+SUMIFS(JB_27S,JB_B,2,JB_W,"Surface Combatants",JB_S,"",JB_27U,"")+SUMIFS(JB_27U,JB_B,2,JB_W,"Surface Combatants",JB_S,"[PARENT]",JB_27U,"&lt;&gt;")+SUMIFS(JB_27S,JB_B,2,JB_W,"Surface Combatants",JB_S,"[PARENT]",JB_27U,""))/B$48,0)</f>
        <v>0</v>
      </c>
      <c r="C46" s="26">
        <f>IFERROR((SUMIFS(JB_27U,JB_B,2,JB_W,"Amphibious Warfare Ships",JB_S,"",JB_27U,"&lt;&gt;")+SUMIFS(JB_27S,JB_B,2,JB_W,"Amphibious Warfare Ships",JB_S,"",JB_27U,"")+SUMIFS(JB_27U,JB_B,2,JB_W,"Amphibious Warfare Ships",JB_S,"[PARENT]",JB_27U,"&lt;&gt;")+SUMIFS(JB_27S,JB_B,2,JB_W,"Amphibious Warfare Ships",JB_S,"[PARENT]",JB_27U,""))/C$48,0)</f>
        <v>0</v>
      </c>
      <c r="D46" s="26">
        <f>IFERROR((SUMIFS(JB_27U,JB_B,2,JB_W,"Surveillance Ships",JB_S,"",JB_27U,"&lt;&gt;")+SUMIFS(JB_27S,JB_B,2,JB_W,"Surveillance Ships",JB_S,"",JB_27U,"")+SUMIFS(JB_27U,JB_B,2,JB_W,"Surveillance Ships",JB_S,"[PARENT]",JB_27U,"&lt;&gt;")+SUMIFS(JB_27S,JB_B,2,JB_W,"Surveillance Ships",JB_S,"[PARENT]",JB_27U,""))/D$48,0)</f>
        <v>0</v>
      </c>
      <c r="E46" s="32">
        <f>IFERROR(1-E47,0)</f>
        <v>0</v>
      </c>
    </row>
    <row r="47" spans="1:6" ht="10" customHeight="1" x14ac:dyDescent="0.2">
      <c r="A47" s="19" t="s">
        <v>8419</v>
      </c>
      <c r="B47" s="32">
        <f>IFERROR((SUMIFS(JB_27U,JB_B,4,JB_W,"Surface Combatants",JB_S,"",JB_27U,"&lt;&gt;")+SUMIFS(JB_27S,JB_B,4,JB_W,"Surface Combatants",JB_S,"",JB_27U,"")+SUMIFS(JB_27U,JB_B,4,JB_W,"Surface Combatants",JB_S,"[PARENT]",JB_27U,"&lt;&gt;")+SUMIFS(JB_27S,JB_B,4,JB_W,"Surface Combatants",JB_S,"[PARENT]",JB_27U,""))/B$48,0)</f>
        <v>1</v>
      </c>
      <c r="C47" s="26">
        <f>IFERROR((SUMIFS(JB_27U,JB_B,4,JB_W,"Amphibious Warfare Ships",JB_S,"",JB_27U,"&lt;&gt;")+SUMIFS(JB_27S,JB_B,4,JB_W,"Amphibious Warfare Ships",JB_S,"",JB_27U,"")+SUMIFS(JB_27U,JB_B,4,JB_W,"Amphibious Warfare Ships",JB_S,"[PARENT]",JB_27U,"&lt;&gt;")+SUMIFS(JB_27S,JB_B,4,JB_W,"Amphibious Warfare Ships",JB_S,"[PARENT]",JB_27U,""))/C$48,0)</f>
        <v>1</v>
      </c>
      <c r="D47" s="26">
        <f>IFERROR((SUMIFS(JB_27U,JB_B,4,JB_W,"Surveillance Ships",JB_S,"",JB_27U,"&lt;&gt;")+SUMIFS(JB_27S,JB_B,4,JB_W,"Surveillance Ships",JB_S,"",JB_27U,"")+SUMIFS(JB_27U,JB_B,4,JB_W,"Surveillance Ships",JB_S,"[PARENT]",JB_27U,"&lt;&gt;")+SUMIFS(JB_27S,JB_B,4,JB_W,"Surveillance Ships",JB_S,"[PARENT]",JB_27U,""))/D$48,0)</f>
        <v>1</v>
      </c>
      <c r="E47" s="32">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1</v>
      </c>
    </row>
    <row r="48" spans="1:6" ht="10" customHeight="1" x14ac:dyDescent="0.2">
      <c r="A48" s="21" t="s">
        <v>8351</v>
      </c>
      <c r="B48" s="33">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6098633</v>
      </c>
      <c r="C48" s="22">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345278</v>
      </c>
      <c r="D48" s="22">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72190</v>
      </c>
      <c r="E48" s="33">
        <f>SUM(B48:D48)</f>
        <v>6516101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B5B3A"/>
  </sheetPr>
  <dimension ref="A1:E128"/>
  <sheetViews>
    <sheetView showGridLines="0" workbookViewId="0"/>
  </sheetViews>
  <sheetFormatPr baseColWidth="10" defaultColWidth="8.83203125" defaultRowHeight="15" x14ac:dyDescent="0.2"/>
  <cols>
    <col min="1" max="1" width="30" customWidth="1"/>
    <col min="2" max="2" width="16" customWidth="1"/>
    <col min="3" max="3" width="44" customWidth="1"/>
    <col min="4" max="5" width="26" customWidth="1"/>
  </cols>
  <sheetData>
    <row r="1" spans="1:5" ht="10" customHeight="1" x14ac:dyDescent="0.2">
      <c r="A1" s="15" t="s">
        <v>8447</v>
      </c>
      <c r="B1" s="16"/>
      <c r="C1" s="16"/>
      <c r="D1" s="16"/>
      <c r="E1" s="16"/>
    </row>
    <row r="2" spans="1:5" ht="10" customHeight="1" x14ac:dyDescent="0.2">
      <c r="A2" s="17" t="s">
        <v>8448</v>
      </c>
    </row>
    <row r="3" spans="1:5" ht="10" customHeight="1" x14ac:dyDescent="0.2"/>
    <row r="4" spans="1:5" ht="10" customHeight="1" x14ac:dyDescent="0.2">
      <c r="A4" s="6" t="s">
        <v>8449</v>
      </c>
      <c r="B4" s="7"/>
      <c r="C4" s="7"/>
      <c r="D4" s="7"/>
    </row>
    <row r="5" spans="1:5" ht="10" customHeight="1" x14ac:dyDescent="0.2">
      <c r="A5" s="18" t="s">
        <v>8450</v>
      </c>
      <c r="B5" s="18" t="s">
        <v>8451</v>
      </c>
      <c r="C5" s="18" t="s">
        <v>8452</v>
      </c>
      <c r="D5" s="18" t="s">
        <v>8453</v>
      </c>
    </row>
    <row r="6" spans="1:5" ht="10" customHeight="1" x14ac:dyDescent="0.2">
      <c r="A6" s="19" t="s">
        <v>8454</v>
      </c>
      <c r="B6" s="17" t="s">
        <v>8455</v>
      </c>
      <c r="C6" s="13">
        <v>22000000</v>
      </c>
      <c r="D6" s="17" t="s">
        <v>8456</v>
      </c>
    </row>
    <row r="7" spans="1:5" ht="10" customHeight="1" x14ac:dyDescent="0.2">
      <c r="A7" s="19" t="s">
        <v>8457</v>
      </c>
      <c r="B7" s="17" t="s">
        <v>8458</v>
      </c>
      <c r="C7" s="13">
        <v>13700000</v>
      </c>
      <c r="D7" s="17" t="s">
        <v>8459</v>
      </c>
    </row>
    <row r="8" spans="1:5" ht="10" customHeight="1" x14ac:dyDescent="0.2">
      <c r="A8" s="19" t="s">
        <v>8460</v>
      </c>
      <c r="B8" s="17" t="s">
        <v>8461</v>
      </c>
      <c r="C8" s="13">
        <v>8800000</v>
      </c>
      <c r="D8" s="17" t="s">
        <v>8462</v>
      </c>
    </row>
    <row r="9" spans="1:5" ht="10" customHeight="1" x14ac:dyDescent="0.2">
      <c r="A9" s="19" t="s">
        <v>8463</v>
      </c>
      <c r="B9" s="17" t="s">
        <v>8464</v>
      </c>
      <c r="C9" s="13">
        <v>5000000</v>
      </c>
      <c r="D9" s="17" t="s">
        <v>8465</v>
      </c>
    </row>
    <row r="10" spans="1:5" ht="10" customHeight="1" x14ac:dyDescent="0.2">
      <c r="A10" s="19" t="s">
        <v>8466</v>
      </c>
      <c r="B10" s="17" t="s">
        <v>8467</v>
      </c>
      <c r="C10" s="13">
        <v>1500000</v>
      </c>
      <c r="D10" s="17" t="s">
        <v>8468</v>
      </c>
    </row>
    <row r="11" spans="1:5" ht="10" customHeight="1" x14ac:dyDescent="0.2">
      <c r="A11" s="19" t="s">
        <v>8469</v>
      </c>
      <c r="B11" s="17" t="s">
        <v>8470</v>
      </c>
      <c r="C11" s="13">
        <v>700000</v>
      </c>
      <c r="D11" s="17" t="s">
        <v>8471</v>
      </c>
    </row>
    <row r="12" spans="1:5" ht="10" customHeight="1" x14ac:dyDescent="0.2">
      <c r="A12" s="19" t="s">
        <v>8472</v>
      </c>
      <c r="B12" s="17" t="s">
        <v>8461</v>
      </c>
      <c r="C12" s="13">
        <v>600000</v>
      </c>
      <c r="D12" s="17" t="s">
        <v>8473</v>
      </c>
    </row>
    <row r="13" spans="1:5" ht="10" customHeight="1" x14ac:dyDescent="0.2">
      <c r="A13" s="19" t="s">
        <v>8474</v>
      </c>
      <c r="B13" s="17" t="s">
        <v>8470</v>
      </c>
      <c r="C13" s="13">
        <v>500000</v>
      </c>
      <c r="D13" s="17" t="s">
        <v>8475</v>
      </c>
    </row>
    <row r="14" spans="1:5" ht="10" customHeight="1" x14ac:dyDescent="0.2">
      <c r="A14" s="19" t="s">
        <v>8476</v>
      </c>
      <c r="B14" s="17" t="s">
        <v>8477</v>
      </c>
      <c r="C14" s="13">
        <v>487000</v>
      </c>
      <c r="D14" s="17" t="s">
        <v>8478</v>
      </c>
    </row>
    <row r="15" spans="1:5" ht="10" customHeight="1" x14ac:dyDescent="0.2">
      <c r="A15" s="19" t="s">
        <v>8479</v>
      </c>
      <c r="B15" s="17" t="s">
        <v>8470</v>
      </c>
      <c r="C15" s="13">
        <v>300000</v>
      </c>
      <c r="D15" s="17" t="s">
        <v>8480</v>
      </c>
    </row>
    <row r="16" spans="1:5" ht="10" customHeight="1" x14ac:dyDescent="0.2">
      <c r="A16" s="19" t="s">
        <v>8481</v>
      </c>
      <c r="B16" s="17" t="s">
        <v>8470</v>
      </c>
      <c r="C16" s="13">
        <v>300000</v>
      </c>
      <c r="D16" s="17" t="s">
        <v>8482</v>
      </c>
    </row>
    <row r="17" spans="1:5" ht="10" customHeight="1" x14ac:dyDescent="0.2">
      <c r="A17" s="19" t="s">
        <v>8483</v>
      </c>
      <c r="B17" s="17" t="s">
        <v>8484</v>
      </c>
      <c r="C17" s="13">
        <v>242000</v>
      </c>
      <c r="D17" s="17" t="s">
        <v>8485</v>
      </c>
    </row>
    <row r="18" spans="1:5" ht="10" customHeight="1" x14ac:dyDescent="0.2">
      <c r="A18" s="19" t="s">
        <v>8486</v>
      </c>
      <c r="B18" s="17" t="s">
        <v>8470</v>
      </c>
      <c r="C18" s="13">
        <v>235000</v>
      </c>
      <c r="D18" s="17" t="s">
        <v>8487</v>
      </c>
    </row>
    <row r="19" spans="1:5" ht="10" customHeight="1" x14ac:dyDescent="0.2">
      <c r="A19" s="19" t="s">
        <v>8488</v>
      </c>
      <c r="B19" s="17" t="s">
        <v>8461</v>
      </c>
      <c r="C19" s="13">
        <v>210000</v>
      </c>
      <c r="D19" s="17" t="s">
        <v>8489</v>
      </c>
    </row>
    <row r="20" spans="1:5" ht="10" customHeight="1" x14ac:dyDescent="0.2">
      <c r="A20" s="19" t="s">
        <v>8490</v>
      </c>
      <c r="B20" s="17" t="s">
        <v>8490</v>
      </c>
      <c r="C20" s="13">
        <v>200000</v>
      </c>
      <c r="D20" s="17" t="s">
        <v>8491</v>
      </c>
    </row>
    <row r="21" spans="1:5" ht="10" customHeight="1" x14ac:dyDescent="0.2">
      <c r="A21" s="19" t="s">
        <v>8492</v>
      </c>
      <c r="B21" s="17" t="s">
        <v>8470</v>
      </c>
      <c r="C21" s="13">
        <v>200000</v>
      </c>
      <c r="D21" s="17" t="s">
        <v>8493</v>
      </c>
    </row>
    <row r="22" spans="1:5" ht="10" customHeight="1" x14ac:dyDescent="0.2">
      <c r="A22" s="19" t="s">
        <v>8494</v>
      </c>
      <c r="B22" s="17" t="s">
        <v>8495</v>
      </c>
      <c r="C22" s="13">
        <v>116000</v>
      </c>
      <c r="D22" s="17" t="s">
        <v>8496</v>
      </c>
    </row>
    <row r="23" spans="1:5" ht="10" customHeight="1" x14ac:dyDescent="0.2">
      <c r="A23" s="19" t="s">
        <v>8497</v>
      </c>
      <c r="B23" s="17" t="s">
        <v>8498</v>
      </c>
      <c r="C23" s="13">
        <v>68000</v>
      </c>
      <c r="D23" s="17" t="s">
        <v>8499</v>
      </c>
    </row>
    <row r="24" spans="1:5" ht="10" customHeight="1" x14ac:dyDescent="0.2">
      <c r="A24" s="19" t="s">
        <v>8500</v>
      </c>
      <c r="B24" s="17" t="s">
        <v>8501</v>
      </c>
      <c r="C24" s="13">
        <v>60000</v>
      </c>
      <c r="D24" s="17" t="s">
        <v>8502</v>
      </c>
    </row>
    <row r="25" spans="1:5" ht="10" customHeight="1" x14ac:dyDescent="0.2">
      <c r="A25" s="21" t="s">
        <v>8503</v>
      </c>
      <c r="B25" s="23"/>
      <c r="C25" s="22">
        <f>SUM(C6:C24)</f>
        <v>55218000</v>
      </c>
      <c r="D25" s="23"/>
    </row>
    <row r="26" spans="1:5" ht="10" customHeight="1" x14ac:dyDescent="0.2"/>
    <row r="27" spans="1:5" ht="10" customHeight="1" x14ac:dyDescent="0.2"/>
    <row r="28" spans="1:5" ht="10" customHeight="1" x14ac:dyDescent="0.2">
      <c r="A28" s="6" t="s">
        <v>8504</v>
      </c>
      <c r="B28" s="7"/>
      <c r="C28" s="7"/>
      <c r="D28" s="7"/>
      <c r="E28" s="7"/>
    </row>
    <row r="29" spans="1:5" ht="10" customHeight="1" x14ac:dyDescent="0.2">
      <c r="A29" s="18" t="s">
        <v>8505</v>
      </c>
      <c r="B29" s="18" t="s">
        <v>8506</v>
      </c>
      <c r="C29" s="18" t="s">
        <v>8507</v>
      </c>
      <c r="D29" s="18" t="s">
        <v>8508</v>
      </c>
      <c r="E29" s="18" t="s">
        <v>8509</v>
      </c>
    </row>
    <row r="30" spans="1:5" ht="10" customHeight="1" x14ac:dyDescent="0.2">
      <c r="A30" s="19" t="s">
        <v>8510</v>
      </c>
      <c r="B30" s="13">
        <v>2487000</v>
      </c>
      <c r="C30" s="13">
        <v>2</v>
      </c>
      <c r="D30" s="13">
        <v>1</v>
      </c>
      <c r="E30" s="17" t="s">
        <v>8511</v>
      </c>
    </row>
    <row r="31" spans="1:5" ht="10" customHeight="1" x14ac:dyDescent="0.2">
      <c r="A31" s="19" t="s">
        <v>8512</v>
      </c>
      <c r="B31" s="13">
        <v>516000</v>
      </c>
      <c r="C31" s="13">
        <v>22</v>
      </c>
      <c r="D31" s="13">
        <v>20</v>
      </c>
      <c r="E31" s="17" t="s">
        <v>8513</v>
      </c>
    </row>
    <row r="32" spans="1:5" ht="10" customHeight="1" x14ac:dyDescent="0.2">
      <c r="A32" s="19" t="s">
        <v>8514</v>
      </c>
      <c r="B32" s="13">
        <v>432000</v>
      </c>
      <c r="C32" s="13">
        <v>23</v>
      </c>
      <c r="D32" s="13">
        <v>14</v>
      </c>
      <c r="E32" s="17" t="s">
        <v>8515</v>
      </c>
    </row>
    <row r="33" spans="1:5" ht="10" customHeight="1" x14ac:dyDescent="0.2">
      <c r="A33" s="19" t="s">
        <v>8516</v>
      </c>
      <c r="B33" s="13">
        <v>378000</v>
      </c>
      <c r="C33" s="13">
        <v>4</v>
      </c>
      <c r="D33" s="13">
        <v>4</v>
      </c>
      <c r="E33" s="17" t="s">
        <v>8517</v>
      </c>
    </row>
    <row r="34" spans="1:5" ht="10" customHeight="1" x14ac:dyDescent="0.2">
      <c r="A34" s="19" t="s">
        <v>8518</v>
      </c>
      <c r="B34" s="13">
        <v>313000</v>
      </c>
      <c r="C34" s="13">
        <v>25</v>
      </c>
      <c r="D34" s="13">
        <v>25</v>
      </c>
      <c r="E34" s="17" t="s">
        <v>8519</v>
      </c>
    </row>
    <row r="35" spans="1:5" ht="10" customHeight="1" x14ac:dyDescent="0.2">
      <c r="A35" s="19" t="s">
        <v>8520</v>
      </c>
      <c r="B35" s="13">
        <v>217000</v>
      </c>
      <c r="C35" s="13">
        <v>10</v>
      </c>
      <c r="D35" s="13">
        <v>8</v>
      </c>
      <c r="E35" s="17" t="s">
        <v>8521</v>
      </c>
    </row>
    <row r="36" spans="1:5" ht="10" customHeight="1" x14ac:dyDescent="0.2">
      <c r="A36" s="19" t="s">
        <v>8522</v>
      </c>
      <c r="B36" s="13">
        <v>215000</v>
      </c>
      <c r="C36" s="13">
        <v>10</v>
      </c>
      <c r="D36" s="13">
        <v>9</v>
      </c>
      <c r="E36" s="17" t="s">
        <v>8523</v>
      </c>
    </row>
    <row r="37" spans="1:5" ht="10" customHeight="1" x14ac:dyDescent="0.2">
      <c r="A37" s="19" t="s">
        <v>8524</v>
      </c>
      <c r="B37" s="13">
        <v>204000</v>
      </c>
      <c r="C37" s="13">
        <v>28</v>
      </c>
      <c r="D37" s="13">
        <v>28</v>
      </c>
      <c r="E37" s="17" t="s">
        <v>8525</v>
      </c>
    </row>
    <row r="38" spans="1:5" ht="10" customHeight="1" x14ac:dyDescent="0.2">
      <c r="A38" s="19" t="s">
        <v>8526</v>
      </c>
      <c r="B38" s="13">
        <v>203000</v>
      </c>
      <c r="C38" s="13">
        <v>53</v>
      </c>
      <c r="D38" s="13">
        <v>45</v>
      </c>
      <c r="E38" s="17" t="s">
        <v>8527</v>
      </c>
    </row>
    <row r="39" spans="1:5" ht="10" customHeight="1" x14ac:dyDescent="0.2">
      <c r="A39" s="19" t="s">
        <v>8528</v>
      </c>
      <c r="B39" s="13">
        <v>172000</v>
      </c>
      <c r="C39" s="13">
        <v>31</v>
      </c>
      <c r="D39" s="13">
        <v>24</v>
      </c>
      <c r="E39" s="17" t="s">
        <v>8529</v>
      </c>
    </row>
    <row r="40" spans="1:5" ht="10" customHeight="1" x14ac:dyDescent="0.2">
      <c r="A40" s="19" t="s">
        <v>8530</v>
      </c>
      <c r="B40" s="13">
        <v>166000</v>
      </c>
      <c r="C40" s="13">
        <v>16</v>
      </c>
      <c r="D40" s="13">
        <v>14</v>
      </c>
      <c r="E40" s="17" t="s">
        <v>8531</v>
      </c>
    </row>
    <row r="41" spans="1:5" ht="10" customHeight="1" x14ac:dyDescent="0.2">
      <c r="A41" s="19" t="s">
        <v>8532</v>
      </c>
      <c r="B41" s="13">
        <v>161000</v>
      </c>
      <c r="C41" s="13">
        <v>25</v>
      </c>
      <c r="D41" s="13">
        <v>18</v>
      </c>
      <c r="E41" s="17" t="s">
        <v>8533</v>
      </c>
    </row>
    <row r="42" spans="1:5" ht="10" customHeight="1" x14ac:dyDescent="0.2">
      <c r="A42" s="19" t="s">
        <v>8534</v>
      </c>
      <c r="B42" s="13">
        <v>134000</v>
      </c>
      <c r="C42" s="13">
        <v>18</v>
      </c>
      <c r="D42" s="13">
        <v>15</v>
      </c>
      <c r="E42" s="17" t="s">
        <v>8535</v>
      </c>
    </row>
    <row r="43" spans="1:5" ht="10" customHeight="1" x14ac:dyDescent="0.2">
      <c r="A43" s="19" t="s">
        <v>8536</v>
      </c>
      <c r="B43" s="13">
        <v>108000</v>
      </c>
      <c r="C43" s="13">
        <v>2</v>
      </c>
      <c r="D43" s="13">
        <v>2</v>
      </c>
      <c r="E43" s="17" t="s">
        <v>8537</v>
      </c>
    </row>
    <row r="44" spans="1:5" ht="10" customHeight="1" x14ac:dyDescent="0.2">
      <c r="A44" s="19" t="s">
        <v>8538</v>
      </c>
      <c r="B44" s="13">
        <v>98000</v>
      </c>
      <c r="C44" s="13">
        <v>1</v>
      </c>
      <c r="D44" s="13">
        <v>1</v>
      </c>
      <c r="E44" s="17" t="s">
        <v>8539</v>
      </c>
    </row>
    <row r="45" spans="1:5" ht="10" customHeight="1" x14ac:dyDescent="0.2">
      <c r="A45" s="19" t="s">
        <v>8540</v>
      </c>
      <c r="B45" s="13">
        <v>93000</v>
      </c>
      <c r="C45" s="13">
        <v>9</v>
      </c>
      <c r="D45" s="13">
        <v>9</v>
      </c>
      <c r="E45" s="17" t="s">
        <v>8541</v>
      </c>
    </row>
    <row r="46" spans="1:5" ht="10" customHeight="1" x14ac:dyDescent="0.2">
      <c r="A46" s="19" t="s">
        <v>8542</v>
      </c>
      <c r="B46" s="13">
        <v>88000</v>
      </c>
      <c r="C46" s="13">
        <v>12</v>
      </c>
      <c r="D46" s="13">
        <v>12</v>
      </c>
      <c r="E46" s="17" t="s">
        <v>8543</v>
      </c>
    </row>
    <row r="47" spans="1:5" ht="10" customHeight="1" x14ac:dyDescent="0.2">
      <c r="A47" s="19" t="s">
        <v>8544</v>
      </c>
      <c r="B47" s="13">
        <v>77000</v>
      </c>
      <c r="C47" s="13">
        <v>29</v>
      </c>
      <c r="D47" s="13">
        <v>29</v>
      </c>
      <c r="E47" s="17" t="s">
        <v>8545</v>
      </c>
    </row>
    <row r="48" spans="1:5" ht="10" customHeight="1" x14ac:dyDescent="0.2">
      <c r="A48" s="19" t="s">
        <v>8546</v>
      </c>
      <c r="B48" s="13">
        <v>71000</v>
      </c>
      <c r="C48" s="13">
        <v>12</v>
      </c>
      <c r="D48" s="13">
        <v>12</v>
      </c>
      <c r="E48" s="17" t="s">
        <v>8547</v>
      </c>
    </row>
    <row r="49" spans="1:5" ht="10" customHeight="1" x14ac:dyDescent="0.2">
      <c r="A49" s="19" t="s">
        <v>8548</v>
      </c>
      <c r="B49" s="13">
        <v>64000</v>
      </c>
      <c r="C49" s="13">
        <v>7</v>
      </c>
      <c r="D49" s="13">
        <v>7</v>
      </c>
      <c r="E49" s="17" t="s">
        <v>8549</v>
      </c>
    </row>
    <row r="50" spans="1:5" ht="10" customHeight="1" x14ac:dyDescent="0.2">
      <c r="A50" s="21" t="s">
        <v>8550</v>
      </c>
      <c r="B50" s="22">
        <f>SUM(B30:B49)</f>
        <v>6197000</v>
      </c>
      <c r="C50" s="23"/>
      <c r="D50" s="23"/>
      <c r="E50" s="23"/>
    </row>
    <row r="51" spans="1:5" ht="10" customHeight="1" x14ac:dyDescent="0.2"/>
    <row r="52" spans="1:5" ht="10" customHeight="1" x14ac:dyDescent="0.2"/>
    <row r="53" spans="1:5" ht="10" customHeight="1" x14ac:dyDescent="0.2">
      <c r="A53" s="6" t="s">
        <v>8551</v>
      </c>
      <c r="B53" s="7"/>
      <c r="C53" s="7"/>
      <c r="D53" s="7"/>
      <c r="E53" s="7"/>
    </row>
    <row r="54" spans="1:5" ht="10" customHeight="1" x14ac:dyDescent="0.2">
      <c r="A54" s="18" t="s">
        <v>8552</v>
      </c>
      <c r="B54" s="18" t="s">
        <v>8553</v>
      </c>
      <c r="C54" s="18" t="s">
        <v>8554</v>
      </c>
      <c r="D54" s="18" t="s">
        <v>8555</v>
      </c>
      <c r="E54" s="18" t="s">
        <v>8556</v>
      </c>
    </row>
    <row r="55" spans="1:5" ht="10" customHeight="1" x14ac:dyDescent="0.2">
      <c r="A55" s="19" t="s">
        <v>8557</v>
      </c>
      <c r="B55" s="13">
        <v>530000</v>
      </c>
      <c r="C55" s="17" t="s">
        <v>8558</v>
      </c>
      <c r="D55" s="17" t="s">
        <v>8559</v>
      </c>
      <c r="E55" s="17" t="s">
        <v>8560</v>
      </c>
    </row>
    <row r="56" spans="1:5" ht="10" customHeight="1" x14ac:dyDescent="0.2">
      <c r="A56" s="19" t="s">
        <v>8561</v>
      </c>
      <c r="B56" s="13">
        <v>1220000</v>
      </c>
      <c r="C56" s="17" t="s">
        <v>8562</v>
      </c>
      <c r="D56" s="17" t="s">
        <v>8563</v>
      </c>
      <c r="E56" s="17" t="s">
        <v>8564</v>
      </c>
    </row>
    <row r="57" spans="1:5" ht="10" customHeight="1" x14ac:dyDescent="0.2">
      <c r="A57" s="19" t="s">
        <v>8565</v>
      </c>
      <c r="B57" s="13">
        <v>560000</v>
      </c>
      <c r="C57" s="17" t="s">
        <v>8566</v>
      </c>
      <c r="D57" s="17" t="s">
        <v>8567</v>
      </c>
      <c r="E57" s="17" t="s">
        <v>8568</v>
      </c>
    </row>
    <row r="58" spans="1:5" ht="10" customHeight="1" x14ac:dyDescent="0.2">
      <c r="A58" s="19" t="s">
        <v>8569</v>
      </c>
      <c r="B58" s="13">
        <v>2910000</v>
      </c>
      <c r="C58" s="17" t="s">
        <v>8570</v>
      </c>
      <c r="D58" s="17" t="s">
        <v>8571</v>
      </c>
      <c r="E58" s="17" t="s">
        <v>8572</v>
      </c>
    </row>
    <row r="59" spans="1:5" ht="10" customHeight="1" x14ac:dyDescent="0.2">
      <c r="A59" s="19" t="s">
        <v>6429</v>
      </c>
      <c r="B59" s="13">
        <v>1230000</v>
      </c>
      <c r="C59" s="17" t="s">
        <v>8573</v>
      </c>
      <c r="D59" s="17" t="s">
        <v>8574</v>
      </c>
      <c r="E59" s="17" t="s">
        <v>8575</v>
      </c>
    </row>
    <row r="60" spans="1:5" ht="10" customHeight="1" x14ac:dyDescent="0.2">
      <c r="A60" s="19" t="s">
        <v>8576</v>
      </c>
      <c r="B60" s="13">
        <v>340000</v>
      </c>
      <c r="C60" s="17" t="s">
        <v>8577</v>
      </c>
      <c r="D60" s="17" t="s">
        <v>8567</v>
      </c>
      <c r="E60" s="17" t="s">
        <v>8578</v>
      </c>
    </row>
    <row r="61" spans="1:5" ht="10" customHeight="1" x14ac:dyDescent="0.2">
      <c r="A61" s="19" t="s">
        <v>8579</v>
      </c>
      <c r="B61" s="13">
        <v>340000</v>
      </c>
      <c r="C61" s="17" t="s">
        <v>8580</v>
      </c>
      <c r="D61" s="17" t="s">
        <v>8581</v>
      </c>
      <c r="E61" s="17" t="s">
        <v>8582</v>
      </c>
    </row>
    <row r="62" spans="1:5" ht="10" customHeight="1" x14ac:dyDescent="0.2">
      <c r="A62" s="19" t="s">
        <v>8583</v>
      </c>
      <c r="B62" s="13">
        <v>930000</v>
      </c>
      <c r="C62" s="17" t="s">
        <v>8584</v>
      </c>
      <c r="D62" s="17" t="s">
        <v>8585</v>
      </c>
      <c r="E62" s="17" t="s">
        <v>8586</v>
      </c>
    </row>
    <row r="63" spans="1:5" ht="10" customHeight="1" x14ac:dyDescent="0.2">
      <c r="A63" s="19" t="s">
        <v>6069</v>
      </c>
      <c r="B63" s="13">
        <v>130000</v>
      </c>
      <c r="C63" s="17" t="s">
        <v>8587</v>
      </c>
      <c r="D63" s="17" t="s">
        <v>8588</v>
      </c>
      <c r="E63" s="17" t="s">
        <v>8470</v>
      </c>
    </row>
    <row r="64" spans="1:5" ht="10" customHeight="1" x14ac:dyDescent="0.2">
      <c r="A64" s="19" t="s">
        <v>8589</v>
      </c>
      <c r="B64" s="13">
        <v>30000</v>
      </c>
      <c r="C64" s="17" t="s">
        <v>8590</v>
      </c>
      <c r="D64" s="17" t="s">
        <v>8591</v>
      </c>
      <c r="E64" s="17" t="s">
        <v>8470</v>
      </c>
    </row>
    <row r="65" spans="1:5" ht="10" customHeight="1" x14ac:dyDescent="0.2">
      <c r="A65" s="19" t="s">
        <v>8592</v>
      </c>
      <c r="B65" s="13">
        <v>40000</v>
      </c>
      <c r="C65" s="17" t="s">
        <v>8593</v>
      </c>
      <c r="D65" s="17" t="s">
        <v>8594</v>
      </c>
      <c r="E65" s="17" t="s">
        <v>8470</v>
      </c>
    </row>
    <row r="66" spans="1:5" ht="10" customHeight="1" x14ac:dyDescent="0.2">
      <c r="A66" s="19" t="s">
        <v>8595</v>
      </c>
      <c r="B66" s="13">
        <v>60000</v>
      </c>
      <c r="C66" s="17" t="s">
        <v>8596</v>
      </c>
      <c r="D66" s="17" t="s">
        <v>8597</v>
      </c>
      <c r="E66" s="17" t="s">
        <v>8470</v>
      </c>
    </row>
    <row r="67" spans="1:5" ht="10" customHeight="1" x14ac:dyDescent="0.2">
      <c r="A67" s="19" t="s">
        <v>7060</v>
      </c>
      <c r="B67" s="13">
        <v>150000</v>
      </c>
      <c r="C67" s="17" t="s">
        <v>8598</v>
      </c>
      <c r="D67" s="17" t="s">
        <v>8599</v>
      </c>
      <c r="E67" s="17" t="s">
        <v>8470</v>
      </c>
    </row>
    <row r="68" spans="1:5" ht="10" customHeight="1" x14ac:dyDescent="0.2">
      <c r="A68" s="19" t="s">
        <v>8600</v>
      </c>
      <c r="B68" s="13">
        <v>30000</v>
      </c>
      <c r="C68" s="17" t="s">
        <v>8601</v>
      </c>
      <c r="D68" s="17" t="s">
        <v>8602</v>
      </c>
      <c r="E68" s="17" t="s">
        <v>8470</v>
      </c>
    </row>
    <row r="69" spans="1:5" ht="10" customHeight="1" x14ac:dyDescent="0.2">
      <c r="A69" s="19" t="s">
        <v>8603</v>
      </c>
      <c r="B69" s="13">
        <v>1500000</v>
      </c>
      <c r="C69" s="17" t="s">
        <v>8604</v>
      </c>
      <c r="D69" s="17" t="s">
        <v>8605</v>
      </c>
      <c r="E69" s="17" t="s">
        <v>8606</v>
      </c>
    </row>
    <row r="70" spans="1:5" ht="10" customHeight="1" x14ac:dyDescent="0.2">
      <c r="A70" s="21" t="s">
        <v>8323</v>
      </c>
      <c r="B70" s="22">
        <f>SUM(B55:B69)</f>
        <v>10000000</v>
      </c>
      <c r="C70" s="23"/>
      <c r="D70" s="23"/>
      <c r="E70" s="23"/>
    </row>
    <row r="71" spans="1:5" ht="10" customHeight="1" x14ac:dyDescent="0.2"/>
    <row r="72" spans="1:5" ht="10" customHeight="1" x14ac:dyDescent="0.2"/>
    <row r="73" spans="1:5" ht="10" customHeight="1" x14ac:dyDescent="0.2">
      <c r="A73" s="6" t="s">
        <v>8607</v>
      </c>
      <c r="B73" s="7"/>
      <c r="C73" s="7"/>
    </row>
    <row r="74" spans="1:5" ht="10" customHeight="1" x14ac:dyDescent="0.2"/>
    <row r="75" spans="1:5" ht="10" customHeight="1" x14ac:dyDescent="0.2">
      <c r="A75" s="35" t="s">
        <v>4905</v>
      </c>
      <c r="B75" s="28"/>
      <c r="C75" s="28"/>
    </row>
    <row r="76" spans="1:5" ht="10" customHeight="1" x14ac:dyDescent="0.2">
      <c r="A76" s="18" t="s">
        <v>8608</v>
      </c>
      <c r="B76" s="18" t="s">
        <v>8609</v>
      </c>
      <c r="C76" s="18" t="s">
        <v>8610</v>
      </c>
    </row>
    <row r="77" spans="1:5" ht="10" customHeight="1" x14ac:dyDescent="0.2">
      <c r="A77" s="19" t="s">
        <v>8611</v>
      </c>
      <c r="B77" s="13">
        <v>346443</v>
      </c>
      <c r="C77" s="17" t="s">
        <v>8612</v>
      </c>
    </row>
    <row r="78" spans="1:5" ht="10" customHeight="1" x14ac:dyDescent="0.2">
      <c r="A78" s="19" t="s">
        <v>8613</v>
      </c>
      <c r="B78" s="13">
        <v>631859</v>
      </c>
      <c r="C78" s="17" t="s">
        <v>8614</v>
      </c>
    </row>
    <row r="79" spans="1:5" ht="10" customHeight="1" x14ac:dyDescent="0.2">
      <c r="A79" s="19" t="s">
        <v>8615</v>
      </c>
      <c r="B79" s="13">
        <v>123384</v>
      </c>
      <c r="C79" s="17" t="s">
        <v>8616</v>
      </c>
    </row>
    <row r="80" spans="1:5" ht="10" customHeight="1" x14ac:dyDescent="0.2">
      <c r="A80" s="21" t="s">
        <v>8617</v>
      </c>
      <c r="B80" s="22">
        <f>SUM(B77:B79)</f>
        <v>1101686</v>
      </c>
      <c r="C80" s="23"/>
    </row>
    <row r="81" spans="1:3" ht="10" customHeight="1" x14ac:dyDescent="0.2"/>
    <row r="82" spans="1:3" ht="10" customHeight="1" x14ac:dyDescent="0.2">
      <c r="A82" s="35" t="s">
        <v>146</v>
      </c>
      <c r="B82" s="28"/>
      <c r="C82" s="28"/>
    </row>
    <row r="83" spans="1:3" ht="10" customHeight="1" x14ac:dyDescent="0.2">
      <c r="A83" s="18" t="s">
        <v>8608</v>
      </c>
      <c r="B83" s="18" t="s">
        <v>8609</v>
      </c>
      <c r="C83" s="18" t="s">
        <v>8610</v>
      </c>
    </row>
    <row r="84" spans="1:3" ht="10" customHeight="1" x14ac:dyDescent="0.2">
      <c r="A84" s="19" t="s">
        <v>8618</v>
      </c>
      <c r="B84" s="13">
        <v>835037</v>
      </c>
      <c r="C84" s="17" t="s">
        <v>8619</v>
      </c>
    </row>
    <row r="85" spans="1:3" ht="10" customHeight="1" x14ac:dyDescent="0.2">
      <c r="A85" s="19" t="s">
        <v>8620</v>
      </c>
      <c r="B85" s="13">
        <v>275000</v>
      </c>
      <c r="C85" s="17" t="s">
        <v>8621</v>
      </c>
    </row>
    <row r="86" spans="1:3" ht="10" customHeight="1" x14ac:dyDescent="0.2">
      <c r="A86" s="19" t="s">
        <v>8622</v>
      </c>
      <c r="B86" s="13">
        <v>149595</v>
      </c>
      <c r="C86" s="17" t="s">
        <v>8623</v>
      </c>
    </row>
    <row r="87" spans="1:3" ht="10" customHeight="1" x14ac:dyDescent="0.2">
      <c r="A87" s="19" t="s">
        <v>8624</v>
      </c>
      <c r="B87" s="13">
        <v>125542</v>
      </c>
      <c r="C87" s="17" t="s">
        <v>8625</v>
      </c>
    </row>
    <row r="88" spans="1:3" ht="10" customHeight="1" x14ac:dyDescent="0.2">
      <c r="A88" s="21" t="s">
        <v>8402</v>
      </c>
      <c r="B88" s="22">
        <f>SUM(B84:B87)</f>
        <v>1385174</v>
      </c>
      <c r="C88" s="23"/>
    </row>
    <row r="89" spans="1:3" ht="10" customHeight="1" x14ac:dyDescent="0.2"/>
    <row r="90" spans="1:3" ht="10" customHeight="1" x14ac:dyDescent="0.2">
      <c r="A90" s="35" t="s">
        <v>4899</v>
      </c>
      <c r="B90" s="28"/>
      <c r="C90" s="28"/>
    </row>
    <row r="91" spans="1:3" ht="10" customHeight="1" x14ac:dyDescent="0.2">
      <c r="A91" s="18" t="s">
        <v>8608</v>
      </c>
      <c r="B91" s="18" t="s">
        <v>8609</v>
      </c>
      <c r="C91" s="18" t="s">
        <v>8610</v>
      </c>
    </row>
    <row r="92" spans="1:3" ht="10" customHeight="1" x14ac:dyDescent="0.2">
      <c r="A92" s="19" t="s">
        <v>8626</v>
      </c>
      <c r="B92" s="13">
        <v>94421</v>
      </c>
      <c r="C92" s="17" t="s">
        <v>8627</v>
      </c>
    </row>
    <row r="93" spans="1:3" ht="10" customHeight="1" x14ac:dyDescent="0.2">
      <c r="A93" s="19" t="s">
        <v>8628</v>
      </c>
      <c r="B93" s="13">
        <v>25931</v>
      </c>
      <c r="C93" s="17" t="s">
        <v>8629</v>
      </c>
    </row>
    <row r="94" spans="1:3" ht="10" customHeight="1" x14ac:dyDescent="0.2">
      <c r="A94" s="21" t="s">
        <v>8630</v>
      </c>
      <c r="B94" s="22">
        <f>SUM(B92:B93)</f>
        <v>120352</v>
      </c>
      <c r="C94" s="23"/>
    </row>
    <row r="95" spans="1:3" ht="10" customHeight="1" x14ac:dyDescent="0.2"/>
    <row r="96" spans="1:3" ht="10" customHeight="1" x14ac:dyDescent="0.2">
      <c r="A96" s="35" t="s">
        <v>164</v>
      </c>
      <c r="B96" s="28"/>
      <c r="C96" s="28"/>
    </row>
    <row r="97" spans="1:3" ht="10" customHeight="1" x14ac:dyDescent="0.2">
      <c r="A97" s="18" t="s">
        <v>8608</v>
      </c>
      <c r="B97" s="18" t="s">
        <v>8609</v>
      </c>
      <c r="C97" s="18" t="s">
        <v>8610</v>
      </c>
    </row>
    <row r="98" spans="1:3" ht="10" customHeight="1" x14ac:dyDescent="0.2">
      <c r="A98" s="19" t="s">
        <v>8631</v>
      </c>
      <c r="B98" s="13">
        <v>634963</v>
      </c>
      <c r="C98" s="17" t="s">
        <v>8632</v>
      </c>
    </row>
    <row r="99" spans="1:3" ht="10" customHeight="1" x14ac:dyDescent="0.2">
      <c r="A99" s="19" t="s">
        <v>8633</v>
      </c>
      <c r="B99" s="13">
        <v>45012</v>
      </c>
      <c r="C99" s="17" t="s">
        <v>8634</v>
      </c>
    </row>
    <row r="100" spans="1:3" ht="10" customHeight="1" x14ac:dyDescent="0.2">
      <c r="A100" s="21" t="s">
        <v>8400</v>
      </c>
      <c r="B100" s="22">
        <f>SUM(B98:B99)</f>
        <v>679975</v>
      </c>
      <c r="C100" s="23"/>
    </row>
    <row r="101" spans="1:3" ht="10" customHeight="1" x14ac:dyDescent="0.2"/>
    <row r="102" spans="1:3" ht="10" customHeight="1" x14ac:dyDescent="0.2">
      <c r="A102" s="35" t="s">
        <v>116</v>
      </c>
      <c r="B102" s="28"/>
      <c r="C102" s="28"/>
    </row>
    <row r="103" spans="1:3" ht="10" customHeight="1" x14ac:dyDescent="0.2">
      <c r="A103" s="18" t="s">
        <v>8608</v>
      </c>
      <c r="B103" s="18" t="s">
        <v>8609</v>
      </c>
      <c r="C103" s="18" t="s">
        <v>8610</v>
      </c>
    </row>
    <row r="104" spans="1:3" ht="10" customHeight="1" x14ac:dyDescent="0.2">
      <c r="A104" s="19" t="s">
        <v>8635</v>
      </c>
      <c r="B104" s="13">
        <v>5410773</v>
      </c>
      <c r="C104" s="17" t="s">
        <v>8636</v>
      </c>
    </row>
    <row r="105" spans="1:3" ht="10" customHeight="1" x14ac:dyDescent="0.2">
      <c r="A105" s="19" t="s">
        <v>8637</v>
      </c>
      <c r="B105" s="13">
        <v>1750000</v>
      </c>
      <c r="C105" s="17" t="s">
        <v>8638</v>
      </c>
    </row>
    <row r="106" spans="1:3" ht="10" customHeight="1" x14ac:dyDescent="0.2">
      <c r="A106" s="19" t="s">
        <v>8639</v>
      </c>
      <c r="B106" s="13">
        <v>52358</v>
      </c>
      <c r="C106" s="17" t="s">
        <v>8640</v>
      </c>
    </row>
    <row r="107" spans="1:3" ht="10" customHeight="1" x14ac:dyDescent="0.2">
      <c r="A107" s="19" t="s">
        <v>8641</v>
      </c>
      <c r="B107" s="13">
        <v>952000</v>
      </c>
      <c r="C107" s="17" t="s">
        <v>8642</v>
      </c>
    </row>
    <row r="108" spans="1:3" ht="10" customHeight="1" x14ac:dyDescent="0.2">
      <c r="A108" s="19" t="s">
        <v>8643</v>
      </c>
      <c r="B108" s="13">
        <v>1282612</v>
      </c>
      <c r="C108" s="17" t="s">
        <v>8644</v>
      </c>
    </row>
    <row r="109" spans="1:3" ht="10" customHeight="1" x14ac:dyDescent="0.2">
      <c r="A109" s="19" t="s">
        <v>8645</v>
      </c>
      <c r="B109" s="13">
        <v>1008875</v>
      </c>
      <c r="C109" s="17" t="s">
        <v>8646</v>
      </c>
    </row>
    <row r="110" spans="1:3" ht="10" customHeight="1" x14ac:dyDescent="0.2">
      <c r="A110" s="19" t="s">
        <v>8647</v>
      </c>
      <c r="B110" s="13">
        <v>878787</v>
      </c>
      <c r="C110" s="17" t="s">
        <v>8648</v>
      </c>
    </row>
    <row r="111" spans="1:3" ht="10" customHeight="1" x14ac:dyDescent="0.2">
      <c r="A111" s="19" t="s">
        <v>8649</v>
      </c>
      <c r="B111" s="13">
        <v>128513</v>
      </c>
      <c r="C111" s="17" t="s">
        <v>8650</v>
      </c>
    </row>
    <row r="112" spans="1:3" ht="10" customHeight="1" x14ac:dyDescent="0.2">
      <c r="A112" s="19" t="s">
        <v>8651</v>
      </c>
      <c r="B112" s="13">
        <v>115267</v>
      </c>
      <c r="C112" s="17" t="s">
        <v>8652</v>
      </c>
    </row>
    <row r="113" spans="1:3" ht="10" customHeight="1" x14ac:dyDescent="0.2">
      <c r="A113" s="21" t="s">
        <v>8399</v>
      </c>
      <c r="B113" s="22">
        <f>SUM(B104:B112)</f>
        <v>11579185</v>
      </c>
      <c r="C113" s="23"/>
    </row>
    <row r="114" spans="1:3" ht="10" customHeight="1" x14ac:dyDescent="0.2"/>
    <row r="115" spans="1:3" ht="10" customHeight="1" x14ac:dyDescent="0.2">
      <c r="A115" s="35" t="s">
        <v>135</v>
      </c>
      <c r="B115" s="28"/>
      <c r="C115" s="28"/>
    </row>
    <row r="116" spans="1:3" ht="10" customHeight="1" x14ac:dyDescent="0.2">
      <c r="A116" s="18" t="s">
        <v>8608</v>
      </c>
      <c r="B116" s="18" t="s">
        <v>8609</v>
      </c>
      <c r="C116" s="18" t="s">
        <v>8610</v>
      </c>
    </row>
    <row r="117" spans="1:3" ht="10" customHeight="1" x14ac:dyDescent="0.2">
      <c r="A117" s="19" t="s">
        <v>8653</v>
      </c>
      <c r="B117" s="13">
        <v>576389</v>
      </c>
      <c r="C117" s="17" t="s">
        <v>8654</v>
      </c>
    </row>
    <row r="118" spans="1:3" ht="10" customHeight="1" x14ac:dyDescent="0.2">
      <c r="A118" s="19" t="s">
        <v>8655</v>
      </c>
      <c r="B118" s="13">
        <v>383361</v>
      </c>
      <c r="C118" s="17" t="s">
        <v>8656</v>
      </c>
    </row>
    <row r="119" spans="1:3" ht="10" customHeight="1" x14ac:dyDescent="0.2">
      <c r="A119" s="19" t="s">
        <v>8657</v>
      </c>
      <c r="B119" s="13">
        <v>189458</v>
      </c>
      <c r="C119" s="17" t="s">
        <v>8658</v>
      </c>
    </row>
    <row r="120" spans="1:3" ht="10" customHeight="1" x14ac:dyDescent="0.2">
      <c r="A120" s="19" t="s">
        <v>8659</v>
      </c>
      <c r="B120" s="13">
        <v>91372</v>
      </c>
      <c r="C120" s="17" t="s">
        <v>8660</v>
      </c>
    </row>
    <row r="121" spans="1:3" ht="10" customHeight="1" x14ac:dyDescent="0.2">
      <c r="A121" s="19" t="s">
        <v>8661</v>
      </c>
      <c r="B121" s="13">
        <v>32238</v>
      </c>
      <c r="C121" s="17" t="s">
        <v>8662</v>
      </c>
    </row>
    <row r="122" spans="1:3" ht="10" customHeight="1" x14ac:dyDescent="0.2">
      <c r="A122" s="21" t="s">
        <v>8663</v>
      </c>
      <c r="B122" s="22">
        <f>SUM(B117:B121)</f>
        <v>1272818</v>
      </c>
      <c r="C122" s="23"/>
    </row>
    <row r="123" spans="1:3" ht="10" customHeight="1" x14ac:dyDescent="0.2"/>
    <row r="124" spans="1:3" ht="10" customHeight="1" x14ac:dyDescent="0.2">
      <c r="A124" s="35" t="s">
        <v>4955</v>
      </c>
      <c r="B124" s="28"/>
      <c r="C124" s="28"/>
    </row>
    <row r="125" spans="1:3" ht="10" customHeight="1" x14ac:dyDescent="0.2">
      <c r="A125" s="18" t="s">
        <v>8608</v>
      </c>
      <c r="B125" s="18" t="s">
        <v>8609</v>
      </c>
      <c r="C125" s="18" t="s">
        <v>8610</v>
      </c>
    </row>
    <row r="126" spans="1:3" ht="10" customHeight="1" x14ac:dyDescent="0.2">
      <c r="A126" s="19" t="s">
        <v>8664</v>
      </c>
      <c r="B126" s="13">
        <v>115501</v>
      </c>
      <c r="C126" s="17" t="s">
        <v>8665</v>
      </c>
    </row>
    <row r="127" spans="1:3" ht="10" customHeight="1" x14ac:dyDescent="0.2">
      <c r="A127" s="19" t="s">
        <v>8666</v>
      </c>
      <c r="B127" s="13">
        <v>44940</v>
      </c>
      <c r="C127" s="17" t="s">
        <v>8667</v>
      </c>
    </row>
    <row r="128" spans="1:3" ht="10" customHeight="1" x14ac:dyDescent="0.2">
      <c r="A128" s="21" t="s">
        <v>8668</v>
      </c>
      <c r="B128" s="22">
        <f>SUM(B126:B127)</f>
        <v>160441</v>
      </c>
      <c r="C128" s="23"/>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306"/>
  <sheetViews>
    <sheetView showGridLines="0" workbookViewId="0"/>
  </sheetViews>
  <sheetFormatPr baseColWidth="10" defaultColWidth="8.83203125" defaultRowHeight="15" x14ac:dyDescent="0.2"/>
  <cols>
    <col min="1" max="1" width="18" customWidth="1"/>
    <col min="2" max="2" width="14" customWidth="1"/>
    <col min="3" max="3" width="24" customWidth="1"/>
    <col min="4" max="4" width="34" customWidth="1"/>
    <col min="6" max="6" width="8.6640625" customWidth="1"/>
    <col min="20" max="20" width="8.6640625" customWidth="1"/>
  </cols>
  <sheetData>
    <row r="1" spans="1:5" ht="10" customHeight="1" x14ac:dyDescent="0.2">
      <c r="A1" s="39" t="s">
        <v>8669</v>
      </c>
      <c r="B1" s="39"/>
      <c r="C1" s="39"/>
      <c r="D1" s="39"/>
      <c r="E1" s="39"/>
    </row>
    <row r="2" spans="1:5" ht="10" customHeight="1" x14ac:dyDescent="0.2">
      <c r="A2" s="40" t="s">
        <v>8670</v>
      </c>
      <c r="B2" s="41"/>
      <c r="C2" s="41"/>
      <c r="D2" s="41"/>
      <c r="E2" s="41"/>
    </row>
    <row r="3" spans="1:5" ht="10" customHeight="1" x14ac:dyDescent="0.2">
      <c r="A3" s="42"/>
      <c r="B3" s="42"/>
      <c r="C3" s="42"/>
      <c r="D3" s="42"/>
      <c r="E3" s="42"/>
    </row>
    <row r="4" spans="1:5" ht="10" customHeight="1" x14ac:dyDescent="0.2">
      <c r="A4" s="43" t="s">
        <v>8671</v>
      </c>
      <c r="B4" s="43" t="s">
        <v>8672</v>
      </c>
      <c r="C4" s="43" t="s">
        <v>8673</v>
      </c>
      <c r="D4" s="43" t="s">
        <v>8674</v>
      </c>
      <c r="E4" s="43" t="s">
        <v>8675</v>
      </c>
    </row>
    <row r="5" spans="1:5" ht="10" customHeight="1" x14ac:dyDescent="0.2">
      <c r="A5" s="42"/>
      <c r="B5" s="42"/>
      <c r="C5" s="42"/>
      <c r="D5" s="42"/>
      <c r="E5" s="42"/>
    </row>
    <row r="6" spans="1:5" ht="10" customHeight="1" x14ac:dyDescent="0.2">
      <c r="A6" s="44" t="s">
        <v>8676</v>
      </c>
      <c r="B6" s="44"/>
      <c r="C6" s="44"/>
      <c r="D6" s="45"/>
      <c r="E6" s="45"/>
    </row>
    <row r="7" spans="1:5" ht="10" customHeight="1" x14ac:dyDescent="0.2">
      <c r="A7" s="46"/>
      <c r="B7" s="46"/>
      <c r="C7" s="46"/>
      <c r="D7" s="46"/>
      <c r="E7" s="46"/>
    </row>
    <row r="8" spans="1:5" ht="10" customHeight="1" x14ac:dyDescent="0.2">
      <c r="A8" s="46" t="s">
        <v>8677</v>
      </c>
      <c r="B8" s="46" t="s">
        <v>8678</v>
      </c>
      <c r="C8" s="46" t="s">
        <v>8679</v>
      </c>
      <c r="D8" s="46" t="s">
        <v>8680</v>
      </c>
      <c r="E8" s="46" t="s">
        <v>8681</v>
      </c>
    </row>
    <row r="9" spans="1:5" ht="10" customHeight="1" x14ac:dyDescent="0.2">
      <c r="A9" s="46" t="s">
        <v>8677</v>
      </c>
      <c r="B9" s="46" t="s">
        <v>8678</v>
      </c>
      <c r="C9" s="46" t="s">
        <v>44</v>
      </c>
      <c r="D9" s="46" t="s">
        <v>8682</v>
      </c>
      <c r="E9" s="46" t="s">
        <v>8683</v>
      </c>
    </row>
    <row r="10" spans="1:5" ht="10" customHeight="1" x14ac:dyDescent="0.2">
      <c r="A10" s="46" t="s">
        <v>8677</v>
      </c>
      <c r="B10" s="46" t="s">
        <v>8678</v>
      </c>
      <c r="C10" s="46" t="s">
        <v>53</v>
      </c>
      <c r="D10" s="46" t="s">
        <v>8684</v>
      </c>
      <c r="E10" s="46" t="s">
        <v>8685</v>
      </c>
    </row>
    <row r="11" spans="1:5" ht="10" customHeight="1" x14ac:dyDescent="0.2">
      <c r="A11" s="46" t="s">
        <v>8677</v>
      </c>
      <c r="B11" s="46" t="s">
        <v>8678</v>
      </c>
      <c r="C11" s="46" t="s">
        <v>345</v>
      </c>
      <c r="D11" s="46" t="s">
        <v>8686</v>
      </c>
      <c r="E11" s="46" t="s">
        <v>8687</v>
      </c>
    </row>
    <row r="12" spans="1:5" ht="10" customHeight="1" x14ac:dyDescent="0.2">
      <c r="A12" s="46" t="s">
        <v>8677</v>
      </c>
      <c r="B12" s="46" t="s">
        <v>8678</v>
      </c>
      <c r="C12" s="46" t="s">
        <v>5131</v>
      </c>
      <c r="D12" s="46" t="s">
        <v>8688</v>
      </c>
      <c r="E12" s="46" t="s">
        <v>8689</v>
      </c>
    </row>
    <row r="13" spans="1:5" ht="10" customHeight="1" x14ac:dyDescent="0.2">
      <c r="A13" s="46" t="s">
        <v>8677</v>
      </c>
      <c r="B13" s="46" t="s">
        <v>8678</v>
      </c>
      <c r="C13" s="46" t="s">
        <v>184</v>
      </c>
      <c r="D13" s="46" t="s">
        <v>8690</v>
      </c>
      <c r="E13" s="46" t="s">
        <v>8691</v>
      </c>
    </row>
    <row r="14" spans="1:5" ht="10" customHeight="1" x14ac:dyDescent="0.2">
      <c r="A14" s="42"/>
      <c r="B14" s="42"/>
      <c r="C14" s="42"/>
      <c r="D14" s="42"/>
      <c r="E14" s="42"/>
    </row>
    <row r="15" spans="1:5" ht="10" customHeight="1" x14ac:dyDescent="0.2">
      <c r="A15" s="44" t="s">
        <v>8692</v>
      </c>
      <c r="B15" s="44"/>
      <c r="C15" s="44"/>
      <c r="D15" s="45"/>
      <c r="E15" s="45"/>
    </row>
    <row r="16" spans="1:5" ht="10" customHeight="1" x14ac:dyDescent="0.2">
      <c r="A16" s="46"/>
      <c r="B16" s="46"/>
      <c r="C16" s="46"/>
      <c r="D16" s="46"/>
      <c r="E16" s="46"/>
    </row>
    <row r="17" spans="1:5" ht="10" customHeight="1" x14ac:dyDescent="0.2">
      <c r="A17" s="46" t="s">
        <v>8693</v>
      </c>
      <c r="B17" s="46" t="s">
        <v>8694</v>
      </c>
      <c r="C17" s="46" t="s">
        <v>8695</v>
      </c>
      <c r="D17" s="46" t="s">
        <v>8696</v>
      </c>
      <c r="E17" s="46" t="s">
        <v>8697</v>
      </c>
    </row>
    <row r="18" spans="1:5" ht="10" customHeight="1" x14ac:dyDescent="0.2">
      <c r="A18" s="46" t="s">
        <v>8693</v>
      </c>
      <c r="B18" s="46" t="s">
        <v>8698</v>
      </c>
      <c r="C18" s="46" t="s">
        <v>8699</v>
      </c>
      <c r="D18" s="46" t="s">
        <v>8700</v>
      </c>
      <c r="E18" s="46"/>
    </row>
    <row r="19" spans="1:5" ht="10" customHeight="1" x14ac:dyDescent="0.2">
      <c r="A19" s="46" t="s">
        <v>8693</v>
      </c>
      <c r="B19" s="46" t="s">
        <v>8698</v>
      </c>
      <c r="C19" s="46" t="s">
        <v>8701</v>
      </c>
      <c r="D19" s="46" t="s">
        <v>8702</v>
      </c>
      <c r="E19" s="46"/>
    </row>
    <row r="20" spans="1:5" ht="10" customHeight="1" x14ac:dyDescent="0.2">
      <c r="A20" s="46" t="s">
        <v>8693</v>
      </c>
      <c r="B20" s="46" t="s">
        <v>8698</v>
      </c>
      <c r="C20" s="46" t="s">
        <v>8703</v>
      </c>
      <c r="D20" s="46" t="s">
        <v>8704</v>
      </c>
      <c r="E20" s="46"/>
    </row>
    <row r="21" spans="1:5" ht="10" customHeight="1" x14ac:dyDescent="0.2">
      <c r="A21" s="42"/>
      <c r="B21" s="42"/>
      <c r="C21" s="42"/>
      <c r="D21" s="42"/>
      <c r="E21" s="42"/>
    </row>
    <row r="22" spans="1:5" ht="10" customHeight="1" x14ac:dyDescent="0.2">
      <c r="A22" s="44" t="s">
        <v>8705</v>
      </c>
      <c r="B22" s="44"/>
      <c r="C22" s="44"/>
      <c r="D22" s="45"/>
      <c r="E22" s="45"/>
    </row>
    <row r="23" spans="1:5" ht="10" customHeight="1" x14ac:dyDescent="0.2">
      <c r="A23" s="46"/>
      <c r="B23" s="46"/>
      <c r="C23" s="46"/>
      <c r="D23" s="46"/>
      <c r="E23" s="46"/>
    </row>
    <row r="24" spans="1:5" ht="10" customHeight="1" x14ac:dyDescent="0.2">
      <c r="A24" s="46" t="s">
        <v>8706</v>
      </c>
      <c r="B24" s="46" t="s">
        <v>8707</v>
      </c>
      <c r="C24" s="46" t="s">
        <v>6255</v>
      </c>
      <c r="D24" s="46" t="s">
        <v>8708</v>
      </c>
      <c r="E24" s="46" t="s">
        <v>8709</v>
      </c>
    </row>
    <row r="25" spans="1:5" ht="10" customHeight="1" x14ac:dyDescent="0.2">
      <c r="A25" s="46" t="s">
        <v>8706</v>
      </c>
      <c r="B25" s="46" t="s">
        <v>8707</v>
      </c>
      <c r="C25" s="46" t="s">
        <v>6259</v>
      </c>
      <c r="D25" s="46" t="s">
        <v>8710</v>
      </c>
      <c r="E25" s="46" t="s">
        <v>8711</v>
      </c>
    </row>
    <row r="26" spans="1:5" ht="10" customHeight="1" x14ac:dyDescent="0.2">
      <c r="A26" s="46" t="s">
        <v>8706</v>
      </c>
      <c r="B26" s="46" t="s">
        <v>8707</v>
      </c>
      <c r="C26" s="46" t="s">
        <v>6263</v>
      </c>
      <c r="D26" s="46" t="s">
        <v>8712</v>
      </c>
      <c r="E26" s="46" t="s">
        <v>8713</v>
      </c>
    </row>
    <row r="27" spans="1:5" ht="10" customHeight="1" x14ac:dyDescent="0.2">
      <c r="A27" s="46" t="s">
        <v>8706</v>
      </c>
      <c r="B27" s="46" t="s">
        <v>8707</v>
      </c>
      <c r="C27" s="46" t="s">
        <v>6267</v>
      </c>
      <c r="D27" s="46" t="s">
        <v>8714</v>
      </c>
      <c r="E27" s="46" t="s">
        <v>8715</v>
      </c>
    </row>
    <row r="28" spans="1:5" ht="10" customHeight="1" x14ac:dyDescent="0.2">
      <c r="A28" s="46" t="s">
        <v>8706</v>
      </c>
      <c r="B28" s="46" t="s">
        <v>8707</v>
      </c>
      <c r="C28" s="46" t="s">
        <v>6271</v>
      </c>
      <c r="D28" s="46" t="s">
        <v>8716</v>
      </c>
      <c r="E28" s="46" t="s">
        <v>8717</v>
      </c>
    </row>
    <row r="29" spans="1:5" ht="10" customHeight="1" x14ac:dyDescent="0.2">
      <c r="A29" s="46" t="s">
        <v>8706</v>
      </c>
      <c r="B29" s="46" t="s">
        <v>8707</v>
      </c>
      <c r="C29" s="46" t="s">
        <v>6294</v>
      </c>
      <c r="D29" s="46" t="s">
        <v>8718</v>
      </c>
      <c r="E29" s="46" t="s">
        <v>8719</v>
      </c>
    </row>
    <row r="30" spans="1:5" ht="10" customHeight="1" x14ac:dyDescent="0.2">
      <c r="A30" s="46" t="s">
        <v>8706</v>
      </c>
      <c r="B30" s="46" t="s">
        <v>8707</v>
      </c>
      <c r="C30" s="46" t="s">
        <v>6298</v>
      </c>
      <c r="D30" s="46" t="s">
        <v>8720</v>
      </c>
      <c r="E30" s="46" t="s">
        <v>8721</v>
      </c>
    </row>
    <row r="31" spans="1:5" ht="10" customHeight="1" x14ac:dyDescent="0.2">
      <c r="A31" s="42"/>
      <c r="B31" s="42"/>
      <c r="C31" s="42"/>
      <c r="D31" s="42"/>
      <c r="E31" s="42"/>
    </row>
    <row r="32" spans="1:5" ht="10" customHeight="1" x14ac:dyDescent="0.2">
      <c r="A32" s="44" t="s">
        <v>8722</v>
      </c>
      <c r="B32" s="44"/>
      <c r="C32" s="44"/>
      <c r="D32" s="45"/>
      <c r="E32" s="45"/>
    </row>
    <row r="33" spans="1:5" ht="10" customHeight="1" x14ac:dyDescent="0.2">
      <c r="A33" s="46"/>
      <c r="B33" s="46"/>
      <c r="C33" s="46"/>
      <c r="D33" s="46"/>
      <c r="E33" s="46"/>
    </row>
    <row r="34" spans="1:5" ht="10" customHeight="1" x14ac:dyDescent="0.2">
      <c r="A34" s="46" t="s">
        <v>8723</v>
      </c>
      <c r="B34" s="46" t="s">
        <v>8347</v>
      </c>
      <c r="C34" s="46" t="s">
        <v>45</v>
      </c>
      <c r="D34" s="46" t="s">
        <v>8724</v>
      </c>
      <c r="E34" s="46" t="s">
        <v>8725</v>
      </c>
    </row>
    <row r="35" spans="1:5" ht="10" customHeight="1" x14ac:dyDescent="0.2">
      <c r="A35" s="46" t="s">
        <v>8723</v>
      </c>
      <c r="B35" s="46" t="s">
        <v>8347</v>
      </c>
      <c r="C35" s="46" t="s">
        <v>60</v>
      </c>
      <c r="D35" s="46" t="s">
        <v>8726</v>
      </c>
      <c r="E35" s="46" t="s">
        <v>8727</v>
      </c>
    </row>
    <row r="36" spans="1:5" ht="10" customHeight="1" x14ac:dyDescent="0.2">
      <c r="A36" s="46" t="s">
        <v>8723</v>
      </c>
      <c r="B36" s="46" t="s">
        <v>8347</v>
      </c>
      <c r="C36" s="46" t="s">
        <v>4590</v>
      </c>
      <c r="D36" s="46" t="s">
        <v>8728</v>
      </c>
      <c r="E36" s="46" t="s">
        <v>8729</v>
      </c>
    </row>
    <row r="37" spans="1:5" ht="10" customHeight="1" x14ac:dyDescent="0.2">
      <c r="A37" s="46" t="s">
        <v>8723</v>
      </c>
      <c r="B37" s="46" t="s">
        <v>8347</v>
      </c>
      <c r="C37" s="46" t="s">
        <v>246</v>
      </c>
      <c r="D37" s="46" t="s">
        <v>8730</v>
      </c>
      <c r="E37" s="46" t="s">
        <v>8731</v>
      </c>
    </row>
    <row r="38" spans="1:5" ht="10" customHeight="1" x14ac:dyDescent="0.2">
      <c r="A38" s="42"/>
      <c r="B38" s="42"/>
      <c r="C38" s="42"/>
      <c r="D38" s="42"/>
      <c r="E38" s="42"/>
    </row>
    <row r="39" spans="1:5" ht="10" customHeight="1" x14ac:dyDescent="0.2">
      <c r="A39" s="44" t="s">
        <v>8732</v>
      </c>
      <c r="B39" s="44"/>
      <c r="C39" s="44"/>
      <c r="D39" s="45"/>
      <c r="E39" s="45"/>
    </row>
    <row r="40" spans="1:5" ht="10" customHeight="1" x14ac:dyDescent="0.2">
      <c r="A40" s="46"/>
      <c r="B40" s="46"/>
      <c r="C40" s="46"/>
      <c r="D40" s="46"/>
      <c r="E40" s="46"/>
    </row>
    <row r="41" spans="1:5" ht="10" customHeight="1" x14ac:dyDescent="0.2">
      <c r="A41" s="46" t="s">
        <v>8733</v>
      </c>
      <c r="B41" s="46" t="s">
        <v>8344</v>
      </c>
      <c r="C41" s="46" t="s">
        <v>46</v>
      </c>
      <c r="D41" s="46" t="s">
        <v>8734</v>
      </c>
      <c r="E41" s="46"/>
    </row>
    <row r="42" spans="1:5" ht="10" customHeight="1" x14ac:dyDescent="0.2">
      <c r="A42" s="46"/>
      <c r="B42" s="46"/>
      <c r="C42" s="46"/>
      <c r="D42" s="46"/>
      <c r="E42" s="46"/>
    </row>
    <row r="43" spans="1:5" ht="10" customHeight="1" x14ac:dyDescent="0.2">
      <c r="A43" s="46" t="s">
        <v>8733</v>
      </c>
      <c r="B43" s="46" t="s">
        <v>8325</v>
      </c>
      <c r="C43" s="46" t="s">
        <v>47</v>
      </c>
      <c r="D43" s="46" t="s">
        <v>8735</v>
      </c>
      <c r="E43" s="46"/>
    </row>
    <row r="44" spans="1:5" ht="10" customHeight="1" x14ac:dyDescent="0.2">
      <c r="A44" s="46" t="s">
        <v>8733</v>
      </c>
      <c r="B44" s="46" t="s">
        <v>8736</v>
      </c>
      <c r="C44" s="46" t="s">
        <v>65</v>
      </c>
      <c r="D44" s="46" t="s">
        <v>8737</v>
      </c>
      <c r="E44" s="46" t="s">
        <v>8738</v>
      </c>
    </row>
    <row r="45" spans="1:5" ht="10" customHeight="1" x14ac:dyDescent="0.2">
      <c r="A45" s="46" t="s">
        <v>8733</v>
      </c>
      <c r="B45" s="46" t="s">
        <v>8736</v>
      </c>
      <c r="C45" s="46" t="s">
        <v>115</v>
      </c>
      <c r="D45" s="46" t="s">
        <v>8739</v>
      </c>
      <c r="E45" s="46" t="s">
        <v>8740</v>
      </c>
    </row>
    <row r="46" spans="1:5" ht="10" customHeight="1" x14ac:dyDescent="0.2">
      <c r="A46" s="46" t="s">
        <v>8733</v>
      </c>
      <c r="B46" s="46" t="s">
        <v>8736</v>
      </c>
      <c r="C46" s="46" t="s">
        <v>48</v>
      </c>
      <c r="D46" s="46" t="s">
        <v>8741</v>
      </c>
      <c r="E46" s="46" t="s">
        <v>8742</v>
      </c>
    </row>
    <row r="47" spans="1:5" ht="10" customHeight="1" x14ac:dyDescent="0.2">
      <c r="A47" s="46" t="s">
        <v>8733</v>
      </c>
      <c r="B47" s="46" t="s">
        <v>8736</v>
      </c>
      <c r="C47" s="46" t="s">
        <v>145</v>
      </c>
      <c r="D47" s="46" t="s">
        <v>8743</v>
      </c>
      <c r="E47" s="46" t="s">
        <v>8744</v>
      </c>
    </row>
    <row r="48" spans="1:5" ht="10" customHeight="1" x14ac:dyDescent="0.2">
      <c r="A48" s="46" t="s">
        <v>8733</v>
      </c>
      <c r="B48" s="46" t="s">
        <v>8736</v>
      </c>
      <c r="C48" s="46" t="s">
        <v>4680</v>
      </c>
      <c r="D48" s="46" t="s">
        <v>8745</v>
      </c>
      <c r="E48" s="46" t="s">
        <v>8746</v>
      </c>
    </row>
    <row r="49" spans="1:5" ht="10" customHeight="1" x14ac:dyDescent="0.2">
      <c r="A49" s="46" t="s">
        <v>8733</v>
      </c>
      <c r="B49" s="46" t="s">
        <v>8736</v>
      </c>
      <c r="C49" s="46" t="s">
        <v>198</v>
      </c>
      <c r="D49" s="46" t="s">
        <v>8747</v>
      </c>
      <c r="E49" s="46" t="s">
        <v>8748</v>
      </c>
    </row>
    <row r="50" spans="1:5" ht="10" customHeight="1" x14ac:dyDescent="0.2">
      <c r="A50" s="46" t="s">
        <v>8733</v>
      </c>
      <c r="B50" s="46" t="s">
        <v>8736</v>
      </c>
      <c r="C50" s="46" t="s">
        <v>4855</v>
      </c>
      <c r="D50" s="46" t="s">
        <v>8749</v>
      </c>
      <c r="E50" s="46" t="s">
        <v>8750</v>
      </c>
    </row>
    <row r="51" spans="1:5" ht="10" customHeight="1" x14ac:dyDescent="0.2">
      <c r="A51" s="46" t="s">
        <v>8733</v>
      </c>
      <c r="B51" s="46" t="s">
        <v>8736</v>
      </c>
      <c r="C51" s="46" t="s">
        <v>4962</v>
      </c>
      <c r="D51" s="46" t="s">
        <v>8751</v>
      </c>
      <c r="E51" s="46" t="s">
        <v>8752</v>
      </c>
    </row>
    <row r="52" spans="1:5" ht="10" customHeight="1" x14ac:dyDescent="0.2">
      <c r="A52" s="46" t="s">
        <v>8733</v>
      </c>
      <c r="B52" s="46" t="s">
        <v>8736</v>
      </c>
      <c r="C52" s="46" t="s">
        <v>210</v>
      </c>
      <c r="D52" s="46" t="s">
        <v>8753</v>
      </c>
      <c r="E52" s="46" t="s">
        <v>8754</v>
      </c>
    </row>
    <row r="53" spans="1:5" ht="10" customHeight="1" x14ac:dyDescent="0.2">
      <c r="A53" s="46" t="s">
        <v>8733</v>
      </c>
      <c r="B53" s="46" t="s">
        <v>8736</v>
      </c>
      <c r="C53" s="46" t="s">
        <v>222</v>
      </c>
      <c r="D53" s="46" t="s">
        <v>8755</v>
      </c>
      <c r="E53" s="46" t="s">
        <v>8756</v>
      </c>
    </row>
    <row r="54" spans="1:5" ht="10" customHeight="1" x14ac:dyDescent="0.2">
      <c r="A54" s="46" t="s">
        <v>8733</v>
      </c>
      <c r="B54" s="46" t="s">
        <v>8736</v>
      </c>
      <c r="C54" s="46" t="s">
        <v>178</v>
      </c>
      <c r="D54" s="46" t="s">
        <v>8757</v>
      </c>
      <c r="E54" s="46" t="s">
        <v>8758</v>
      </c>
    </row>
    <row r="55" spans="1:5" ht="10" customHeight="1" x14ac:dyDescent="0.2">
      <c r="A55" s="46"/>
      <c r="B55" s="46"/>
      <c r="C55" s="46"/>
      <c r="D55" s="46"/>
      <c r="E55" s="46"/>
    </row>
    <row r="56" spans="1:5" ht="10" customHeight="1" x14ac:dyDescent="0.2">
      <c r="A56" s="46" t="s">
        <v>8733</v>
      </c>
      <c r="B56" s="46" t="s">
        <v>8325</v>
      </c>
      <c r="C56" s="46" t="s">
        <v>228</v>
      </c>
      <c r="D56" s="46" t="s">
        <v>8759</v>
      </c>
      <c r="E56" s="46"/>
    </row>
    <row r="57" spans="1:5" ht="10" customHeight="1" x14ac:dyDescent="0.2">
      <c r="A57" s="46" t="s">
        <v>8733</v>
      </c>
      <c r="B57" s="46" t="s">
        <v>8736</v>
      </c>
      <c r="C57" s="46" t="s">
        <v>5273</v>
      </c>
      <c r="D57" s="46" t="s">
        <v>8760</v>
      </c>
      <c r="E57" s="46" t="s">
        <v>8761</v>
      </c>
    </row>
    <row r="58" spans="1:5" ht="10" customHeight="1" x14ac:dyDescent="0.2">
      <c r="A58" s="46" t="s">
        <v>8733</v>
      </c>
      <c r="B58" s="46" t="s">
        <v>8736</v>
      </c>
      <c r="C58" s="46" t="s">
        <v>4639</v>
      </c>
      <c r="D58" s="46" t="s">
        <v>8762</v>
      </c>
      <c r="E58" s="46" t="s">
        <v>8763</v>
      </c>
    </row>
    <row r="59" spans="1:5" ht="10" customHeight="1" x14ac:dyDescent="0.2">
      <c r="A59" s="46" t="s">
        <v>8733</v>
      </c>
      <c r="B59" s="46" t="s">
        <v>8736</v>
      </c>
      <c r="C59" s="46" t="s">
        <v>229</v>
      </c>
      <c r="D59" s="46" t="s">
        <v>8764</v>
      </c>
      <c r="E59" s="46" t="s">
        <v>8765</v>
      </c>
    </row>
    <row r="60" spans="1:5" ht="10" customHeight="1" x14ac:dyDescent="0.2">
      <c r="A60" s="46" t="s">
        <v>8733</v>
      </c>
      <c r="B60" s="46" t="s">
        <v>8736</v>
      </c>
      <c r="C60" s="46" t="s">
        <v>5025</v>
      </c>
      <c r="D60" s="46" t="s">
        <v>8766</v>
      </c>
      <c r="E60" s="46" t="s">
        <v>8767</v>
      </c>
    </row>
    <row r="61" spans="1:5" ht="10" customHeight="1" x14ac:dyDescent="0.2">
      <c r="A61" s="46" t="s">
        <v>8733</v>
      </c>
      <c r="B61" s="46" t="s">
        <v>8736</v>
      </c>
      <c r="C61" s="46" t="s">
        <v>241</v>
      </c>
      <c r="D61" s="46" t="s">
        <v>8768</v>
      </c>
      <c r="E61" s="46" t="s">
        <v>8769</v>
      </c>
    </row>
    <row r="62" spans="1:5" ht="10" customHeight="1" x14ac:dyDescent="0.2">
      <c r="A62" s="46" t="s">
        <v>8733</v>
      </c>
      <c r="B62" s="46" t="s">
        <v>8736</v>
      </c>
      <c r="C62" s="46" t="s">
        <v>8770</v>
      </c>
      <c r="D62" s="46" t="s">
        <v>8771</v>
      </c>
      <c r="E62" s="46" t="s">
        <v>8772</v>
      </c>
    </row>
    <row r="63" spans="1:5" ht="10" customHeight="1" x14ac:dyDescent="0.2">
      <c r="A63" s="46" t="s">
        <v>8733</v>
      </c>
      <c r="B63" s="46" t="s">
        <v>8736</v>
      </c>
      <c r="C63" s="46" t="s">
        <v>8773</v>
      </c>
      <c r="D63" s="46" t="s">
        <v>8774</v>
      </c>
      <c r="E63" s="46" t="s">
        <v>8775</v>
      </c>
    </row>
    <row r="64" spans="1:5" ht="10" customHeight="1" x14ac:dyDescent="0.2">
      <c r="A64" s="46" t="s">
        <v>8733</v>
      </c>
      <c r="B64" s="46" t="s">
        <v>8736</v>
      </c>
      <c r="C64" s="46" t="s">
        <v>5268</v>
      </c>
      <c r="D64" s="46" t="s">
        <v>8776</v>
      </c>
      <c r="E64" s="46" t="s">
        <v>8777</v>
      </c>
    </row>
    <row r="65" spans="1:5" ht="10" customHeight="1" x14ac:dyDescent="0.2">
      <c r="A65" s="46" t="s">
        <v>8733</v>
      </c>
      <c r="B65" s="46" t="s">
        <v>8736</v>
      </c>
      <c r="C65" s="46" t="s">
        <v>4981</v>
      </c>
      <c r="D65" s="46" t="s">
        <v>8778</v>
      </c>
      <c r="E65" s="46" t="s">
        <v>8779</v>
      </c>
    </row>
    <row r="66" spans="1:5" ht="10" customHeight="1" x14ac:dyDescent="0.2">
      <c r="A66" s="46" t="s">
        <v>8733</v>
      </c>
      <c r="B66" s="46" t="s">
        <v>8736</v>
      </c>
      <c r="C66" s="46" t="s">
        <v>5015</v>
      </c>
      <c r="D66" s="46" t="s">
        <v>8780</v>
      </c>
      <c r="E66" s="46" t="s">
        <v>8781</v>
      </c>
    </row>
    <row r="67" spans="1:5" ht="10" customHeight="1" x14ac:dyDescent="0.2">
      <c r="A67" s="46" t="s">
        <v>8733</v>
      </c>
      <c r="B67" s="46" t="s">
        <v>8736</v>
      </c>
      <c r="C67" s="46" t="s">
        <v>8782</v>
      </c>
      <c r="D67" s="46" t="s">
        <v>8783</v>
      </c>
      <c r="E67" s="46" t="s">
        <v>8784</v>
      </c>
    </row>
    <row r="68" spans="1:5" ht="10" customHeight="1" x14ac:dyDescent="0.2">
      <c r="A68" s="46"/>
      <c r="B68" s="46"/>
      <c r="C68" s="46"/>
      <c r="D68" s="46"/>
      <c r="E68" s="46"/>
    </row>
    <row r="69" spans="1:5" ht="10" customHeight="1" x14ac:dyDescent="0.2">
      <c r="A69" s="46" t="s">
        <v>8733</v>
      </c>
      <c r="B69" s="46" t="s">
        <v>8325</v>
      </c>
      <c r="C69" s="46" t="s">
        <v>235</v>
      </c>
      <c r="D69" s="46" t="s">
        <v>8785</v>
      </c>
      <c r="E69" s="46"/>
    </row>
    <row r="70" spans="1:5" ht="10" customHeight="1" x14ac:dyDescent="0.2">
      <c r="A70" s="46" t="s">
        <v>8733</v>
      </c>
      <c r="B70" s="46" t="s">
        <v>8736</v>
      </c>
      <c r="C70" s="46" t="s">
        <v>6085</v>
      </c>
      <c r="D70" s="46" t="s">
        <v>8786</v>
      </c>
      <c r="E70" s="46" t="s">
        <v>8787</v>
      </c>
    </row>
    <row r="71" spans="1:5" ht="10" customHeight="1" x14ac:dyDescent="0.2">
      <c r="A71" s="46" t="s">
        <v>8733</v>
      </c>
      <c r="B71" s="46" t="s">
        <v>8736</v>
      </c>
      <c r="C71" s="46" t="s">
        <v>236</v>
      </c>
      <c r="D71" s="46" t="s">
        <v>8788</v>
      </c>
      <c r="E71" s="46" t="s">
        <v>8789</v>
      </c>
    </row>
    <row r="72" spans="1:5" ht="10" customHeight="1" x14ac:dyDescent="0.2">
      <c r="A72" s="46" t="s">
        <v>8733</v>
      </c>
      <c r="B72" s="46" t="s">
        <v>8736</v>
      </c>
      <c r="C72" s="46" t="s">
        <v>8790</v>
      </c>
      <c r="D72" s="46" t="s">
        <v>8791</v>
      </c>
      <c r="E72" s="46" t="s">
        <v>8792</v>
      </c>
    </row>
    <row r="73" spans="1:5" ht="10" customHeight="1" x14ac:dyDescent="0.2">
      <c r="A73" s="46" t="s">
        <v>8733</v>
      </c>
      <c r="B73" s="46" t="s">
        <v>8736</v>
      </c>
      <c r="C73" s="46" t="s">
        <v>6416</v>
      </c>
      <c r="D73" s="46" t="s">
        <v>8793</v>
      </c>
      <c r="E73" s="46" t="s">
        <v>8794</v>
      </c>
    </row>
    <row r="74" spans="1:5" ht="10" customHeight="1" x14ac:dyDescent="0.2">
      <c r="A74" s="46"/>
      <c r="B74" s="46"/>
      <c r="C74" s="46"/>
      <c r="D74" s="46"/>
      <c r="E74" s="46"/>
    </row>
    <row r="75" spans="1:5" ht="10" customHeight="1" x14ac:dyDescent="0.2">
      <c r="A75" s="46" t="s">
        <v>8733</v>
      </c>
      <c r="B75" s="46" t="s">
        <v>8325</v>
      </c>
      <c r="C75" s="46" t="s">
        <v>4671</v>
      </c>
      <c r="D75" s="46" t="s">
        <v>8795</v>
      </c>
      <c r="E75" s="46"/>
    </row>
    <row r="76" spans="1:5" ht="10" customHeight="1" x14ac:dyDescent="0.2">
      <c r="A76" s="46" t="s">
        <v>8733</v>
      </c>
      <c r="B76" s="46" t="s">
        <v>8736</v>
      </c>
      <c r="C76" s="46" t="s">
        <v>5412</v>
      </c>
      <c r="D76" s="46" t="s">
        <v>8796</v>
      </c>
      <c r="E76" s="46" t="s">
        <v>8797</v>
      </c>
    </row>
    <row r="77" spans="1:5" ht="10" customHeight="1" x14ac:dyDescent="0.2">
      <c r="A77" s="46" t="s">
        <v>8733</v>
      </c>
      <c r="B77" s="46" t="s">
        <v>8736</v>
      </c>
      <c r="C77" s="46" t="s">
        <v>4672</v>
      </c>
      <c r="D77" s="46" t="s">
        <v>8798</v>
      </c>
      <c r="E77" s="46" t="s">
        <v>8799</v>
      </c>
    </row>
    <row r="78" spans="1:5" ht="10" customHeight="1" x14ac:dyDescent="0.2">
      <c r="A78" s="46"/>
      <c r="B78" s="46"/>
      <c r="C78" s="46"/>
      <c r="D78" s="46"/>
      <c r="E78" s="46"/>
    </row>
    <row r="79" spans="1:5" ht="10" customHeight="1" x14ac:dyDescent="0.2">
      <c r="A79" s="46" t="s">
        <v>8733</v>
      </c>
      <c r="B79" s="46" t="s">
        <v>8325</v>
      </c>
      <c r="C79" s="46" t="s">
        <v>300</v>
      </c>
      <c r="D79" s="46" t="s">
        <v>8800</v>
      </c>
      <c r="E79" s="46"/>
    </row>
    <row r="80" spans="1:5" ht="10" customHeight="1" x14ac:dyDescent="0.2">
      <c r="A80" s="46" t="s">
        <v>8733</v>
      </c>
      <c r="B80" s="46" t="s">
        <v>8736</v>
      </c>
      <c r="C80" s="46" t="s">
        <v>8801</v>
      </c>
      <c r="D80" s="46" t="s">
        <v>8802</v>
      </c>
      <c r="E80" s="46" t="s">
        <v>8803</v>
      </c>
    </row>
    <row r="81" spans="1:5" ht="10" customHeight="1" x14ac:dyDescent="0.2">
      <c r="A81" s="46" t="s">
        <v>8733</v>
      </c>
      <c r="B81" s="46" t="s">
        <v>8736</v>
      </c>
      <c r="C81" s="46" t="s">
        <v>8804</v>
      </c>
      <c r="D81" s="46" t="s">
        <v>8805</v>
      </c>
      <c r="E81" s="46" t="s">
        <v>8806</v>
      </c>
    </row>
    <row r="82" spans="1:5" ht="10" customHeight="1" x14ac:dyDescent="0.2">
      <c r="A82" s="46" t="s">
        <v>8733</v>
      </c>
      <c r="B82" s="46" t="s">
        <v>8736</v>
      </c>
      <c r="C82" s="46" t="s">
        <v>8807</v>
      </c>
      <c r="D82" s="46" t="s">
        <v>8808</v>
      </c>
      <c r="E82" s="46" t="s">
        <v>8809</v>
      </c>
    </row>
    <row r="83" spans="1:5" ht="10" customHeight="1" x14ac:dyDescent="0.2">
      <c r="A83" s="46" t="s">
        <v>8733</v>
      </c>
      <c r="B83" s="46" t="s">
        <v>8736</v>
      </c>
      <c r="C83" s="46" t="s">
        <v>8308</v>
      </c>
      <c r="D83" s="46" t="s">
        <v>8810</v>
      </c>
      <c r="E83" s="46" t="s">
        <v>8811</v>
      </c>
    </row>
    <row r="84" spans="1:5" ht="10" customHeight="1" x14ac:dyDescent="0.2">
      <c r="A84" s="46" t="s">
        <v>8733</v>
      </c>
      <c r="B84" s="46" t="s">
        <v>8736</v>
      </c>
      <c r="C84" s="46" t="s">
        <v>301</v>
      </c>
      <c r="D84" s="46" t="s">
        <v>8812</v>
      </c>
      <c r="E84" s="46" t="s">
        <v>8813</v>
      </c>
    </row>
    <row r="85" spans="1:5" ht="10" customHeight="1" x14ac:dyDescent="0.2">
      <c r="A85" s="46" t="s">
        <v>8733</v>
      </c>
      <c r="B85" s="46" t="s">
        <v>8736</v>
      </c>
      <c r="C85" s="46" t="s">
        <v>5249</v>
      </c>
      <c r="D85" s="46" t="s">
        <v>8814</v>
      </c>
      <c r="E85" s="46" t="s">
        <v>8815</v>
      </c>
    </row>
    <row r="86" spans="1:5" ht="10" customHeight="1" x14ac:dyDescent="0.2">
      <c r="A86" s="46" t="s">
        <v>8733</v>
      </c>
      <c r="B86" s="46" t="s">
        <v>8736</v>
      </c>
      <c r="C86" s="46" t="s">
        <v>8816</v>
      </c>
      <c r="D86" s="46" t="s">
        <v>8817</v>
      </c>
      <c r="E86" s="46" t="s">
        <v>8818</v>
      </c>
    </row>
    <row r="87" spans="1:5" ht="10" customHeight="1" x14ac:dyDescent="0.2">
      <c r="A87" s="46" t="s">
        <v>8733</v>
      </c>
      <c r="B87" s="46" t="s">
        <v>8736</v>
      </c>
      <c r="C87" s="46" t="s">
        <v>8819</v>
      </c>
      <c r="D87" s="46" t="s">
        <v>8820</v>
      </c>
      <c r="E87" s="46" t="s">
        <v>8821</v>
      </c>
    </row>
    <row r="88" spans="1:5" ht="10" customHeight="1" x14ac:dyDescent="0.2">
      <c r="A88" s="46"/>
      <c r="B88" s="46"/>
      <c r="C88" s="46"/>
      <c r="D88" s="46"/>
      <c r="E88" s="46"/>
    </row>
    <row r="89" spans="1:5" ht="10" customHeight="1" x14ac:dyDescent="0.2">
      <c r="A89" s="46" t="s">
        <v>8733</v>
      </c>
      <c r="B89" s="46" t="s">
        <v>8344</v>
      </c>
      <c r="C89" s="46" t="s">
        <v>186</v>
      </c>
      <c r="D89" s="46" t="s">
        <v>8822</v>
      </c>
      <c r="E89" s="46"/>
    </row>
    <row r="90" spans="1:5" ht="10" customHeight="1" x14ac:dyDescent="0.2">
      <c r="A90" s="46" t="s">
        <v>8733</v>
      </c>
      <c r="B90" s="46" t="s">
        <v>8698</v>
      </c>
      <c r="C90" s="46" t="s">
        <v>8823</v>
      </c>
      <c r="D90" s="46" t="s">
        <v>8824</v>
      </c>
      <c r="E90" s="46" t="s">
        <v>8825</v>
      </c>
    </row>
    <row r="91" spans="1:5" ht="10" customHeight="1" x14ac:dyDescent="0.2">
      <c r="A91" s="46"/>
      <c r="B91" s="46"/>
      <c r="C91" s="46"/>
      <c r="D91" s="46"/>
      <c r="E91" s="46"/>
    </row>
    <row r="92" spans="1:5" ht="10" customHeight="1" x14ac:dyDescent="0.2">
      <c r="A92" s="46" t="s">
        <v>8733</v>
      </c>
      <c r="B92" s="46" t="s">
        <v>8344</v>
      </c>
      <c r="C92" s="46" t="s">
        <v>6805</v>
      </c>
      <c r="D92" s="46" t="s">
        <v>8826</v>
      </c>
      <c r="E92" s="46"/>
    </row>
    <row r="93" spans="1:5" ht="10" customHeight="1" x14ac:dyDescent="0.2">
      <c r="A93" s="46"/>
      <c r="B93" s="46"/>
      <c r="C93" s="46"/>
      <c r="D93" s="46"/>
      <c r="E93" s="46"/>
    </row>
    <row r="94" spans="1:5" ht="10" customHeight="1" x14ac:dyDescent="0.2">
      <c r="A94" s="46" t="s">
        <v>8733</v>
      </c>
      <c r="B94" s="46" t="s">
        <v>8325</v>
      </c>
      <c r="C94" s="46" t="s">
        <v>6806</v>
      </c>
      <c r="D94" s="46" t="s">
        <v>8827</v>
      </c>
      <c r="E94" s="46"/>
    </row>
    <row r="95" spans="1:5" ht="10" customHeight="1" x14ac:dyDescent="0.2">
      <c r="A95" s="46" t="s">
        <v>8733</v>
      </c>
      <c r="B95" s="46" t="s">
        <v>8736</v>
      </c>
      <c r="C95" s="46" t="s">
        <v>8198</v>
      </c>
      <c r="D95" s="46" t="s">
        <v>8828</v>
      </c>
      <c r="E95" s="46" t="s">
        <v>8829</v>
      </c>
    </row>
    <row r="96" spans="1:5" ht="10" customHeight="1" x14ac:dyDescent="0.2">
      <c r="A96" s="46" t="s">
        <v>8733</v>
      </c>
      <c r="B96" s="46" t="s">
        <v>8736</v>
      </c>
      <c r="C96" s="46" t="s">
        <v>8205</v>
      </c>
      <c r="D96" s="46" t="s">
        <v>8830</v>
      </c>
      <c r="E96" s="46" t="s">
        <v>8831</v>
      </c>
    </row>
    <row r="97" spans="1:5" ht="10" customHeight="1" x14ac:dyDescent="0.2">
      <c r="A97" s="46" t="s">
        <v>8733</v>
      </c>
      <c r="B97" s="46" t="s">
        <v>8736</v>
      </c>
      <c r="C97" s="46" t="s">
        <v>6807</v>
      </c>
      <c r="D97" s="46" t="s">
        <v>8832</v>
      </c>
      <c r="E97" s="46" t="s">
        <v>8833</v>
      </c>
    </row>
    <row r="98" spans="1:5" ht="10" customHeight="1" x14ac:dyDescent="0.2">
      <c r="A98" s="46" t="s">
        <v>8733</v>
      </c>
      <c r="B98" s="46" t="s">
        <v>8736</v>
      </c>
      <c r="C98" s="46" t="s">
        <v>8834</v>
      </c>
      <c r="D98" s="46" t="s">
        <v>8835</v>
      </c>
      <c r="E98" s="46" t="s">
        <v>8836</v>
      </c>
    </row>
    <row r="99" spans="1:5" ht="10" customHeight="1" x14ac:dyDescent="0.2">
      <c r="A99" s="46" t="s">
        <v>8733</v>
      </c>
      <c r="B99" s="46" t="s">
        <v>8736</v>
      </c>
      <c r="C99" s="46" t="s">
        <v>8837</v>
      </c>
      <c r="D99" s="46" t="s">
        <v>8838</v>
      </c>
      <c r="E99" s="46" t="s">
        <v>8839</v>
      </c>
    </row>
    <row r="100" spans="1:5" ht="10" customHeight="1" x14ac:dyDescent="0.2">
      <c r="A100" s="46" t="s">
        <v>8733</v>
      </c>
      <c r="B100" s="46" t="s">
        <v>8736</v>
      </c>
      <c r="C100" s="46" t="s">
        <v>8184</v>
      </c>
      <c r="D100" s="46" t="s">
        <v>8840</v>
      </c>
      <c r="E100" s="46" t="s">
        <v>8841</v>
      </c>
    </row>
    <row r="101" spans="1:5" ht="10" customHeight="1" x14ac:dyDescent="0.2">
      <c r="A101" s="46" t="s">
        <v>8733</v>
      </c>
      <c r="B101" s="46" t="s">
        <v>8736</v>
      </c>
      <c r="C101" s="46" t="s">
        <v>8190</v>
      </c>
      <c r="D101" s="46" t="s">
        <v>8842</v>
      </c>
      <c r="E101" s="46" t="s">
        <v>8843</v>
      </c>
    </row>
    <row r="102" spans="1:5" ht="10" customHeight="1" x14ac:dyDescent="0.2">
      <c r="A102" s="46" t="s">
        <v>8733</v>
      </c>
      <c r="B102" s="46" t="s">
        <v>8736</v>
      </c>
      <c r="C102" s="46" t="s">
        <v>8790</v>
      </c>
      <c r="D102" s="46" t="s">
        <v>8844</v>
      </c>
      <c r="E102" s="46" t="s">
        <v>8845</v>
      </c>
    </row>
    <row r="103" spans="1:5" ht="10" customHeight="1" x14ac:dyDescent="0.2">
      <c r="A103" s="46" t="s">
        <v>8733</v>
      </c>
      <c r="B103" s="46" t="s">
        <v>8736</v>
      </c>
      <c r="C103" s="46" t="s">
        <v>8846</v>
      </c>
      <c r="D103" s="46" t="s">
        <v>8847</v>
      </c>
      <c r="E103" s="46" t="s">
        <v>8848</v>
      </c>
    </row>
    <row r="104" spans="1:5" ht="10" customHeight="1" x14ac:dyDescent="0.2">
      <c r="A104" s="46" t="s">
        <v>8733</v>
      </c>
      <c r="B104" s="46" t="s">
        <v>8736</v>
      </c>
      <c r="C104" s="46" t="s">
        <v>8171</v>
      </c>
      <c r="D104" s="46" t="s">
        <v>8849</v>
      </c>
      <c r="E104" s="46" t="s">
        <v>8850</v>
      </c>
    </row>
    <row r="105" spans="1:5" ht="10" customHeight="1" x14ac:dyDescent="0.2">
      <c r="A105" s="46" t="s">
        <v>8733</v>
      </c>
      <c r="B105" s="46" t="s">
        <v>8736</v>
      </c>
      <c r="C105" s="46" t="s">
        <v>8851</v>
      </c>
      <c r="D105" s="46" t="s">
        <v>8852</v>
      </c>
      <c r="E105" s="46" t="s">
        <v>8853</v>
      </c>
    </row>
    <row r="106" spans="1:5" ht="10" customHeight="1" x14ac:dyDescent="0.2">
      <c r="A106" s="46" t="s">
        <v>8733</v>
      </c>
      <c r="B106" s="46" t="s">
        <v>8736</v>
      </c>
      <c r="C106" s="46" t="s">
        <v>8854</v>
      </c>
      <c r="D106" s="46" t="s">
        <v>8855</v>
      </c>
      <c r="E106" s="46" t="s">
        <v>8856</v>
      </c>
    </row>
    <row r="107" spans="1:5" ht="10" customHeight="1" x14ac:dyDescent="0.2">
      <c r="A107" s="46" t="s">
        <v>8733</v>
      </c>
      <c r="B107" s="46" t="s">
        <v>8736</v>
      </c>
      <c r="C107" s="46" t="s">
        <v>8857</v>
      </c>
      <c r="D107" s="46" t="s">
        <v>8858</v>
      </c>
      <c r="E107" s="46" t="s">
        <v>8859</v>
      </c>
    </row>
    <row r="108" spans="1:5" ht="10" customHeight="1" x14ac:dyDescent="0.2">
      <c r="A108" s="46" t="s">
        <v>8733</v>
      </c>
      <c r="B108" s="46" t="s">
        <v>8736</v>
      </c>
      <c r="C108" s="46" t="s">
        <v>8860</v>
      </c>
      <c r="D108" s="46" t="s">
        <v>8861</v>
      </c>
      <c r="E108" s="46" t="s">
        <v>8862</v>
      </c>
    </row>
    <row r="109" spans="1:5" ht="10" customHeight="1" x14ac:dyDescent="0.2">
      <c r="A109" s="46" t="s">
        <v>8733</v>
      </c>
      <c r="B109" s="46" t="s">
        <v>8736</v>
      </c>
      <c r="C109" s="46" t="s">
        <v>8863</v>
      </c>
      <c r="D109" s="46" t="s">
        <v>8864</v>
      </c>
      <c r="E109" s="46" t="s">
        <v>8865</v>
      </c>
    </row>
    <row r="110" spans="1:5" ht="10" customHeight="1" x14ac:dyDescent="0.2">
      <c r="A110" s="46" t="s">
        <v>8733</v>
      </c>
      <c r="B110" s="46" t="s">
        <v>8736</v>
      </c>
      <c r="C110" s="46" t="s">
        <v>8866</v>
      </c>
      <c r="D110" s="46" t="s">
        <v>8867</v>
      </c>
      <c r="E110" s="46" t="s">
        <v>8868</v>
      </c>
    </row>
    <row r="111" spans="1:5" ht="10" customHeight="1" x14ac:dyDescent="0.2">
      <c r="A111" s="46"/>
      <c r="B111" s="46"/>
      <c r="C111" s="46"/>
      <c r="D111" s="46"/>
      <c r="E111" s="46"/>
    </row>
    <row r="112" spans="1:5" ht="10" customHeight="1" x14ac:dyDescent="0.2">
      <c r="A112" s="46" t="s">
        <v>8733</v>
      </c>
      <c r="B112" s="46" t="s">
        <v>8325</v>
      </c>
      <c r="C112" s="46" t="s">
        <v>8194</v>
      </c>
      <c r="D112" s="46" t="s">
        <v>8869</v>
      </c>
      <c r="E112" s="46"/>
    </row>
    <row r="113" spans="1:5" ht="10" customHeight="1" x14ac:dyDescent="0.2">
      <c r="A113" s="46" t="s">
        <v>8733</v>
      </c>
      <c r="B113" s="46" t="s">
        <v>8736</v>
      </c>
      <c r="C113" s="46" t="s">
        <v>8870</v>
      </c>
      <c r="D113" s="46" t="s">
        <v>8871</v>
      </c>
      <c r="E113" s="46" t="s">
        <v>8872</v>
      </c>
    </row>
    <row r="114" spans="1:5" ht="10" customHeight="1" x14ac:dyDescent="0.2">
      <c r="A114" s="46" t="s">
        <v>8733</v>
      </c>
      <c r="B114" s="46" t="s">
        <v>8736</v>
      </c>
      <c r="C114" s="46" t="s">
        <v>8873</v>
      </c>
      <c r="D114" s="46" t="s">
        <v>8874</v>
      </c>
      <c r="E114" s="46" t="s">
        <v>8875</v>
      </c>
    </row>
    <row r="115" spans="1:5" ht="10" customHeight="1" x14ac:dyDescent="0.2">
      <c r="A115" s="46" t="s">
        <v>8733</v>
      </c>
      <c r="B115" s="46" t="s">
        <v>8736</v>
      </c>
      <c r="C115" s="46" t="s">
        <v>8876</v>
      </c>
      <c r="D115" s="46" t="s">
        <v>8877</v>
      </c>
      <c r="E115" s="46" t="s">
        <v>8878</v>
      </c>
    </row>
    <row r="116" spans="1:5" ht="10" customHeight="1" x14ac:dyDescent="0.2">
      <c r="A116" s="46" t="s">
        <v>8733</v>
      </c>
      <c r="B116" s="46" t="s">
        <v>8736</v>
      </c>
      <c r="C116" s="46" t="s">
        <v>8879</v>
      </c>
      <c r="D116" s="46" t="s">
        <v>8880</v>
      </c>
      <c r="E116" s="46" t="s">
        <v>8881</v>
      </c>
    </row>
    <row r="117" spans="1:5" ht="10" customHeight="1" x14ac:dyDescent="0.2">
      <c r="A117" s="46" t="s">
        <v>8733</v>
      </c>
      <c r="B117" s="46" t="s">
        <v>8736</v>
      </c>
      <c r="C117" s="46" t="s">
        <v>8882</v>
      </c>
      <c r="D117" s="46" t="s">
        <v>8883</v>
      </c>
      <c r="E117" s="46" t="s">
        <v>8884</v>
      </c>
    </row>
    <row r="118" spans="1:5" ht="10" customHeight="1" x14ac:dyDescent="0.2">
      <c r="A118" s="46"/>
      <c r="B118" s="46"/>
      <c r="C118" s="46"/>
      <c r="D118" s="46"/>
      <c r="E118" s="46"/>
    </row>
    <row r="119" spans="1:5" ht="10" customHeight="1" x14ac:dyDescent="0.2">
      <c r="A119" s="44" t="s">
        <v>8885</v>
      </c>
      <c r="B119" s="44"/>
      <c r="C119" s="44"/>
      <c r="D119" s="45"/>
      <c r="E119" s="45"/>
    </row>
    <row r="120" spans="1:5" ht="10" customHeight="1" x14ac:dyDescent="0.2">
      <c r="A120" s="46" t="s">
        <v>8886</v>
      </c>
      <c r="B120" s="46" t="s">
        <v>8698</v>
      </c>
      <c r="C120" s="46" t="s">
        <v>8887</v>
      </c>
      <c r="D120" s="46"/>
      <c r="E120" s="46"/>
    </row>
    <row r="121" spans="1:5" ht="10" customHeight="1" x14ac:dyDescent="0.2">
      <c r="A121" s="46"/>
      <c r="B121" s="46"/>
      <c r="C121" s="46"/>
      <c r="D121" s="46"/>
      <c r="E121" s="46"/>
    </row>
    <row r="122" spans="1:5" ht="10" customHeight="1" x14ac:dyDescent="0.2">
      <c r="A122" s="46" t="s">
        <v>8886</v>
      </c>
      <c r="B122" s="46" t="s">
        <v>8888</v>
      </c>
      <c r="C122" s="46" t="s">
        <v>66</v>
      </c>
      <c r="D122" s="46"/>
      <c r="E122" s="46"/>
    </row>
    <row r="123" spans="1:5" ht="10" customHeight="1" x14ac:dyDescent="0.2">
      <c r="A123" s="46" t="s">
        <v>8886</v>
      </c>
      <c r="B123" s="46" t="s">
        <v>8889</v>
      </c>
      <c r="C123" s="46" t="s">
        <v>8890</v>
      </c>
      <c r="D123" s="46" t="s">
        <v>8891</v>
      </c>
      <c r="E123" s="46" t="s">
        <v>8892</v>
      </c>
    </row>
    <row r="124" spans="1:5" ht="10" customHeight="1" x14ac:dyDescent="0.2">
      <c r="A124" s="46" t="s">
        <v>8886</v>
      </c>
      <c r="B124" s="46" t="s">
        <v>8889</v>
      </c>
      <c r="C124" s="46" t="s">
        <v>8893</v>
      </c>
      <c r="D124" s="46" t="s">
        <v>8894</v>
      </c>
      <c r="E124" s="46" t="s">
        <v>8895</v>
      </c>
    </row>
    <row r="125" spans="1:5" ht="10" customHeight="1" x14ac:dyDescent="0.2">
      <c r="A125" s="46"/>
      <c r="B125" s="46"/>
      <c r="C125" s="46"/>
      <c r="D125" s="46"/>
      <c r="E125" s="46"/>
    </row>
    <row r="126" spans="1:5" ht="10" customHeight="1" x14ac:dyDescent="0.2">
      <c r="A126" s="46" t="s">
        <v>8886</v>
      </c>
      <c r="B126" s="46" t="s">
        <v>8889</v>
      </c>
      <c r="C126" s="46" t="s">
        <v>8896</v>
      </c>
      <c r="D126" s="46" t="s">
        <v>8897</v>
      </c>
      <c r="E126" s="46" t="s">
        <v>8895</v>
      </c>
    </row>
    <row r="127" spans="1:5" ht="10" customHeight="1" x14ac:dyDescent="0.2">
      <c r="A127" s="46" t="s">
        <v>8886</v>
      </c>
      <c r="B127" s="46" t="s">
        <v>8889</v>
      </c>
      <c r="C127" s="46" t="s">
        <v>8898</v>
      </c>
      <c r="D127" s="46" t="s">
        <v>8899</v>
      </c>
      <c r="E127" s="46" t="s">
        <v>8892</v>
      </c>
    </row>
    <row r="128" spans="1:5" ht="10" customHeight="1" x14ac:dyDescent="0.2">
      <c r="A128" s="46"/>
      <c r="B128" s="46"/>
      <c r="C128" s="46"/>
      <c r="D128" s="46"/>
      <c r="E128" s="46"/>
    </row>
    <row r="129" spans="1:5" ht="10" customHeight="1" x14ac:dyDescent="0.2">
      <c r="A129" s="46" t="s">
        <v>8886</v>
      </c>
      <c r="B129" s="46" t="s">
        <v>8889</v>
      </c>
      <c r="C129" s="46" t="s">
        <v>8900</v>
      </c>
      <c r="D129" s="46" t="s">
        <v>8901</v>
      </c>
      <c r="E129" s="46" t="s">
        <v>8902</v>
      </c>
    </row>
    <row r="130" spans="1:5" ht="10" customHeight="1" x14ac:dyDescent="0.2">
      <c r="A130" s="46"/>
      <c r="B130" s="46"/>
      <c r="C130" s="46"/>
      <c r="D130" s="46"/>
      <c r="E130" s="46"/>
    </row>
    <row r="131" spans="1:5" ht="10" customHeight="1" x14ac:dyDescent="0.2">
      <c r="A131" s="46" t="s">
        <v>8886</v>
      </c>
      <c r="B131" s="46" t="s">
        <v>8889</v>
      </c>
      <c r="C131" s="46" t="s">
        <v>8903</v>
      </c>
      <c r="D131" s="46" t="s">
        <v>8904</v>
      </c>
      <c r="E131" s="46" t="s">
        <v>8905</v>
      </c>
    </row>
    <row r="132" spans="1:5" ht="10" customHeight="1" x14ac:dyDescent="0.2">
      <c r="A132" s="46"/>
      <c r="B132" s="46"/>
      <c r="C132" s="46"/>
      <c r="D132" s="46"/>
      <c r="E132" s="46"/>
    </row>
    <row r="133" spans="1:5" ht="10" customHeight="1" x14ac:dyDescent="0.2">
      <c r="A133" s="46" t="s">
        <v>8886</v>
      </c>
      <c r="B133" s="46" t="s">
        <v>8889</v>
      </c>
      <c r="C133" s="46" t="s">
        <v>8906</v>
      </c>
      <c r="D133" s="46" t="s">
        <v>8907</v>
      </c>
      <c r="E133" s="46" t="s">
        <v>8892</v>
      </c>
    </row>
    <row r="134" spans="1:5" ht="10" customHeight="1" x14ac:dyDescent="0.2">
      <c r="A134" s="46" t="s">
        <v>8886</v>
      </c>
      <c r="B134" s="46" t="s">
        <v>8889</v>
      </c>
      <c r="C134" s="46" t="s">
        <v>8908</v>
      </c>
      <c r="D134" s="46" t="s">
        <v>8909</v>
      </c>
      <c r="E134" s="46" t="s">
        <v>8892</v>
      </c>
    </row>
    <row r="135" spans="1:5" ht="10" customHeight="1" x14ac:dyDescent="0.2">
      <c r="A135" s="46"/>
      <c r="B135" s="46"/>
      <c r="C135" s="46"/>
      <c r="D135" s="46"/>
      <c r="E135" s="46"/>
    </row>
    <row r="136" spans="1:5" ht="10" customHeight="1" x14ac:dyDescent="0.2">
      <c r="A136" s="46" t="s">
        <v>8886</v>
      </c>
      <c r="B136" s="46" t="s">
        <v>8889</v>
      </c>
      <c r="C136" s="46" t="s">
        <v>8910</v>
      </c>
      <c r="D136" s="46" t="s">
        <v>8911</v>
      </c>
      <c r="E136" s="46" t="s">
        <v>8902</v>
      </c>
    </row>
    <row r="137" spans="1:5" ht="10" customHeight="1" x14ac:dyDescent="0.2">
      <c r="A137" s="46" t="s">
        <v>8886</v>
      </c>
      <c r="B137" s="46" t="s">
        <v>8889</v>
      </c>
      <c r="C137" s="46" t="s">
        <v>8912</v>
      </c>
      <c r="D137" s="46" t="s">
        <v>8913</v>
      </c>
      <c r="E137" s="46" t="s">
        <v>8892</v>
      </c>
    </row>
    <row r="138" spans="1:5" ht="10" customHeight="1" x14ac:dyDescent="0.2">
      <c r="A138" s="46" t="s">
        <v>8886</v>
      </c>
      <c r="B138" s="46" t="s">
        <v>8889</v>
      </c>
      <c r="C138" s="46" t="s">
        <v>8914</v>
      </c>
      <c r="D138" s="46" t="s">
        <v>8915</v>
      </c>
      <c r="E138" s="46" t="s">
        <v>8895</v>
      </c>
    </row>
    <row r="139" spans="1:5" ht="10" customHeight="1" x14ac:dyDescent="0.2">
      <c r="A139" s="46"/>
      <c r="B139" s="46"/>
      <c r="C139" s="46"/>
      <c r="D139" s="46"/>
      <c r="E139" s="46"/>
    </row>
    <row r="140" spans="1:5" ht="10" customHeight="1" x14ac:dyDescent="0.2">
      <c r="A140" s="46" t="s">
        <v>8886</v>
      </c>
      <c r="B140" s="46" t="s">
        <v>8889</v>
      </c>
      <c r="C140" s="46" t="s">
        <v>8916</v>
      </c>
      <c r="D140" s="46" t="s">
        <v>8917</v>
      </c>
      <c r="E140" s="46" t="s">
        <v>8902</v>
      </c>
    </row>
    <row r="141" spans="1:5" ht="10" customHeight="1" x14ac:dyDescent="0.2">
      <c r="A141" s="46" t="s">
        <v>8886</v>
      </c>
      <c r="B141" s="46" t="s">
        <v>8889</v>
      </c>
      <c r="C141" s="46" t="s">
        <v>8918</v>
      </c>
      <c r="D141" s="46" t="s">
        <v>8919</v>
      </c>
      <c r="E141" s="46" t="s">
        <v>8905</v>
      </c>
    </row>
    <row r="142" spans="1:5" ht="10" customHeight="1" x14ac:dyDescent="0.2">
      <c r="A142" s="46"/>
      <c r="B142" s="46"/>
      <c r="C142" s="46"/>
      <c r="D142" s="46"/>
      <c r="E142" s="46"/>
    </row>
    <row r="143" spans="1:5" ht="10" customHeight="1" x14ac:dyDescent="0.2">
      <c r="A143" s="46" t="s">
        <v>8886</v>
      </c>
      <c r="B143" s="46" t="s">
        <v>8889</v>
      </c>
      <c r="C143" s="46" t="s">
        <v>8920</v>
      </c>
      <c r="D143" s="46" t="s">
        <v>8921</v>
      </c>
      <c r="E143" s="46" t="s">
        <v>8895</v>
      </c>
    </row>
    <row r="144" spans="1:5" ht="10" customHeight="1" x14ac:dyDescent="0.2">
      <c r="A144" s="46" t="s">
        <v>8886</v>
      </c>
      <c r="B144" s="46" t="s">
        <v>8889</v>
      </c>
      <c r="C144" s="46" t="s">
        <v>8922</v>
      </c>
      <c r="D144" s="46" t="s">
        <v>8923</v>
      </c>
      <c r="E144" s="46" t="s">
        <v>8892</v>
      </c>
    </row>
    <row r="145" spans="1:5" ht="10" customHeight="1" x14ac:dyDescent="0.2">
      <c r="A145" s="46" t="s">
        <v>8886</v>
      </c>
      <c r="B145" s="46" t="s">
        <v>8889</v>
      </c>
      <c r="C145" s="46" t="s">
        <v>8924</v>
      </c>
      <c r="D145" s="46" t="s">
        <v>8925</v>
      </c>
      <c r="E145" s="46" t="s">
        <v>8895</v>
      </c>
    </row>
    <row r="146" spans="1:5" ht="10" customHeight="1" x14ac:dyDescent="0.2">
      <c r="A146" s="46" t="s">
        <v>8886</v>
      </c>
      <c r="B146" s="46" t="s">
        <v>8889</v>
      </c>
      <c r="C146" s="46" t="s">
        <v>8926</v>
      </c>
      <c r="D146" s="46" t="s">
        <v>8927</v>
      </c>
      <c r="E146" s="46" t="s">
        <v>8902</v>
      </c>
    </row>
    <row r="147" spans="1:5" ht="10" customHeight="1" x14ac:dyDescent="0.2">
      <c r="A147" s="46"/>
      <c r="B147" s="46"/>
      <c r="C147" s="46"/>
      <c r="D147" s="46"/>
      <c r="E147" s="46"/>
    </row>
    <row r="148" spans="1:5" ht="10" customHeight="1" x14ac:dyDescent="0.2">
      <c r="A148" s="46" t="s">
        <v>8886</v>
      </c>
      <c r="B148" s="46" t="s">
        <v>8889</v>
      </c>
      <c r="C148" s="46" t="s">
        <v>8928</v>
      </c>
      <c r="D148" s="46" t="s">
        <v>8929</v>
      </c>
      <c r="E148" s="46" t="s">
        <v>8902</v>
      </c>
    </row>
    <row r="149" spans="1:5" ht="10" customHeight="1" x14ac:dyDescent="0.2">
      <c r="A149" s="46"/>
      <c r="B149" s="46"/>
      <c r="C149" s="46"/>
      <c r="D149" s="46"/>
      <c r="E149" s="46"/>
    </row>
    <row r="150" spans="1:5" ht="10" customHeight="1" x14ac:dyDescent="0.2">
      <c r="A150" s="46" t="s">
        <v>8886</v>
      </c>
      <c r="B150" s="46" t="s">
        <v>8889</v>
      </c>
      <c r="C150" s="46" t="s">
        <v>8930</v>
      </c>
      <c r="D150" s="46" t="s">
        <v>8931</v>
      </c>
      <c r="E150" s="46" t="s">
        <v>8892</v>
      </c>
    </row>
    <row r="151" spans="1:5" ht="10" customHeight="1" x14ac:dyDescent="0.2">
      <c r="A151" s="46" t="s">
        <v>8886</v>
      </c>
      <c r="B151" s="46" t="s">
        <v>8889</v>
      </c>
      <c r="C151" s="46" t="s">
        <v>8932</v>
      </c>
      <c r="D151" s="46" t="s">
        <v>8933</v>
      </c>
      <c r="E151" s="46" t="s">
        <v>8905</v>
      </c>
    </row>
    <row r="152" spans="1:5" ht="10" customHeight="1" x14ac:dyDescent="0.2">
      <c r="A152" s="46" t="s">
        <v>8886</v>
      </c>
      <c r="B152" s="46" t="s">
        <v>8889</v>
      </c>
      <c r="C152" s="46" t="s">
        <v>8934</v>
      </c>
      <c r="D152" s="46" t="s">
        <v>8935</v>
      </c>
      <c r="E152" s="46" t="s">
        <v>8892</v>
      </c>
    </row>
    <row r="153" spans="1:5" ht="10" customHeight="1" x14ac:dyDescent="0.2">
      <c r="A153" s="46" t="s">
        <v>8886</v>
      </c>
      <c r="B153" s="46" t="s">
        <v>8889</v>
      </c>
      <c r="C153" s="46" t="s">
        <v>8936</v>
      </c>
      <c r="D153" s="46" t="s">
        <v>8937</v>
      </c>
      <c r="E153" s="46" t="s">
        <v>8938</v>
      </c>
    </row>
    <row r="154" spans="1:5" ht="10" customHeight="1" x14ac:dyDescent="0.2">
      <c r="A154" s="46"/>
      <c r="B154" s="46"/>
      <c r="C154" s="46"/>
      <c r="D154" s="46"/>
      <c r="E154" s="46"/>
    </row>
    <row r="155" spans="1:5" ht="10" customHeight="1" x14ac:dyDescent="0.2">
      <c r="A155" s="46" t="s">
        <v>8886</v>
      </c>
      <c r="B155" s="46" t="s">
        <v>8889</v>
      </c>
      <c r="C155" s="46" t="s">
        <v>8939</v>
      </c>
      <c r="D155" s="46" t="s">
        <v>8940</v>
      </c>
      <c r="E155" s="46" t="s">
        <v>8892</v>
      </c>
    </row>
    <row r="156" spans="1:5" ht="10" customHeight="1" x14ac:dyDescent="0.2">
      <c r="A156" s="46" t="s">
        <v>8886</v>
      </c>
      <c r="B156" s="46" t="s">
        <v>8889</v>
      </c>
      <c r="C156" s="46" t="s">
        <v>8941</v>
      </c>
      <c r="D156" s="46" t="s">
        <v>8942</v>
      </c>
      <c r="E156" s="46" t="s">
        <v>8892</v>
      </c>
    </row>
    <row r="157" spans="1:5" ht="10" customHeight="1" x14ac:dyDescent="0.2">
      <c r="A157" s="46" t="s">
        <v>8886</v>
      </c>
      <c r="B157" s="46" t="s">
        <v>8889</v>
      </c>
      <c r="C157" s="46" t="s">
        <v>8943</v>
      </c>
      <c r="D157" s="46" t="s">
        <v>8944</v>
      </c>
      <c r="E157" s="46" t="s">
        <v>8945</v>
      </c>
    </row>
    <row r="158" spans="1:5" ht="10" customHeight="1" x14ac:dyDescent="0.2">
      <c r="A158" s="46" t="s">
        <v>8886</v>
      </c>
      <c r="B158" s="46" t="s">
        <v>8889</v>
      </c>
      <c r="C158" s="46" t="s">
        <v>8946</v>
      </c>
      <c r="D158" s="46" t="s">
        <v>8947</v>
      </c>
      <c r="E158" s="46" t="s">
        <v>8905</v>
      </c>
    </row>
    <row r="159" spans="1:5" ht="10" customHeight="1" x14ac:dyDescent="0.2">
      <c r="A159" s="46" t="s">
        <v>8886</v>
      </c>
      <c r="B159" s="46" t="s">
        <v>8889</v>
      </c>
      <c r="C159" s="46" t="s">
        <v>234</v>
      </c>
      <c r="D159" s="46" t="s">
        <v>8948</v>
      </c>
      <c r="E159" s="46" t="s">
        <v>8905</v>
      </c>
    </row>
    <row r="160" spans="1:5" ht="10" customHeight="1" x14ac:dyDescent="0.2">
      <c r="A160" s="46"/>
      <c r="B160" s="46"/>
      <c r="C160" s="46"/>
      <c r="D160" s="46"/>
      <c r="E160" s="46"/>
    </row>
    <row r="161" spans="1:5" ht="10" customHeight="1" x14ac:dyDescent="0.2">
      <c r="A161" s="46" t="s">
        <v>8886</v>
      </c>
      <c r="B161" s="46" t="s">
        <v>8889</v>
      </c>
      <c r="C161" s="46" t="s">
        <v>8949</v>
      </c>
      <c r="D161" s="46" t="s">
        <v>8950</v>
      </c>
      <c r="E161" s="46" t="s">
        <v>8892</v>
      </c>
    </row>
    <row r="162" spans="1:5" ht="10" customHeight="1" x14ac:dyDescent="0.2">
      <c r="A162" s="46" t="s">
        <v>8886</v>
      </c>
      <c r="B162" s="46" t="s">
        <v>8889</v>
      </c>
      <c r="C162" s="46" t="s">
        <v>8951</v>
      </c>
      <c r="D162" s="46" t="s">
        <v>8952</v>
      </c>
      <c r="E162" s="46" t="s">
        <v>8892</v>
      </c>
    </row>
    <row r="163" spans="1:5" ht="10" customHeight="1" x14ac:dyDescent="0.2">
      <c r="A163" s="46" t="s">
        <v>8886</v>
      </c>
      <c r="B163" s="46" t="s">
        <v>8889</v>
      </c>
      <c r="C163" s="46" t="s">
        <v>8953</v>
      </c>
      <c r="D163" s="46" t="s">
        <v>8954</v>
      </c>
      <c r="E163" s="46" t="s">
        <v>8892</v>
      </c>
    </row>
    <row r="164" spans="1:5" ht="10" customHeight="1" x14ac:dyDescent="0.2">
      <c r="A164" s="46" t="s">
        <v>8886</v>
      </c>
      <c r="B164" s="46" t="s">
        <v>8889</v>
      </c>
      <c r="C164" s="46" t="s">
        <v>8955</v>
      </c>
      <c r="D164" s="46" t="s">
        <v>8956</v>
      </c>
      <c r="E164" s="46" t="s">
        <v>8892</v>
      </c>
    </row>
    <row r="165" spans="1:5" ht="10" customHeight="1" x14ac:dyDescent="0.2">
      <c r="A165" s="46" t="s">
        <v>8886</v>
      </c>
      <c r="B165" s="46" t="s">
        <v>8889</v>
      </c>
      <c r="C165" s="46" t="s">
        <v>8957</v>
      </c>
      <c r="D165" s="46" t="s">
        <v>8958</v>
      </c>
      <c r="E165" s="46" t="s">
        <v>8892</v>
      </c>
    </row>
    <row r="166" spans="1:5" ht="10" customHeight="1" x14ac:dyDescent="0.2">
      <c r="A166" s="46" t="s">
        <v>8886</v>
      </c>
      <c r="B166" s="46" t="s">
        <v>8889</v>
      </c>
      <c r="C166" s="46" t="s">
        <v>8959</v>
      </c>
      <c r="D166" s="46" t="s">
        <v>8960</v>
      </c>
      <c r="E166" s="46" t="s">
        <v>8905</v>
      </c>
    </row>
    <row r="167" spans="1:5" ht="10" customHeight="1" x14ac:dyDescent="0.2">
      <c r="A167" s="46" t="s">
        <v>8886</v>
      </c>
      <c r="B167" s="46" t="s">
        <v>8889</v>
      </c>
      <c r="C167" s="46" t="s">
        <v>8961</v>
      </c>
      <c r="D167" s="46" t="s">
        <v>8962</v>
      </c>
      <c r="E167" s="46" t="s">
        <v>8892</v>
      </c>
    </row>
    <row r="168" spans="1:5" ht="10" customHeight="1" x14ac:dyDescent="0.2">
      <c r="A168" s="46"/>
      <c r="B168" s="46"/>
      <c r="C168" s="46"/>
      <c r="D168" s="46"/>
      <c r="E168" s="46"/>
    </row>
    <row r="169" spans="1:5" ht="10" customHeight="1" x14ac:dyDescent="0.2">
      <c r="A169" s="46" t="s">
        <v>8886</v>
      </c>
      <c r="B169" s="46" t="s">
        <v>8889</v>
      </c>
      <c r="C169" s="46" t="s">
        <v>8963</v>
      </c>
      <c r="D169" s="46" t="s">
        <v>8181</v>
      </c>
      <c r="E169" s="46" t="s">
        <v>8892</v>
      </c>
    </row>
    <row r="170" spans="1:5" ht="10" customHeight="1" x14ac:dyDescent="0.2">
      <c r="A170" s="46" t="s">
        <v>8886</v>
      </c>
      <c r="B170" s="46" t="s">
        <v>8889</v>
      </c>
      <c r="C170" s="46" t="s">
        <v>8964</v>
      </c>
      <c r="D170" s="46" t="s">
        <v>8184</v>
      </c>
      <c r="E170" s="46" t="s">
        <v>8905</v>
      </c>
    </row>
    <row r="171" spans="1:5" ht="10" customHeight="1" x14ac:dyDescent="0.2">
      <c r="A171" s="46" t="s">
        <v>8886</v>
      </c>
      <c r="B171" s="46" t="s">
        <v>8889</v>
      </c>
      <c r="C171" s="46" t="s">
        <v>8965</v>
      </c>
      <c r="D171" s="46" t="s">
        <v>8189</v>
      </c>
      <c r="E171" s="46" t="s">
        <v>8895</v>
      </c>
    </row>
    <row r="172" spans="1:5" ht="10" customHeight="1" x14ac:dyDescent="0.2">
      <c r="A172" s="46" t="s">
        <v>8886</v>
      </c>
      <c r="B172" s="46" t="s">
        <v>8889</v>
      </c>
      <c r="C172" s="46" t="s">
        <v>8966</v>
      </c>
      <c r="D172" s="46" t="s">
        <v>8967</v>
      </c>
      <c r="E172" s="46" t="s">
        <v>8892</v>
      </c>
    </row>
    <row r="173" spans="1:5" ht="10" customHeight="1" x14ac:dyDescent="0.2">
      <c r="A173" s="46" t="s">
        <v>8886</v>
      </c>
      <c r="B173" s="46" t="s">
        <v>8889</v>
      </c>
      <c r="C173" s="46" t="s">
        <v>8968</v>
      </c>
      <c r="D173" s="46" t="s">
        <v>8969</v>
      </c>
      <c r="E173" s="46" t="s">
        <v>8970</v>
      </c>
    </row>
    <row r="174" spans="1:5" ht="10" customHeight="1" x14ac:dyDescent="0.2">
      <c r="A174" s="46" t="s">
        <v>8886</v>
      </c>
      <c r="B174" s="46" t="s">
        <v>8889</v>
      </c>
      <c r="C174" s="46" t="s">
        <v>8971</v>
      </c>
      <c r="D174" s="46" t="s">
        <v>8972</v>
      </c>
      <c r="E174" s="46" t="s">
        <v>8973</v>
      </c>
    </row>
    <row r="175" spans="1:5" ht="10" customHeight="1" x14ac:dyDescent="0.2">
      <c r="A175" s="46" t="s">
        <v>8886</v>
      </c>
      <c r="B175" s="46" t="s">
        <v>8889</v>
      </c>
      <c r="C175" s="46" t="s">
        <v>8974</v>
      </c>
      <c r="D175" s="46" t="s">
        <v>8975</v>
      </c>
      <c r="E175" s="46" t="s">
        <v>8905</v>
      </c>
    </row>
    <row r="176" spans="1:5" ht="10" customHeight="1" x14ac:dyDescent="0.2">
      <c r="A176" s="46" t="s">
        <v>8886</v>
      </c>
      <c r="B176" s="46" t="s">
        <v>8889</v>
      </c>
      <c r="C176" s="46" t="s">
        <v>8976</v>
      </c>
      <c r="D176" s="46" t="s">
        <v>8977</v>
      </c>
      <c r="E176" s="46" t="s">
        <v>8892</v>
      </c>
    </row>
    <row r="177" spans="1:5" ht="10" customHeight="1" x14ac:dyDescent="0.2">
      <c r="A177" s="46" t="s">
        <v>8886</v>
      </c>
      <c r="B177" s="46" t="s">
        <v>8889</v>
      </c>
      <c r="C177" s="46" t="s">
        <v>8978</v>
      </c>
      <c r="D177" s="46" t="s">
        <v>8979</v>
      </c>
      <c r="E177" s="46" t="s">
        <v>8892</v>
      </c>
    </row>
    <row r="178" spans="1:5" ht="10" customHeight="1" x14ac:dyDescent="0.2">
      <c r="A178" s="46" t="s">
        <v>8886</v>
      </c>
      <c r="B178" s="46" t="s">
        <v>8889</v>
      </c>
      <c r="C178" s="46" t="s">
        <v>8980</v>
      </c>
      <c r="D178" s="46" t="s">
        <v>8981</v>
      </c>
      <c r="E178" s="46" t="s">
        <v>8892</v>
      </c>
    </row>
    <row r="179" spans="1:5" ht="10" customHeight="1" x14ac:dyDescent="0.2">
      <c r="A179" s="46"/>
      <c r="B179" s="46"/>
      <c r="C179" s="46"/>
      <c r="D179" s="46"/>
      <c r="E179" s="46"/>
    </row>
    <row r="180" spans="1:5" ht="10" customHeight="1" x14ac:dyDescent="0.2">
      <c r="A180" s="44" t="s">
        <v>8982</v>
      </c>
      <c r="B180" s="44"/>
      <c r="C180" s="44"/>
      <c r="D180" s="45"/>
      <c r="E180" s="45"/>
    </row>
    <row r="181" spans="1:5" ht="10" customHeight="1" x14ac:dyDescent="0.2">
      <c r="A181" s="46"/>
      <c r="B181" s="46"/>
      <c r="C181" s="46"/>
      <c r="D181" s="46"/>
      <c r="E181" s="46"/>
    </row>
    <row r="182" spans="1:5" ht="10" customHeight="1" x14ac:dyDescent="0.2">
      <c r="A182" s="46" t="s">
        <v>8983</v>
      </c>
      <c r="B182" s="46" t="s">
        <v>8984</v>
      </c>
      <c r="C182" s="46" t="s">
        <v>8985</v>
      </c>
      <c r="D182" s="46" t="s">
        <v>8986</v>
      </c>
      <c r="E182" s="46" t="s">
        <v>8987</v>
      </c>
    </row>
    <row r="183" spans="1:5" ht="10" customHeight="1" x14ac:dyDescent="0.2">
      <c r="A183" s="46" t="s">
        <v>8983</v>
      </c>
      <c r="B183" s="46" t="s">
        <v>8984</v>
      </c>
      <c r="C183" s="46" t="s">
        <v>8988</v>
      </c>
      <c r="D183" s="46" t="s">
        <v>8989</v>
      </c>
      <c r="E183" s="46"/>
    </row>
    <row r="184" spans="1:5" ht="10" customHeight="1" x14ac:dyDescent="0.2">
      <c r="A184" s="46" t="s">
        <v>8983</v>
      </c>
      <c r="B184" s="46" t="s">
        <v>8984</v>
      </c>
      <c r="C184" s="46" t="s">
        <v>8990</v>
      </c>
      <c r="D184" s="46" t="s">
        <v>8991</v>
      </c>
      <c r="E184" s="46" t="s">
        <v>8992</v>
      </c>
    </row>
    <row r="185" spans="1:5" ht="10" customHeight="1" x14ac:dyDescent="0.2">
      <c r="A185" s="46" t="s">
        <v>8983</v>
      </c>
      <c r="B185" s="46" t="s">
        <v>8984</v>
      </c>
      <c r="C185" s="46" t="s">
        <v>8993</v>
      </c>
      <c r="D185" s="46" t="s">
        <v>8994</v>
      </c>
      <c r="E185" s="46"/>
    </row>
    <row r="186" spans="1:5" ht="10" customHeight="1" x14ac:dyDescent="0.2">
      <c r="A186" s="46" t="s">
        <v>8983</v>
      </c>
      <c r="B186" s="46" t="s">
        <v>8984</v>
      </c>
      <c r="C186" s="46" t="s">
        <v>8995</v>
      </c>
      <c r="D186" s="46" t="s">
        <v>8996</v>
      </c>
      <c r="E186" s="46"/>
    </row>
    <row r="187" spans="1:5" ht="10" customHeight="1" x14ac:dyDescent="0.2">
      <c r="A187" s="46" t="s">
        <v>8983</v>
      </c>
      <c r="B187" s="46" t="s">
        <v>8984</v>
      </c>
      <c r="C187" s="46" t="s">
        <v>8997</v>
      </c>
      <c r="D187" s="46" t="s">
        <v>8998</v>
      </c>
      <c r="E187" s="46"/>
    </row>
    <row r="188" spans="1:5" ht="10" customHeight="1" x14ac:dyDescent="0.2">
      <c r="A188" s="46" t="s">
        <v>8983</v>
      </c>
      <c r="B188" s="46" t="s">
        <v>8984</v>
      </c>
      <c r="C188" s="46" t="s">
        <v>8999</v>
      </c>
      <c r="D188" s="46" t="s">
        <v>9000</v>
      </c>
      <c r="E188" s="46"/>
    </row>
    <row r="189" spans="1:5" ht="10" customHeight="1" x14ac:dyDescent="0.2">
      <c r="A189" s="42"/>
      <c r="B189" s="42"/>
      <c r="C189" s="42"/>
      <c r="D189" s="42"/>
      <c r="E189" s="42"/>
    </row>
    <row r="190" spans="1:5" ht="10" customHeight="1" x14ac:dyDescent="0.2">
      <c r="A190" s="44" t="s">
        <v>9001</v>
      </c>
      <c r="B190" s="44"/>
      <c r="C190" s="44"/>
      <c r="D190" s="45"/>
      <c r="E190" s="45"/>
    </row>
    <row r="191" spans="1:5" ht="10" customHeight="1" x14ac:dyDescent="0.2">
      <c r="A191" s="46"/>
      <c r="B191" s="46"/>
      <c r="C191" s="46"/>
      <c r="D191" s="46"/>
      <c r="E191" s="46"/>
    </row>
    <row r="192" spans="1:5" ht="10" customHeight="1" x14ac:dyDescent="0.2">
      <c r="A192" s="46" t="s">
        <v>8706</v>
      </c>
      <c r="B192" s="46" t="s">
        <v>8698</v>
      </c>
      <c r="C192" s="46" t="s">
        <v>9002</v>
      </c>
      <c r="D192" s="46" t="s">
        <v>9003</v>
      </c>
      <c r="E192" s="46" t="s">
        <v>9004</v>
      </c>
    </row>
    <row r="193" spans="1:5" ht="10" customHeight="1" x14ac:dyDescent="0.2">
      <c r="A193" s="46" t="s">
        <v>8706</v>
      </c>
      <c r="B193" s="46" t="s">
        <v>8698</v>
      </c>
      <c r="C193" s="46" t="s">
        <v>9005</v>
      </c>
      <c r="D193" s="46" t="s">
        <v>9006</v>
      </c>
      <c r="E193" s="46" t="s">
        <v>9007</v>
      </c>
    </row>
    <row r="194" spans="1:5" ht="10" customHeight="1" x14ac:dyDescent="0.2">
      <c r="A194" s="42"/>
      <c r="B194" s="42"/>
      <c r="C194" s="42"/>
      <c r="D194" s="42"/>
      <c r="E194" s="42"/>
    </row>
    <row r="195" spans="1:5" ht="10" customHeight="1" x14ac:dyDescent="0.2">
      <c r="A195" s="44" t="s">
        <v>9008</v>
      </c>
      <c r="B195" s="44"/>
      <c r="C195" s="44"/>
      <c r="D195" s="45"/>
      <c r="E195" s="45"/>
    </row>
    <row r="196" spans="1:5" ht="10" customHeight="1" x14ac:dyDescent="0.2">
      <c r="A196" s="46"/>
      <c r="B196" s="46"/>
      <c r="C196" s="46"/>
      <c r="D196" s="46"/>
      <c r="E196" s="46"/>
    </row>
    <row r="197" spans="1:5" ht="10" customHeight="1" x14ac:dyDescent="0.2">
      <c r="A197" s="46" t="s">
        <v>9009</v>
      </c>
      <c r="B197" s="46" t="s">
        <v>8347</v>
      </c>
      <c r="C197" s="46" t="s">
        <v>4324</v>
      </c>
      <c r="D197" s="46" t="s">
        <v>9010</v>
      </c>
      <c r="E197" s="46" t="s">
        <v>9011</v>
      </c>
    </row>
    <row r="198" spans="1:5" ht="10" customHeight="1" x14ac:dyDescent="0.2">
      <c r="A198" s="46" t="s">
        <v>9009</v>
      </c>
      <c r="B198" s="46" t="s">
        <v>8347</v>
      </c>
      <c r="C198" s="46" t="s">
        <v>5550</v>
      </c>
      <c r="D198" s="46" t="s">
        <v>9012</v>
      </c>
      <c r="E198" s="46" t="s">
        <v>9013</v>
      </c>
    </row>
    <row r="199" spans="1:5" ht="10" customHeight="1" x14ac:dyDescent="0.2">
      <c r="A199" s="46"/>
      <c r="B199" s="46"/>
      <c r="C199" s="46"/>
      <c r="D199" s="46"/>
      <c r="E199" s="46"/>
    </row>
    <row r="200" spans="1:5" ht="10" customHeight="1" x14ac:dyDescent="0.2">
      <c r="A200" s="46" t="s">
        <v>9014</v>
      </c>
      <c r="B200" s="46" t="s">
        <v>8347</v>
      </c>
      <c r="C200" s="46" t="s">
        <v>246</v>
      </c>
      <c r="D200" s="46" t="s">
        <v>9015</v>
      </c>
      <c r="E200" s="46" t="s">
        <v>9016</v>
      </c>
    </row>
    <row r="201" spans="1:5" ht="10" customHeight="1" x14ac:dyDescent="0.2">
      <c r="A201" s="46"/>
      <c r="B201" s="46"/>
      <c r="C201" s="46"/>
      <c r="D201" s="46"/>
      <c r="E201" s="46"/>
    </row>
    <row r="202" spans="1:5" ht="10" customHeight="1" x14ac:dyDescent="0.2">
      <c r="A202" s="46" t="s">
        <v>9017</v>
      </c>
      <c r="B202" s="46" t="s">
        <v>8347</v>
      </c>
      <c r="C202" s="46" t="s">
        <v>100</v>
      </c>
      <c r="D202" s="46" t="s">
        <v>9018</v>
      </c>
      <c r="E202" s="46" t="s">
        <v>9019</v>
      </c>
    </row>
    <row r="203" spans="1:5" ht="10" customHeight="1" x14ac:dyDescent="0.2">
      <c r="A203" s="46" t="s">
        <v>9017</v>
      </c>
      <c r="B203" s="46" t="s">
        <v>8347</v>
      </c>
      <c r="C203" s="46" t="s">
        <v>286</v>
      </c>
      <c r="D203" s="46" t="s">
        <v>9020</v>
      </c>
      <c r="E203" s="46" t="s">
        <v>9021</v>
      </c>
    </row>
    <row r="204" spans="1:5" ht="10" customHeight="1" x14ac:dyDescent="0.2">
      <c r="A204" s="46"/>
      <c r="B204" s="46"/>
      <c r="C204" s="46"/>
      <c r="D204" s="46"/>
      <c r="E204" s="46"/>
    </row>
    <row r="205" spans="1:5" ht="10" customHeight="1" x14ac:dyDescent="0.2">
      <c r="A205" s="46" t="s">
        <v>9022</v>
      </c>
      <c r="B205" s="46" t="s">
        <v>8347</v>
      </c>
      <c r="C205" s="46" t="s">
        <v>4421</v>
      </c>
      <c r="D205" s="46" t="s">
        <v>9023</v>
      </c>
      <c r="E205" s="46" t="s">
        <v>9024</v>
      </c>
    </row>
    <row r="206" spans="1:5" ht="10" customHeight="1" x14ac:dyDescent="0.2">
      <c r="A206" s="46"/>
      <c r="B206" s="46"/>
      <c r="C206" s="46"/>
      <c r="D206" s="46"/>
      <c r="E206" s="46"/>
    </row>
    <row r="207" spans="1:5" ht="10" customHeight="1" x14ac:dyDescent="0.2">
      <c r="A207" s="46" t="s">
        <v>9025</v>
      </c>
      <c r="B207" s="46" t="s">
        <v>8347</v>
      </c>
      <c r="C207" s="46" t="s">
        <v>5513</v>
      </c>
      <c r="D207" s="46" t="s">
        <v>9026</v>
      </c>
      <c r="E207" s="46" t="s">
        <v>9027</v>
      </c>
    </row>
    <row r="208" spans="1:5" ht="10" customHeight="1" x14ac:dyDescent="0.2">
      <c r="A208" s="46"/>
      <c r="B208" s="46"/>
      <c r="C208" s="46"/>
      <c r="D208" s="46"/>
      <c r="E208" s="46"/>
    </row>
    <row r="209" spans="1:5" ht="10" customHeight="1" x14ac:dyDescent="0.2">
      <c r="A209" s="46" t="s">
        <v>2570</v>
      </c>
      <c r="B209" s="46" t="s">
        <v>8347</v>
      </c>
      <c r="C209" s="46" t="s">
        <v>6403</v>
      </c>
      <c r="D209" s="46" t="s">
        <v>9028</v>
      </c>
      <c r="E209" s="46" t="s">
        <v>9029</v>
      </c>
    </row>
    <row r="210" spans="1:5" ht="10" customHeight="1" x14ac:dyDescent="0.2">
      <c r="A210" s="46" t="s">
        <v>2570</v>
      </c>
      <c r="B210" s="46" t="s">
        <v>8347</v>
      </c>
      <c r="C210" s="46" t="s">
        <v>8185</v>
      </c>
      <c r="D210" s="46" t="s">
        <v>9030</v>
      </c>
      <c r="E210" s="46" t="s">
        <v>9031</v>
      </c>
    </row>
    <row r="211" spans="1:5" ht="10" customHeight="1" x14ac:dyDescent="0.2">
      <c r="A211" s="42"/>
      <c r="B211" s="42"/>
      <c r="C211" s="42"/>
      <c r="D211" s="42"/>
      <c r="E211" s="42"/>
    </row>
    <row r="213" spans="1:5" ht="10" customHeight="1" x14ac:dyDescent="0.2">
      <c r="A213" s="44" t="s">
        <v>9032</v>
      </c>
      <c r="B213" s="44"/>
      <c r="C213" s="44"/>
      <c r="D213" s="45"/>
      <c r="E213" s="45"/>
    </row>
    <row r="215" spans="1:5" ht="10" customHeight="1" x14ac:dyDescent="0.2">
      <c r="A215" s="47" t="s">
        <v>9033</v>
      </c>
      <c r="B215" s="47" t="s">
        <v>9034</v>
      </c>
      <c r="C215" s="47" t="s">
        <v>9035</v>
      </c>
      <c r="D215" s="48" t="s">
        <v>9036</v>
      </c>
      <c r="E215" s="48" t="s">
        <v>9037</v>
      </c>
    </row>
    <row r="216" spans="1:5" ht="10" customHeight="1" x14ac:dyDescent="0.2">
      <c r="A216" s="47"/>
      <c r="B216" s="47"/>
      <c r="C216" s="47"/>
      <c r="D216" s="47"/>
      <c r="E216" s="47"/>
    </row>
    <row r="217" spans="1:5" ht="10" customHeight="1" x14ac:dyDescent="0.2">
      <c r="A217" s="47" t="s">
        <v>9033</v>
      </c>
      <c r="B217" s="47" t="s">
        <v>9038</v>
      </c>
      <c r="C217" s="47" t="s">
        <v>9039</v>
      </c>
      <c r="D217" s="48" t="s">
        <v>9040</v>
      </c>
      <c r="E217" s="48" t="s">
        <v>9041</v>
      </c>
    </row>
    <row r="218" spans="1:5" ht="10" customHeight="1" x14ac:dyDescent="0.2">
      <c r="A218" s="47"/>
      <c r="B218" s="47"/>
      <c r="C218" s="47"/>
      <c r="D218" s="47"/>
      <c r="E218" s="47"/>
    </row>
    <row r="219" spans="1:5" ht="10" customHeight="1" x14ac:dyDescent="0.2">
      <c r="A219" s="47" t="s">
        <v>9033</v>
      </c>
      <c r="B219" s="47" t="s">
        <v>8693</v>
      </c>
      <c r="C219" s="47" t="s">
        <v>9042</v>
      </c>
      <c r="D219" s="48" t="s">
        <v>9043</v>
      </c>
      <c r="E219" s="48" t="s">
        <v>9044</v>
      </c>
    </row>
    <row r="220" spans="1:5" ht="10" customHeight="1" x14ac:dyDescent="0.2">
      <c r="A220" s="47"/>
      <c r="B220" s="47"/>
      <c r="C220" s="47"/>
      <c r="D220" s="47"/>
      <c r="E220" s="47"/>
    </row>
    <row r="221" spans="1:5" ht="10" customHeight="1" x14ac:dyDescent="0.2">
      <c r="A221" s="47" t="s">
        <v>9033</v>
      </c>
      <c r="B221" s="47" t="s">
        <v>9045</v>
      </c>
      <c r="C221" s="47" t="s">
        <v>9046</v>
      </c>
      <c r="D221" s="48" t="s">
        <v>9047</v>
      </c>
      <c r="E221" s="48" t="s">
        <v>9048</v>
      </c>
    </row>
    <row r="222" spans="1:5" ht="10" customHeight="1" x14ac:dyDescent="0.2">
      <c r="A222" s="47"/>
      <c r="B222" s="47"/>
      <c r="C222" s="47"/>
      <c r="D222" s="47"/>
      <c r="E222" s="47"/>
    </row>
    <row r="223" spans="1:5" ht="10" customHeight="1" x14ac:dyDescent="0.2">
      <c r="A223" s="47" t="s">
        <v>9033</v>
      </c>
      <c r="B223" s="47" t="s">
        <v>9049</v>
      </c>
      <c r="C223" s="47" t="s">
        <v>9050</v>
      </c>
      <c r="D223" s="48" t="s">
        <v>9051</v>
      </c>
      <c r="E223" s="48" t="s">
        <v>9052</v>
      </c>
    </row>
    <row r="224" spans="1:5" ht="10" customHeight="1" x14ac:dyDescent="0.2">
      <c r="A224" s="47"/>
      <c r="B224" s="47"/>
      <c r="C224" s="47"/>
      <c r="D224" s="47"/>
      <c r="E224" s="47"/>
    </row>
    <row r="225" spans="1:5" ht="10" customHeight="1" x14ac:dyDescent="0.2">
      <c r="A225" s="47" t="s">
        <v>9033</v>
      </c>
      <c r="B225" s="47" t="s">
        <v>9053</v>
      </c>
      <c r="C225" s="47" t="s">
        <v>9054</v>
      </c>
      <c r="D225" s="48" t="s">
        <v>9055</v>
      </c>
      <c r="E225" s="48" t="s">
        <v>9056</v>
      </c>
    </row>
    <row r="226" spans="1:5" ht="10" customHeight="1" x14ac:dyDescent="0.2">
      <c r="A226" s="47"/>
      <c r="B226" s="47"/>
      <c r="C226" s="47"/>
      <c r="D226" s="47"/>
      <c r="E226" s="47"/>
    </row>
    <row r="227" spans="1:5" ht="10" customHeight="1" x14ac:dyDescent="0.2">
      <c r="A227" s="47" t="s">
        <v>9033</v>
      </c>
      <c r="B227" s="47" t="s">
        <v>9057</v>
      </c>
      <c r="C227" s="47" t="s">
        <v>9058</v>
      </c>
      <c r="D227" s="48" t="s">
        <v>9059</v>
      </c>
      <c r="E227" s="48" t="s">
        <v>9060</v>
      </c>
    </row>
    <row r="228" spans="1:5" ht="10" customHeight="1" x14ac:dyDescent="0.2">
      <c r="A228" s="47"/>
      <c r="B228" s="47"/>
      <c r="C228" s="47"/>
      <c r="D228" s="47"/>
      <c r="E228" s="47"/>
    </row>
    <row r="229" spans="1:5" ht="10" customHeight="1" x14ac:dyDescent="0.2">
      <c r="A229" s="47" t="s">
        <v>9033</v>
      </c>
      <c r="B229" s="47" t="s">
        <v>9061</v>
      </c>
      <c r="C229" s="47" t="s">
        <v>9062</v>
      </c>
      <c r="D229" s="48" t="s">
        <v>9063</v>
      </c>
      <c r="E229" s="48" t="s">
        <v>9064</v>
      </c>
    </row>
    <row r="230" spans="1:5" ht="10" customHeight="1" x14ac:dyDescent="0.2">
      <c r="A230" s="47"/>
      <c r="B230" s="47"/>
      <c r="C230" s="47"/>
      <c r="D230" s="47"/>
      <c r="E230" s="47"/>
    </row>
    <row r="231" spans="1:5" ht="10" customHeight="1" x14ac:dyDescent="0.2">
      <c r="A231" s="47" t="s">
        <v>9033</v>
      </c>
      <c r="B231" s="47" t="s">
        <v>9065</v>
      </c>
      <c r="C231" s="47" t="s">
        <v>9066</v>
      </c>
      <c r="D231" s="48" t="s">
        <v>9067</v>
      </c>
      <c r="E231" s="48" t="s">
        <v>9068</v>
      </c>
    </row>
    <row r="232" spans="1:5" ht="10" customHeight="1" x14ac:dyDescent="0.2">
      <c r="A232" s="47"/>
      <c r="B232" s="47"/>
      <c r="C232" s="47"/>
      <c r="D232" s="47"/>
      <c r="E232" s="47"/>
    </row>
    <row r="233" spans="1:5" ht="10" customHeight="1" x14ac:dyDescent="0.2">
      <c r="A233" s="47" t="s">
        <v>9033</v>
      </c>
      <c r="B233" s="47" t="s">
        <v>9069</v>
      </c>
      <c r="C233" s="47" t="s">
        <v>9070</v>
      </c>
      <c r="D233" s="48" t="s">
        <v>9071</v>
      </c>
      <c r="E233" s="48" t="s">
        <v>9072</v>
      </c>
    </row>
    <row r="235" spans="1:5" ht="10" customHeight="1" x14ac:dyDescent="0.2">
      <c r="A235" s="44" t="s">
        <v>9073</v>
      </c>
      <c r="B235" s="44"/>
      <c r="C235" s="44"/>
      <c r="D235" s="45"/>
      <c r="E235" s="45"/>
    </row>
    <row r="237" spans="1:5" ht="10" customHeight="1" x14ac:dyDescent="0.2">
      <c r="A237" s="47" t="s">
        <v>9074</v>
      </c>
      <c r="B237" s="47" t="s">
        <v>9075</v>
      </c>
      <c r="C237" s="47" t="s">
        <v>9076</v>
      </c>
      <c r="D237" s="48" t="s">
        <v>9077</v>
      </c>
      <c r="E237" s="48" t="s">
        <v>9078</v>
      </c>
    </row>
    <row r="238" spans="1:5" ht="10" customHeight="1" x14ac:dyDescent="0.2">
      <c r="A238" s="47"/>
      <c r="B238" s="47"/>
      <c r="C238" s="47"/>
      <c r="D238" s="47"/>
      <c r="E238" s="47"/>
    </row>
    <row r="239" spans="1:5" ht="10" customHeight="1" x14ac:dyDescent="0.2">
      <c r="A239" s="47" t="s">
        <v>9074</v>
      </c>
      <c r="B239" s="47" t="s">
        <v>9079</v>
      </c>
      <c r="C239" s="47" t="s">
        <v>9080</v>
      </c>
      <c r="D239" s="48" t="s">
        <v>9081</v>
      </c>
      <c r="E239" s="48" t="s">
        <v>9082</v>
      </c>
    </row>
    <row r="240" spans="1:5" ht="10" customHeight="1" x14ac:dyDescent="0.2">
      <c r="A240" s="47"/>
      <c r="B240" s="47"/>
      <c r="C240" s="47"/>
      <c r="D240" s="47"/>
      <c r="E240" s="47"/>
    </row>
    <row r="241" spans="1:5" ht="10" customHeight="1" x14ac:dyDescent="0.2">
      <c r="A241" s="47" t="s">
        <v>9074</v>
      </c>
      <c r="B241" s="47" t="s">
        <v>9083</v>
      </c>
      <c r="C241" s="47" t="s">
        <v>9084</v>
      </c>
      <c r="D241" s="48" t="s">
        <v>9085</v>
      </c>
      <c r="E241" s="48" t="s">
        <v>9086</v>
      </c>
    </row>
    <row r="242" spans="1:5" ht="10" customHeight="1" x14ac:dyDescent="0.2">
      <c r="A242" s="47"/>
      <c r="B242" s="47"/>
      <c r="C242" s="47"/>
      <c r="D242" s="47"/>
      <c r="E242" s="47"/>
    </row>
    <row r="243" spans="1:5" ht="10" customHeight="1" x14ac:dyDescent="0.2">
      <c r="A243" s="47" t="s">
        <v>9074</v>
      </c>
      <c r="B243" s="47" t="s">
        <v>9087</v>
      </c>
      <c r="C243" s="47" t="s">
        <v>9088</v>
      </c>
      <c r="D243" s="48" t="s">
        <v>9089</v>
      </c>
      <c r="E243" s="48" t="s">
        <v>9090</v>
      </c>
    </row>
    <row r="244" spans="1:5" ht="10" customHeight="1" x14ac:dyDescent="0.2">
      <c r="A244" s="47"/>
      <c r="B244" s="47"/>
      <c r="C244" s="47"/>
      <c r="D244" s="47"/>
      <c r="E244" s="47"/>
    </row>
    <row r="245" spans="1:5" ht="10" customHeight="1" x14ac:dyDescent="0.2">
      <c r="A245" s="47" t="s">
        <v>9074</v>
      </c>
      <c r="B245" s="47" t="s">
        <v>9091</v>
      </c>
      <c r="C245" s="47" t="s">
        <v>9092</v>
      </c>
      <c r="D245" s="48" t="s">
        <v>9093</v>
      </c>
      <c r="E245" s="48" t="s">
        <v>9094</v>
      </c>
    </row>
    <row r="246" spans="1:5" ht="10" customHeight="1" x14ac:dyDescent="0.2">
      <c r="A246" s="47"/>
      <c r="B246" s="47"/>
      <c r="C246" s="47"/>
      <c r="D246" s="47"/>
      <c r="E246" s="47"/>
    </row>
    <row r="247" spans="1:5" ht="10" customHeight="1" x14ac:dyDescent="0.2">
      <c r="A247" s="47" t="s">
        <v>9074</v>
      </c>
      <c r="B247" s="47" t="s">
        <v>9095</v>
      </c>
      <c r="C247" s="47" t="s">
        <v>9096</v>
      </c>
      <c r="D247" s="48" t="s">
        <v>9097</v>
      </c>
      <c r="E247" s="48" t="s">
        <v>9098</v>
      </c>
    </row>
    <row r="248" spans="1:5" ht="10" customHeight="1" x14ac:dyDescent="0.2">
      <c r="A248" s="47"/>
      <c r="B248" s="47"/>
      <c r="C248" s="47"/>
      <c r="D248" s="47"/>
      <c r="E248" s="47"/>
    </row>
    <row r="249" spans="1:5" ht="10" customHeight="1" x14ac:dyDescent="0.2">
      <c r="A249" s="47" t="s">
        <v>9074</v>
      </c>
      <c r="B249" s="47" t="s">
        <v>9099</v>
      </c>
      <c r="C249" s="47" t="s">
        <v>9100</v>
      </c>
      <c r="D249" s="48" t="s">
        <v>9101</v>
      </c>
      <c r="E249" s="48" t="s">
        <v>9102</v>
      </c>
    </row>
    <row r="252" spans="1:5" ht="10" customHeight="1" x14ac:dyDescent="0.2">
      <c r="A252" s="44" t="s">
        <v>9103</v>
      </c>
      <c r="B252" s="44"/>
      <c r="C252" s="44"/>
      <c r="D252" s="45"/>
      <c r="E252" s="45"/>
    </row>
    <row r="254" spans="1:5" ht="10" customHeight="1" x14ac:dyDescent="0.2">
      <c r="A254" s="47" t="s">
        <v>9104</v>
      </c>
      <c r="B254" s="47" t="s">
        <v>9105</v>
      </c>
      <c r="C254" s="47" t="s">
        <v>9106</v>
      </c>
      <c r="D254" s="48" t="s">
        <v>9107</v>
      </c>
      <c r="E254" s="48" t="s">
        <v>9108</v>
      </c>
    </row>
    <row r="255" spans="1:5" ht="10" customHeight="1" x14ac:dyDescent="0.2">
      <c r="A255" s="47"/>
      <c r="B255" s="47"/>
      <c r="C255" s="47"/>
      <c r="D255" s="47"/>
      <c r="E255" s="47"/>
    </row>
    <row r="256" spans="1:5" ht="10" customHeight="1" x14ac:dyDescent="0.2">
      <c r="A256" s="47" t="s">
        <v>9104</v>
      </c>
      <c r="B256" s="47" t="s">
        <v>9109</v>
      </c>
      <c r="C256" s="47" t="s">
        <v>9110</v>
      </c>
      <c r="D256" s="48" t="s">
        <v>9111</v>
      </c>
      <c r="E256" s="48" t="s">
        <v>9112</v>
      </c>
    </row>
    <row r="257" spans="1:5" ht="10" customHeight="1" x14ac:dyDescent="0.2">
      <c r="A257" s="47"/>
      <c r="B257" s="47"/>
      <c r="C257" s="47"/>
      <c r="D257" s="47"/>
      <c r="E257" s="47"/>
    </row>
    <row r="258" spans="1:5" ht="10" customHeight="1" x14ac:dyDescent="0.2">
      <c r="A258" s="47" t="s">
        <v>9104</v>
      </c>
      <c r="B258" s="47" t="s">
        <v>9113</v>
      </c>
      <c r="C258" s="47" t="s">
        <v>9114</v>
      </c>
      <c r="D258" s="48" t="s">
        <v>9115</v>
      </c>
      <c r="E258" s="48" t="s">
        <v>9116</v>
      </c>
    </row>
    <row r="259" spans="1:5" ht="10" customHeight="1" x14ac:dyDescent="0.2">
      <c r="A259" s="47"/>
      <c r="B259" s="47"/>
      <c r="C259" s="47"/>
      <c r="D259" s="47"/>
      <c r="E259" s="47"/>
    </row>
    <row r="260" spans="1:5" ht="10" customHeight="1" x14ac:dyDescent="0.2">
      <c r="A260" s="47" t="s">
        <v>9104</v>
      </c>
      <c r="B260" s="47" t="s">
        <v>9117</v>
      </c>
      <c r="C260" s="47" t="s">
        <v>9118</v>
      </c>
      <c r="D260" s="48" t="s">
        <v>9119</v>
      </c>
      <c r="E260" s="48" t="s">
        <v>9120</v>
      </c>
    </row>
    <row r="261" spans="1:5" ht="10" customHeight="1" x14ac:dyDescent="0.2">
      <c r="A261" s="47"/>
      <c r="B261" s="47"/>
      <c r="C261" s="47"/>
      <c r="D261" s="47"/>
      <c r="E261" s="47"/>
    </row>
    <row r="262" spans="1:5" ht="10" customHeight="1" x14ac:dyDescent="0.2">
      <c r="A262" s="47" t="s">
        <v>9104</v>
      </c>
      <c r="B262" s="47" t="s">
        <v>9121</v>
      </c>
      <c r="C262" s="47" t="s">
        <v>9122</v>
      </c>
      <c r="D262" s="48" t="s">
        <v>9123</v>
      </c>
      <c r="E262" s="48" t="s">
        <v>9124</v>
      </c>
    </row>
    <row r="263" spans="1:5" ht="10" customHeight="1" x14ac:dyDescent="0.2">
      <c r="A263" s="47"/>
      <c r="B263" s="47"/>
      <c r="C263" s="47"/>
      <c r="D263" s="47"/>
      <c r="E263" s="47"/>
    </row>
    <row r="264" spans="1:5" ht="10" customHeight="1" x14ac:dyDescent="0.2">
      <c r="A264" s="47" t="s">
        <v>9104</v>
      </c>
      <c r="B264" s="47" t="s">
        <v>9125</v>
      </c>
      <c r="C264" s="47" t="s">
        <v>9126</v>
      </c>
      <c r="D264" s="48" t="s">
        <v>9127</v>
      </c>
      <c r="E264" s="48" t="s">
        <v>9128</v>
      </c>
    </row>
    <row r="265" spans="1:5" ht="10" customHeight="1" x14ac:dyDescent="0.2">
      <c r="A265" s="47"/>
      <c r="B265" s="47"/>
      <c r="C265" s="47"/>
      <c r="D265" s="47"/>
      <c r="E265" s="47"/>
    </row>
    <row r="266" spans="1:5" ht="10" customHeight="1" x14ac:dyDescent="0.2">
      <c r="A266" s="47" t="s">
        <v>9104</v>
      </c>
      <c r="B266" s="47" t="s">
        <v>9129</v>
      </c>
      <c r="C266" s="47" t="s">
        <v>9130</v>
      </c>
      <c r="D266" s="48" t="s">
        <v>9131</v>
      </c>
      <c r="E266" s="48" t="s">
        <v>9072</v>
      </c>
    </row>
    <row r="267" spans="1:5" ht="10" customHeight="1" x14ac:dyDescent="0.2">
      <c r="A267" s="47"/>
      <c r="B267" s="47"/>
      <c r="C267" s="47"/>
      <c r="D267" s="47"/>
      <c r="E267" s="47"/>
    </row>
    <row r="268" spans="1:5" ht="10" customHeight="1" x14ac:dyDescent="0.2">
      <c r="A268" s="47" t="s">
        <v>9104</v>
      </c>
      <c r="B268" s="47" t="s">
        <v>9132</v>
      </c>
      <c r="C268" s="47" t="s">
        <v>9133</v>
      </c>
      <c r="D268" s="48" t="s">
        <v>9134</v>
      </c>
      <c r="E268" s="48" t="s">
        <v>9135</v>
      </c>
    </row>
    <row r="270" spans="1:5" ht="11" customHeight="1" x14ac:dyDescent="0.2">
      <c r="A270" s="49" t="s">
        <v>9136</v>
      </c>
    </row>
    <row r="272" spans="1:5" ht="11" customHeight="1" x14ac:dyDescent="0.2">
      <c r="A272" s="50" t="s">
        <v>9137</v>
      </c>
      <c r="B272" s="50" t="s">
        <v>9138</v>
      </c>
      <c r="C272" s="50" t="s">
        <v>9139</v>
      </c>
      <c r="D272" s="50" t="s">
        <v>9140</v>
      </c>
      <c r="E272" s="50" t="s">
        <v>9141</v>
      </c>
    </row>
    <row r="273" spans="1:5" ht="11" customHeight="1" x14ac:dyDescent="0.2">
      <c r="A273" s="50" t="s">
        <v>9137</v>
      </c>
      <c r="B273" s="50" t="s">
        <v>9142</v>
      </c>
      <c r="C273" s="50" t="s">
        <v>9143</v>
      </c>
      <c r="D273" s="50" t="s">
        <v>9144</v>
      </c>
    </row>
    <row r="274" spans="1:5" ht="11" customHeight="1" x14ac:dyDescent="0.2">
      <c r="A274" s="50" t="s">
        <v>9137</v>
      </c>
      <c r="B274" s="50" t="s">
        <v>9145</v>
      </c>
      <c r="C274" s="50" t="s">
        <v>9146</v>
      </c>
      <c r="D274" s="50" t="s">
        <v>9147</v>
      </c>
    </row>
    <row r="275" spans="1:5" ht="11" customHeight="1" x14ac:dyDescent="0.2">
      <c r="A275" s="50" t="s">
        <v>9137</v>
      </c>
      <c r="B275" s="50" t="s">
        <v>9148</v>
      </c>
      <c r="C275" s="50" t="s">
        <v>9149</v>
      </c>
      <c r="D275" s="50" t="s">
        <v>9150</v>
      </c>
      <c r="E275" s="50" t="s">
        <v>9151</v>
      </c>
    </row>
    <row r="276" spans="1:5" ht="11" customHeight="1" x14ac:dyDescent="0.2">
      <c r="A276" s="50" t="s">
        <v>9137</v>
      </c>
      <c r="B276" s="50" t="s">
        <v>9152</v>
      </c>
      <c r="C276" s="50" t="s">
        <v>9153</v>
      </c>
      <c r="D276" s="50" t="s">
        <v>9154</v>
      </c>
      <c r="E276" s="50" t="s">
        <v>9155</v>
      </c>
    </row>
    <row r="277" spans="1:5" ht="11" customHeight="1" x14ac:dyDescent="0.2">
      <c r="A277" s="50" t="s">
        <v>9137</v>
      </c>
      <c r="B277" s="50" t="s">
        <v>9156</v>
      </c>
      <c r="C277" s="50" t="s">
        <v>9157</v>
      </c>
      <c r="D277" s="50" t="s">
        <v>9158</v>
      </c>
      <c r="E277" s="50" t="s">
        <v>9159</v>
      </c>
    </row>
    <row r="278" spans="1:5" ht="11" customHeight="1" x14ac:dyDescent="0.2">
      <c r="A278" s="50" t="s">
        <v>9137</v>
      </c>
      <c r="B278" s="50" t="s">
        <v>9160</v>
      </c>
      <c r="C278" s="50" t="s">
        <v>9161</v>
      </c>
      <c r="D278" s="50" t="s">
        <v>9162</v>
      </c>
      <c r="E278" s="50" t="s">
        <v>9163</v>
      </c>
    </row>
    <row r="279" spans="1:5" ht="11" customHeight="1" x14ac:dyDescent="0.2">
      <c r="A279" s="50" t="s">
        <v>9137</v>
      </c>
      <c r="B279" s="50" t="s">
        <v>9164</v>
      </c>
      <c r="C279" s="50" t="s">
        <v>9165</v>
      </c>
      <c r="D279" s="50" t="s">
        <v>9166</v>
      </c>
      <c r="E279" s="50" t="s">
        <v>9167</v>
      </c>
    </row>
    <row r="282" spans="1:5" ht="11" customHeight="1" x14ac:dyDescent="0.2">
      <c r="A282" s="51" t="s">
        <v>9168</v>
      </c>
    </row>
    <row r="284" spans="1:5" ht="11" customHeight="1" x14ac:dyDescent="0.2">
      <c r="A284" s="50" t="s">
        <v>9169</v>
      </c>
      <c r="B284" s="50" t="s">
        <v>9170</v>
      </c>
      <c r="C284" s="50" t="s">
        <v>9171</v>
      </c>
      <c r="D284" s="50" t="s">
        <v>9172</v>
      </c>
      <c r="E284" s="50" t="s">
        <v>9173</v>
      </c>
    </row>
    <row r="285" spans="1:5" ht="11" customHeight="1" x14ac:dyDescent="0.2">
      <c r="A285" s="50" t="s">
        <v>9169</v>
      </c>
      <c r="B285" s="50" t="s">
        <v>9170</v>
      </c>
      <c r="C285" s="50" t="s">
        <v>9174</v>
      </c>
      <c r="D285" s="50" t="s">
        <v>9175</v>
      </c>
      <c r="E285" s="50" t="s">
        <v>9176</v>
      </c>
    </row>
    <row r="287" spans="1:5" ht="11" customHeight="1" x14ac:dyDescent="0.2">
      <c r="A287" s="51" t="s">
        <v>9177</v>
      </c>
    </row>
    <row r="289" spans="1:5" ht="11" customHeight="1" x14ac:dyDescent="0.2">
      <c r="A289" s="50" t="s">
        <v>8379</v>
      </c>
      <c r="B289" s="50" t="s">
        <v>9178</v>
      </c>
      <c r="C289" s="50" t="s">
        <v>9179</v>
      </c>
      <c r="D289" s="50" t="s">
        <v>9180</v>
      </c>
      <c r="E289" s="50" t="s">
        <v>9181</v>
      </c>
    </row>
    <row r="290" spans="1:5" ht="11" customHeight="1" x14ac:dyDescent="0.2">
      <c r="A290" s="50" t="s">
        <v>8379</v>
      </c>
      <c r="B290" s="50" t="s">
        <v>9178</v>
      </c>
      <c r="C290" s="50" t="s">
        <v>9182</v>
      </c>
      <c r="D290" s="50" t="s">
        <v>9183</v>
      </c>
      <c r="E290" s="50" t="s">
        <v>9184</v>
      </c>
    </row>
    <row r="292" spans="1:5" ht="11" customHeight="1" x14ac:dyDescent="0.2">
      <c r="A292" s="51" t="s">
        <v>9185</v>
      </c>
    </row>
    <row r="294" spans="1:5" ht="11" customHeight="1" x14ac:dyDescent="0.2">
      <c r="A294" s="50" t="s">
        <v>9186</v>
      </c>
      <c r="B294" s="50" t="s">
        <v>9178</v>
      </c>
      <c r="C294" s="50" t="s">
        <v>9187</v>
      </c>
      <c r="D294" s="50" t="s">
        <v>9188</v>
      </c>
      <c r="E294" s="50" t="s">
        <v>9189</v>
      </c>
    </row>
    <row r="295" spans="1:5" ht="11" customHeight="1" x14ac:dyDescent="0.2">
      <c r="A295" s="50" t="s">
        <v>9186</v>
      </c>
      <c r="B295" s="50" t="s">
        <v>9178</v>
      </c>
      <c r="C295" s="50" t="s">
        <v>9190</v>
      </c>
      <c r="D295" s="50" t="s">
        <v>9191</v>
      </c>
      <c r="E295" s="50" t="s">
        <v>9192</v>
      </c>
    </row>
    <row r="296" spans="1:5" ht="11" customHeight="1" x14ac:dyDescent="0.2">
      <c r="A296" s="50" t="s">
        <v>9186</v>
      </c>
      <c r="B296" s="50" t="s">
        <v>9178</v>
      </c>
      <c r="C296" s="50" t="s">
        <v>9193</v>
      </c>
      <c r="D296" s="50" t="s">
        <v>9194</v>
      </c>
      <c r="E296" s="50" t="s">
        <v>9195</v>
      </c>
    </row>
    <row r="298" spans="1:5" ht="11" customHeight="1" x14ac:dyDescent="0.2">
      <c r="A298" s="51" t="s">
        <v>9196</v>
      </c>
    </row>
    <row r="300" spans="1:5" ht="11" customHeight="1" x14ac:dyDescent="0.2">
      <c r="A300" s="50" t="s">
        <v>8379</v>
      </c>
      <c r="B300" s="50" t="s">
        <v>8698</v>
      </c>
      <c r="C300" s="50" t="s">
        <v>9197</v>
      </c>
      <c r="D300" s="50" t="s">
        <v>9198</v>
      </c>
      <c r="E300" s="50" t="s">
        <v>9199</v>
      </c>
    </row>
    <row r="302" spans="1:5" ht="11" customHeight="1" x14ac:dyDescent="0.2">
      <c r="A302" s="51" t="s">
        <v>9200</v>
      </c>
    </row>
    <row r="304" spans="1:5" ht="11" customHeight="1" x14ac:dyDescent="0.2">
      <c r="A304" s="50" t="s">
        <v>9169</v>
      </c>
      <c r="B304" s="50" t="s">
        <v>9201</v>
      </c>
      <c r="C304" s="50" t="s">
        <v>9202</v>
      </c>
      <c r="D304" s="50" t="s">
        <v>9203</v>
      </c>
      <c r="E304" s="50" t="s">
        <v>9204</v>
      </c>
    </row>
    <row r="305" spans="1:5" ht="11" customHeight="1" x14ac:dyDescent="0.2">
      <c r="A305" s="50" t="s">
        <v>9169</v>
      </c>
      <c r="B305" s="50" t="s">
        <v>9201</v>
      </c>
      <c r="C305" s="50" t="s">
        <v>9205</v>
      </c>
      <c r="D305" s="50" t="s">
        <v>9206</v>
      </c>
      <c r="E305" s="50" t="s">
        <v>9207</v>
      </c>
    </row>
    <row r="306" spans="1:5" ht="11" customHeight="1" x14ac:dyDescent="0.2">
      <c r="A306" s="50" t="s">
        <v>9169</v>
      </c>
      <c r="B306" s="50" t="s">
        <v>9201</v>
      </c>
      <c r="C306" s="50" t="s">
        <v>9208</v>
      </c>
      <c r="D306" s="50" t="s">
        <v>9209</v>
      </c>
      <c r="E306" s="50" t="s">
        <v>9210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443"/>
  <sheetViews>
    <sheetView showGridLines="0" workbookViewId="0"/>
  </sheetViews>
  <sheetFormatPr baseColWidth="10" defaultColWidth="8.83203125" defaultRowHeight="15" x14ac:dyDescent="0.2"/>
  <cols>
    <col min="1" max="1" width="8" customWidth="1"/>
    <col min="2" max="2" width="10" customWidth="1"/>
    <col min="3" max="3" width="35" customWidth="1"/>
    <col min="4" max="4" width="80" customWidth="1"/>
  </cols>
  <sheetData>
    <row r="1" spans="1:4" ht="10" customHeight="1" x14ac:dyDescent="0.2">
      <c r="A1" s="1" t="s">
        <v>9211</v>
      </c>
      <c r="B1" s="2"/>
      <c r="C1" s="2"/>
      <c r="D1" s="2"/>
    </row>
    <row r="2" spans="1:4" ht="10" customHeight="1" x14ac:dyDescent="0.2">
      <c r="A2" s="3" t="s">
        <v>9212</v>
      </c>
    </row>
    <row r="3" spans="1:4" ht="10" customHeight="1" x14ac:dyDescent="0.2">
      <c r="A3" s="4" t="s">
        <v>9213</v>
      </c>
      <c r="B3" s="4" t="s">
        <v>7</v>
      </c>
      <c r="C3" s="4" t="s">
        <v>10</v>
      </c>
      <c r="D3" s="4" t="s">
        <v>8674</v>
      </c>
    </row>
    <row r="4" spans="1:4" ht="10" customHeight="1" x14ac:dyDescent="0.2">
      <c r="A4" s="5">
        <v>6</v>
      </c>
      <c r="B4" s="5" t="s">
        <v>40</v>
      </c>
      <c r="C4" s="5" t="s">
        <v>43</v>
      </c>
      <c r="D4" s="5" t="s">
        <v>9214</v>
      </c>
    </row>
    <row r="5" spans="1:4" ht="10" customHeight="1" x14ac:dyDescent="0.2">
      <c r="A5" s="5">
        <v>10</v>
      </c>
      <c r="B5" s="5" t="s">
        <v>40</v>
      </c>
      <c r="C5" s="5" t="s">
        <v>64</v>
      </c>
      <c r="D5" s="5" t="s">
        <v>9215</v>
      </c>
    </row>
    <row r="6" spans="1:4" ht="10" customHeight="1" x14ac:dyDescent="0.2">
      <c r="A6" s="5">
        <v>13</v>
      </c>
      <c r="B6" s="5" t="s">
        <v>40</v>
      </c>
      <c r="C6" s="5" t="s">
        <v>75</v>
      </c>
      <c r="D6" s="5" t="s">
        <v>9216</v>
      </c>
    </row>
    <row r="7" spans="1:4" ht="10" customHeight="1" x14ac:dyDescent="0.2">
      <c r="A7" s="5">
        <v>14</v>
      </c>
      <c r="B7" s="5" t="s">
        <v>40</v>
      </c>
      <c r="C7" s="5" t="s">
        <v>79</v>
      </c>
      <c r="D7" s="5" t="s">
        <v>9215</v>
      </c>
    </row>
    <row r="8" spans="1:4" ht="10" customHeight="1" x14ac:dyDescent="0.2">
      <c r="A8" s="5">
        <v>15</v>
      </c>
      <c r="B8" s="5" t="s">
        <v>40</v>
      </c>
      <c r="C8" s="5" t="s">
        <v>83</v>
      </c>
      <c r="D8" s="5" t="s">
        <v>9217</v>
      </c>
    </row>
    <row r="9" spans="1:4" ht="10" customHeight="1" x14ac:dyDescent="0.2">
      <c r="A9" s="5">
        <v>19</v>
      </c>
      <c r="B9" s="5" t="s">
        <v>40</v>
      </c>
      <c r="C9" s="5" t="s">
        <v>95</v>
      </c>
      <c r="D9" s="5" t="s">
        <v>9218</v>
      </c>
    </row>
    <row r="10" spans="1:4" ht="10" customHeight="1" x14ac:dyDescent="0.2">
      <c r="A10" s="5">
        <v>20</v>
      </c>
      <c r="B10" s="5" t="s">
        <v>40</v>
      </c>
      <c r="C10" s="5" t="s">
        <v>99</v>
      </c>
      <c r="D10" s="5" t="s">
        <v>9219</v>
      </c>
    </row>
    <row r="11" spans="1:4" ht="10" customHeight="1" x14ac:dyDescent="0.2">
      <c r="A11" s="5">
        <v>24</v>
      </c>
      <c r="B11" s="5" t="s">
        <v>40</v>
      </c>
      <c r="C11" s="5" t="s">
        <v>110</v>
      </c>
      <c r="D11" s="5" t="s">
        <v>9220</v>
      </c>
    </row>
    <row r="12" spans="1:4" ht="10" customHeight="1" x14ac:dyDescent="0.2">
      <c r="A12" s="5">
        <v>25</v>
      </c>
      <c r="B12" s="5" t="s">
        <v>40</v>
      </c>
      <c r="C12" s="5" t="s">
        <v>114</v>
      </c>
      <c r="D12" s="5" t="s">
        <v>9221</v>
      </c>
    </row>
    <row r="13" spans="1:4" ht="10" customHeight="1" x14ac:dyDescent="0.2">
      <c r="A13" s="5">
        <v>26</v>
      </c>
      <c r="B13" s="5" t="s">
        <v>40</v>
      </c>
      <c r="C13" s="5" t="s">
        <v>120</v>
      </c>
      <c r="D13" s="5" t="s">
        <v>9222</v>
      </c>
    </row>
    <row r="14" spans="1:4" ht="10" customHeight="1" x14ac:dyDescent="0.2">
      <c r="A14" s="5">
        <v>30</v>
      </c>
      <c r="B14" s="5" t="s">
        <v>40</v>
      </c>
      <c r="C14" s="5" t="s">
        <v>130</v>
      </c>
      <c r="D14" s="5" t="s">
        <v>9223</v>
      </c>
    </row>
    <row r="15" spans="1:4" ht="10" customHeight="1" x14ac:dyDescent="0.2">
      <c r="A15" s="5">
        <v>31</v>
      </c>
      <c r="B15" s="5" t="s">
        <v>40</v>
      </c>
      <c r="C15" s="5" t="s">
        <v>134</v>
      </c>
      <c r="D15" s="5" t="s">
        <v>9224</v>
      </c>
    </row>
    <row r="16" spans="1:4" ht="10" customHeight="1" x14ac:dyDescent="0.2">
      <c r="A16" s="5">
        <v>32</v>
      </c>
      <c r="B16" s="5" t="s">
        <v>40</v>
      </c>
      <c r="C16" s="5" t="s">
        <v>139</v>
      </c>
      <c r="D16" s="5" t="s">
        <v>9225</v>
      </c>
    </row>
    <row r="17" spans="1:4" ht="10" customHeight="1" x14ac:dyDescent="0.2">
      <c r="A17" s="5">
        <v>33</v>
      </c>
      <c r="B17" s="5" t="s">
        <v>40</v>
      </c>
      <c r="C17" s="5" t="s">
        <v>144</v>
      </c>
      <c r="D17" s="5" t="s">
        <v>9226</v>
      </c>
    </row>
    <row r="18" spans="1:4" ht="10" customHeight="1" x14ac:dyDescent="0.2">
      <c r="A18" s="5">
        <v>37</v>
      </c>
      <c r="B18" s="5" t="s">
        <v>40</v>
      </c>
      <c r="C18" s="5" t="s">
        <v>157</v>
      </c>
      <c r="D18" s="5" t="s">
        <v>9227</v>
      </c>
    </row>
    <row r="19" spans="1:4" ht="10" customHeight="1" x14ac:dyDescent="0.2">
      <c r="A19" s="5">
        <v>39</v>
      </c>
      <c r="B19" s="5" t="s">
        <v>40</v>
      </c>
      <c r="C19" s="5" t="s">
        <v>163</v>
      </c>
      <c r="D19" s="5" t="s">
        <v>9228</v>
      </c>
    </row>
    <row r="20" spans="1:4" ht="10" customHeight="1" x14ac:dyDescent="0.2">
      <c r="A20" s="5">
        <v>42</v>
      </c>
      <c r="B20" s="5" t="s">
        <v>40</v>
      </c>
      <c r="C20" s="5" t="s">
        <v>172</v>
      </c>
      <c r="D20" s="5" t="s">
        <v>9229</v>
      </c>
    </row>
    <row r="21" spans="1:4" ht="10" customHeight="1" x14ac:dyDescent="0.2">
      <c r="A21" s="5">
        <v>43</v>
      </c>
      <c r="B21" s="5" t="s">
        <v>40</v>
      </c>
      <c r="C21" s="5" t="s">
        <v>177</v>
      </c>
      <c r="D21" s="5" t="s">
        <v>9230</v>
      </c>
    </row>
    <row r="22" spans="1:4" ht="10" customHeight="1" x14ac:dyDescent="0.2">
      <c r="A22" s="5">
        <v>44</v>
      </c>
      <c r="B22" s="5" t="s">
        <v>40</v>
      </c>
      <c r="C22" s="5" t="s">
        <v>183</v>
      </c>
      <c r="D22" s="5" t="s">
        <v>9231</v>
      </c>
    </row>
    <row r="23" spans="1:4" ht="10" customHeight="1" x14ac:dyDescent="0.2">
      <c r="A23" s="5">
        <v>45</v>
      </c>
      <c r="B23" s="5" t="s">
        <v>40</v>
      </c>
      <c r="C23" s="5" t="s">
        <v>191</v>
      </c>
      <c r="D23" s="5" t="s">
        <v>9232</v>
      </c>
    </row>
    <row r="24" spans="1:4" ht="10" customHeight="1" x14ac:dyDescent="0.2">
      <c r="A24" s="5">
        <v>46</v>
      </c>
      <c r="B24" s="5" t="s">
        <v>40</v>
      </c>
      <c r="C24" s="5" t="s">
        <v>197</v>
      </c>
      <c r="D24" s="5" t="s">
        <v>9233</v>
      </c>
    </row>
    <row r="25" spans="1:4" ht="10" customHeight="1" x14ac:dyDescent="0.2">
      <c r="A25" s="5">
        <v>49</v>
      </c>
      <c r="B25" s="5" t="s">
        <v>40</v>
      </c>
      <c r="C25" s="5" t="s">
        <v>209</v>
      </c>
      <c r="D25" s="5" t="s">
        <v>9234</v>
      </c>
    </row>
    <row r="26" spans="1:4" ht="10" customHeight="1" x14ac:dyDescent="0.2">
      <c r="A26" s="5">
        <v>52</v>
      </c>
      <c r="B26" s="5" t="s">
        <v>40</v>
      </c>
      <c r="C26" s="5" t="s">
        <v>221</v>
      </c>
      <c r="D26" s="5" t="s">
        <v>9235</v>
      </c>
    </row>
    <row r="27" spans="1:4" ht="10" customHeight="1" x14ac:dyDescent="0.2">
      <c r="A27" s="5">
        <v>53</v>
      </c>
      <c r="B27" s="5" t="s">
        <v>40</v>
      </c>
      <c r="C27" s="5" t="s">
        <v>227</v>
      </c>
      <c r="D27" s="5" t="s">
        <v>9236</v>
      </c>
    </row>
    <row r="28" spans="1:4" ht="10" customHeight="1" x14ac:dyDescent="0.2">
      <c r="A28" s="5">
        <v>54</v>
      </c>
      <c r="B28" s="5" t="s">
        <v>40</v>
      </c>
      <c r="C28" s="5" t="s">
        <v>234</v>
      </c>
      <c r="D28" s="5" t="s">
        <v>9237</v>
      </c>
    </row>
    <row r="29" spans="1:4" ht="10" customHeight="1" x14ac:dyDescent="0.2">
      <c r="A29" s="5">
        <v>56</v>
      </c>
      <c r="B29" s="5" t="s">
        <v>40</v>
      </c>
      <c r="C29" s="5" t="s">
        <v>245</v>
      </c>
      <c r="D29" s="5" t="s">
        <v>9238</v>
      </c>
    </row>
    <row r="30" spans="1:4" ht="10" customHeight="1" x14ac:dyDescent="0.2">
      <c r="A30" s="5">
        <v>76</v>
      </c>
      <c r="B30" s="5" t="s">
        <v>40</v>
      </c>
      <c r="C30" s="5" t="s">
        <v>291</v>
      </c>
      <c r="D30" s="5" t="s">
        <v>9239</v>
      </c>
    </row>
    <row r="31" spans="1:4" ht="10" customHeight="1" x14ac:dyDescent="0.2">
      <c r="A31" s="5">
        <v>77</v>
      </c>
      <c r="B31" s="5" t="s">
        <v>40</v>
      </c>
      <c r="C31" s="5" t="s">
        <v>295</v>
      </c>
      <c r="D31" s="5" t="s">
        <v>9240</v>
      </c>
    </row>
    <row r="32" spans="1:4" ht="10" customHeight="1" x14ac:dyDescent="0.2">
      <c r="A32" s="5">
        <v>78</v>
      </c>
      <c r="B32" s="5" t="s">
        <v>40</v>
      </c>
      <c r="C32" s="5" t="s">
        <v>299</v>
      </c>
      <c r="D32" s="5" t="s">
        <v>9241</v>
      </c>
    </row>
    <row r="33" spans="1:4" ht="10" customHeight="1" x14ac:dyDescent="0.2">
      <c r="A33" s="5">
        <v>79</v>
      </c>
      <c r="B33" s="5" t="s">
        <v>40</v>
      </c>
      <c r="C33" s="5" t="s">
        <v>306</v>
      </c>
      <c r="D33" s="5" t="s">
        <v>9242</v>
      </c>
    </row>
    <row r="34" spans="1:4" ht="10" customHeight="1" x14ac:dyDescent="0.2">
      <c r="A34" s="5">
        <v>80</v>
      </c>
      <c r="B34" s="5" t="s">
        <v>40</v>
      </c>
      <c r="C34" s="5" t="s">
        <v>310</v>
      </c>
      <c r="D34" s="5" t="s">
        <v>9243</v>
      </c>
    </row>
    <row r="35" spans="1:4" ht="10" customHeight="1" x14ac:dyDescent="0.2">
      <c r="A35" s="5">
        <v>1781</v>
      </c>
      <c r="B35" s="5" t="s">
        <v>4313</v>
      </c>
      <c r="C35" s="5" t="s">
        <v>4315</v>
      </c>
      <c r="D35" s="5" t="s">
        <v>9244</v>
      </c>
    </row>
    <row r="36" spans="1:4" ht="10" customHeight="1" x14ac:dyDescent="0.2">
      <c r="A36" s="5">
        <v>1784</v>
      </c>
      <c r="B36" s="5" t="s">
        <v>4313</v>
      </c>
      <c r="C36" s="5" t="s">
        <v>4322</v>
      </c>
      <c r="D36" s="5" t="s">
        <v>9245</v>
      </c>
    </row>
    <row r="37" spans="1:4" ht="10" customHeight="1" x14ac:dyDescent="0.2">
      <c r="A37" s="5">
        <v>1785</v>
      </c>
      <c r="B37" s="5" t="s">
        <v>4313</v>
      </c>
      <c r="C37" s="5" t="s">
        <v>4327</v>
      </c>
      <c r="D37" s="5" t="s">
        <v>9246</v>
      </c>
    </row>
    <row r="38" spans="1:4" ht="10" customHeight="1" x14ac:dyDescent="0.2">
      <c r="A38" s="5">
        <v>1786</v>
      </c>
      <c r="B38" s="5" t="s">
        <v>4313</v>
      </c>
      <c r="C38" s="5" t="s">
        <v>4330</v>
      </c>
      <c r="D38" s="5" t="s">
        <v>9247</v>
      </c>
    </row>
    <row r="39" spans="1:4" ht="10" customHeight="1" x14ac:dyDescent="0.2">
      <c r="A39" s="5">
        <v>1787</v>
      </c>
      <c r="B39" s="5" t="s">
        <v>4313</v>
      </c>
      <c r="C39" s="5" t="s">
        <v>4334</v>
      </c>
      <c r="D39" s="5" t="s">
        <v>9248</v>
      </c>
    </row>
    <row r="40" spans="1:4" ht="10" customHeight="1" x14ac:dyDescent="0.2">
      <c r="A40" s="5">
        <v>1788</v>
      </c>
      <c r="B40" s="5" t="s">
        <v>4313</v>
      </c>
      <c r="C40" s="5" t="s">
        <v>4323</v>
      </c>
      <c r="D40" s="5" t="s">
        <v>9249</v>
      </c>
    </row>
    <row r="41" spans="1:4" ht="10" customHeight="1" x14ac:dyDescent="0.2">
      <c r="A41" s="5">
        <v>1821</v>
      </c>
      <c r="B41" s="5" t="s">
        <v>4313</v>
      </c>
      <c r="C41" s="5" t="s">
        <v>4417</v>
      </c>
      <c r="D41" s="5" t="s">
        <v>9250</v>
      </c>
    </row>
    <row r="42" spans="1:4" ht="10" customHeight="1" x14ac:dyDescent="0.2">
      <c r="A42" s="5">
        <v>1822</v>
      </c>
      <c r="B42" s="5" t="s">
        <v>4313</v>
      </c>
      <c r="C42" s="5" t="s">
        <v>4420</v>
      </c>
      <c r="D42" s="5" t="s">
        <v>9251</v>
      </c>
    </row>
    <row r="43" spans="1:4" ht="10" customHeight="1" x14ac:dyDescent="0.2">
      <c r="A43" s="5">
        <v>1826</v>
      </c>
      <c r="B43" s="5" t="s">
        <v>4313</v>
      </c>
      <c r="C43" s="5" t="s">
        <v>4431</v>
      </c>
      <c r="D43" s="5" t="s">
        <v>9252</v>
      </c>
    </row>
    <row r="44" spans="1:4" ht="10" customHeight="1" x14ac:dyDescent="0.2">
      <c r="A44" s="5">
        <v>1886</v>
      </c>
      <c r="B44" s="5" t="s">
        <v>4313</v>
      </c>
      <c r="C44" s="5" t="s">
        <v>4575</v>
      </c>
      <c r="D44" s="5" t="s">
        <v>9253</v>
      </c>
    </row>
    <row r="45" spans="1:4" ht="10" customHeight="1" x14ac:dyDescent="0.2">
      <c r="A45" s="5">
        <v>1887</v>
      </c>
      <c r="B45" s="5" t="s">
        <v>4313</v>
      </c>
      <c r="C45" s="5" t="s">
        <v>4577</v>
      </c>
      <c r="D45" s="5" t="s">
        <v>9254</v>
      </c>
    </row>
    <row r="46" spans="1:4" ht="10" customHeight="1" x14ac:dyDescent="0.2">
      <c r="A46" s="5">
        <v>1888</v>
      </c>
      <c r="B46" s="5" t="s">
        <v>4313</v>
      </c>
      <c r="C46" s="5" t="s">
        <v>4579</v>
      </c>
      <c r="D46" s="5" t="s">
        <v>9255</v>
      </c>
    </row>
    <row r="47" spans="1:4" ht="10" customHeight="1" x14ac:dyDescent="0.2">
      <c r="A47" s="5">
        <v>1893</v>
      </c>
      <c r="B47" s="5" t="s">
        <v>4313</v>
      </c>
      <c r="C47" s="5" t="s">
        <v>4594</v>
      </c>
      <c r="D47" s="5" t="s">
        <v>9256</v>
      </c>
    </row>
    <row r="48" spans="1:4" ht="10" customHeight="1" x14ac:dyDescent="0.2">
      <c r="A48" s="5">
        <v>1912</v>
      </c>
      <c r="B48" s="5" t="s">
        <v>4313</v>
      </c>
      <c r="C48" s="5" t="s">
        <v>4638</v>
      </c>
      <c r="D48" s="5" t="s">
        <v>9257</v>
      </c>
    </row>
    <row r="49" spans="1:4" ht="10" customHeight="1" x14ac:dyDescent="0.2">
      <c r="A49" s="5">
        <v>1913</v>
      </c>
      <c r="B49" s="5" t="s">
        <v>4313</v>
      </c>
      <c r="C49" s="5" t="s">
        <v>4642</v>
      </c>
      <c r="D49" s="5" t="s">
        <v>9258</v>
      </c>
    </row>
    <row r="50" spans="1:4" ht="10" customHeight="1" x14ac:dyDescent="0.2">
      <c r="A50" s="5">
        <v>1914</v>
      </c>
      <c r="B50" s="5" t="s">
        <v>4313</v>
      </c>
      <c r="C50" s="5" t="s">
        <v>4647</v>
      </c>
      <c r="D50" s="5" t="s">
        <v>9259</v>
      </c>
    </row>
    <row r="51" spans="1:4" ht="10" customHeight="1" x14ac:dyDescent="0.2">
      <c r="A51" s="5">
        <v>1915</v>
      </c>
      <c r="B51" s="5" t="s">
        <v>4313</v>
      </c>
      <c r="C51" s="5" t="s">
        <v>4650</v>
      </c>
      <c r="D51" s="5" t="s">
        <v>9260</v>
      </c>
    </row>
    <row r="52" spans="1:4" ht="10" customHeight="1" x14ac:dyDescent="0.2">
      <c r="A52" s="5">
        <v>1916</v>
      </c>
      <c r="B52" s="5" t="s">
        <v>4313</v>
      </c>
      <c r="C52" s="5" t="s">
        <v>4652</v>
      </c>
      <c r="D52" s="5" t="s">
        <v>9261</v>
      </c>
    </row>
    <row r="53" spans="1:4" ht="10" customHeight="1" x14ac:dyDescent="0.2">
      <c r="A53" s="5">
        <v>1917</v>
      </c>
      <c r="B53" s="5" t="s">
        <v>4313</v>
      </c>
      <c r="C53" s="5" t="s">
        <v>4654</v>
      </c>
      <c r="D53" s="5" t="s">
        <v>9262</v>
      </c>
    </row>
    <row r="54" spans="1:4" ht="10" customHeight="1" x14ac:dyDescent="0.2">
      <c r="A54" s="5">
        <v>1918</v>
      </c>
      <c r="B54" s="5" t="s">
        <v>4313</v>
      </c>
      <c r="C54" s="5" t="s">
        <v>4658</v>
      </c>
      <c r="D54" s="5" t="s">
        <v>9263</v>
      </c>
    </row>
    <row r="55" spans="1:4" ht="10" customHeight="1" x14ac:dyDescent="0.2">
      <c r="A55" s="5">
        <v>1919</v>
      </c>
      <c r="B55" s="5" t="s">
        <v>4313</v>
      </c>
      <c r="C55" s="5" t="s">
        <v>4660</v>
      </c>
      <c r="D55" s="5" t="s">
        <v>9264</v>
      </c>
    </row>
    <row r="56" spans="1:4" ht="10" customHeight="1" x14ac:dyDescent="0.2">
      <c r="A56" s="5">
        <v>1920</v>
      </c>
      <c r="B56" s="5" t="s">
        <v>4313</v>
      </c>
      <c r="C56" s="5" t="s">
        <v>4663</v>
      </c>
      <c r="D56" s="5" t="s">
        <v>9265</v>
      </c>
    </row>
    <row r="57" spans="1:4" ht="10" customHeight="1" x14ac:dyDescent="0.2">
      <c r="A57" s="5">
        <v>1921</v>
      </c>
      <c r="B57" s="5" t="s">
        <v>4313</v>
      </c>
      <c r="C57" s="5" t="s">
        <v>4665</v>
      </c>
      <c r="D57" s="5" t="s">
        <v>9266</v>
      </c>
    </row>
    <row r="58" spans="1:4" ht="10" customHeight="1" x14ac:dyDescent="0.2">
      <c r="A58" s="5">
        <v>1922</v>
      </c>
      <c r="B58" s="5" t="s">
        <v>4313</v>
      </c>
      <c r="C58" s="5" t="s">
        <v>4667</v>
      </c>
      <c r="D58" s="5" t="s">
        <v>9267</v>
      </c>
    </row>
    <row r="59" spans="1:4" ht="10" customHeight="1" x14ac:dyDescent="0.2">
      <c r="A59" s="5">
        <v>1923</v>
      </c>
      <c r="B59" s="5" t="s">
        <v>4313</v>
      </c>
      <c r="C59" s="5" t="s">
        <v>4668</v>
      </c>
      <c r="D59" s="5" t="s">
        <v>9268</v>
      </c>
    </row>
    <row r="60" spans="1:4" ht="10" customHeight="1" x14ac:dyDescent="0.2">
      <c r="A60" s="5">
        <v>1924</v>
      </c>
      <c r="B60" s="5" t="s">
        <v>4313</v>
      </c>
      <c r="C60" s="5" t="s">
        <v>4669</v>
      </c>
      <c r="D60" s="5" t="s">
        <v>9269</v>
      </c>
    </row>
    <row r="61" spans="1:4" ht="10" customHeight="1" x14ac:dyDescent="0.2">
      <c r="A61" s="5">
        <v>1925</v>
      </c>
      <c r="B61" s="5" t="s">
        <v>4313</v>
      </c>
      <c r="C61" s="5" t="s">
        <v>4670</v>
      </c>
      <c r="D61" s="5" t="s">
        <v>9270</v>
      </c>
    </row>
    <row r="62" spans="1:4" ht="10" customHeight="1" x14ac:dyDescent="0.2">
      <c r="A62" s="5">
        <v>1926</v>
      </c>
      <c r="B62" s="5" t="s">
        <v>4313</v>
      </c>
      <c r="C62" s="5" t="s">
        <v>4675</v>
      </c>
      <c r="D62" s="5" t="s">
        <v>9271</v>
      </c>
    </row>
    <row r="63" spans="1:4" ht="10" customHeight="1" x14ac:dyDescent="0.2">
      <c r="A63" s="5">
        <v>1927</v>
      </c>
      <c r="B63" s="5" t="s">
        <v>4313</v>
      </c>
      <c r="C63" s="5" t="s">
        <v>4678</v>
      </c>
      <c r="D63" s="5" t="s">
        <v>9272</v>
      </c>
    </row>
    <row r="64" spans="1:4" ht="10" customHeight="1" x14ac:dyDescent="0.2">
      <c r="A64" s="5">
        <v>1928</v>
      </c>
      <c r="B64" s="5" t="s">
        <v>4313</v>
      </c>
      <c r="C64" s="5" t="s">
        <v>4679</v>
      </c>
      <c r="D64" s="5" t="s">
        <v>9273</v>
      </c>
    </row>
    <row r="65" spans="1:4" ht="10" customHeight="1" x14ac:dyDescent="0.2">
      <c r="A65" s="5">
        <v>1929</v>
      </c>
      <c r="B65" s="5" t="s">
        <v>4313</v>
      </c>
      <c r="C65" s="5" t="s">
        <v>4684</v>
      </c>
      <c r="D65" s="5" t="s">
        <v>9274</v>
      </c>
    </row>
    <row r="66" spans="1:4" ht="10" customHeight="1" x14ac:dyDescent="0.2">
      <c r="A66" s="5">
        <v>1930</v>
      </c>
      <c r="B66" s="5" t="s">
        <v>4313</v>
      </c>
      <c r="C66" s="5" t="s">
        <v>4687</v>
      </c>
      <c r="D66" s="5" t="s">
        <v>9275</v>
      </c>
    </row>
    <row r="67" spans="1:4" ht="10" customHeight="1" x14ac:dyDescent="0.2">
      <c r="A67" s="5">
        <v>1931</v>
      </c>
      <c r="B67" s="5" t="s">
        <v>4313</v>
      </c>
      <c r="C67" s="5" t="s">
        <v>4690</v>
      </c>
      <c r="D67" s="5" t="s">
        <v>9276</v>
      </c>
    </row>
    <row r="68" spans="1:4" ht="10" customHeight="1" x14ac:dyDescent="0.2">
      <c r="A68" s="5">
        <v>1938</v>
      </c>
      <c r="B68" s="5" t="s">
        <v>4708</v>
      </c>
      <c r="C68" s="5" t="s">
        <v>4710</v>
      </c>
      <c r="D68" s="5" t="s">
        <v>9277</v>
      </c>
    </row>
    <row r="69" spans="1:4" ht="10" customHeight="1" x14ac:dyDescent="0.2">
      <c r="A69" s="5">
        <v>1958</v>
      </c>
      <c r="B69" s="5" t="s">
        <v>4708</v>
      </c>
      <c r="C69" s="5" t="s">
        <v>4740</v>
      </c>
      <c r="D69" s="5" t="s">
        <v>9278</v>
      </c>
    </row>
    <row r="70" spans="1:4" ht="10" customHeight="1" x14ac:dyDescent="0.2">
      <c r="A70" s="5">
        <v>1959</v>
      </c>
      <c r="B70" s="5" t="s">
        <v>4708</v>
      </c>
      <c r="C70" s="5" t="s">
        <v>4744</v>
      </c>
      <c r="D70" s="5" t="s">
        <v>9279</v>
      </c>
    </row>
    <row r="71" spans="1:4" ht="10" customHeight="1" x14ac:dyDescent="0.2">
      <c r="A71" s="5">
        <v>1960</v>
      </c>
      <c r="B71" s="5" t="s">
        <v>4708</v>
      </c>
      <c r="C71" s="5" t="s">
        <v>4747</v>
      </c>
      <c r="D71" s="5" t="s">
        <v>9280</v>
      </c>
    </row>
    <row r="72" spans="1:4" ht="10" customHeight="1" x14ac:dyDescent="0.2">
      <c r="A72" s="5">
        <v>1961</v>
      </c>
      <c r="B72" s="5" t="s">
        <v>4708</v>
      </c>
      <c r="C72" s="5" t="s">
        <v>4751</v>
      </c>
      <c r="D72" s="5" t="s">
        <v>9281</v>
      </c>
    </row>
    <row r="73" spans="1:4" ht="10" customHeight="1" x14ac:dyDescent="0.2">
      <c r="A73" s="5">
        <v>1962</v>
      </c>
      <c r="B73" s="5" t="s">
        <v>4708</v>
      </c>
      <c r="C73" s="5" t="s">
        <v>4754</v>
      </c>
      <c r="D73" s="5" t="s">
        <v>9282</v>
      </c>
    </row>
    <row r="74" spans="1:4" ht="10" customHeight="1" x14ac:dyDescent="0.2">
      <c r="A74" s="5">
        <v>1963</v>
      </c>
      <c r="B74" s="5" t="s">
        <v>4708</v>
      </c>
      <c r="C74" s="5" t="s">
        <v>4757</v>
      </c>
      <c r="D74" s="5" t="s">
        <v>9283</v>
      </c>
    </row>
    <row r="75" spans="1:4" ht="10" customHeight="1" x14ac:dyDescent="0.2">
      <c r="A75" s="5">
        <v>1964</v>
      </c>
      <c r="B75" s="5" t="s">
        <v>4708</v>
      </c>
      <c r="C75" s="5" t="s">
        <v>4760</v>
      </c>
      <c r="D75" s="5" t="s">
        <v>9284</v>
      </c>
    </row>
    <row r="76" spans="1:4" ht="10" customHeight="1" x14ac:dyDescent="0.2">
      <c r="A76" s="5">
        <v>1965</v>
      </c>
      <c r="B76" s="5" t="s">
        <v>4708</v>
      </c>
      <c r="C76" s="5" t="s">
        <v>4763</v>
      </c>
      <c r="D76" s="5" t="s">
        <v>9285</v>
      </c>
    </row>
    <row r="77" spans="1:4" ht="10" customHeight="1" x14ac:dyDescent="0.2">
      <c r="A77" s="5">
        <v>1966</v>
      </c>
      <c r="B77" s="5" t="s">
        <v>4708</v>
      </c>
      <c r="C77" s="5" t="s">
        <v>4766</v>
      </c>
      <c r="D77" s="5" t="s">
        <v>9286</v>
      </c>
    </row>
    <row r="78" spans="1:4" ht="10" customHeight="1" x14ac:dyDescent="0.2">
      <c r="A78" s="5">
        <v>1967</v>
      </c>
      <c r="B78" s="5" t="s">
        <v>4708</v>
      </c>
      <c r="C78" s="5" t="s">
        <v>4769</v>
      </c>
      <c r="D78" s="5" t="s">
        <v>9287</v>
      </c>
    </row>
    <row r="79" spans="1:4" ht="10" customHeight="1" x14ac:dyDescent="0.2">
      <c r="A79" s="5">
        <v>1968</v>
      </c>
      <c r="B79" s="5" t="s">
        <v>4708</v>
      </c>
      <c r="C79" s="5" t="s">
        <v>4772</v>
      </c>
      <c r="D79" s="5" t="s">
        <v>9288</v>
      </c>
    </row>
    <row r="80" spans="1:4" ht="10" customHeight="1" x14ac:dyDescent="0.2">
      <c r="A80" s="5">
        <v>1969</v>
      </c>
      <c r="B80" s="5" t="s">
        <v>4708</v>
      </c>
      <c r="C80" s="5" t="s">
        <v>4775</v>
      </c>
      <c r="D80" s="5" t="s">
        <v>9289</v>
      </c>
    </row>
    <row r="81" spans="1:4" ht="10" customHeight="1" x14ac:dyDescent="0.2">
      <c r="A81" s="5">
        <v>1970</v>
      </c>
      <c r="B81" s="5" t="s">
        <v>4708</v>
      </c>
      <c r="C81" s="5" t="s">
        <v>4778</v>
      </c>
      <c r="D81" s="5" t="s">
        <v>9290</v>
      </c>
    </row>
    <row r="82" spans="1:4" ht="10" customHeight="1" x14ac:dyDescent="0.2">
      <c r="A82" s="5">
        <v>1971</v>
      </c>
      <c r="B82" s="5" t="s">
        <v>4708</v>
      </c>
      <c r="C82" s="5" t="s">
        <v>4782</v>
      </c>
      <c r="D82" s="5" t="s">
        <v>9291</v>
      </c>
    </row>
    <row r="83" spans="1:4" ht="10" customHeight="1" x14ac:dyDescent="0.2">
      <c r="A83" s="5">
        <v>1972</v>
      </c>
      <c r="B83" s="5" t="s">
        <v>4708</v>
      </c>
      <c r="C83" s="5" t="s">
        <v>4785</v>
      </c>
      <c r="D83" s="5" t="s">
        <v>9292</v>
      </c>
    </row>
    <row r="84" spans="1:4" ht="10" customHeight="1" x14ac:dyDescent="0.2">
      <c r="A84" s="5">
        <v>1973</v>
      </c>
      <c r="B84" s="5" t="s">
        <v>4708</v>
      </c>
      <c r="C84" s="5" t="s">
        <v>4788</v>
      </c>
      <c r="D84" s="5" t="s">
        <v>9293</v>
      </c>
    </row>
    <row r="85" spans="1:4" ht="10" customHeight="1" x14ac:dyDescent="0.2">
      <c r="A85" s="5">
        <v>1974</v>
      </c>
      <c r="B85" s="5" t="s">
        <v>4708</v>
      </c>
      <c r="C85" s="5" t="s">
        <v>4790</v>
      </c>
      <c r="D85" s="5" t="s">
        <v>9294</v>
      </c>
    </row>
    <row r="86" spans="1:4" ht="10" customHeight="1" x14ac:dyDescent="0.2">
      <c r="A86" s="5">
        <v>2159</v>
      </c>
      <c r="B86" s="5" t="s">
        <v>4708</v>
      </c>
      <c r="C86" s="5" t="s">
        <v>5184</v>
      </c>
      <c r="D86" s="5" t="s">
        <v>9295</v>
      </c>
    </row>
    <row r="87" spans="1:4" ht="10" customHeight="1" x14ac:dyDescent="0.2">
      <c r="A87" s="5">
        <v>2163</v>
      </c>
      <c r="B87" s="5" t="s">
        <v>4708</v>
      </c>
      <c r="C87" s="5" t="s">
        <v>5190</v>
      </c>
      <c r="D87" s="5" t="s">
        <v>9296</v>
      </c>
    </row>
    <row r="88" spans="1:4" ht="10" customHeight="1" x14ac:dyDescent="0.2">
      <c r="A88" s="5">
        <v>2170</v>
      </c>
      <c r="B88" s="5" t="s">
        <v>4708</v>
      </c>
      <c r="C88" s="5" t="s">
        <v>5201</v>
      </c>
      <c r="D88" s="5" t="s">
        <v>9297</v>
      </c>
    </row>
    <row r="89" spans="1:4" ht="10" customHeight="1" x14ac:dyDescent="0.2">
      <c r="A89" s="5">
        <v>2171</v>
      </c>
      <c r="B89" s="5" t="s">
        <v>4708</v>
      </c>
      <c r="C89" s="5" t="s">
        <v>5203</v>
      </c>
      <c r="D89" s="5" t="s">
        <v>9298</v>
      </c>
    </row>
    <row r="90" spans="1:4" ht="10" customHeight="1" x14ac:dyDescent="0.2">
      <c r="A90" s="5">
        <v>2173</v>
      </c>
      <c r="B90" s="5" t="s">
        <v>4708</v>
      </c>
      <c r="C90" s="5" t="s">
        <v>5208</v>
      </c>
      <c r="D90" s="5" t="s">
        <v>9299</v>
      </c>
    </row>
    <row r="91" spans="1:4" ht="10" customHeight="1" x14ac:dyDescent="0.2">
      <c r="A91" s="5">
        <v>2179</v>
      </c>
      <c r="B91" s="5" t="s">
        <v>4708</v>
      </c>
      <c r="C91" s="5" t="s">
        <v>5224</v>
      </c>
      <c r="D91" s="5" t="s">
        <v>9300</v>
      </c>
    </row>
    <row r="92" spans="1:4" ht="10" customHeight="1" x14ac:dyDescent="0.2">
      <c r="A92" s="5">
        <v>2182</v>
      </c>
      <c r="B92" s="5" t="s">
        <v>4708</v>
      </c>
      <c r="C92" s="5" t="s">
        <v>5232</v>
      </c>
      <c r="D92" s="5" t="s">
        <v>9301</v>
      </c>
    </row>
    <row r="93" spans="1:4" ht="10" customHeight="1" x14ac:dyDescent="0.2">
      <c r="A93" s="5">
        <v>2185</v>
      </c>
      <c r="B93" s="5" t="s">
        <v>4708</v>
      </c>
      <c r="C93" s="5" t="s">
        <v>5241</v>
      </c>
      <c r="D93" s="5" t="s">
        <v>9302</v>
      </c>
    </row>
    <row r="94" spans="1:4" ht="10" customHeight="1" x14ac:dyDescent="0.2">
      <c r="A94" s="5">
        <v>2186</v>
      </c>
      <c r="B94" s="5" t="s">
        <v>4708</v>
      </c>
      <c r="C94" s="5" t="s">
        <v>5244</v>
      </c>
      <c r="D94" s="5" t="s">
        <v>9303</v>
      </c>
    </row>
    <row r="95" spans="1:4" ht="10" customHeight="1" x14ac:dyDescent="0.2">
      <c r="A95" s="5">
        <v>2187</v>
      </c>
      <c r="B95" s="5" t="s">
        <v>4708</v>
      </c>
      <c r="C95" s="5" t="s">
        <v>5248</v>
      </c>
      <c r="D95" s="5" t="s">
        <v>9304</v>
      </c>
    </row>
    <row r="96" spans="1:4" ht="10" customHeight="1" x14ac:dyDescent="0.2">
      <c r="A96" s="5">
        <v>2192</v>
      </c>
      <c r="B96" s="5" t="s">
        <v>4708</v>
      </c>
      <c r="C96" s="5" t="s">
        <v>5263</v>
      </c>
      <c r="D96" s="5" t="s">
        <v>9305</v>
      </c>
    </row>
    <row r="97" spans="1:4" ht="10" customHeight="1" x14ac:dyDescent="0.2">
      <c r="A97" s="5">
        <v>2198</v>
      </c>
      <c r="B97" s="5" t="s">
        <v>4708</v>
      </c>
      <c r="C97" s="5" t="s">
        <v>5285</v>
      </c>
      <c r="D97" s="5" t="s">
        <v>9306</v>
      </c>
    </row>
    <row r="98" spans="1:4" ht="10" customHeight="1" x14ac:dyDescent="0.2">
      <c r="A98" s="5">
        <v>2199</v>
      </c>
      <c r="B98" s="5" t="s">
        <v>4708</v>
      </c>
      <c r="C98" s="5" t="s">
        <v>5289</v>
      </c>
      <c r="D98" s="5" t="s">
        <v>9307</v>
      </c>
    </row>
    <row r="99" spans="1:4" ht="10" customHeight="1" x14ac:dyDescent="0.2">
      <c r="A99" s="5">
        <v>2209</v>
      </c>
      <c r="B99" s="5" t="s">
        <v>4708</v>
      </c>
      <c r="C99" s="5" t="s">
        <v>5319</v>
      </c>
      <c r="D99" s="5" t="s">
        <v>9308</v>
      </c>
    </row>
    <row r="100" spans="1:4" ht="10" customHeight="1" x14ac:dyDescent="0.2">
      <c r="A100" s="5">
        <v>2211</v>
      </c>
      <c r="B100" s="5" t="s">
        <v>4708</v>
      </c>
      <c r="C100" s="5" t="s">
        <v>5321</v>
      </c>
      <c r="D100" s="5" t="s">
        <v>9309</v>
      </c>
    </row>
    <row r="101" spans="1:4" ht="10" customHeight="1" x14ac:dyDescent="0.2">
      <c r="A101" s="5">
        <v>2218</v>
      </c>
      <c r="B101" s="5" t="s">
        <v>4708</v>
      </c>
      <c r="C101" s="5" t="s">
        <v>5338</v>
      </c>
      <c r="D101" s="5" t="s">
        <v>9310</v>
      </c>
    </row>
    <row r="102" spans="1:4" ht="10" customHeight="1" x14ac:dyDescent="0.2">
      <c r="A102" s="5">
        <v>2220</v>
      </c>
      <c r="B102" s="5" t="s">
        <v>4708</v>
      </c>
      <c r="C102" s="5" t="s">
        <v>5345</v>
      </c>
      <c r="D102" s="5" t="s">
        <v>9311</v>
      </c>
    </row>
    <row r="103" spans="1:4" ht="10" customHeight="1" x14ac:dyDescent="0.2">
      <c r="A103" s="5">
        <v>2226</v>
      </c>
      <c r="B103" s="5" t="s">
        <v>4708</v>
      </c>
      <c r="C103" s="5" t="s">
        <v>5365</v>
      </c>
      <c r="D103" s="5" t="s">
        <v>9312</v>
      </c>
    </row>
    <row r="104" spans="1:4" ht="10" customHeight="1" x14ac:dyDescent="0.2">
      <c r="A104" s="5">
        <v>2228</v>
      </c>
      <c r="B104" s="5" t="s">
        <v>4708</v>
      </c>
      <c r="C104" s="5" t="s">
        <v>5373</v>
      </c>
      <c r="D104" s="5" t="s">
        <v>9313</v>
      </c>
    </row>
    <row r="105" spans="1:4" ht="10" customHeight="1" x14ac:dyDescent="0.2">
      <c r="A105" s="5">
        <v>2231</v>
      </c>
      <c r="B105" s="5" t="s">
        <v>4708</v>
      </c>
      <c r="C105" s="5" t="s">
        <v>5381</v>
      </c>
      <c r="D105" s="5" t="s">
        <v>9314</v>
      </c>
    </row>
    <row r="106" spans="1:4" ht="10" customHeight="1" x14ac:dyDescent="0.2">
      <c r="A106" s="5">
        <v>2235</v>
      </c>
      <c r="B106" s="5" t="s">
        <v>4708</v>
      </c>
      <c r="C106" s="5" t="s">
        <v>5392</v>
      </c>
      <c r="D106" s="5" t="s">
        <v>9315</v>
      </c>
    </row>
    <row r="107" spans="1:4" ht="10" customHeight="1" x14ac:dyDescent="0.2">
      <c r="A107" s="5">
        <v>2240</v>
      </c>
      <c r="B107" s="5" t="s">
        <v>4708</v>
      </c>
      <c r="C107" s="5" t="s">
        <v>5404</v>
      </c>
      <c r="D107" s="5" t="s">
        <v>9316</v>
      </c>
    </row>
    <row r="108" spans="1:4" ht="10" customHeight="1" x14ac:dyDescent="0.2">
      <c r="A108" s="5">
        <v>2243</v>
      </c>
      <c r="B108" s="5" t="s">
        <v>4708</v>
      </c>
      <c r="C108" s="5" t="s">
        <v>5416</v>
      </c>
      <c r="D108" s="5" t="s">
        <v>9317</v>
      </c>
    </row>
    <row r="109" spans="1:4" ht="10" customHeight="1" x14ac:dyDescent="0.2">
      <c r="A109" s="5">
        <v>2245</v>
      </c>
      <c r="B109" s="5" t="s">
        <v>4708</v>
      </c>
      <c r="C109" s="5" t="s">
        <v>5422</v>
      </c>
      <c r="D109" s="5" t="s">
        <v>9318</v>
      </c>
    </row>
    <row r="110" spans="1:4" ht="10" customHeight="1" x14ac:dyDescent="0.2">
      <c r="A110" s="5">
        <v>2246</v>
      </c>
      <c r="B110" s="5" t="s">
        <v>4708</v>
      </c>
      <c r="C110" s="5" t="s">
        <v>5426</v>
      </c>
      <c r="D110" s="5" t="s">
        <v>9319</v>
      </c>
    </row>
    <row r="111" spans="1:4" ht="10" customHeight="1" x14ac:dyDescent="0.2">
      <c r="A111" s="5">
        <v>2247</v>
      </c>
      <c r="B111" s="5" t="s">
        <v>4708</v>
      </c>
      <c r="C111" s="5" t="s">
        <v>5429</v>
      </c>
      <c r="D111" s="5" t="s">
        <v>9320</v>
      </c>
    </row>
    <row r="112" spans="1:4" ht="10" customHeight="1" x14ac:dyDescent="0.2">
      <c r="A112" s="5">
        <v>2248</v>
      </c>
      <c r="B112" s="5" t="s">
        <v>4708</v>
      </c>
      <c r="C112" s="5" t="s">
        <v>5431</v>
      </c>
      <c r="D112" s="5" t="s">
        <v>9321</v>
      </c>
    </row>
    <row r="113" spans="1:4" ht="10" customHeight="1" x14ac:dyDescent="0.2">
      <c r="A113" s="5">
        <v>2654</v>
      </c>
      <c r="B113" s="5" t="s">
        <v>6254</v>
      </c>
      <c r="C113" s="5" t="s">
        <v>6256</v>
      </c>
      <c r="D113" s="5" t="s">
        <v>9322</v>
      </c>
    </row>
    <row r="114" spans="1:4" ht="10" customHeight="1" x14ac:dyDescent="0.2">
      <c r="A114" s="5">
        <v>2655</v>
      </c>
      <c r="B114" s="5" t="s">
        <v>6254</v>
      </c>
      <c r="C114" s="5" t="s">
        <v>6260</v>
      </c>
      <c r="D114" s="5" t="s">
        <v>9323</v>
      </c>
    </row>
    <row r="115" spans="1:4" ht="10" customHeight="1" x14ac:dyDescent="0.2">
      <c r="A115" s="5">
        <v>2656</v>
      </c>
      <c r="B115" s="5" t="s">
        <v>6254</v>
      </c>
      <c r="C115" s="5" t="s">
        <v>6264</v>
      </c>
      <c r="D115" s="5" t="s">
        <v>9324</v>
      </c>
    </row>
    <row r="116" spans="1:4" ht="10" customHeight="1" x14ac:dyDescent="0.2">
      <c r="A116" s="5">
        <v>2657</v>
      </c>
      <c r="B116" s="5" t="s">
        <v>6254</v>
      </c>
      <c r="C116" s="5" t="s">
        <v>6268</v>
      </c>
      <c r="D116" s="5" t="s">
        <v>9325</v>
      </c>
    </row>
    <row r="117" spans="1:4" ht="10" customHeight="1" x14ac:dyDescent="0.2">
      <c r="A117" s="5">
        <v>2658</v>
      </c>
      <c r="B117" s="5" t="s">
        <v>6254</v>
      </c>
      <c r="C117" s="5" t="s">
        <v>6272</v>
      </c>
      <c r="D117" s="5" t="s">
        <v>9326</v>
      </c>
    </row>
    <row r="118" spans="1:4" ht="10" customHeight="1" x14ac:dyDescent="0.2">
      <c r="A118" s="5">
        <v>2663</v>
      </c>
      <c r="B118" s="5" t="s">
        <v>6254</v>
      </c>
      <c r="C118" s="5" t="s">
        <v>6295</v>
      </c>
      <c r="D118" s="5" t="s">
        <v>9327</v>
      </c>
    </row>
    <row r="119" spans="1:4" ht="10" customHeight="1" x14ac:dyDescent="0.2">
      <c r="A119" s="5">
        <v>2664</v>
      </c>
      <c r="B119" s="5" t="s">
        <v>6254</v>
      </c>
      <c r="C119" s="5" t="s">
        <v>6299</v>
      </c>
      <c r="D119" s="5" t="s">
        <v>9328</v>
      </c>
    </row>
    <row r="120" spans="1:4" ht="10" customHeight="1" x14ac:dyDescent="0.2">
      <c r="A120" s="5">
        <v>2665</v>
      </c>
      <c r="B120" s="5" t="s">
        <v>6254</v>
      </c>
      <c r="C120" s="5" t="s">
        <v>6303</v>
      </c>
      <c r="D120" s="5" t="s">
        <v>9329</v>
      </c>
    </row>
    <row r="121" spans="1:4" ht="10" customHeight="1" x14ac:dyDescent="0.2">
      <c r="A121" s="5">
        <v>2666</v>
      </c>
      <c r="B121" s="5" t="s">
        <v>6254</v>
      </c>
      <c r="C121" s="5" t="s">
        <v>6306</v>
      </c>
      <c r="D121" s="5" t="s">
        <v>9330</v>
      </c>
    </row>
    <row r="122" spans="1:4" ht="10" customHeight="1" x14ac:dyDescent="0.2">
      <c r="A122" s="5">
        <v>2667</v>
      </c>
      <c r="B122" s="5" t="s">
        <v>6254</v>
      </c>
      <c r="C122" s="5" t="s">
        <v>6310</v>
      </c>
      <c r="D122" s="5" t="s">
        <v>9331</v>
      </c>
    </row>
    <row r="123" spans="1:4" ht="10" customHeight="1" x14ac:dyDescent="0.2">
      <c r="A123" s="5">
        <v>2668</v>
      </c>
      <c r="B123" s="5" t="s">
        <v>6254</v>
      </c>
      <c r="C123" s="5" t="s">
        <v>6314</v>
      </c>
      <c r="D123" s="5" t="s">
        <v>9332</v>
      </c>
    </row>
    <row r="124" spans="1:4" ht="10" customHeight="1" x14ac:dyDescent="0.2">
      <c r="A124" s="5">
        <v>2669</v>
      </c>
      <c r="B124" s="5" t="s">
        <v>6254</v>
      </c>
      <c r="C124" s="5" t="s">
        <v>6317</v>
      </c>
      <c r="D124" s="5" t="s">
        <v>9333</v>
      </c>
    </row>
    <row r="125" spans="1:4" ht="10" customHeight="1" x14ac:dyDescent="0.2">
      <c r="A125" s="5">
        <v>2670</v>
      </c>
      <c r="B125" s="5" t="s">
        <v>6254</v>
      </c>
      <c r="C125" s="5" t="s">
        <v>6321</v>
      </c>
      <c r="D125" s="5" t="s">
        <v>9334</v>
      </c>
    </row>
    <row r="126" spans="1:4" ht="10" customHeight="1" x14ac:dyDescent="0.2">
      <c r="A126" s="5">
        <v>2671</v>
      </c>
      <c r="B126" s="5" t="s">
        <v>6254</v>
      </c>
      <c r="C126" s="5" t="s">
        <v>6324</v>
      </c>
      <c r="D126" s="5" t="s">
        <v>9335</v>
      </c>
    </row>
    <row r="127" spans="1:4" ht="10" customHeight="1" x14ac:dyDescent="0.2">
      <c r="A127" s="5">
        <v>2672</v>
      </c>
      <c r="B127" s="5" t="s">
        <v>6254</v>
      </c>
      <c r="C127" s="5" t="s">
        <v>6327</v>
      </c>
      <c r="D127" s="5" t="s">
        <v>9336</v>
      </c>
    </row>
    <row r="128" spans="1:4" ht="10" customHeight="1" x14ac:dyDescent="0.2">
      <c r="A128" s="5">
        <v>2673</v>
      </c>
      <c r="B128" s="5" t="s">
        <v>6254</v>
      </c>
      <c r="C128" s="5" t="s">
        <v>6332</v>
      </c>
      <c r="D128" s="5" t="s">
        <v>9337</v>
      </c>
    </row>
    <row r="129" spans="1:4" ht="10" customHeight="1" x14ac:dyDescent="0.2">
      <c r="A129" s="5">
        <v>2675</v>
      </c>
      <c r="B129" s="5" t="s">
        <v>6254</v>
      </c>
      <c r="C129" s="5" t="s">
        <v>6343</v>
      </c>
      <c r="D129" s="5" t="s">
        <v>9338</v>
      </c>
    </row>
    <row r="130" spans="1:4" ht="10" customHeight="1" x14ac:dyDescent="0.2">
      <c r="A130" s="5">
        <v>2676</v>
      </c>
      <c r="B130" s="5" t="s">
        <v>6254</v>
      </c>
      <c r="C130" s="5" t="s">
        <v>6347</v>
      </c>
      <c r="D130" s="5" t="s">
        <v>9339</v>
      </c>
    </row>
    <row r="131" spans="1:4" ht="10" customHeight="1" x14ac:dyDescent="0.2">
      <c r="A131" s="5">
        <v>2677</v>
      </c>
      <c r="B131" s="5" t="s">
        <v>6254</v>
      </c>
      <c r="C131" s="5" t="s">
        <v>6352</v>
      </c>
      <c r="D131" s="5" t="s">
        <v>9340</v>
      </c>
    </row>
    <row r="132" spans="1:4" ht="10" customHeight="1" x14ac:dyDescent="0.2">
      <c r="A132" s="5">
        <v>2678</v>
      </c>
      <c r="B132" s="5" t="s">
        <v>6254</v>
      </c>
      <c r="C132" s="5" t="s">
        <v>283</v>
      </c>
      <c r="D132" s="5" t="s">
        <v>9341</v>
      </c>
    </row>
    <row r="133" spans="1:4" ht="10" customHeight="1" x14ac:dyDescent="0.2">
      <c r="A133" s="5">
        <v>2679</v>
      </c>
      <c r="B133" s="5" t="s">
        <v>6254</v>
      </c>
      <c r="C133" s="5" t="s">
        <v>6359</v>
      </c>
      <c r="D133" s="5" t="s">
        <v>9342</v>
      </c>
    </row>
    <row r="134" spans="1:4" ht="10" customHeight="1" x14ac:dyDescent="0.2">
      <c r="A134" s="5">
        <v>2680</v>
      </c>
      <c r="B134" s="5" t="s">
        <v>6254</v>
      </c>
      <c r="C134" s="5" t="s">
        <v>6365</v>
      </c>
      <c r="D134" s="5" t="s">
        <v>9343</v>
      </c>
    </row>
    <row r="135" spans="1:4" ht="10" customHeight="1" x14ac:dyDescent="0.2">
      <c r="A135" s="5">
        <v>2681</v>
      </c>
      <c r="B135" s="5" t="s">
        <v>6254</v>
      </c>
      <c r="C135" s="5" t="s">
        <v>3558</v>
      </c>
      <c r="D135" s="5" t="s">
        <v>9344</v>
      </c>
    </row>
    <row r="136" spans="1:4" ht="10" customHeight="1" x14ac:dyDescent="0.2">
      <c r="A136" s="5">
        <v>2682</v>
      </c>
      <c r="B136" s="5" t="s">
        <v>6254</v>
      </c>
      <c r="C136" s="5" t="s">
        <v>6374</v>
      </c>
      <c r="D136" s="5" t="s">
        <v>9345</v>
      </c>
    </row>
    <row r="137" spans="1:4" ht="10" customHeight="1" x14ac:dyDescent="0.2">
      <c r="A137" s="5">
        <v>2686</v>
      </c>
      <c r="B137" s="5" t="s">
        <v>6254</v>
      </c>
      <c r="C137" s="5" t="s">
        <v>6393</v>
      </c>
      <c r="D137" s="5" t="s">
        <v>9346</v>
      </c>
    </row>
    <row r="138" spans="1:4" ht="10" customHeight="1" x14ac:dyDescent="0.2">
      <c r="A138" s="5">
        <v>2687</v>
      </c>
      <c r="B138" s="5" t="s">
        <v>6254</v>
      </c>
      <c r="C138" s="5" t="s">
        <v>6398</v>
      </c>
      <c r="D138" s="5" t="s">
        <v>9347</v>
      </c>
    </row>
    <row r="139" spans="1:4" ht="10" customHeight="1" x14ac:dyDescent="0.2">
      <c r="A139" s="5">
        <v>2689</v>
      </c>
      <c r="B139" s="5" t="s">
        <v>6254</v>
      </c>
      <c r="C139" s="5" t="s">
        <v>6405</v>
      </c>
      <c r="D139" s="5" t="s">
        <v>9348</v>
      </c>
    </row>
    <row r="140" spans="1:4" ht="10" customHeight="1" x14ac:dyDescent="0.2">
      <c r="A140" s="5">
        <v>2692</v>
      </c>
      <c r="B140" s="5" t="s">
        <v>6254</v>
      </c>
      <c r="C140" s="5" t="s">
        <v>6420</v>
      </c>
      <c r="D140" s="5" t="s">
        <v>9349</v>
      </c>
    </row>
    <row r="141" spans="1:4" ht="10" customHeight="1" x14ac:dyDescent="0.2">
      <c r="A141" s="5">
        <v>2693</v>
      </c>
      <c r="B141" s="5" t="s">
        <v>6254</v>
      </c>
      <c r="C141" s="5" t="s">
        <v>6424</v>
      </c>
      <c r="D141" s="5" t="s">
        <v>9350</v>
      </c>
    </row>
    <row r="142" spans="1:4" ht="10" customHeight="1" x14ac:dyDescent="0.2">
      <c r="A142" s="5">
        <v>2694</v>
      </c>
      <c r="B142" s="5" t="s">
        <v>6254</v>
      </c>
      <c r="C142" s="5" t="s">
        <v>6429</v>
      </c>
      <c r="D142" s="5" t="s">
        <v>9351</v>
      </c>
    </row>
    <row r="143" spans="1:4" ht="10" customHeight="1" x14ac:dyDescent="0.2">
      <c r="A143" s="5">
        <v>2695</v>
      </c>
      <c r="B143" s="5" t="s">
        <v>6254</v>
      </c>
      <c r="C143" s="5" t="s">
        <v>6435</v>
      </c>
      <c r="D143" s="5" t="s">
        <v>9352</v>
      </c>
    </row>
    <row r="144" spans="1:4" ht="10" customHeight="1" x14ac:dyDescent="0.2">
      <c r="A144" s="5">
        <v>2696</v>
      </c>
      <c r="B144" s="5" t="s">
        <v>6254</v>
      </c>
      <c r="C144" s="5" t="s">
        <v>6440</v>
      </c>
      <c r="D144" s="5" t="s">
        <v>9353</v>
      </c>
    </row>
    <row r="145" spans="1:4" ht="10" customHeight="1" x14ac:dyDescent="0.2">
      <c r="A145" s="5">
        <v>2697</v>
      </c>
      <c r="B145" s="5" t="s">
        <v>6254</v>
      </c>
      <c r="C145" s="5" t="s">
        <v>6445</v>
      </c>
      <c r="D145" s="5" t="s">
        <v>9354</v>
      </c>
    </row>
    <row r="146" spans="1:4" ht="10" customHeight="1" x14ac:dyDescent="0.2">
      <c r="A146" s="5">
        <v>2699</v>
      </c>
      <c r="B146" s="5" t="s">
        <v>6254</v>
      </c>
      <c r="C146" s="5" t="s">
        <v>6452</v>
      </c>
      <c r="D146" s="5" t="s">
        <v>9355</v>
      </c>
    </row>
    <row r="147" spans="1:4" ht="10" customHeight="1" x14ac:dyDescent="0.2">
      <c r="A147" s="5">
        <v>2700</v>
      </c>
      <c r="B147" s="5" t="s">
        <v>6457</v>
      </c>
      <c r="C147" s="5" t="s">
        <v>6458</v>
      </c>
      <c r="D147" s="5" t="s">
        <v>9356</v>
      </c>
    </row>
    <row r="148" spans="1:4" ht="10" customHeight="1" x14ac:dyDescent="0.2">
      <c r="A148" s="5">
        <v>2701</v>
      </c>
      <c r="B148" s="5" t="s">
        <v>6457</v>
      </c>
      <c r="C148" s="5" t="s">
        <v>2905</v>
      </c>
      <c r="D148" s="5" t="s">
        <v>9357</v>
      </c>
    </row>
    <row r="149" spans="1:4" ht="10" customHeight="1" x14ac:dyDescent="0.2">
      <c r="A149" s="5">
        <v>2702</v>
      </c>
      <c r="B149" s="5" t="s">
        <v>6457</v>
      </c>
      <c r="C149" s="5" t="s">
        <v>6464</v>
      </c>
      <c r="D149" s="5" t="s">
        <v>9358</v>
      </c>
    </row>
    <row r="150" spans="1:4" ht="10" customHeight="1" x14ac:dyDescent="0.2">
      <c r="A150" s="5">
        <v>2703</v>
      </c>
      <c r="B150" s="5" t="s">
        <v>6457</v>
      </c>
      <c r="C150" s="5" t="s">
        <v>6469</v>
      </c>
      <c r="D150" s="5" t="s">
        <v>9359</v>
      </c>
    </row>
    <row r="151" spans="1:4" ht="10" customHeight="1" x14ac:dyDescent="0.2">
      <c r="A151" s="5">
        <v>2704</v>
      </c>
      <c r="B151" s="5" t="s">
        <v>6457</v>
      </c>
      <c r="C151" s="5" t="s">
        <v>6472</v>
      </c>
      <c r="D151" s="5" t="s">
        <v>9360</v>
      </c>
    </row>
    <row r="152" spans="1:4" ht="10" customHeight="1" x14ac:dyDescent="0.2">
      <c r="A152" s="5">
        <v>2709</v>
      </c>
      <c r="B152" s="5" t="s">
        <v>6457</v>
      </c>
      <c r="C152" s="5" t="s">
        <v>6487</v>
      </c>
      <c r="D152" s="5" t="s">
        <v>9361</v>
      </c>
    </row>
    <row r="153" spans="1:4" ht="10" customHeight="1" x14ac:dyDescent="0.2">
      <c r="A153" s="5">
        <v>2710</v>
      </c>
      <c r="B153" s="5" t="s">
        <v>6457</v>
      </c>
      <c r="C153" s="5" t="s">
        <v>6491</v>
      </c>
      <c r="D153" s="5" t="s">
        <v>9362</v>
      </c>
    </row>
    <row r="154" spans="1:4" ht="10" customHeight="1" x14ac:dyDescent="0.2">
      <c r="A154" s="5">
        <v>2711</v>
      </c>
      <c r="B154" s="5" t="s">
        <v>6457</v>
      </c>
      <c r="C154" s="5" t="s">
        <v>6494</v>
      </c>
      <c r="D154" s="5" t="s">
        <v>9363</v>
      </c>
    </row>
    <row r="155" spans="1:4" ht="10" customHeight="1" x14ac:dyDescent="0.2">
      <c r="A155" s="5">
        <v>2712</v>
      </c>
      <c r="B155" s="5" t="s">
        <v>6457</v>
      </c>
      <c r="C155" s="5" t="s">
        <v>6497</v>
      </c>
      <c r="D155" s="5" t="s">
        <v>9364</v>
      </c>
    </row>
    <row r="156" spans="1:4" ht="10" customHeight="1" x14ac:dyDescent="0.2">
      <c r="A156" s="5">
        <v>2713</v>
      </c>
      <c r="B156" s="5" t="s">
        <v>6457</v>
      </c>
      <c r="C156" s="5" t="s">
        <v>6499</v>
      </c>
      <c r="D156" s="5" t="s">
        <v>9365</v>
      </c>
    </row>
    <row r="157" spans="1:4" ht="10" customHeight="1" x14ac:dyDescent="0.2">
      <c r="A157" s="5">
        <v>2714</v>
      </c>
      <c r="B157" s="5" t="s">
        <v>6457</v>
      </c>
      <c r="C157" s="5" t="s">
        <v>6501</v>
      </c>
      <c r="D157" s="5" t="s">
        <v>9366</v>
      </c>
    </row>
    <row r="158" spans="1:4" ht="10" customHeight="1" x14ac:dyDescent="0.2">
      <c r="A158" s="5">
        <v>2715</v>
      </c>
      <c r="B158" s="5" t="s">
        <v>6457</v>
      </c>
      <c r="C158" s="5" t="s">
        <v>6503</v>
      </c>
      <c r="D158" s="5" t="s">
        <v>9367</v>
      </c>
    </row>
    <row r="159" spans="1:4" ht="10" customHeight="1" x14ac:dyDescent="0.2">
      <c r="A159" s="5">
        <v>2716</v>
      </c>
      <c r="B159" s="5" t="s">
        <v>6457</v>
      </c>
      <c r="C159" s="5" t="s">
        <v>6505</v>
      </c>
      <c r="D159" s="5" t="s">
        <v>9368</v>
      </c>
    </row>
    <row r="160" spans="1:4" ht="10" customHeight="1" x14ac:dyDescent="0.2">
      <c r="A160" s="5">
        <v>2717</v>
      </c>
      <c r="B160" s="5" t="s">
        <v>6457</v>
      </c>
      <c r="C160" s="5" t="s">
        <v>6507</v>
      </c>
      <c r="D160" s="5" t="s">
        <v>9369</v>
      </c>
    </row>
    <row r="161" spans="1:4" ht="10" customHeight="1" x14ac:dyDescent="0.2">
      <c r="A161" s="5">
        <v>2718</v>
      </c>
      <c r="B161" s="5" t="s">
        <v>6457</v>
      </c>
      <c r="C161" s="5" t="s">
        <v>6509</v>
      </c>
      <c r="D161" s="5" t="s">
        <v>9370</v>
      </c>
    </row>
    <row r="162" spans="1:4" ht="10" customHeight="1" x14ac:dyDescent="0.2">
      <c r="A162" s="5">
        <v>2719</v>
      </c>
      <c r="B162" s="5" t="s">
        <v>6457</v>
      </c>
      <c r="C162" s="5" t="s">
        <v>6511</v>
      </c>
      <c r="D162" s="5" t="s">
        <v>9371</v>
      </c>
    </row>
    <row r="163" spans="1:4" ht="10" customHeight="1" x14ac:dyDescent="0.2">
      <c r="A163" s="5">
        <v>2720</v>
      </c>
      <c r="B163" s="5" t="s">
        <v>6457</v>
      </c>
      <c r="C163" s="5" t="s">
        <v>6513</v>
      </c>
      <c r="D163" s="5" t="s">
        <v>9372</v>
      </c>
    </row>
    <row r="164" spans="1:4" ht="10" customHeight="1" x14ac:dyDescent="0.2">
      <c r="A164" s="5">
        <v>2721</v>
      </c>
      <c r="B164" s="5" t="s">
        <v>6457</v>
      </c>
      <c r="C164" s="5" t="s">
        <v>6515</v>
      </c>
      <c r="D164" s="5" t="s">
        <v>9373</v>
      </c>
    </row>
    <row r="165" spans="1:4" ht="10" customHeight="1" x14ac:dyDescent="0.2">
      <c r="A165" s="5">
        <v>2722</v>
      </c>
      <c r="B165" s="5" t="s">
        <v>6457</v>
      </c>
      <c r="C165" s="5" t="s">
        <v>6518</v>
      </c>
      <c r="D165" s="5" t="s">
        <v>9374</v>
      </c>
    </row>
    <row r="166" spans="1:4" ht="10" customHeight="1" x14ac:dyDescent="0.2">
      <c r="A166" s="5">
        <v>2723</v>
      </c>
      <c r="B166" s="5" t="s">
        <v>6457</v>
      </c>
      <c r="C166" s="5" t="s">
        <v>6522</v>
      </c>
      <c r="D166" s="5" t="s">
        <v>9375</v>
      </c>
    </row>
    <row r="167" spans="1:4" ht="10" customHeight="1" x14ac:dyDescent="0.2">
      <c r="A167" s="5">
        <v>2724</v>
      </c>
      <c r="B167" s="5" t="s">
        <v>6457</v>
      </c>
      <c r="C167" s="5" t="s">
        <v>6525</v>
      </c>
      <c r="D167" s="5" t="s">
        <v>9376</v>
      </c>
    </row>
    <row r="168" spans="1:4" ht="10" customHeight="1" x14ac:dyDescent="0.2">
      <c r="A168" s="5">
        <v>2725</v>
      </c>
      <c r="B168" s="5" t="s">
        <v>6457</v>
      </c>
      <c r="C168" s="5" t="s">
        <v>6528</v>
      </c>
      <c r="D168" s="5" t="s">
        <v>9377</v>
      </c>
    </row>
    <row r="169" spans="1:4" ht="10" customHeight="1" x14ac:dyDescent="0.2">
      <c r="A169" s="5">
        <v>2726</v>
      </c>
      <c r="B169" s="5" t="s">
        <v>6457</v>
      </c>
      <c r="C169" s="5" t="s">
        <v>6532</v>
      </c>
      <c r="D169" s="5" t="s">
        <v>9378</v>
      </c>
    </row>
    <row r="170" spans="1:4" ht="10" customHeight="1" x14ac:dyDescent="0.2">
      <c r="A170" s="5">
        <v>2728</v>
      </c>
      <c r="B170" s="5" t="s">
        <v>6457</v>
      </c>
      <c r="C170" s="5" t="s">
        <v>6537</v>
      </c>
      <c r="D170" s="5" t="s">
        <v>9379</v>
      </c>
    </row>
    <row r="171" spans="1:4" ht="10" customHeight="1" x14ac:dyDescent="0.2">
      <c r="A171" s="5">
        <v>2729</v>
      </c>
      <c r="B171" s="5" t="s">
        <v>6457</v>
      </c>
      <c r="C171" s="5" t="s">
        <v>6539</v>
      </c>
      <c r="D171" s="5" t="s">
        <v>9380</v>
      </c>
    </row>
    <row r="172" spans="1:4" ht="10" customHeight="1" x14ac:dyDescent="0.2">
      <c r="A172" s="5">
        <v>2730</v>
      </c>
      <c r="B172" s="5" t="s">
        <v>6457</v>
      </c>
      <c r="C172" s="5" t="s">
        <v>6543</v>
      </c>
      <c r="D172" s="5" t="s">
        <v>9381</v>
      </c>
    </row>
    <row r="173" spans="1:4" ht="10" customHeight="1" x14ac:dyDescent="0.2">
      <c r="A173" s="5">
        <v>2732</v>
      </c>
      <c r="B173" s="5" t="s">
        <v>6457</v>
      </c>
      <c r="C173" s="5" t="s">
        <v>6549</v>
      </c>
      <c r="D173" s="5" t="s">
        <v>9382</v>
      </c>
    </row>
    <row r="174" spans="1:4" ht="10" customHeight="1" x14ac:dyDescent="0.2">
      <c r="A174" s="5">
        <v>2733</v>
      </c>
      <c r="B174" s="5" t="s">
        <v>6457</v>
      </c>
      <c r="C174" s="5" t="s">
        <v>6551</v>
      </c>
      <c r="D174" s="5" t="s">
        <v>9383</v>
      </c>
    </row>
    <row r="175" spans="1:4" ht="10" customHeight="1" x14ac:dyDescent="0.2">
      <c r="A175" s="5">
        <v>2734</v>
      </c>
      <c r="B175" s="5" t="s">
        <v>6457</v>
      </c>
      <c r="C175" s="5" t="s">
        <v>6553</v>
      </c>
      <c r="D175" s="5" t="s">
        <v>9384</v>
      </c>
    </row>
    <row r="176" spans="1:4" ht="10" customHeight="1" x14ac:dyDescent="0.2">
      <c r="A176" s="5">
        <v>2736</v>
      </c>
      <c r="B176" s="5" t="s">
        <v>6457</v>
      </c>
      <c r="C176" s="5" t="s">
        <v>6560</v>
      </c>
      <c r="D176" s="5" t="s">
        <v>9385</v>
      </c>
    </row>
    <row r="177" spans="1:4" ht="10" customHeight="1" x14ac:dyDescent="0.2">
      <c r="A177" s="5">
        <v>2741</v>
      </c>
      <c r="B177" s="5" t="s">
        <v>6457</v>
      </c>
      <c r="C177" s="5" t="s">
        <v>6575</v>
      </c>
      <c r="D177" s="5" t="s">
        <v>9386</v>
      </c>
    </row>
    <row r="178" spans="1:4" ht="10" customHeight="1" x14ac:dyDescent="0.2">
      <c r="A178" s="5">
        <v>2742</v>
      </c>
      <c r="B178" s="5" t="s">
        <v>6457</v>
      </c>
      <c r="C178" s="5" t="s">
        <v>6579</v>
      </c>
      <c r="D178" s="5" t="s">
        <v>9387</v>
      </c>
    </row>
    <row r="179" spans="1:4" ht="10" customHeight="1" x14ac:dyDescent="0.2">
      <c r="A179" s="5">
        <v>2743</v>
      </c>
      <c r="B179" s="5" t="s">
        <v>6457</v>
      </c>
      <c r="C179" s="5" t="s">
        <v>6582</v>
      </c>
      <c r="D179" s="5" t="s">
        <v>9388</v>
      </c>
    </row>
    <row r="180" spans="1:4" ht="10" customHeight="1" x14ac:dyDescent="0.2">
      <c r="A180" s="5">
        <v>2744</v>
      </c>
      <c r="B180" s="5" t="s">
        <v>6457</v>
      </c>
      <c r="C180" s="5" t="s">
        <v>6585</v>
      </c>
      <c r="D180" s="5" t="s">
        <v>9389</v>
      </c>
    </row>
    <row r="181" spans="1:4" ht="10" customHeight="1" x14ac:dyDescent="0.2">
      <c r="A181" s="5">
        <v>2745</v>
      </c>
      <c r="B181" s="5" t="s">
        <v>6457</v>
      </c>
      <c r="C181" s="5" t="s">
        <v>6589</v>
      </c>
      <c r="D181" s="5" t="s">
        <v>9390</v>
      </c>
    </row>
    <row r="182" spans="1:4" ht="10" customHeight="1" x14ac:dyDescent="0.2">
      <c r="A182" s="5">
        <v>2746</v>
      </c>
      <c r="B182" s="5" t="s">
        <v>6457</v>
      </c>
      <c r="C182" s="5" t="s">
        <v>6592</v>
      </c>
      <c r="D182" s="5" t="s">
        <v>9391</v>
      </c>
    </row>
    <row r="183" spans="1:4" ht="10" customHeight="1" x14ac:dyDescent="0.2">
      <c r="A183" s="5">
        <v>2747</v>
      </c>
      <c r="B183" s="5" t="s">
        <v>6457</v>
      </c>
      <c r="C183" s="5" t="s">
        <v>6596</v>
      </c>
      <c r="D183" s="5" t="s">
        <v>9392</v>
      </c>
    </row>
    <row r="184" spans="1:4" ht="10" customHeight="1" x14ac:dyDescent="0.2">
      <c r="A184" s="5">
        <v>2748</v>
      </c>
      <c r="B184" s="5" t="s">
        <v>6457</v>
      </c>
      <c r="C184" s="5" t="s">
        <v>6599</v>
      </c>
      <c r="D184" s="5" t="s">
        <v>9393</v>
      </c>
    </row>
    <row r="185" spans="1:4" ht="10" customHeight="1" x14ac:dyDescent="0.2">
      <c r="A185" s="5">
        <v>2749</v>
      </c>
      <c r="B185" s="5" t="s">
        <v>6457</v>
      </c>
      <c r="C185" s="5" t="s">
        <v>6343</v>
      </c>
      <c r="D185" s="5" t="s">
        <v>9394</v>
      </c>
    </row>
    <row r="186" spans="1:4" ht="10" customHeight="1" x14ac:dyDescent="0.2">
      <c r="A186" s="5">
        <v>2750</v>
      </c>
      <c r="B186" s="5" t="s">
        <v>6457</v>
      </c>
      <c r="C186" s="5" t="s">
        <v>6606</v>
      </c>
      <c r="D186" s="5" t="s">
        <v>9395</v>
      </c>
    </row>
    <row r="187" spans="1:4" ht="10" customHeight="1" x14ac:dyDescent="0.2">
      <c r="A187" s="5">
        <v>2751</v>
      </c>
      <c r="B187" s="5" t="s">
        <v>6457</v>
      </c>
      <c r="C187" s="5" t="s">
        <v>6609</v>
      </c>
      <c r="D187" s="5" t="s">
        <v>9396</v>
      </c>
    </row>
    <row r="188" spans="1:4" ht="10" customHeight="1" x14ac:dyDescent="0.2">
      <c r="A188" s="5">
        <v>2754</v>
      </c>
      <c r="B188" s="5" t="s">
        <v>6457</v>
      </c>
      <c r="C188" s="5" t="s">
        <v>6619</v>
      </c>
      <c r="D188" s="5" t="s">
        <v>9397</v>
      </c>
    </row>
    <row r="189" spans="1:4" ht="10" customHeight="1" x14ac:dyDescent="0.2">
      <c r="A189" s="5">
        <v>2755</v>
      </c>
      <c r="B189" s="5" t="s">
        <v>6457</v>
      </c>
      <c r="C189" s="5" t="s">
        <v>6621</v>
      </c>
      <c r="D189" s="5" t="s">
        <v>9398</v>
      </c>
    </row>
    <row r="190" spans="1:4" ht="10" customHeight="1" x14ac:dyDescent="0.2">
      <c r="A190" s="5">
        <v>2757</v>
      </c>
      <c r="B190" s="5" t="s">
        <v>6457</v>
      </c>
      <c r="C190" s="5" t="s">
        <v>6629</v>
      </c>
      <c r="D190" s="5" t="s">
        <v>9399</v>
      </c>
    </row>
    <row r="191" spans="1:4" ht="10" customHeight="1" x14ac:dyDescent="0.2">
      <c r="A191" s="5">
        <v>2758</v>
      </c>
      <c r="B191" s="5" t="s">
        <v>6457</v>
      </c>
      <c r="C191" s="5" t="s">
        <v>6633</v>
      </c>
      <c r="D191" s="5" t="s">
        <v>9400</v>
      </c>
    </row>
    <row r="192" spans="1:4" ht="10" customHeight="1" x14ac:dyDescent="0.2">
      <c r="A192" s="5">
        <v>2759</v>
      </c>
      <c r="B192" s="5" t="s">
        <v>6457</v>
      </c>
      <c r="C192" s="5" t="s">
        <v>6638</v>
      </c>
      <c r="D192" s="5" t="s">
        <v>9401</v>
      </c>
    </row>
    <row r="193" spans="1:4" ht="10" customHeight="1" x14ac:dyDescent="0.2">
      <c r="A193" s="5">
        <v>2760</v>
      </c>
      <c r="B193" s="5" t="s">
        <v>6457</v>
      </c>
      <c r="C193" s="5" t="s">
        <v>6642</v>
      </c>
      <c r="D193" s="5" t="s">
        <v>9402</v>
      </c>
    </row>
    <row r="194" spans="1:4" ht="10" customHeight="1" x14ac:dyDescent="0.2">
      <c r="A194" s="5">
        <v>2761</v>
      </c>
      <c r="B194" s="5" t="s">
        <v>6457</v>
      </c>
      <c r="C194" s="5" t="s">
        <v>6648</v>
      </c>
      <c r="D194" s="5" t="s">
        <v>9403</v>
      </c>
    </row>
    <row r="195" spans="1:4" ht="10" customHeight="1" x14ac:dyDescent="0.2">
      <c r="A195" s="5">
        <v>2762</v>
      </c>
      <c r="B195" s="5" t="s">
        <v>6457</v>
      </c>
      <c r="C195" s="5" t="s">
        <v>6653</v>
      </c>
      <c r="D195" s="5" t="s">
        <v>9404</v>
      </c>
    </row>
    <row r="196" spans="1:4" ht="10" customHeight="1" x14ac:dyDescent="0.2">
      <c r="A196" s="5">
        <v>2763</v>
      </c>
      <c r="B196" s="5" t="s">
        <v>6457</v>
      </c>
      <c r="C196" s="5" t="s">
        <v>382</v>
      </c>
      <c r="D196" s="5" t="s">
        <v>9405</v>
      </c>
    </row>
    <row r="197" spans="1:4" ht="10" customHeight="1" x14ac:dyDescent="0.2">
      <c r="A197" s="5">
        <v>2764</v>
      </c>
      <c r="B197" s="5" t="s">
        <v>6457</v>
      </c>
      <c r="C197" s="5" t="s">
        <v>3533</v>
      </c>
      <c r="D197" s="5" t="s">
        <v>9406</v>
      </c>
    </row>
    <row r="198" spans="1:4" ht="10" customHeight="1" x14ac:dyDescent="0.2">
      <c r="A198" s="5">
        <v>2765</v>
      </c>
      <c r="B198" s="5" t="s">
        <v>6457</v>
      </c>
      <c r="C198" s="5" t="s">
        <v>6661</v>
      </c>
      <c r="D198" s="5" t="s">
        <v>9407</v>
      </c>
    </row>
    <row r="199" spans="1:4" ht="10" customHeight="1" x14ac:dyDescent="0.2">
      <c r="A199" s="5">
        <v>2766</v>
      </c>
      <c r="B199" s="5" t="s">
        <v>6457</v>
      </c>
      <c r="C199" s="5" t="s">
        <v>6665</v>
      </c>
      <c r="D199" s="5" t="s">
        <v>9408</v>
      </c>
    </row>
    <row r="200" spans="1:4" ht="10" customHeight="1" x14ac:dyDescent="0.2">
      <c r="A200" s="5">
        <v>2767</v>
      </c>
      <c r="B200" s="5" t="s">
        <v>6457</v>
      </c>
      <c r="C200" s="5" t="s">
        <v>6669</v>
      </c>
      <c r="D200" s="5" t="s">
        <v>9409</v>
      </c>
    </row>
    <row r="201" spans="1:4" ht="10" customHeight="1" x14ac:dyDescent="0.2">
      <c r="A201" s="5">
        <v>2768</v>
      </c>
      <c r="B201" s="5" t="s">
        <v>6457</v>
      </c>
      <c r="C201" s="5" t="s">
        <v>6674</v>
      </c>
      <c r="D201" s="5" t="s">
        <v>9410</v>
      </c>
    </row>
    <row r="202" spans="1:4" ht="10" customHeight="1" x14ac:dyDescent="0.2">
      <c r="A202" s="5">
        <v>2769</v>
      </c>
      <c r="B202" s="5" t="s">
        <v>6457</v>
      </c>
      <c r="C202" s="5" t="s">
        <v>6677</v>
      </c>
      <c r="D202" s="5" t="s">
        <v>9411</v>
      </c>
    </row>
    <row r="203" spans="1:4" ht="10" customHeight="1" x14ac:dyDescent="0.2">
      <c r="A203" s="5">
        <v>2770</v>
      </c>
      <c r="B203" s="5" t="s">
        <v>6457</v>
      </c>
      <c r="C203" s="5" t="s">
        <v>6682</v>
      </c>
      <c r="D203" s="5" t="s">
        <v>9412</v>
      </c>
    </row>
    <row r="204" spans="1:4" ht="10" customHeight="1" x14ac:dyDescent="0.2">
      <c r="A204" s="5">
        <v>2771</v>
      </c>
      <c r="B204" s="5" t="s">
        <v>6457</v>
      </c>
      <c r="C204" s="5" t="s">
        <v>6685</v>
      </c>
      <c r="D204" s="5" t="s">
        <v>9413</v>
      </c>
    </row>
    <row r="205" spans="1:4" ht="10" customHeight="1" x14ac:dyDescent="0.2">
      <c r="A205" s="5">
        <v>2776</v>
      </c>
      <c r="B205" s="5" t="s">
        <v>6457</v>
      </c>
      <c r="C205" s="5" t="s">
        <v>6703</v>
      </c>
      <c r="D205" s="5" t="s">
        <v>9414</v>
      </c>
    </row>
    <row r="206" spans="1:4" ht="10" customHeight="1" x14ac:dyDescent="0.2">
      <c r="A206" s="5">
        <v>2777</v>
      </c>
      <c r="B206" s="5" t="s">
        <v>6457</v>
      </c>
      <c r="C206" s="5" t="s">
        <v>6707</v>
      </c>
      <c r="D206" s="5" t="s">
        <v>9415</v>
      </c>
    </row>
    <row r="207" spans="1:4" ht="10" customHeight="1" x14ac:dyDescent="0.2">
      <c r="A207" s="5">
        <v>2778</v>
      </c>
      <c r="B207" s="5" t="s">
        <v>6457</v>
      </c>
      <c r="C207" s="5" t="s">
        <v>6710</v>
      </c>
      <c r="D207" s="5" t="s">
        <v>9416</v>
      </c>
    </row>
    <row r="208" spans="1:4" ht="10" customHeight="1" x14ac:dyDescent="0.2">
      <c r="A208" s="5">
        <v>2780</v>
      </c>
      <c r="B208" s="5" t="s">
        <v>6457</v>
      </c>
      <c r="C208" s="5" t="s">
        <v>6717</v>
      </c>
      <c r="D208" s="5" t="s">
        <v>9417</v>
      </c>
    </row>
    <row r="209" spans="1:4" ht="10" customHeight="1" x14ac:dyDescent="0.2">
      <c r="A209" s="5">
        <v>2782</v>
      </c>
      <c r="B209" s="5" t="s">
        <v>6457</v>
      </c>
      <c r="C209" s="5" t="s">
        <v>6725</v>
      </c>
      <c r="D209" s="5" t="s">
        <v>9418</v>
      </c>
    </row>
    <row r="210" spans="1:4" ht="10" customHeight="1" x14ac:dyDescent="0.2">
      <c r="A210" s="5">
        <v>2783</v>
      </c>
      <c r="B210" s="5" t="s">
        <v>6457</v>
      </c>
      <c r="C210" s="5" t="s">
        <v>6729</v>
      </c>
      <c r="D210" s="5" t="s">
        <v>9414</v>
      </c>
    </row>
    <row r="211" spans="1:4" ht="10" customHeight="1" x14ac:dyDescent="0.2">
      <c r="A211" s="5">
        <v>2784</v>
      </c>
      <c r="B211" s="5" t="s">
        <v>6457</v>
      </c>
      <c r="C211" s="5" t="s">
        <v>6732</v>
      </c>
      <c r="D211" s="5" t="s">
        <v>9414</v>
      </c>
    </row>
    <row r="212" spans="1:4" ht="10" customHeight="1" x14ac:dyDescent="0.2">
      <c r="A212" s="5">
        <v>2785</v>
      </c>
      <c r="B212" s="5" t="s">
        <v>6457</v>
      </c>
      <c r="C212" s="5" t="s">
        <v>6736</v>
      </c>
      <c r="D212" s="5" t="s">
        <v>9414</v>
      </c>
    </row>
    <row r="213" spans="1:4" ht="10" customHeight="1" x14ac:dyDescent="0.2">
      <c r="A213" s="5">
        <v>2786</v>
      </c>
      <c r="B213" s="5" t="s">
        <v>6457</v>
      </c>
      <c r="C213" s="5" t="s">
        <v>6740</v>
      </c>
      <c r="D213" s="5" t="s">
        <v>9419</v>
      </c>
    </row>
    <row r="214" spans="1:4" ht="10" customHeight="1" x14ac:dyDescent="0.2">
      <c r="A214" s="5">
        <v>2788</v>
      </c>
      <c r="B214" s="5" t="s">
        <v>6457</v>
      </c>
      <c r="C214" s="5" t="s">
        <v>4130</v>
      </c>
      <c r="D214" s="5" t="s">
        <v>9420</v>
      </c>
    </row>
    <row r="215" spans="1:4" ht="10" customHeight="1" x14ac:dyDescent="0.2">
      <c r="A215" s="5">
        <v>2790</v>
      </c>
      <c r="B215" s="5" t="s">
        <v>6457</v>
      </c>
      <c r="C215" s="5" t="s">
        <v>6755</v>
      </c>
      <c r="D215" s="5" t="s">
        <v>9421</v>
      </c>
    </row>
    <row r="216" spans="1:4" ht="10" customHeight="1" x14ac:dyDescent="0.2">
      <c r="A216" s="5">
        <v>2791</v>
      </c>
      <c r="B216" s="5" t="s">
        <v>6457</v>
      </c>
      <c r="C216" s="5" t="s">
        <v>6758</v>
      </c>
      <c r="D216" s="5" t="s">
        <v>9422</v>
      </c>
    </row>
    <row r="217" spans="1:4" ht="10" customHeight="1" x14ac:dyDescent="0.2">
      <c r="A217" s="5">
        <v>2792</v>
      </c>
      <c r="B217" s="5" t="s">
        <v>6457</v>
      </c>
      <c r="C217" s="5" t="s">
        <v>6763</v>
      </c>
      <c r="D217" s="5" t="s">
        <v>9423</v>
      </c>
    </row>
    <row r="218" spans="1:4" ht="10" customHeight="1" x14ac:dyDescent="0.2">
      <c r="A218" s="5">
        <v>2793</v>
      </c>
      <c r="B218" s="5" t="s">
        <v>6457</v>
      </c>
      <c r="C218" s="5" t="s">
        <v>6767</v>
      </c>
      <c r="D218" s="5" t="s">
        <v>9424</v>
      </c>
    </row>
    <row r="219" spans="1:4" ht="10" customHeight="1" x14ac:dyDescent="0.2">
      <c r="A219" s="5">
        <v>2794</v>
      </c>
      <c r="B219" s="5" t="s">
        <v>6457</v>
      </c>
      <c r="C219" s="5" t="s">
        <v>6772</v>
      </c>
      <c r="D219" s="5" t="s">
        <v>9425</v>
      </c>
    </row>
    <row r="220" spans="1:4" ht="10" customHeight="1" x14ac:dyDescent="0.2">
      <c r="A220" s="5">
        <v>2797</v>
      </c>
      <c r="B220" s="5" t="s">
        <v>6457</v>
      </c>
      <c r="C220" s="5" t="s">
        <v>6783</v>
      </c>
      <c r="D220" s="5" t="s">
        <v>9426</v>
      </c>
    </row>
    <row r="221" spans="1:4" ht="10" customHeight="1" x14ac:dyDescent="0.2">
      <c r="A221" s="5">
        <v>2798</v>
      </c>
      <c r="B221" s="5" t="s">
        <v>6457</v>
      </c>
      <c r="C221" s="5" t="s">
        <v>6787</v>
      </c>
      <c r="D221" s="5" t="s">
        <v>9427</v>
      </c>
    </row>
    <row r="222" spans="1:4" ht="10" customHeight="1" x14ac:dyDescent="0.2">
      <c r="A222" s="5">
        <v>2799</v>
      </c>
      <c r="B222" s="5" t="s">
        <v>6457</v>
      </c>
      <c r="C222" s="5" t="s">
        <v>6791</v>
      </c>
      <c r="D222" s="5" t="s">
        <v>9428</v>
      </c>
    </row>
    <row r="223" spans="1:4" ht="10" customHeight="1" x14ac:dyDescent="0.2">
      <c r="A223" s="5">
        <v>2800</v>
      </c>
      <c r="B223" s="5" t="s">
        <v>6457</v>
      </c>
      <c r="C223" s="5" t="s">
        <v>6796</v>
      </c>
      <c r="D223" s="5" t="s">
        <v>9429</v>
      </c>
    </row>
    <row r="224" spans="1:4" ht="10" customHeight="1" x14ac:dyDescent="0.2">
      <c r="A224" s="5">
        <v>2801</v>
      </c>
      <c r="B224" s="5" t="s">
        <v>6457</v>
      </c>
      <c r="C224" s="5" t="s">
        <v>6800</v>
      </c>
      <c r="D224" s="5" t="s">
        <v>9430</v>
      </c>
    </row>
    <row r="225" spans="1:4" ht="10" customHeight="1" x14ac:dyDescent="0.2">
      <c r="A225" s="5">
        <v>2802</v>
      </c>
      <c r="B225" s="5" t="s">
        <v>6457</v>
      </c>
      <c r="C225" s="5" t="s">
        <v>6803</v>
      </c>
      <c r="D225" s="5" t="s">
        <v>9431</v>
      </c>
    </row>
    <row r="226" spans="1:4" ht="10" customHeight="1" x14ac:dyDescent="0.2">
      <c r="A226" s="5">
        <v>2804</v>
      </c>
      <c r="B226" s="5" t="s">
        <v>6457</v>
      </c>
      <c r="C226" s="5" t="s">
        <v>6814</v>
      </c>
      <c r="D226" s="5" t="s">
        <v>9432</v>
      </c>
    </row>
    <row r="227" spans="1:4" ht="10" customHeight="1" x14ac:dyDescent="0.2">
      <c r="A227" s="5">
        <v>2805</v>
      </c>
      <c r="B227" s="5" t="s">
        <v>6457</v>
      </c>
      <c r="C227" s="5" t="s">
        <v>6817</v>
      </c>
      <c r="D227" s="5" t="s">
        <v>9433</v>
      </c>
    </row>
    <row r="228" spans="1:4" ht="10" customHeight="1" x14ac:dyDescent="0.2">
      <c r="A228" s="5">
        <v>2806</v>
      </c>
      <c r="B228" s="5" t="s">
        <v>6457</v>
      </c>
      <c r="C228" s="5" t="s">
        <v>6820</v>
      </c>
      <c r="D228" s="5" t="s">
        <v>9434</v>
      </c>
    </row>
    <row r="229" spans="1:4" ht="10" customHeight="1" x14ac:dyDescent="0.2">
      <c r="A229" s="5">
        <v>2807</v>
      </c>
      <c r="B229" s="5" t="s">
        <v>6457</v>
      </c>
      <c r="C229" s="5" t="s">
        <v>6824</v>
      </c>
      <c r="D229" s="5" t="s">
        <v>9435</v>
      </c>
    </row>
    <row r="230" spans="1:4" ht="10" customHeight="1" x14ac:dyDescent="0.2">
      <c r="A230" s="5">
        <v>2809</v>
      </c>
      <c r="B230" s="5" t="s">
        <v>6457</v>
      </c>
      <c r="C230" s="5" t="s">
        <v>6829</v>
      </c>
      <c r="D230" s="5" t="s">
        <v>9436</v>
      </c>
    </row>
    <row r="231" spans="1:4" ht="10" customHeight="1" x14ac:dyDescent="0.2">
      <c r="A231" s="5">
        <v>2810</v>
      </c>
      <c r="B231" s="5" t="s">
        <v>6832</v>
      </c>
      <c r="C231" s="5" t="s">
        <v>6833</v>
      </c>
      <c r="D231" s="5" t="s">
        <v>9437</v>
      </c>
    </row>
    <row r="232" spans="1:4" ht="10" customHeight="1" x14ac:dyDescent="0.2">
      <c r="A232" s="5">
        <v>2823</v>
      </c>
      <c r="B232" s="5" t="s">
        <v>6832</v>
      </c>
      <c r="C232" s="5" t="s">
        <v>6863</v>
      </c>
      <c r="D232" s="5" t="s">
        <v>9438</v>
      </c>
    </row>
    <row r="233" spans="1:4" ht="10" customHeight="1" x14ac:dyDescent="0.2">
      <c r="A233" s="5">
        <v>2831</v>
      </c>
      <c r="B233" s="5" t="s">
        <v>6832</v>
      </c>
      <c r="C233" s="5" t="s">
        <v>6877</v>
      </c>
      <c r="D233" s="5" t="s">
        <v>9439</v>
      </c>
    </row>
    <row r="234" spans="1:4" ht="10" customHeight="1" x14ac:dyDescent="0.2">
      <c r="A234" s="5">
        <v>2858</v>
      </c>
      <c r="B234" s="5" t="s">
        <v>6832</v>
      </c>
      <c r="C234" s="5" t="s">
        <v>6932</v>
      </c>
      <c r="D234" s="5" t="s">
        <v>9440</v>
      </c>
    </row>
    <row r="235" spans="1:4" ht="10" customHeight="1" x14ac:dyDescent="0.2">
      <c r="A235" s="5">
        <v>2859</v>
      </c>
      <c r="B235" s="5" t="s">
        <v>6832</v>
      </c>
      <c r="C235" s="5" t="s">
        <v>6935</v>
      </c>
      <c r="D235" s="5" t="s">
        <v>9441</v>
      </c>
    </row>
    <row r="236" spans="1:4" ht="10" customHeight="1" x14ac:dyDescent="0.2">
      <c r="A236" s="5">
        <v>2860</v>
      </c>
      <c r="B236" s="5" t="s">
        <v>6832</v>
      </c>
      <c r="C236" s="5" t="s">
        <v>6939</v>
      </c>
      <c r="D236" s="5" t="s">
        <v>9442</v>
      </c>
    </row>
    <row r="237" spans="1:4" ht="10" customHeight="1" x14ac:dyDescent="0.2">
      <c r="A237" s="5">
        <v>2861</v>
      </c>
      <c r="B237" s="5" t="s">
        <v>6832</v>
      </c>
      <c r="C237" s="5" t="s">
        <v>6942</v>
      </c>
      <c r="D237" s="5" t="s">
        <v>9443</v>
      </c>
    </row>
    <row r="238" spans="1:4" ht="10" customHeight="1" x14ac:dyDescent="0.2">
      <c r="A238" s="5">
        <v>2879</v>
      </c>
      <c r="B238" s="5" t="s">
        <v>6832</v>
      </c>
      <c r="C238" s="5" t="s">
        <v>6964</v>
      </c>
      <c r="D238" s="5" t="s">
        <v>9444</v>
      </c>
    </row>
    <row r="239" spans="1:4" ht="10" customHeight="1" x14ac:dyDescent="0.2">
      <c r="A239" s="5">
        <v>2880</v>
      </c>
      <c r="B239" s="5" t="s">
        <v>6832</v>
      </c>
      <c r="C239" s="5" t="s">
        <v>6967</v>
      </c>
      <c r="D239" s="5" t="s">
        <v>9445</v>
      </c>
    </row>
    <row r="240" spans="1:4" ht="10" customHeight="1" x14ac:dyDescent="0.2">
      <c r="A240" s="5">
        <v>2888</v>
      </c>
      <c r="B240" s="5" t="s">
        <v>6832</v>
      </c>
      <c r="C240" s="5" t="s">
        <v>6977</v>
      </c>
      <c r="D240" s="5" t="s">
        <v>9446</v>
      </c>
    </row>
    <row r="241" spans="1:4" ht="10" customHeight="1" x14ac:dyDescent="0.2">
      <c r="A241" s="5">
        <v>2891</v>
      </c>
      <c r="B241" s="5" t="s">
        <v>6832</v>
      </c>
      <c r="C241" s="5" t="s">
        <v>6982</v>
      </c>
      <c r="D241" s="5" t="s">
        <v>9447</v>
      </c>
    </row>
    <row r="242" spans="1:4" ht="10" customHeight="1" x14ac:dyDescent="0.2">
      <c r="A242" s="5">
        <v>2902</v>
      </c>
      <c r="B242" s="5" t="s">
        <v>6832</v>
      </c>
      <c r="C242" s="5" t="s">
        <v>7000</v>
      </c>
      <c r="D242" s="5" t="s">
        <v>9448</v>
      </c>
    </row>
    <row r="243" spans="1:4" ht="10" customHeight="1" x14ac:dyDescent="0.2">
      <c r="A243" s="5">
        <v>2913</v>
      </c>
      <c r="B243" s="5" t="s">
        <v>6832</v>
      </c>
      <c r="C243" s="5" t="s">
        <v>7021</v>
      </c>
      <c r="D243" s="5" t="s">
        <v>9449</v>
      </c>
    </row>
    <row r="244" spans="1:4" ht="10" customHeight="1" x14ac:dyDescent="0.2">
      <c r="A244" s="5">
        <v>2926</v>
      </c>
      <c r="B244" s="5" t="s">
        <v>6832</v>
      </c>
      <c r="C244" s="5" t="s">
        <v>7060</v>
      </c>
      <c r="D244" s="5" t="s">
        <v>9450</v>
      </c>
    </row>
    <row r="245" spans="1:4" ht="10" customHeight="1" x14ac:dyDescent="0.2">
      <c r="A245" s="5">
        <v>2931</v>
      </c>
      <c r="B245" s="5" t="s">
        <v>6832</v>
      </c>
      <c r="C245" s="5" t="s">
        <v>7070</v>
      </c>
      <c r="D245" s="5" t="s">
        <v>9451</v>
      </c>
    </row>
    <row r="246" spans="1:4" ht="10" customHeight="1" x14ac:dyDescent="0.2">
      <c r="A246" s="5">
        <v>2932</v>
      </c>
      <c r="B246" s="5" t="s">
        <v>6832</v>
      </c>
      <c r="C246" s="5" t="s">
        <v>7074</v>
      </c>
      <c r="D246" s="5" t="s">
        <v>9452</v>
      </c>
    </row>
    <row r="247" spans="1:4" ht="10" customHeight="1" x14ac:dyDescent="0.2">
      <c r="A247" s="5">
        <v>2940</v>
      </c>
      <c r="B247" s="5" t="s">
        <v>6832</v>
      </c>
      <c r="C247" s="5" t="s">
        <v>7092</v>
      </c>
      <c r="D247" s="5" t="s">
        <v>9453</v>
      </c>
    </row>
    <row r="248" spans="1:4" ht="10" customHeight="1" x14ac:dyDescent="0.2">
      <c r="A248" s="5">
        <v>2943</v>
      </c>
      <c r="B248" s="5" t="s">
        <v>6832</v>
      </c>
      <c r="C248" s="5" t="s">
        <v>7098</v>
      </c>
      <c r="D248" s="5" t="s">
        <v>9454</v>
      </c>
    </row>
    <row r="249" spans="1:4" ht="10" customHeight="1" x14ac:dyDescent="0.2">
      <c r="A249" s="5">
        <v>2948</v>
      </c>
      <c r="B249" s="5" t="s">
        <v>6832</v>
      </c>
      <c r="C249" s="5" t="s">
        <v>7108</v>
      </c>
      <c r="D249" s="5" t="s">
        <v>9455</v>
      </c>
    </row>
    <row r="250" spans="1:4" ht="10" customHeight="1" x14ac:dyDescent="0.2">
      <c r="A250" s="5">
        <v>2973</v>
      </c>
      <c r="B250" s="5" t="s">
        <v>6832</v>
      </c>
      <c r="C250" s="5" t="s">
        <v>7140</v>
      </c>
      <c r="D250" s="5" t="s">
        <v>9456</v>
      </c>
    </row>
    <row r="251" spans="1:4" ht="10" customHeight="1" x14ac:dyDescent="0.2">
      <c r="A251" s="5">
        <v>2976</v>
      </c>
      <c r="B251" s="5" t="s">
        <v>7149</v>
      </c>
      <c r="C251" s="5" t="s">
        <v>7151</v>
      </c>
      <c r="D251" s="5" t="s">
        <v>9457</v>
      </c>
    </row>
    <row r="252" spans="1:4" ht="10" customHeight="1" x14ac:dyDescent="0.2">
      <c r="A252" s="5">
        <v>2982</v>
      </c>
      <c r="B252" s="5" t="s">
        <v>7149</v>
      </c>
      <c r="C252" s="5" t="s">
        <v>7168</v>
      </c>
      <c r="D252" s="5" t="s">
        <v>9458</v>
      </c>
    </row>
    <row r="253" spans="1:4" ht="10" customHeight="1" x14ac:dyDescent="0.2">
      <c r="A253" s="5">
        <v>2986</v>
      </c>
      <c r="B253" s="5" t="s">
        <v>7149</v>
      </c>
      <c r="C253" s="5" t="s">
        <v>7177</v>
      </c>
      <c r="D253" s="5" t="s">
        <v>9459</v>
      </c>
    </row>
    <row r="254" spans="1:4" ht="10" customHeight="1" x14ac:dyDescent="0.2">
      <c r="A254" s="5">
        <v>2987</v>
      </c>
      <c r="B254" s="5" t="s">
        <v>7149</v>
      </c>
      <c r="C254" s="5" t="s">
        <v>7180</v>
      </c>
      <c r="D254" s="5" t="s">
        <v>9460</v>
      </c>
    </row>
    <row r="255" spans="1:4" ht="10" customHeight="1" x14ac:dyDescent="0.2">
      <c r="A255" s="5">
        <v>2988</v>
      </c>
      <c r="B255" s="5" t="s">
        <v>7149</v>
      </c>
      <c r="C255" s="5" t="s">
        <v>7184</v>
      </c>
      <c r="D255" s="5" t="s">
        <v>9461</v>
      </c>
    </row>
    <row r="256" spans="1:4" ht="10" customHeight="1" x14ac:dyDescent="0.2">
      <c r="A256" s="5">
        <v>2989</v>
      </c>
      <c r="B256" s="5" t="s">
        <v>7149</v>
      </c>
      <c r="C256" s="5" t="s">
        <v>7186</v>
      </c>
      <c r="D256" s="5" t="s">
        <v>9462</v>
      </c>
    </row>
    <row r="257" spans="1:4" ht="10" customHeight="1" x14ac:dyDescent="0.2">
      <c r="A257" s="5">
        <v>2991</v>
      </c>
      <c r="B257" s="5" t="s">
        <v>7149</v>
      </c>
      <c r="C257" s="5" t="s">
        <v>7191</v>
      </c>
      <c r="D257" s="5" t="s">
        <v>9463</v>
      </c>
    </row>
    <row r="258" spans="1:4" ht="10" customHeight="1" x14ac:dyDescent="0.2">
      <c r="A258" s="5">
        <v>2992</v>
      </c>
      <c r="B258" s="5" t="s">
        <v>7149</v>
      </c>
      <c r="C258" s="5" t="s">
        <v>7194</v>
      </c>
      <c r="D258" s="5" t="s">
        <v>9464</v>
      </c>
    </row>
    <row r="259" spans="1:4" ht="10" customHeight="1" x14ac:dyDescent="0.2">
      <c r="A259" s="5">
        <v>2993</v>
      </c>
      <c r="B259" s="5" t="s">
        <v>7149</v>
      </c>
      <c r="C259" s="5" t="s">
        <v>7196</v>
      </c>
      <c r="D259" s="5" t="s">
        <v>9465</v>
      </c>
    </row>
    <row r="260" spans="1:4" ht="10" customHeight="1" x14ac:dyDescent="0.2">
      <c r="A260" s="5">
        <v>2994</v>
      </c>
      <c r="B260" s="5" t="s">
        <v>7149</v>
      </c>
      <c r="C260" s="5" t="s">
        <v>7198</v>
      </c>
      <c r="D260" s="5" t="s">
        <v>9466</v>
      </c>
    </row>
    <row r="261" spans="1:4" ht="10" customHeight="1" x14ac:dyDescent="0.2">
      <c r="A261" s="5">
        <v>2995</v>
      </c>
      <c r="B261" s="5" t="s">
        <v>7149</v>
      </c>
      <c r="C261" s="5" t="s">
        <v>7200</v>
      </c>
      <c r="D261" s="5" t="s">
        <v>9467</v>
      </c>
    </row>
    <row r="262" spans="1:4" ht="10" customHeight="1" x14ac:dyDescent="0.2">
      <c r="A262" s="5">
        <v>2996</v>
      </c>
      <c r="B262" s="5" t="s">
        <v>7149</v>
      </c>
      <c r="C262" s="5" t="s">
        <v>7202</v>
      </c>
      <c r="D262" s="5" t="s">
        <v>9468</v>
      </c>
    </row>
    <row r="263" spans="1:4" ht="10" customHeight="1" x14ac:dyDescent="0.2">
      <c r="A263" s="5">
        <v>2997</v>
      </c>
      <c r="B263" s="5" t="s">
        <v>7149</v>
      </c>
      <c r="C263" s="5" t="s">
        <v>7204</v>
      </c>
      <c r="D263" s="5" t="s">
        <v>9469</v>
      </c>
    </row>
    <row r="264" spans="1:4" ht="10" customHeight="1" x14ac:dyDescent="0.2">
      <c r="A264" s="5">
        <v>2998</v>
      </c>
      <c r="B264" s="5" t="s">
        <v>7149</v>
      </c>
      <c r="C264" s="5" t="s">
        <v>7207</v>
      </c>
      <c r="D264" s="5" t="s">
        <v>9470</v>
      </c>
    </row>
    <row r="265" spans="1:4" ht="10" customHeight="1" x14ac:dyDescent="0.2">
      <c r="A265" s="5">
        <v>2999</v>
      </c>
      <c r="B265" s="5" t="s">
        <v>7149</v>
      </c>
      <c r="C265" s="5" t="s">
        <v>7209</v>
      </c>
      <c r="D265" s="5" t="s">
        <v>9471</v>
      </c>
    </row>
    <row r="266" spans="1:4" ht="10" customHeight="1" x14ac:dyDescent="0.2">
      <c r="A266" s="5">
        <v>3000</v>
      </c>
      <c r="B266" s="5" t="s">
        <v>7149</v>
      </c>
      <c r="C266" s="5" t="s">
        <v>7212</v>
      </c>
      <c r="D266" s="5" t="s">
        <v>9471</v>
      </c>
    </row>
    <row r="267" spans="1:4" ht="10" customHeight="1" x14ac:dyDescent="0.2">
      <c r="A267" s="5">
        <v>3001</v>
      </c>
      <c r="B267" s="5" t="s">
        <v>7149</v>
      </c>
      <c r="C267" s="5" t="s">
        <v>7215</v>
      </c>
      <c r="D267" s="5" t="s">
        <v>9472</v>
      </c>
    </row>
    <row r="268" spans="1:4" ht="10" customHeight="1" x14ac:dyDescent="0.2">
      <c r="A268" s="5">
        <v>3002</v>
      </c>
      <c r="B268" s="5" t="s">
        <v>7149</v>
      </c>
      <c r="C268" s="5" t="s">
        <v>7218</v>
      </c>
      <c r="D268" s="5" t="s">
        <v>9473</v>
      </c>
    </row>
    <row r="269" spans="1:4" ht="10" customHeight="1" x14ac:dyDescent="0.2">
      <c r="A269" s="5">
        <v>3003</v>
      </c>
      <c r="B269" s="5" t="s">
        <v>7149</v>
      </c>
      <c r="C269" s="5" t="s">
        <v>7221</v>
      </c>
      <c r="D269" s="5" t="s">
        <v>9474</v>
      </c>
    </row>
    <row r="270" spans="1:4" ht="10" customHeight="1" x14ac:dyDescent="0.2">
      <c r="A270" s="5">
        <v>3004</v>
      </c>
      <c r="B270" s="5" t="s">
        <v>7149</v>
      </c>
      <c r="C270" s="5" t="s">
        <v>7224</v>
      </c>
      <c r="D270" s="5" t="s">
        <v>9475</v>
      </c>
    </row>
    <row r="271" spans="1:4" ht="10" customHeight="1" x14ac:dyDescent="0.2">
      <c r="A271" s="5">
        <v>3005</v>
      </c>
      <c r="B271" s="5" t="s">
        <v>7149</v>
      </c>
      <c r="C271" s="5" t="s">
        <v>7227</v>
      </c>
      <c r="D271" s="5" t="s">
        <v>9476</v>
      </c>
    </row>
    <row r="272" spans="1:4" ht="10" customHeight="1" x14ac:dyDescent="0.2">
      <c r="A272" s="5">
        <v>3007</v>
      </c>
      <c r="B272" s="5" t="s">
        <v>7149</v>
      </c>
      <c r="C272" s="5" t="s">
        <v>7232</v>
      </c>
      <c r="D272" s="5" t="s">
        <v>9477</v>
      </c>
    </row>
    <row r="273" spans="1:4" ht="10" customHeight="1" x14ac:dyDescent="0.2">
      <c r="A273" s="5">
        <v>3011</v>
      </c>
      <c r="B273" s="5" t="s">
        <v>7149</v>
      </c>
      <c r="C273" s="5" t="s">
        <v>7244</v>
      </c>
      <c r="D273" s="5" t="s">
        <v>9478</v>
      </c>
    </row>
    <row r="274" spans="1:4" ht="10" customHeight="1" x14ac:dyDescent="0.2">
      <c r="A274" s="5">
        <v>3012</v>
      </c>
      <c r="B274" s="5" t="s">
        <v>7149</v>
      </c>
      <c r="C274" s="5" t="s">
        <v>7247</v>
      </c>
      <c r="D274" s="5" t="s">
        <v>9479</v>
      </c>
    </row>
    <row r="275" spans="1:4" ht="10" customHeight="1" x14ac:dyDescent="0.2">
      <c r="A275" s="5">
        <v>3013</v>
      </c>
      <c r="B275" s="5" t="s">
        <v>7149</v>
      </c>
      <c r="C275" s="5" t="s">
        <v>7250</v>
      </c>
      <c r="D275" s="5" t="s">
        <v>9480</v>
      </c>
    </row>
    <row r="276" spans="1:4" ht="10" customHeight="1" x14ac:dyDescent="0.2">
      <c r="A276" s="5">
        <v>3014</v>
      </c>
      <c r="B276" s="5" t="s">
        <v>7149</v>
      </c>
      <c r="C276" s="5" t="s">
        <v>7253</v>
      </c>
      <c r="D276" s="5" t="s">
        <v>9481</v>
      </c>
    </row>
    <row r="277" spans="1:4" ht="10" customHeight="1" x14ac:dyDescent="0.2">
      <c r="A277" s="5">
        <v>3016</v>
      </c>
      <c r="B277" s="5" t="s">
        <v>7149</v>
      </c>
      <c r="C277" s="5" t="s">
        <v>7259</v>
      </c>
      <c r="D277" s="5" t="s">
        <v>9482</v>
      </c>
    </row>
    <row r="278" spans="1:4" ht="10" customHeight="1" x14ac:dyDescent="0.2">
      <c r="A278" s="5">
        <v>3017</v>
      </c>
      <c r="B278" s="5" t="s">
        <v>7149</v>
      </c>
      <c r="C278" s="5" t="s">
        <v>7261</v>
      </c>
      <c r="D278" s="5" t="s">
        <v>9483</v>
      </c>
    </row>
    <row r="279" spans="1:4" ht="10" customHeight="1" x14ac:dyDescent="0.2">
      <c r="A279" s="5">
        <v>3018</v>
      </c>
      <c r="B279" s="5" t="s">
        <v>7149</v>
      </c>
      <c r="C279" s="5" t="s">
        <v>7263</v>
      </c>
      <c r="D279" s="5" t="s">
        <v>9484</v>
      </c>
    </row>
    <row r="280" spans="1:4" ht="10" customHeight="1" x14ac:dyDescent="0.2">
      <c r="A280" s="5">
        <v>3019</v>
      </c>
      <c r="B280" s="5" t="s">
        <v>7149</v>
      </c>
      <c r="C280" s="5" t="s">
        <v>7265</v>
      </c>
      <c r="D280" s="5" t="s">
        <v>9485</v>
      </c>
    </row>
    <row r="281" spans="1:4" ht="10" customHeight="1" x14ac:dyDescent="0.2">
      <c r="A281" s="5">
        <v>3021</v>
      </c>
      <c r="B281" s="5" t="s">
        <v>7149</v>
      </c>
      <c r="C281" s="5" t="s">
        <v>7270</v>
      </c>
      <c r="D281" s="5" t="s">
        <v>9486</v>
      </c>
    </row>
    <row r="282" spans="1:4" ht="10" customHeight="1" x14ac:dyDescent="0.2">
      <c r="A282" s="5">
        <v>3022</v>
      </c>
      <c r="B282" s="5" t="s">
        <v>7149</v>
      </c>
      <c r="C282" s="5" t="s">
        <v>7272</v>
      </c>
      <c r="D282" s="5" t="s">
        <v>9487</v>
      </c>
    </row>
    <row r="283" spans="1:4" ht="10" customHeight="1" x14ac:dyDescent="0.2">
      <c r="A283" s="5">
        <v>3024</v>
      </c>
      <c r="B283" s="5" t="s">
        <v>7149</v>
      </c>
      <c r="C283" s="5" t="s">
        <v>7276</v>
      </c>
      <c r="D283" s="5" t="s">
        <v>9488</v>
      </c>
    </row>
    <row r="284" spans="1:4" ht="10" customHeight="1" x14ac:dyDescent="0.2">
      <c r="A284" s="5">
        <v>3025</v>
      </c>
      <c r="B284" s="5" t="s">
        <v>7149</v>
      </c>
      <c r="C284" s="5" t="s">
        <v>7278</v>
      </c>
      <c r="D284" s="5" t="s">
        <v>9488</v>
      </c>
    </row>
    <row r="285" spans="1:4" ht="10" customHeight="1" x14ac:dyDescent="0.2">
      <c r="A285" s="5">
        <v>3026</v>
      </c>
      <c r="B285" s="5" t="s">
        <v>7149</v>
      </c>
      <c r="C285" s="5" t="s">
        <v>7280</v>
      </c>
      <c r="D285" s="5" t="s">
        <v>9489</v>
      </c>
    </row>
    <row r="286" spans="1:4" ht="10" customHeight="1" x14ac:dyDescent="0.2">
      <c r="A286" s="5">
        <v>3027</v>
      </c>
      <c r="B286" s="5" t="s">
        <v>7149</v>
      </c>
      <c r="C286" s="5" t="s">
        <v>7282</v>
      </c>
      <c r="D286" s="5" t="s">
        <v>9490</v>
      </c>
    </row>
    <row r="287" spans="1:4" ht="10" customHeight="1" x14ac:dyDescent="0.2">
      <c r="A287" s="5">
        <v>3028</v>
      </c>
      <c r="B287" s="5" t="s">
        <v>7149</v>
      </c>
      <c r="C287" s="5" t="s">
        <v>7284</v>
      </c>
      <c r="D287" s="5" t="s">
        <v>9491</v>
      </c>
    </row>
    <row r="288" spans="1:4" ht="10" customHeight="1" x14ac:dyDescent="0.2">
      <c r="A288" s="5">
        <v>3033</v>
      </c>
      <c r="B288" s="5" t="s">
        <v>7149</v>
      </c>
      <c r="C288" s="5" t="s">
        <v>7299</v>
      </c>
      <c r="D288" s="5" t="s">
        <v>9492</v>
      </c>
    </row>
    <row r="289" spans="1:4" ht="10" customHeight="1" x14ac:dyDescent="0.2">
      <c r="A289" s="5">
        <v>3038</v>
      </c>
      <c r="B289" s="5" t="s">
        <v>7149</v>
      </c>
      <c r="C289" s="5" t="s">
        <v>7315</v>
      </c>
      <c r="D289" s="5" t="s">
        <v>9493</v>
      </c>
    </row>
    <row r="290" spans="1:4" ht="10" customHeight="1" x14ac:dyDescent="0.2">
      <c r="A290" s="5">
        <v>3042</v>
      </c>
      <c r="B290" s="5" t="s">
        <v>7149</v>
      </c>
      <c r="C290" s="5" t="s">
        <v>7331</v>
      </c>
      <c r="D290" s="5" t="s">
        <v>9494</v>
      </c>
    </row>
    <row r="291" spans="1:4" ht="10" customHeight="1" x14ac:dyDescent="0.2">
      <c r="A291" s="5">
        <v>3043</v>
      </c>
      <c r="B291" s="5" t="s">
        <v>7149</v>
      </c>
      <c r="C291" s="5" t="s">
        <v>7334</v>
      </c>
      <c r="D291" s="5" t="s">
        <v>9495</v>
      </c>
    </row>
    <row r="292" spans="1:4" ht="10" customHeight="1" x14ac:dyDescent="0.2">
      <c r="A292" s="5">
        <v>3044</v>
      </c>
      <c r="B292" s="5" t="s">
        <v>7149</v>
      </c>
      <c r="C292" s="5" t="s">
        <v>7337</v>
      </c>
      <c r="D292" s="5" t="s">
        <v>9496</v>
      </c>
    </row>
    <row r="293" spans="1:4" ht="10" customHeight="1" x14ac:dyDescent="0.2">
      <c r="A293" s="5">
        <v>3045</v>
      </c>
      <c r="B293" s="5" t="s">
        <v>7149</v>
      </c>
      <c r="C293" s="5" t="s">
        <v>7339</v>
      </c>
      <c r="D293" s="5" t="s">
        <v>9497</v>
      </c>
    </row>
    <row r="294" spans="1:4" ht="10" customHeight="1" x14ac:dyDescent="0.2">
      <c r="A294" s="5">
        <v>3046</v>
      </c>
      <c r="B294" s="5" t="s">
        <v>7149</v>
      </c>
      <c r="C294" s="5" t="s">
        <v>7341</v>
      </c>
      <c r="D294" s="5" t="s">
        <v>9498</v>
      </c>
    </row>
    <row r="295" spans="1:4" ht="10" customHeight="1" x14ac:dyDescent="0.2">
      <c r="A295" s="5">
        <v>3047</v>
      </c>
      <c r="B295" s="5" t="s">
        <v>7149</v>
      </c>
      <c r="C295" s="5" t="s">
        <v>7343</v>
      </c>
      <c r="D295" s="5" t="s">
        <v>9499</v>
      </c>
    </row>
    <row r="296" spans="1:4" ht="10" customHeight="1" x14ac:dyDescent="0.2">
      <c r="A296" s="5">
        <v>3048</v>
      </c>
      <c r="B296" s="5" t="s">
        <v>7149</v>
      </c>
      <c r="C296" s="5" t="s">
        <v>7345</v>
      </c>
      <c r="D296" s="5" t="s">
        <v>9500</v>
      </c>
    </row>
    <row r="297" spans="1:4" ht="10" customHeight="1" x14ac:dyDescent="0.2">
      <c r="A297" s="5">
        <v>3049</v>
      </c>
      <c r="B297" s="5" t="s">
        <v>7149</v>
      </c>
      <c r="C297" s="5" t="s">
        <v>7347</v>
      </c>
      <c r="D297" s="5" t="s">
        <v>9501</v>
      </c>
    </row>
    <row r="298" spans="1:4" ht="10" customHeight="1" x14ac:dyDescent="0.2">
      <c r="A298" s="5">
        <v>3050</v>
      </c>
      <c r="B298" s="5" t="s">
        <v>7149</v>
      </c>
      <c r="C298" s="5" t="s">
        <v>7349</v>
      </c>
      <c r="D298" s="5" t="s">
        <v>9502</v>
      </c>
    </row>
    <row r="299" spans="1:4" ht="10" customHeight="1" x14ac:dyDescent="0.2">
      <c r="A299" s="5">
        <v>3051</v>
      </c>
      <c r="B299" s="5" t="s">
        <v>7149</v>
      </c>
      <c r="C299" s="5" t="s">
        <v>7351</v>
      </c>
      <c r="D299" s="5" t="s">
        <v>9503</v>
      </c>
    </row>
    <row r="300" spans="1:4" ht="10" customHeight="1" x14ac:dyDescent="0.2">
      <c r="A300" s="5">
        <v>3052</v>
      </c>
      <c r="B300" s="5" t="s">
        <v>7149</v>
      </c>
      <c r="C300" s="5" t="s">
        <v>7354</v>
      </c>
      <c r="D300" s="5" t="s">
        <v>9504</v>
      </c>
    </row>
    <row r="301" spans="1:4" ht="10" customHeight="1" x14ac:dyDescent="0.2">
      <c r="A301" s="5">
        <v>3054</v>
      </c>
      <c r="B301" s="5" t="s">
        <v>7149</v>
      </c>
      <c r="C301" s="5" t="s">
        <v>7361</v>
      </c>
      <c r="D301" s="5" t="s">
        <v>9505</v>
      </c>
    </row>
    <row r="302" spans="1:4" ht="10" customHeight="1" x14ac:dyDescent="0.2">
      <c r="A302" s="5">
        <v>3065</v>
      </c>
      <c r="B302" s="5" t="s">
        <v>7149</v>
      </c>
      <c r="C302" s="5" t="s">
        <v>7388</v>
      </c>
      <c r="D302" s="5" t="s">
        <v>9506</v>
      </c>
    </row>
    <row r="303" spans="1:4" ht="10" customHeight="1" x14ac:dyDescent="0.2">
      <c r="A303" s="5">
        <v>3097</v>
      </c>
      <c r="B303" s="5" t="s">
        <v>7149</v>
      </c>
      <c r="C303" s="5" t="s">
        <v>7461</v>
      </c>
      <c r="D303" s="5" t="s">
        <v>9507</v>
      </c>
    </row>
    <row r="304" spans="1:4" ht="10" customHeight="1" x14ac:dyDescent="0.2">
      <c r="A304" s="5">
        <v>3103</v>
      </c>
      <c r="B304" s="5" t="s">
        <v>7149</v>
      </c>
      <c r="C304" s="5" t="s">
        <v>7480</v>
      </c>
      <c r="D304" s="5" t="s">
        <v>9508</v>
      </c>
    </row>
    <row r="305" spans="1:4" ht="10" customHeight="1" x14ac:dyDescent="0.2">
      <c r="A305" s="5">
        <v>3104</v>
      </c>
      <c r="B305" s="5" t="s">
        <v>7149</v>
      </c>
      <c r="C305" s="5" t="s">
        <v>7483</v>
      </c>
      <c r="D305" s="5" t="s">
        <v>9508</v>
      </c>
    </row>
    <row r="306" spans="1:4" ht="10" customHeight="1" x14ac:dyDescent="0.2">
      <c r="A306" s="5">
        <v>3106</v>
      </c>
      <c r="B306" s="5" t="s">
        <v>7149</v>
      </c>
      <c r="C306" s="5" t="s">
        <v>7488</v>
      </c>
      <c r="D306" s="5" t="s">
        <v>9509</v>
      </c>
    </row>
    <row r="307" spans="1:4" ht="10" customHeight="1" x14ac:dyDescent="0.2">
      <c r="A307" s="5">
        <v>3109</v>
      </c>
      <c r="B307" s="5" t="s">
        <v>7149</v>
      </c>
      <c r="C307" s="5" t="s">
        <v>7494</v>
      </c>
      <c r="D307" s="5" t="s">
        <v>9510</v>
      </c>
    </row>
    <row r="308" spans="1:4" ht="10" customHeight="1" x14ac:dyDescent="0.2">
      <c r="A308" s="5">
        <v>3110</v>
      </c>
      <c r="B308" s="5" t="s">
        <v>7149</v>
      </c>
      <c r="C308" s="5" t="s">
        <v>7497</v>
      </c>
      <c r="D308" s="5" t="s">
        <v>9511</v>
      </c>
    </row>
    <row r="309" spans="1:4" ht="10" customHeight="1" x14ac:dyDescent="0.2">
      <c r="A309" s="5">
        <v>3124</v>
      </c>
      <c r="B309" s="5" t="s">
        <v>7149</v>
      </c>
      <c r="C309" s="5" t="s">
        <v>7543</v>
      </c>
      <c r="D309" s="5" t="s">
        <v>9512</v>
      </c>
    </row>
    <row r="310" spans="1:4" ht="10" customHeight="1" x14ac:dyDescent="0.2">
      <c r="A310" s="5">
        <v>3125</v>
      </c>
      <c r="B310" s="5" t="s">
        <v>7149</v>
      </c>
      <c r="C310" s="5" t="s">
        <v>7547</v>
      </c>
      <c r="D310" s="5" t="s">
        <v>9513</v>
      </c>
    </row>
    <row r="311" spans="1:4" ht="10" customHeight="1" x14ac:dyDescent="0.2">
      <c r="A311" s="5">
        <v>3126</v>
      </c>
      <c r="B311" s="5" t="s">
        <v>7149</v>
      </c>
      <c r="C311" s="5" t="s">
        <v>7551</v>
      </c>
      <c r="D311" s="5" t="s">
        <v>9514</v>
      </c>
    </row>
    <row r="312" spans="1:4" ht="10" customHeight="1" x14ac:dyDescent="0.2">
      <c r="A312" s="5">
        <v>3128</v>
      </c>
      <c r="B312" s="5" t="s">
        <v>7149</v>
      </c>
      <c r="C312" s="5" t="s">
        <v>7558</v>
      </c>
      <c r="D312" s="5" t="s">
        <v>9515</v>
      </c>
    </row>
    <row r="313" spans="1:4" ht="10" customHeight="1" x14ac:dyDescent="0.2">
      <c r="A313" s="5">
        <v>3129</v>
      </c>
      <c r="B313" s="5" t="s">
        <v>7149</v>
      </c>
      <c r="C313" s="5" t="s">
        <v>7561</v>
      </c>
      <c r="D313" s="5" t="s">
        <v>9516</v>
      </c>
    </row>
    <row r="314" spans="1:4" ht="10" customHeight="1" x14ac:dyDescent="0.2">
      <c r="A314" s="5">
        <v>3130</v>
      </c>
      <c r="B314" s="5" t="s">
        <v>7149</v>
      </c>
      <c r="C314" s="5" t="s">
        <v>7563</v>
      </c>
      <c r="D314" s="5" t="s">
        <v>9517</v>
      </c>
    </row>
    <row r="315" spans="1:4" ht="10" customHeight="1" x14ac:dyDescent="0.2">
      <c r="A315" s="5">
        <v>3131</v>
      </c>
      <c r="B315" s="5" t="s">
        <v>7149</v>
      </c>
      <c r="C315" s="5" t="s">
        <v>7566</v>
      </c>
      <c r="D315" s="5" t="s">
        <v>9518</v>
      </c>
    </row>
    <row r="316" spans="1:4" ht="10" customHeight="1" x14ac:dyDescent="0.2">
      <c r="A316" s="5">
        <v>3132</v>
      </c>
      <c r="B316" s="5" t="s">
        <v>7149</v>
      </c>
      <c r="C316" s="5" t="s">
        <v>7570</v>
      </c>
      <c r="D316" s="5" t="s">
        <v>9519</v>
      </c>
    </row>
    <row r="317" spans="1:4" ht="10" customHeight="1" x14ac:dyDescent="0.2">
      <c r="A317" s="5">
        <v>3133</v>
      </c>
      <c r="B317" s="5" t="s">
        <v>7149</v>
      </c>
      <c r="C317" s="5" t="s">
        <v>7573</v>
      </c>
      <c r="D317" s="5" t="s">
        <v>9520</v>
      </c>
    </row>
    <row r="318" spans="1:4" ht="10" customHeight="1" x14ac:dyDescent="0.2">
      <c r="A318" s="5">
        <v>3134</v>
      </c>
      <c r="B318" s="5" t="s">
        <v>7149</v>
      </c>
      <c r="C318" s="5" t="s">
        <v>7575</v>
      </c>
      <c r="D318" s="5" t="s">
        <v>9521</v>
      </c>
    </row>
    <row r="319" spans="1:4" ht="10" customHeight="1" x14ac:dyDescent="0.2">
      <c r="A319" s="5">
        <v>3135</v>
      </c>
      <c r="B319" s="5" t="s">
        <v>7149</v>
      </c>
      <c r="C319" s="5" t="s">
        <v>7577</v>
      </c>
      <c r="D319" s="5" t="s">
        <v>9522</v>
      </c>
    </row>
    <row r="320" spans="1:4" ht="10" customHeight="1" x14ac:dyDescent="0.2">
      <c r="A320" s="5">
        <v>3136</v>
      </c>
      <c r="B320" s="5" t="s">
        <v>7149</v>
      </c>
      <c r="C320" s="5" t="s">
        <v>6365</v>
      </c>
      <c r="D320" s="5" t="s">
        <v>9523</v>
      </c>
    </row>
    <row r="321" spans="1:4" ht="10" customHeight="1" x14ac:dyDescent="0.2">
      <c r="A321" s="5">
        <v>3137</v>
      </c>
      <c r="B321" s="5" t="s">
        <v>7149</v>
      </c>
      <c r="C321" s="5" t="s">
        <v>7582</v>
      </c>
      <c r="D321" s="5" t="s">
        <v>9524</v>
      </c>
    </row>
    <row r="322" spans="1:4" ht="10" customHeight="1" x14ac:dyDescent="0.2">
      <c r="A322" s="5">
        <v>3138</v>
      </c>
      <c r="B322" s="5" t="s">
        <v>7149</v>
      </c>
      <c r="C322" s="5" t="s">
        <v>7586</v>
      </c>
      <c r="D322" s="5" t="s">
        <v>9525</v>
      </c>
    </row>
    <row r="323" spans="1:4" ht="10" customHeight="1" x14ac:dyDescent="0.2">
      <c r="A323" s="5">
        <v>3139</v>
      </c>
      <c r="B323" s="5" t="s">
        <v>7149</v>
      </c>
      <c r="C323" s="5" t="s">
        <v>7589</v>
      </c>
      <c r="D323" s="5" t="s">
        <v>9526</v>
      </c>
    </row>
    <row r="324" spans="1:4" ht="10" customHeight="1" x14ac:dyDescent="0.2">
      <c r="A324" s="5">
        <v>3143</v>
      </c>
      <c r="B324" s="5" t="s">
        <v>7149</v>
      </c>
      <c r="C324" s="5" t="s">
        <v>7603</v>
      </c>
      <c r="D324" s="5" t="s">
        <v>9527</v>
      </c>
    </row>
    <row r="325" spans="1:4" ht="10" customHeight="1" x14ac:dyDescent="0.2">
      <c r="A325" s="5">
        <v>3149</v>
      </c>
      <c r="B325" s="5" t="s">
        <v>7149</v>
      </c>
      <c r="C325" s="5" t="s">
        <v>7623</v>
      </c>
      <c r="D325" s="5" t="s">
        <v>9528</v>
      </c>
    </row>
    <row r="326" spans="1:4" ht="10" customHeight="1" x14ac:dyDescent="0.2">
      <c r="A326" s="5">
        <v>3153</v>
      </c>
      <c r="B326" s="5" t="s">
        <v>7149</v>
      </c>
      <c r="C326" s="5" t="s">
        <v>7633</v>
      </c>
      <c r="D326" s="5" t="s">
        <v>9529</v>
      </c>
    </row>
    <row r="327" spans="1:4" ht="10" customHeight="1" x14ac:dyDescent="0.2">
      <c r="A327" s="5">
        <v>3155</v>
      </c>
      <c r="B327" s="5" t="s">
        <v>7149</v>
      </c>
      <c r="C327" s="5" t="s">
        <v>7640</v>
      </c>
      <c r="D327" s="5" t="s">
        <v>9530</v>
      </c>
    </row>
    <row r="328" spans="1:4" ht="10" customHeight="1" x14ac:dyDescent="0.2">
      <c r="A328" s="5">
        <v>3156</v>
      </c>
      <c r="B328" s="5" t="s">
        <v>7149</v>
      </c>
      <c r="C328" s="5" t="s">
        <v>7645</v>
      </c>
      <c r="D328" s="5" t="s">
        <v>9530</v>
      </c>
    </row>
    <row r="329" spans="1:4" ht="10" customHeight="1" x14ac:dyDescent="0.2">
      <c r="A329" s="5">
        <v>3157</v>
      </c>
      <c r="B329" s="5" t="s">
        <v>7149</v>
      </c>
      <c r="C329" s="5" t="s">
        <v>7648</v>
      </c>
      <c r="D329" s="5" t="s">
        <v>9531</v>
      </c>
    </row>
    <row r="330" spans="1:4" ht="10" customHeight="1" x14ac:dyDescent="0.2">
      <c r="A330" s="5">
        <v>3158</v>
      </c>
      <c r="B330" s="5" t="s">
        <v>7149</v>
      </c>
      <c r="C330" s="5" t="s">
        <v>7650</v>
      </c>
      <c r="D330" s="5" t="s">
        <v>9532</v>
      </c>
    </row>
    <row r="331" spans="1:4" ht="10" customHeight="1" x14ac:dyDescent="0.2">
      <c r="A331" s="5">
        <v>3159</v>
      </c>
      <c r="B331" s="5" t="s">
        <v>7149</v>
      </c>
      <c r="C331" s="5" t="s">
        <v>7653</v>
      </c>
      <c r="D331" s="5" t="s">
        <v>9533</v>
      </c>
    </row>
    <row r="332" spans="1:4" ht="10" customHeight="1" x14ac:dyDescent="0.2">
      <c r="A332" s="5">
        <v>3160</v>
      </c>
      <c r="B332" s="5" t="s">
        <v>7149</v>
      </c>
      <c r="C332" s="5" t="s">
        <v>7657</v>
      </c>
      <c r="D332" s="5" t="s">
        <v>9534</v>
      </c>
    </row>
    <row r="333" spans="1:4" ht="10" customHeight="1" x14ac:dyDescent="0.2">
      <c r="A333" s="5">
        <v>3166</v>
      </c>
      <c r="B333" s="5" t="s">
        <v>7149</v>
      </c>
      <c r="C333" s="5" t="s">
        <v>7673</v>
      </c>
      <c r="D333" s="5" t="s">
        <v>9535</v>
      </c>
    </row>
    <row r="334" spans="1:4" ht="10" customHeight="1" x14ac:dyDescent="0.2">
      <c r="A334" s="5">
        <v>3169</v>
      </c>
      <c r="B334" s="5" t="s">
        <v>7149</v>
      </c>
      <c r="C334" s="5" t="s">
        <v>7681</v>
      </c>
      <c r="D334" s="5" t="s">
        <v>9536</v>
      </c>
    </row>
    <row r="335" spans="1:4" ht="10" customHeight="1" x14ac:dyDescent="0.2">
      <c r="A335" s="5">
        <v>3170</v>
      </c>
      <c r="B335" s="5" t="s">
        <v>7149</v>
      </c>
      <c r="C335" s="5" t="s">
        <v>7684</v>
      </c>
      <c r="D335" s="5" t="s">
        <v>9537</v>
      </c>
    </row>
    <row r="336" spans="1:4" ht="10" customHeight="1" x14ac:dyDescent="0.2">
      <c r="A336" s="5">
        <v>3171</v>
      </c>
      <c r="B336" s="5" t="s">
        <v>7149</v>
      </c>
      <c r="C336" s="5" t="s">
        <v>7687</v>
      </c>
      <c r="D336" s="5" t="s">
        <v>9538</v>
      </c>
    </row>
    <row r="337" spans="1:4" ht="10" customHeight="1" x14ac:dyDescent="0.2">
      <c r="A337" s="5">
        <v>3172</v>
      </c>
      <c r="B337" s="5" t="s">
        <v>7149</v>
      </c>
      <c r="C337" s="5" t="s">
        <v>7690</v>
      </c>
      <c r="D337" s="5" t="s">
        <v>9539</v>
      </c>
    </row>
    <row r="338" spans="1:4" ht="10" customHeight="1" x14ac:dyDescent="0.2">
      <c r="A338" s="5">
        <v>3173</v>
      </c>
      <c r="B338" s="5" t="s">
        <v>7149</v>
      </c>
      <c r="C338" s="5" t="s">
        <v>7693</v>
      </c>
      <c r="D338" s="5" t="s">
        <v>9540</v>
      </c>
    </row>
    <row r="339" spans="1:4" ht="10" customHeight="1" x14ac:dyDescent="0.2">
      <c r="A339" s="5">
        <v>3174</v>
      </c>
      <c r="B339" s="5" t="s">
        <v>7149</v>
      </c>
      <c r="C339" s="5" t="s">
        <v>7695</v>
      </c>
      <c r="D339" s="5" t="s">
        <v>9541</v>
      </c>
    </row>
    <row r="340" spans="1:4" ht="10" customHeight="1" x14ac:dyDescent="0.2">
      <c r="A340" s="5">
        <v>3175</v>
      </c>
      <c r="B340" s="5" t="s">
        <v>7149</v>
      </c>
      <c r="C340" s="5" t="s">
        <v>7697</v>
      </c>
      <c r="D340" s="5" t="s">
        <v>9542</v>
      </c>
    </row>
    <row r="341" spans="1:4" ht="10" customHeight="1" x14ac:dyDescent="0.2">
      <c r="A341" s="5">
        <v>3178</v>
      </c>
      <c r="B341" s="5" t="s">
        <v>7149</v>
      </c>
      <c r="C341" s="5" t="s">
        <v>7709</v>
      </c>
      <c r="D341" s="5" t="s">
        <v>9543</v>
      </c>
    </row>
    <row r="342" spans="1:4" ht="10" customHeight="1" x14ac:dyDescent="0.2">
      <c r="A342" s="5">
        <v>3202</v>
      </c>
      <c r="B342" s="5" t="s">
        <v>7149</v>
      </c>
      <c r="C342" s="5" t="s">
        <v>7768</v>
      </c>
      <c r="D342" s="5" t="s">
        <v>9544</v>
      </c>
    </row>
    <row r="343" spans="1:4" ht="10" customHeight="1" x14ac:dyDescent="0.2">
      <c r="A343" s="5">
        <v>3205</v>
      </c>
      <c r="B343" s="5" t="s">
        <v>7149</v>
      </c>
      <c r="C343" s="5" t="s">
        <v>7777</v>
      </c>
      <c r="D343" s="5" t="s">
        <v>9545</v>
      </c>
    </row>
    <row r="344" spans="1:4" ht="10" customHeight="1" x14ac:dyDescent="0.2">
      <c r="A344" s="5">
        <v>3213</v>
      </c>
      <c r="B344" s="5" t="s">
        <v>7786</v>
      </c>
      <c r="C344" s="5" t="s">
        <v>7795</v>
      </c>
      <c r="D344" s="5" t="s">
        <v>9546</v>
      </c>
    </row>
    <row r="345" spans="1:4" ht="10" customHeight="1" x14ac:dyDescent="0.2">
      <c r="A345" s="5">
        <v>3215</v>
      </c>
      <c r="B345" s="5" t="s">
        <v>7786</v>
      </c>
      <c r="C345" s="5" t="s">
        <v>7801</v>
      </c>
      <c r="D345" s="5" t="s">
        <v>9547</v>
      </c>
    </row>
    <row r="346" spans="1:4" ht="10" customHeight="1" x14ac:dyDescent="0.2">
      <c r="A346" s="5">
        <v>3217</v>
      </c>
      <c r="B346" s="5" t="s">
        <v>7786</v>
      </c>
      <c r="C346" s="5" t="s">
        <v>7808</v>
      </c>
      <c r="D346" s="5" t="s">
        <v>9548</v>
      </c>
    </row>
    <row r="347" spans="1:4" ht="10" customHeight="1" x14ac:dyDescent="0.2">
      <c r="A347" s="5">
        <v>3219</v>
      </c>
      <c r="B347" s="5" t="s">
        <v>7786</v>
      </c>
      <c r="C347" s="5" t="s">
        <v>7814</v>
      </c>
      <c r="D347" s="5" t="s">
        <v>9549</v>
      </c>
    </row>
    <row r="348" spans="1:4" ht="10" customHeight="1" x14ac:dyDescent="0.2">
      <c r="A348" s="5">
        <v>3221</v>
      </c>
      <c r="B348" s="5" t="s">
        <v>7786</v>
      </c>
      <c r="C348" s="5" t="s">
        <v>5447</v>
      </c>
      <c r="D348" s="5" t="s">
        <v>9550</v>
      </c>
    </row>
    <row r="349" spans="1:4" ht="10" customHeight="1" x14ac:dyDescent="0.2">
      <c r="A349" s="5">
        <v>3222</v>
      </c>
      <c r="B349" s="5" t="s">
        <v>7786</v>
      </c>
      <c r="C349" s="5" t="s">
        <v>7821</v>
      </c>
      <c r="D349" s="5" t="s">
        <v>9551</v>
      </c>
    </row>
    <row r="350" spans="1:4" ht="10" customHeight="1" x14ac:dyDescent="0.2">
      <c r="A350" s="5">
        <v>3256</v>
      </c>
      <c r="B350" s="5" t="s">
        <v>7931</v>
      </c>
      <c r="C350" s="5" t="s">
        <v>7933</v>
      </c>
      <c r="D350" s="5" t="s">
        <v>9552</v>
      </c>
    </row>
    <row r="351" spans="1:4" ht="10" customHeight="1" x14ac:dyDescent="0.2">
      <c r="A351" s="5">
        <v>3257</v>
      </c>
      <c r="B351" s="5" t="s">
        <v>7931</v>
      </c>
      <c r="C351" s="5" t="s">
        <v>7935</v>
      </c>
      <c r="D351" s="5" t="s">
        <v>9553</v>
      </c>
    </row>
    <row r="352" spans="1:4" ht="10" customHeight="1" x14ac:dyDescent="0.2">
      <c r="A352" s="5">
        <v>3258</v>
      </c>
      <c r="B352" s="5" t="s">
        <v>7931</v>
      </c>
      <c r="C352" s="5" t="s">
        <v>7939</v>
      </c>
      <c r="D352" s="5" t="s">
        <v>9554</v>
      </c>
    </row>
    <row r="353" spans="1:4" ht="10" customHeight="1" x14ac:dyDescent="0.2">
      <c r="A353" s="5">
        <v>3259</v>
      </c>
      <c r="B353" s="5" t="s">
        <v>7931</v>
      </c>
      <c r="C353" s="5" t="s">
        <v>7942</v>
      </c>
      <c r="D353" s="5" t="s">
        <v>9555</v>
      </c>
    </row>
    <row r="354" spans="1:4" ht="10" customHeight="1" x14ac:dyDescent="0.2">
      <c r="A354" s="5">
        <v>3260</v>
      </c>
      <c r="B354" s="5" t="s">
        <v>7931</v>
      </c>
      <c r="C354" s="5" t="s">
        <v>7945</v>
      </c>
      <c r="D354" s="5" t="s">
        <v>9556</v>
      </c>
    </row>
    <row r="355" spans="1:4" ht="10" customHeight="1" x14ac:dyDescent="0.2">
      <c r="A355" s="5">
        <v>3261</v>
      </c>
      <c r="B355" s="5" t="s">
        <v>7931</v>
      </c>
      <c r="C355" s="5" t="s">
        <v>7948</v>
      </c>
      <c r="D355" s="5" t="s">
        <v>9557</v>
      </c>
    </row>
    <row r="356" spans="1:4" ht="10" customHeight="1" x14ac:dyDescent="0.2">
      <c r="A356" s="5">
        <v>3262</v>
      </c>
      <c r="B356" s="5" t="s">
        <v>7931</v>
      </c>
      <c r="C356" s="5" t="s">
        <v>7951</v>
      </c>
      <c r="D356" s="5" t="s">
        <v>9558</v>
      </c>
    </row>
    <row r="357" spans="1:4" ht="10" customHeight="1" x14ac:dyDescent="0.2">
      <c r="A357" s="5">
        <v>3263</v>
      </c>
      <c r="B357" s="5" t="s">
        <v>7931</v>
      </c>
      <c r="C357" s="5" t="s">
        <v>7954</v>
      </c>
      <c r="D357" s="5" t="s">
        <v>9559</v>
      </c>
    </row>
    <row r="358" spans="1:4" ht="10" customHeight="1" x14ac:dyDescent="0.2">
      <c r="A358" s="5">
        <v>3264</v>
      </c>
      <c r="B358" s="5" t="s">
        <v>7931</v>
      </c>
      <c r="C358" s="5" t="s">
        <v>7957</v>
      </c>
      <c r="D358" s="5" t="s">
        <v>9560</v>
      </c>
    </row>
    <row r="359" spans="1:4" ht="10" customHeight="1" x14ac:dyDescent="0.2">
      <c r="A359" s="5">
        <v>3265</v>
      </c>
      <c r="B359" s="5" t="s">
        <v>7931</v>
      </c>
      <c r="C359" s="5" t="s">
        <v>7960</v>
      </c>
      <c r="D359" s="5" t="s">
        <v>9561</v>
      </c>
    </row>
    <row r="360" spans="1:4" ht="10" customHeight="1" x14ac:dyDescent="0.2">
      <c r="A360" s="5">
        <v>3266</v>
      </c>
      <c r="B360" s="5" t="s">
        <v>7931</v>
      </c>
      <c r="C360" s="5" t="s">
        <v>7963</v>
      </c>
      <c r="D360" s="5" t="s">
        <v>9562</v>
      </c>
    </row>
    <row r="361" spans="1:4" ht="10" customHeight="1" x14ac:dyDescent="0.2">
      <c r="A361" s="5">
        <v>3267</v>
      </c>
      <c r="B361" s="5" t="s">
        <v>7931</v>
      </c>
      <c r="C361" s="5" t="s">
        <v>7967</v>
      </c>
      <c r="D361" s="5" t="s">
        <v>9563</v>
      </c>
    </row>
    <row r="362" spans="1:4" ht="10" customHeight="1" x14ac:dyDescent="0.2">
      <c r="A362" s="5">
        <v>3268</v>
      </c>
      <c r="B362" s="5" t="s">
        <v>7931</v>
      </c>
      <c r="C362" s="5" t="s">
        <v>7970</v>
      </c>
      <c r="D362" s="5" t="s">
        <v>9564</v>
      </c>
    </row>
    <row r="363" spans="1:4" ht="10" customHeight="1" x14ac:dyDescent="0.2">
      <c r="A363" s="5">
        <v>3269</v>
      </c>
      <c r="B363" s="5" t="s">
        <v>7931</v>
      </c>
      <c r="C363" s="5" t="s">
        <v>7972</v>
      </c>
      <c r="D363" s="5" t="s">
        <v>9565</v>
      </c>
    </row>
    <row r="364" spans="1:4" ht="10" customHeight="1" x14ac:dyDescent="0.2">
      <c r="A364" s="5">
        <v>3270</v>
      </c>
      <c r="B364" s="5" t="s">
        <v>7931</v>
      </c>
      <c r="C364" s="5" t="s">
        <v>7975</v>
      </c>
      <c r="D364" s="5" t="s">
        <v>9566</v>
      </c>
    </row>
    <row r="365" spans="1:4" ht="10" customHeight="1" x14ac:dyDescent="0.2">
      <c r="A365" s="5">
        <v>3271</v>
      </c>
      <c r="B365" s="5" t="s">
        <v>7931</v>
      </c>
      <c r="C365" s="5" t="s">
        <v>7978</v>
      </c>
      <c r="D365" s="5" t="s">
        <v>9567</v>
      </c>
    </row>
    <row r="366" spans="1:4" ht="10" customHeight="1" x14ac:dyDescent="0.2">
      <c r="A366" s="5">
        <v>3272</v>
      </c>
      <c r="B366" s="5" t="s">
        <v>7931</v>
      </c>
      <c r="C366" s="5" t="s">
        <v>7982</v>
      </c>
      <c r="D366" s="5" t="s">
        <v>9568</v>
      </c>
    </row>
    <row r="367" spans="1:4" ht="10" customHeight="1" x14ac:dyDescent="0.2">
      <c r="A367" s="5">
        <v>3277</v>
      </c>
      <c r="B367" s="5" t="s">
        <v>7931</v>
      </c>
      <c r="C367" s="5" t="s">
        <v>7998</v>
      </c>
      <c r="D367" s="5" t="s">
        <v>9569</v>
      </c>
    </row>
    <row r="368" spans="1:4" ht="10" customHeight="1" x14ac:dyDescent="0.2">
      <c r="A368" s="5">
        <v>3278</v>
      </c>
      <c r="B368" s="5" t="s">
        <v>7931</v>
      </c>
      <c r="C368" s="5" t="s">
        <v>8001</v>
      </c>
      <c r="D368" s="5" t="s">
        <v>9570</v>
      </c>
    </row>
    <row r="369" spans="1:4" ht="10" customHeight="1" x14ac:dyDescent="0.2">
      <c r="A369" s="5">
        <v>3281</v>
      </c>
      <c r="B369" s="5" t="s">
        <v>7931</v>
      </c>
      <c r="C369" s="5" t="s">
        <v>8011</v>
      </c>
      <c r="D369" s="5" t="s">
        <v>9571</v>
      </c>
    </row>
    <row r="370" spans="1:4" ht="10" customHeight="1" x14ac:dyDescent="0.2">
      <c r="A370" s="5">
        <v>3282</v>
      </c>
      <c r="B370" s="5" t="s">
        <v>7931</v>
      </c>
      <c r="C370" s="5" t="s">
        <v>8013</v>
      </c>
      <c r="D370" s="5" t="s">
        <v>9571</v>
      </c>
    </row>
    <row r="371" spans="1:4" ht="10" customHeight="1" x14ac:dyDescent="0.2">
      <c r="A371" s="5">
        <v>3283</v>
      </c>
      <c r="B371" s="5" t="s">
        <v>7931</v>
      </c>
      <c r="C371" s="5" t="s">
        <v>8017</v>
      </c>
      <c r="D371" s="5" t="s">
        <v>9572</v>
      </c>
    </row>
    <row r="372" spans="1:4" ht="10" customHeight="1" x14ac:dyDescent="0.2">
      <c r="A372" s="5">
        <v>3284</v>
      </c>
      <c r="B372" s="5" t="s">
        <v>7931</v>
      </c>
      <c r="C372" s="5" t="s">
        <v>8021</v>
      </c>
      <c r="D372" s="5" t="s">
        <v>9573</v>
      </c>
    </row>
    <row r="373" spans="1:4" ht="10" customHeight="1" x14ac:dyDescent="0.2">
      <c r="A373" s="5">
        <v>3285</v>
      </c>
      <c r="B373" s="5" t="s">
        <v>7931</v>
      </c>
      <c r="C373" s="5" t="s">
        <v>8024</v>
      </c>
      <c r="D373" s="5" t="s">
        <v>9574</v>
      </c>
    </row>
    <row r="374" spans="1:4" ht="10" customHeight="1" x14ac:dyDescent="0.2">
      <c r="A374" s="5">
        <v>3288</v>
      </c>
      <c r="B374" s="5" t="s">
        <v>7931</v>
      </c>
      <c r="C374" s="5" t="s">
        <v>8031</v>
      </c>
      <c r="D374" s="5" t="s">
        <v>9575</v>
      </c>
    </row>
    <row r="375" spans="1:4" ht="10" customHeight="1" x14ac:dyDescent="0.2">
      <c r="A375" s="5">
        <v>3289</v>
      </c>
      <c r="B375" s="5" t="s">
        <v>7931</v>
      </c>
      <c r="C375" s="5" t="s">
        <v>8035</v>
      </c>
      <c r="D375" s="5" t="s">
        <v>9576</v>
      </c>
    </row>
    <row r="376" spans="1:4" ht="10" customHeight="1" x14ac:dyDescent="0.2">
      <c r="A376" s="5">
        <v>3290</v>
      </c>
      <c r="B376" s="5" t="s">
        <v>7931</v>
      </c>
      <c r="C376" s="5" t="s">
        <v>8039</v>
      </c>
      <c r="D376" s="5" t="s">
        <v>9577</v>
      </c>
    </row>
    <row r="377" spans="1:4" ht="10" customHeight="1" x14ac:dyDescent="0.2">
      <c r="A377" s="5">
        <v>3291</v>
      </c>
      <c r="B377" s="5" t="s">
        <v>7931</v>
      </c>
      <c r="C377" s="5" t="s">
        <v>8042</v>
      </c>
      <c r="D377" s="5" t="s">
        <v>9548</v>
      </c>
    </row>
    <row r="378" spans="1:4" ht="10" customHeight="1" x14ac:dyDescent="0.2">
      <c r="A378" s="5">
        <v>3292</v>
      </c>
      <c r="B378" s="5" t="s">
        <v>7931</v>
      </c>
      <c r="C378" s="5" t="s">
        <v>8045</v>
      </c>
      <c r="D378" s="5" t="s">
        <v>9578</v>
      </c>
    </row>
    <row r="379" spans="1:4" ht="10" customHeight="1" x14ac:dyDescent="0.2">
      <c r="A379" s="5">
        <v>3293</v>
      </c>
      <c r="B379" s="5" t="s">
        <v>7931</v>
      </c>
      <c r="C379" s="5" t="s">
        <v>8048</v>
      </c>
      <c r="D379" s="5" t="s">
        <v>9579</v>
      </c>
    </row>
    <row r="380" spans="1:4" ht="10" customHeight="1" x14ac:dyDescent="0.2">
      <c r="A380" s="5">
        <v>3294</v>
      </c>
      <c r="B380" s="5" t="s">
        <v>7931</v>
      </c>
      <c r="C380" s="5" t="s">
        <v>8051</v>
      </c>
      <c r="D380" s="5" t="s">
        <v>9580</v>
      </c>
    </row>
    <row r="381" spans="1:4" ht="10" customHeight="1" x14ac:dyDescent="0.2">
      <c r="A381" s="5">
        <v>3295</v>
      </c>
      <c r="B381" s="5" t="s">
        <v>7931</v>
      </c>
      <c r="C381" s="5" t="s">
        <v>8054</v>
      </c>
      <c r="D381" s="5" t="s">
        <v>9581</v>
      </c>
    </row>
    <row r="382" spans="1:4" ht="10" customHeight="1" x14ac:dyDescent="0.2">
      <c r="A382" s="5">
        <v>3296</v>
      </c>
      <c r="B382" s="5" t="s">
        <v>7931</v>
      </c>
      <c r="C382" s="5" t="s">
        <v>8057</v>
      </c>
      <c r="D382" s="5" t="s">
        <v>9582</v>
      </c>
    </row>
    <row r="383" spans="1:4" ht="10" customHeight="1" x14ac:dyDescent="0.2">
      <c r="A383" s="5">
        <v>3297</v>
      </c>
      <c r="B383" s="5" t="s">
        <v>7931</v>
      </c>
      <c r="C383" s="5" t="s">
        <v>8060</v>
      </c>
      <c r="D383" s="5" t="s">
        <v>9583</v>
      </c>
    </row>
    <row r="384" spans="1:4" ht="10" customHeight="1" x14ac:dyDescent="0.2">
      <c r="A384" s="5">
        <v>3302</v>
      </c>
      <c r="B384" s="5" t="s">
        <v>7931</v>
      </c>
      <c r="C384" s="5" t="s">
        <v>8078</v>
      </c>
      <c r="D384" s="5" t="s">
        <v>9584</v>
      </c>
    </row>
    <row r="385" spans="1:4" ht="10" customHeight="1" x14ac:dyDescent="0.2">
      <c r="A385" s="5">
        <v>3306</v>
      </c>
      <c r="B385" s="5" t="s">
        <v>7931</v>
      </c>
      <c r="C385" s="5" t="s">
        <v>7520</v>
      </c>
      <c r="D385" s="5" t="s">
        <v>9585</v>
      </c>
    </row>
    <row r="386" spans="1:4" ht="10" customHeight="1" x14ac:dyDescent="0.2">
      <c r="A386" s="5">
        <v>3307</v>
      </c>
      <c r="B386" s="5" t="s">
        <v>7931</v>
      </c>
      <c r="C386" s="5" t="s">
        <v>8095</v>
      </c>
      <c r="D386" s="5" t="s">
        <v>9586</v>
      </c>
    </row>
    <row r="387" spans="1:4" ht="10" customHeight="1" x14ac:dyDescent="0.2">
      <c r="A387" s="5">
        <v>3308</v>
      </c>
      <c r="B387" s="5" t="s">
        <v>7931</v>
      </c>
      <c r="C387" s="5" t="s">
        <v>8100</v>
      </c>
      <c r="D387" s="5" t="s">
        <v>9587</v>
      </c>
    </row>
    <row r="388" spans="1:4" ht="10" customHeight="1" x14ac:dyDescent="0.2">
      <c r="A388" s="5">
        <v>3311</v>
      </c>
      <c r="B388" s="5" t="s">
        <v>7931</v>
      </c>
      <c r="C388" s="5" t="s">
        <v>8111</v>
      </c>
      <c r="D388" s="5" t="s">
        <v>9588</v>
      </c>
    </row>
    <row r="389" spans="1:4" ht="10" customHeight="1" x14ac:dyDescent="0.2">
      <c r="A389" s="5">
        <v>3312</v>
      </c>
      <c r="B389" s="5" t="s">
        <v>7931</v>
      </c>
      <c r="C389" s="5" t="s">
        <v>8115</v>
      </c>
      <c r="D389" s="5" t="s">
        <v>9589</v>
      </c>
    </row>
    <row r="390" spans="1:4" ht="10" customHeight="1" x14ac:dyDescent="0.2">
      <c r="A390" s="5">
        <v>3313</v>
      </c>
      <c r="B390" s="5" t="s">
        <v>7931</v>
      </c>
      <c r="C390" s="5" t="s">
        <v>8118</v>
      </c>
      <c r="D390" s="5" t="s">
        <v>9590</v>
      </c>
    </row>
    <row r="391" spans="1:4" ht="10" customHeight="1" x14ac:dyDescent="0.2">
      <c r="A391" s="5">
        <v>3314</v>
      </c>
      <c r="B391" s="5" t="s">
        <v>7931</v>
      </c>
      <c r="C391" s="5" t="s">
        <v>8121</v>
      </c>
      <c r="D391" s="5" t="s">
        <v>9591</v>
      </c>
    </row>
    <row r="392" spans="1:4" ht="10" customHeight="1" x14ac:dyDescent="0.2">
      <c r="A392" s="5">
        <v>3315</v>
      </c>
      <c r="B392" s="5" t="s">
        <v>7931</v>
      </c>
      <c r="C392" s="5" t="s">
        <v>8123</v>
      </c>
      <c r="D392" s="5" t="s">
        <v>9592</v>
      </c>
    </row>
    <row r="393" spans="1:4" ht="10" customHeight="1" x14ac:dyDescent="0.2">
      <c r="A393" s="5">
        <v>3316</v>
      </c>
      <c r="B393" s="5" t="s">
        <v>7931</v>
      </c>
      <c r="C393" s="5" t="s">
        <v>8125</v>
      </c>
      <c r="D393" s="5" t="s">
        <v>9593</v>
      </c>
    </row>
    <row r="394" spans="1:4" ht="10" customHeight="1" x14ac:dyDescent="0.2">
      <c r="A394" s="5">
        <v>3317</v>
      </c>
      <c r="B394" s="5" t="s">
        <v>7931</v>
      </c>
      <c r="C394" s="5" t="s">
        <v>8127</v>
      </c>
      <c r="D394" s="5" t="s">
        <v>9594</v>
      </c>
    </row>
    <row r="395" spans="1:4" ht="10" customHeight="1" x14ac:dyDescent="0.2">
      <c r="A395" s="5">
        <v>3318</v>
      </c>
      <c r="B395" s="5" t="s">
        <v>7931</v>
      </c>
      <c r="C395" s="5" t="s">
        <v>8129</v>
      </c>
      <c r="D395" s="5" t="s">
        <v>9595</v>
      </c>
    </row>
    <row r="396" spans="1:4" ht="10" customHeight="1" x14ac:dyDescent="0.2">
      <c r="A396" s="5">
        <v>3319</v>
      </c>
      <c r="B396" s="5" t="s">
        <v>7931</v>
      </c>
      <c r="C396" s="5" t="s">
        <v>8132</v>
      </c>
      <c r="D396" s="5" t="s">
        <v>9596</v>
      </c>
    </row>
    <row r="397" spans="1:4" ht="10" customHeight="1" x14ac:dyDescent="0.2">
      <c r="A397" s="5">
        <v>3320</v>
      </c>
      <c r="B397" s="5" t="s">
        <v>7931</v>
      </c>
      <c r="C397" s="5" t="s">
        <v>8134</v>
      </c>
      <c r="D397" s="5" t="s">
        <v>9597</v>
      </c>
    </row>
    <row r="398" spans="1:4" ht="10" customHeight="1" x14ac:dyDescent="0.2">
      <c r="A398" s="5">
        <v>3321</v>
      </c>
      <c r="B398" s="5" t="s">
        <v>7931</v>
      </c>
      <c r="C398" s="5" t="s">
        <v>8137</v>
      </c>
      <c r="D398" s="5" t="s">
        <v>9598</v>
      </c>
    </row>
    <row r="399" spans="1:4" ht="10" customHeight="1" x14ac:dyDescent="0.2">
      <c r="A399" s="5">
        <v>3322</v>
      </c>
      <c r="B399" s="5" t="s">
        <v>7931</v>
      </c>
      <c r="C399" s="5" t="s">
        <v>8140</v>
      </c>
      <c r="D399" s="5" t="s">
        <v>9599</v>
      </c>
    </row>
    <row r="400" spans="1:4" ht="10" customHeight="1" x14ac:dyDescent="0.2">
      <c r="A400" s="5">
        <v>3323</v>
      </c>
      <c r="B400" s="5" t="s">
        <v>7931</v>
      </c>
      <c r="C400" s="5" t="s">
        <v>5447</v>
      </c>
      <c r="D400" s="5" t="s">
        <v>9600</v>
      </c>
    </row>
    <row r="401" spans="1:4" ht="10" customHeight="1" x14ac:dyDescent="0.2">
      <c r="A401" s="5">
        <v>3326</v>
      </c>
      <c r="B401" s="5" t="s">
        <v>6805</v>
      </c>
      <c r="C401" s="5" t="s">
        <v>8154</v>
      </c>
      <c r="D401" s="5" t="s">
        <v>9601</v>
      </c>
    </row>
    <row r="402" spans="1:4" ht="10" customHeight="1" x14ac:dyDescent="0.2">
      <c r="A402" s="5">
        <v>3327</v>
      </c>
      <c r="B402" s="5" t="s">
        <v>6805</v>
      </c>
      <c r="C402" s="5" t="s">
        <v>8159</v>
      </c>
      <c r="D402" s="5" t="s">
        <v>9602</v>
      </c>
    </row>
    <row r="403" spans="1:4" ht="10" customHeight="1" x14ac:dyDescent="0.2">
      <c r="A403" s="5">
        <v>3328</v>
      </c>
      <c r="B403" s="5" t="s">
        <v>6805</v>
      </c>
      <c r="C403" s="5" t="s">
        <v>8161</v>
      </c>
      <c r="D403" s="5" t="s">
        <v>9603</v>
      </c>
    </row>
    <row r="404" spans="1:4" ht="10" customHeight="1" x14ac:dyDescent="0.2">
      <c r="A404" s="5">
        <v>3329</v>
      </c>
      <c r="B404" s="5" t="s">
        <v>6805</v>
      </c>
      <c r="C404" s="5" t="s">
        <v>8164</v>
      </c>
      <c r="D404" s="5" t="s">
        <v>9604</v>
      </c>
    </row>
    <row r="405" spans="1:4" ht="10" customHeight="1" x14ac:dyDescent="0.2">
      <c r="A405" s="5">
        <v>3330</v>
      </c>
      <c r="B405" s="5" t="s">
        <v>6805</v>
      </c>
      <c r="C405" s="5" t="s">
        <v>8167</v>
      </c>
      <c r="D405" s="5" t="s">
        <v>9605</v>
      </c>
    </row>
    <row r="406" spans="1:4" ht="10" customHeight="1" x14ac:dyDescent="0.2">
      <c r="A406" s="5">
        <v>3331</v>
      </c>
      <c r="B406" s="5" t="s">
        <v>6805</v>
      </c>
      <c r="C406" s="5" t="s">
        <v>8170</v>
      </c>
      <c r="D406" s="5" t="s">
        <v>9606</v>
      </c>
    </row>
    <row r="407" spans="1:4" ht="10" customHeight="1" x14ac:dyDescent="0.2">
      <c r="A407" s="5">
        <v>3332</v>
      </c>
      <c r="B407" s="5" t="s">
        <v>6805</v>
      </c>
      <c r="C407" s="5" t="s">
        <v>8175</v>
      </c>
      <c r="D407" s="5" t="s">
        <v>9607</v>
      </c>
    </row>
    <row r="408" spans="1:4" ht="10" customHeight="1" x14ac:dyDescent="0.2">
      <c r="A408" s="5">
        <v>3333</v>
      </c>
      <c r="B408" s="5" t="s">
        <v>6805</v>
      </c>
      <c r="C408" s="5" t="s">
        <v>8177</v>
      </c>
      <c r="D408" s="5" t="s">
        <v>9608</v>
      </c>
    </row>
    <row r="409" spans="1:4" ht="10" customHeight="1" x14ac:dyDescent="0.2">
      <c r="A409" s="5">
        <v>3334</v>
      </c>
      <c r="B409" s="5" t="s">
        <v>6805</v>
      </c>
      <c r="C409" s="5" t="s">
        <v>8181</v>
      </c>
      <c r="D409" s="5" t="s">
        <v>9609</v>
      </c>
    </row>
    <row r="410" spans="1:4" ht="10" customHeight="1" x14ac:dyDescent="0.2">
      <c r="A410" s="5">
        <v>3335</v>
      </c>
      <c r="B410" s="5" t="s">
        <v>6805</v>
      </c>
      <c r="C410" s="5" t="s">
        <v>8184</v>
      </c>
      <c r="D410" s="5" t="s">
        <v>9610</v>
      </c>
    </row>
    <row r="411" spans="1:4" ht="10" customHeight="1" x14ac:dyDescent="0.2">
      <c r="A411" s="5">
        <v>3336</v>
      </c>
      <c r="B411" s="5" t="s">
        <v>6805</v>
      </c>
      <c r="C411" s="5" t="s">
        <v>8189</v>
      </c>
      <c r="D411" s="5" t="s">
        <v>9611</v>
      </c>
    </row>
    <row r="412" spans="1:4" ht="10" customHeight="1" x14ac:dyDescent="0.2">
      <c r="A412" s="5">
        <v>3337</v>
      </c>
      <c r="B412" s="5" t="s">
        <v>6805</v>
      </c>
      <c r="C412" s="5" t="s">
        <v>8194</v>
      </c>
      <c r="D412" s="5" t="s">
        <v>9612</v>
      </c>
    </row>
    <row r="413" spans="1:4" ht="10" customHeight="1" x14ac:dyDescent="0.2">
      <c r="A413" s="5">
        <v>3338</v>
      </c>
      <c r="B413" s="5" t="s">
        <v>6805</v>
      </c>
      <c r="C413" s="5" t="s">
        <v>8197</v>
      </c>
      <c r="D413" s="5" t="s">
        <v>9613</v>
      </c>
    </row>
    <row r="414" spans="1:4" ht="10" customHeight="1" x14ac:dyDescent="0.2">
      <c r="A414" s="5">
        <v>3339</v>
      </c>
      <c r="B414" s="5" t="s">
        <v>6805</v>
      </c>
      <c r="C414" s="5" t="s">
        <v>8202</v>
      </c>
      <c r="D414" s="5" t="s">
        <v>9614</v>
      </c>
    </row>
    <row r="415" spans="1:4" ht="10" customHeight="1" x14ac:dyDescent="0.2">
      <c r="A415" s="5">
        <v>3340</v>
      </c>
      <c r="B415" s="5" t="s">
        <v>6805</v>
      </c>
      <c r="C415" s="5" t="s">
        <v>8204</v>
      </c>
      <c r="D415" s="5" t="s">
        <v>9615</v>
      </c>
    </row>
    <row r="416" spans="1:4" ht="10" customHeight="1" x14ac:dyDescent="0.2">
      <c r="A416" s="5">
        <v>3341</v>
      </c>
      <c r="B416" s="5" t="s">
        <v>6805</v>
      </c>
      <c r="C416" s="5" t="s">
        <v>8208</v>
      </c>
      <c r="D416" s="5" t="s">
        <v>9616</v>
      </c>
    </row>
    <row r="417" spans="1:4" ht="10" customHeight="1" x14ac:dyDescent="0.2">
      <c r="A417" s="5">
        <v>3342</v>
      </c>
      <c r="B417" s="5" t="s">
        <v>6805</v>
      </c>
      <c r="C417" s="5" t="s">
        <v>8213</v>
      </c>
      <c r="D417" s="5" t="s">
        <v>9617</v>
      </c>
    </row>
    <row r="418" spans="1:4" ht="10" customHeight="1" x14ac:dyDescent="0.2">
      <c r="A418" s="5">
        <v>3343</v>
      </c>
      <c r="B418" s="5" t="s">
        <v>6805</v>
      </c>
      <c r="C418" s="5" t="s">
        <v>8216</v>
      </c>
      <c r="D418" s="5" t="s">
        <v>9618</v>
      </c>
    </row>
    <row r="419" spans="1:4" ht="10" customHeight="1" x14ac:dyDescent="0.2">
      <c r="A419" s="5">
        <v>3344</v>
      </c>
      <c r="B419" s="5" t="s">
        <v>6805</v>
      </c>
      <c r="C419" s="5" t="s">
        <v>8218</v>
      </c>
      <c r="D419" s="5" t="s">
        <v>9619</v>
      </c>
    </row>
    <row r="420" spans="1:4" ht="10" customHeight="1" x14ac:dyDescent="0.2">
      <c r="A420" s="5">
        <v>3345</v>
      </c>
      <c r="B420" s="5" t="s">
        <v>6805</v>
      </c>
      <c r="C420" s="5" t="s">
        <v>8224</v>
      </c>
      <c r="D420" s="5" t="s">
        <v>9620</v>
      </c>
    </row>
    <row r="421" spans="1:4" ht="10" customHeight="1" x14ac:dyDescent="0.2">
      <c r="A421" s="5">
        <v>3346</v>
      </c>
      <c r="B421" s="5" t="s">
        <v>6805</v>
      </c>
      <c r="C421" s="5" t="s">
        <v>2164</v>
      </c>
      <c r="D421" s="5" t="s">
        <v>9621</v>
      </c>
    </row>
    <row r="422" spans="1:4" ht="10" customHeight="1" x14ac:dyDescent="0.2">
      <c r="A422" s="5">
        <v>3347</v>
      </c>
      <c r="B422" s="5" t="s">
        <v>6805</v>
      </c>
      <c r="C422" s="5" t="s">
        <v>8227</v>
      </c>
      <c r="D422" s="5" t="s">
        <v>9622</v>
      </c>
    </row>
    <row r="423" spans="1:4" ht="10" customHeight="1" x14ac:dyDescent="0.2">
      <c r="A423" s="5">
        <v>3348</v>
      </c>
      <c r="B423" s="5" t="s">
        <v>6805</v>
      </c>
      <c r="C423" s="5" t="s">
        <v>8229</v>
      </c>
      <c r="D423" s="5" t="s">
        <v>9623</v>
      </c>
    </row>
    <row r="424" spans="1:4" ht="10" customHeight="1" x14ac:dyDescent="0.2">
      <c r="A424" s="5">
        <v>3349</v>
      </c>
      <c r="B424" s="5" t="s">
        <v>6805</v>
      </c>
      <c r="C424" s="5" t="s">
        <v>8232</v>
      </c>
      <c r="D424" s="5" t="s">
        <v>9624</v>
      </c>
    </row>
    <row r="425" spans="1:4" ht="10" customHeight="1" x14ac:dyDescent="0.2">
      <c r="A425" s="5">
        <v>3350</v>
      </c>
      <c r="B425" s="5" t="s">
        <v>6805</v>
      </c>
      <c r="C425" s="5" t="s">
        <v>8235</v>
      </c>
      <c r="D425" s="5" t="s">
        <v>9625</v>
      </c>
    </row>
    <row r="426" spans="1:4" ht="10" customHeight="1" x14ac:dyDescent="0.2">
      <c r="A426" s="5">
        <v>3351</v>
      </c>
      <c r="B426" s="5" t="s">
        <v>6805</v>
      </c>
      <c r="C426" s="5" t="s">
        <v>8238</v>
      </c>
      <c r="D426" s="5" t="s">
        <v>9626</v>
      </c>
    </row>
    <row r="427" spans="1:4" ht="10" customHeight="1" x14ac:dyDescent="0.2">
      <c r="A427" s="5">
        <v>3354</v>
      </c>
      <c r="B427" s="5" t="s">
        <v>6805</v>
      </c>
      <c r="C427" s="5" t="s">
        <v>8249</v>
      </c>
      <c r="D427" s="5" t="s">
        <v>9627</v>
      </c>
    </row>
    <row r="428" spans="1:4" ht="10" customHeight="1" x14ac:dyDescent="0.2">
      <c r="A428" s="5">
        <v>3355</v>
      </c>
      <c r="B428" s="5" t="s">
        <v>6805</v>
      </c>
      <c r="C428" s="5" t="s">
        <v>8251</v>
      </c>
      <c r="D428" s="5" t="s">
        <v>9628</v>
      </c>
    </row>
    <row r="429" spans="1:4" ht="10" customHeight="1" x14ac:dyDescent="0.2">
      <c r="A429" s="5">
        <v>3356</v>
      </c>
      <c r="B429" s="5" t="s">
        <v>6805</v>
      </c>
      <c r="C429" s="5" t="s">
        <v>8253</v>
      </c>
      <c r="D429" s="5" t="s">
        <v>9629</v>
      </c>
    </row>
    <row r="430" spans="1:4" ht="10" customHeight="1" x14ac:dyDescent="0.2">
      <c r="A430" s="5">
        <v>3357</v>
      </c>
      <c r="B430" s="5" t="s">
        <v>6805</v>
      </c>
      <c r="C430" s="5" t="s">
        <v>8255</v>
      </c>
      <c r="D430" s="5" t="s">
        <v>9630</v>
      </c>
    </row>
    <row r="431" spans="1:4" ht="10" customHeight="1" x14ac:dyDescent="0.2">
      <c r="A431" s="5">
        <v>3358</v>
      </c>
      <c r="B431" s="5" t="s">
        <v>6805</v>
      </c>
      <c r="C431" s="5" t="s">
        <v>8257</v>
      </c>
      <c r="D431" s="5" t="s">
        <v>9631</v>
      </c>
    </row>
    <row r="432" spans="1:4" ht="10" customHeight="1" x14ac:dyDescent="0.2">
      <c r="A432" s="5">
        <v>3359</v>
      </c>
      <c r="B432" s="5" t="s">
        <v>6805</v>
      </c>
      <c r="C432" s="5" t="s">
        <v>8259</v>
      </c>
      <c r="D432" s="5" t="s">
        <v>9632</v>
      </c>
    </row>
    <row r="433" spans="1:4" ht="10" customHeight="1" x14ac:dyDescent="0.2">
      <c r="A433" s="5">
        <v>3360</v>
      </c>
      <c r="B433" s="5" t="s">
        <v>6805</v>
      </c>
      <c r="C433" s="5" t="s">
        <v>8261</v>
      </c>
      <c r="D433" s="5" t="s">
        <v>9633</v>
      </c>
    </row>
    <row r="434" spans="1:4" ht="10" customHeight="1" x14ac:dyDescent="0.2">
      <c r="A434" s="5">
        <v>3361</v>
      </c>
      <c r="B434" s="5" t="s">
        <v>6805</v>
      </c>
      <c r="C434" s="5" t="s">
        <v>8263</v>
      </c>
      <c r="D434" s="5" t="s">
        <v>9634</v>
      </c>
    </row>
    <row r="435" spans="1:4" ht="10" customHeight="1" x14ac:dyDescent="0.2">
      <c r="A435" s="5">
        <v>3374</v>
      </c>
      <c r="B435" s="5" t="s">
        <v>40</v>
      </c>
      <c r="C435" s="5" t="s">
        <v>8291</v>
      </c>
      <c r="D435" s="5" t="s">
        <v>9635</v>
      </c>
    </row>
    <row r="436" spans="1:4" ht="10" customHeight="1" x14ac:dyDescent="0.2">
      <c r="A436" s="5">
        <v>3375</v>
      </c>
      <c r="B436" s="5" t="s">
        <v>40</v>
      </c>
      <c r="C436" s="5" t="s">
        <v>8293</v>
      </c>
      <c r="D436" s="5" t="s">
        <v>9636</v>
      </c>
    </row>
    <row r="437" spans="1:4" ht="10" customHeight="1" x14ac:dyDescent="0.2">
      <c r="A437" s="5">
        <v>3376</v>
      </c>
      <c r="B437" s="5" t="s">
        <v>40</v>
      </c>
      <c r="C437" s="5" t="s">
        <v>8295</v>
      </c>
      <c r="D437" s="5" t="s">
        <v>9637</v>
      </c>
    </row>
    <row r="438" spans="1:4" ht="10" customHeight="1" x14ac:dyDescent="0.2">
      <c r="A438" s="5">
        <v>3377</v>
      </c>
      <c r="B438" s="5" t="s">
        <v>40</v>
      </c>
      <c r="C438" s="5" t="s">
        <v>8297</v>
      </c>
      <c r="D438" s="5" t="s">
        <v>9638</v>
      </c>
    </row>
    <row r="439" spans="1:4" ht="10" customHeight="1" x14ac:dyDescent="0.2">
      <c r="A439" s="5">
        <v>3378</v>
      </c>
      <c r="B439" s="5" t="s">
        <v>40</v>
      </c>
      <c r="C439" s="5" t="s">
        <v>8299</v>
      </c>
      <c r="D439" s="5" t="s">
        <v>9639</v>
      </c>
    </row>
    <row r="440" spans="1:4" ht="10" customHeight="1" x14ac:dyDescent="0.2">
      <c r="A440" s="5">
        <v>3379</v>
      </c>
      <c r="B440" s="5" t="s">
        <v>40</v>
      </c>
      <c r="C440" s="5" t="s">
        <v>8301</v>
      </c>
      <c r="D440" s="5" t="s">
        <v>9640</v>
      </c>
    </row>
    <row r="441" spans="1:4" ht="10" customHeight="1" x14ac:dyDescent="0.2">
      <c r="A441" s="5">
        <v>3380</v>
      </c>
      <c r="B441" s="5" t="s">
        <v>40</v>
      </c>
      <c r="C441" s="5" t="s">
        <v>8303</v>
      </c>
      <c r="D441" s="5" t="s">
        <v>9641</v>
      </c>
    </row>
    <row r="442" spans="1:4" ht="10" customHeight="1" x14ac:dyDescent="0.2">
      <c r="A442" s="5">
        <v>3381</v>
      </c>
      <c r="B442" s="5" t="s">
        <v>40</v>
      </c>
      <c r="C442" s="5" t="s">
        <v>8305</v>
      </c>
      <c r="D442" s="5" t="s">
        <v>9642</v>
      </c>
    </row>
    <row r="443" spans="1:4" ht="10" customHeight="1" x14ac:dyDescent="0.2">
      <c r="A443" s="5">
        <v>3382</v>
      </c>
      <c r="B443" s="5" t="s">
        <v>40</v>
      </c>
      <c r="C443" s="5" t="s">
        <v>8307</v>
      </c>
      <c r="D443" s="5" t="s">
        <v>9643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16</vt:i4>
      </vt:variant>
    </vt:vector>
  </HeadingPairs>
  <TitlesOfParts>
    <vt:vector size="33" baseType="lpstr">
      <vt:lpstr>J Book Items Cons.</vt:lpstr>
      <vt:lpstr>FY2026 &gt;&gt;</vt:lpstr>
      <vt:lpstr>FY26 Total Funding</vt:lpstr>
      <vt:lpstr>FY26 Newbuild TAM</vt:lpstr>
      <vt:lpstr>FY26 Newbuild SAM</vt:lpstr>
      <vt:lpstr>FY26 Newbuild SAM Cost Detail</vt:lpstr>
      <vt:lpstr>FY26 MRO TAM</vt:lpstr>
      <vt:lpstr>FY26 MRO SAM</vt:lpstr>
      <vt:lpstr>FY2027 &gt;&gt;</vt:lpstr>
      <vt:lpstr>FY27 Total Funding</vt:lpstr>
      <vt:lpstr>FY27 Newbuild TAM</vt:lpstr>
      <vt:lpstr>FY27 Newbuild SAM</vt:lpstr>
      <vt:lpstr>FY27 MRO TAM</vt:lpstr>
      <vt:lpstr>FY27 MRO SAM</vt:lpstr>
      <vt:lpstr>Competitive Dynamics</vt:lpstr>
      <vt:lpstr>Validation</vt:lpstr>
      <vt:lpstr>Notes</vt:lpstr>
      <vt:lpstr>JB_27S</vt:lpstr>
      <vt:lpstr>JB_27U</vt:lpstr>
      <vt:lpstr>JB_A</vt:lpstr>
      <vt:lpstr>JB_B</vt:lpstr>
      <vt:lpstr>JB_CC</vt:lpstr>
      <vt:lpstr>JB_CE</vt:lpstr>
      <vt:lpstr>JB_EX</vt:lpstr>
      <vt:lpstr>JB_F</vt:lpstr>
      <vt:lpstr>JB_H</vt:lpstr>
      <vt:lpstr>JB_L</vt:lpstr>
      <vt:lpstr>JB_N</vt:lpstr>
      <vt:lpstr>JB_R</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dcterms:created xsi:type="dcterms:W3CDTF">2026-04-13T19:38:00Z</dcterms:created>
  <dcterms:modified xsi:type="dcterms:W3CDTF">2026-04-13T21:25:31Z</dcterms:modified>
</cp:coreProperties>
</file>