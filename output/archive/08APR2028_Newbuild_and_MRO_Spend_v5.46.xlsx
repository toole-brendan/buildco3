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6">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13" fillId="0" borderId="0" applyAlignment="1" pivotButton="0" quotePrefix="0" xfId="0">
      <alignment vertical="center"/>
    </xf>
    <xf numFmtId="165" fontId="13" fillId="0" borderId="2" applyAlignment="1" pivotButton="0" quotePrefix="0" xfId="0">
      <alignment vertical="center"/>
    </xf>
    <xf numFmtId="165" fontId="13" fillId="0" borderId="0"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6" fontId="12" fillId="4" borderId="2" applyAlignment="1" pivotButton="0" quotePrefix="0" xfId="0">
      <alignment vertical="center"/>
    </xf>
    <xf numFmtId="166" fontId="12" fillId="4" borderId="0" applyAlignment="1" pivotButton="0" quotePrefix="0" xfId="0">
      <alignment vertical="center"/>
    </xf>
    <xf numFmtId="165" fontId="7" fillId="0" borderId="4"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drawing1.xml><?xml version="1.0" encoding="utf-8"?>
<xdr:wsDr xmlns:xdr="http://schemas.openxmlformats.org/drawingml/2006/spreadsheetDrawing" xmlns:a="http://schemas.openxmlformats.org/drawingml/2006/main">
  <xdr:oneCellAnchor>
    <xdr:from>
      <xdr:col>10</xdr:col>
      <xdr:colOff>57150</xdr:colOff>
      <xdr:row>60</xdr:row>
      <xdr:rowOff>28575</xdr:rowOff>
    </xdr:from>
    <xdr:ext cx="2110740" cy="190754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457200</xdr:colOff>
      <xdr:row>65</xdr:row>
      <xdr:rowOff>28575</xdr:rowOff>
    </xdr:from>
    <xdr:ext cx="3657600" cy="320040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What this table shows</a:t>
          </a:r>
        </a:p>
        <a:p>
          <a:endParaRPr lang="en-US" sz="800"/>
        </a:p>
        <a:p>
          <a:r>
            <a:rPr lang="en-US" sz="800">
              <a:solidFill>
                <a:srgbClr val="333333"/>
              </a:solidFill>
              <a:latin typeface="Arial"/>
            </a:rPr>
            <a:t>The OMN justification book breaks Ship</a:t>
          </a:r>
        </a:p>
        <a:p>
          <a:r>
            <a:rPr lang="en-US" sz="800">
              <a:solidFill>
                <a:srgbClr val="333333"/>
              </a:solidFill>
              <a:latin typeface="Arial"/>
            </a:rPr>
            <a:t>Maintenance (Bucket 2) into sub-components</a:t>
          </a:r>
        </a:p>
        <a:p>
          <a:r>
            <a:rPr lang="en-US" sz="800">
              <a:solidFill>
                <a:srgbClr val="333333"/>
              </a:solidFill>
              <a:latin typeface="Arial"/>
            </a:rPr>
            <a:t>— labor, contracts, materials, weapons</a:t>
          </a:r>
        </a:p>
        <a:p>
          <a:r>
            <a:rPr lang="en-US" sz="800">
              <a:solidFill>
                <a:srgbClr val="333333"/>
              </a:solidFill>
              <a:latin typeface="Arial"/>
            </a:rPr>
            <a:t>depot, MSC maintenance, etc. These are the</a:t>
          </a:r>
        </a:p>
        <a:p>
          <a:r>
            <a:rPr lang="en-US" sz="800">
              <a:solidFill>
                <a:srgbClr val="333333"/>
              </a:solidFill>
              <a:latin typeface="Arial"/>
            </a:rPr>
            <a:t>raw book titles showing how SDM dollars are</a:t>
          </a:r>
        </a:p>
        <a:p>
          <a:r>
            <a:rPr lang="en-US" sz="800">
              <a:solidFill>
                <a:srgbClr val="333333"/>
              </a:solidFill>
              <a:latin typeface="Arial"/>
            </a:rPr>
            <a:t>spent across the fleet, sorted by size.</a:t>
          </a:r>
        </a:p>
        <a:p>
          <a:endParaRPr lang="en-US" sz="800"/>
        </a:p>
        <a:p>
          <a:r>
            <a:rPr lang="en-US" sz="800">
              <a:solidFill>
                <a:srgbClr val="333333"/>
              </a:solidFill>
              <a:latin typeface="Arial"/>
            </a:rPr>
            <a:t>This is aggregate data (not per-hull) — it</a:t>
          </a:r>
        </a:p>
        <a:p>
          <a:r>
            <a:rPr lang="en-US" sz="800">
              <a:solidFill>
                <a:srgbClr val="333333"/>
              </a:solidFill>
              <a:latin typeface="Arial"/>
            </a:rPr>
            <a:t>covers all vessels maintained under OMN,</a:t>
          </a:r>
        </a:p>
        <a:p>
          <a:r>
            <a:rPr lang="en-US" sz="800">
              <a:solidFill>
                <a:srgbClr val="333333"/>
              </a:solidFill>
              <a:latin typeface="Arial"/>
            </a:rPr>
            <a:t>including SAM-excluded types. Section (E)</a:t>
          </a:r>
        </a:p>
        <a:p>
          <a:r>
            <a:rPr lang="en-US" sz="800">
              <a:solidFill>
                <a:srgbClr val="333333"/>
              </a:solidFill>
              <a:latin typeface="Arial"/>
            </a:rPr>
            <a:t>applies these percentages to SAM-eligible</a:t>
          </a:r>
        </a:p>
        <a:p>
          <a:r>
            <a:rPr lang="en-US" sz="800">
              <a:solidFill>
                <a:srgbClr val="333333"/>
              </a:solidFill>
              <a:latin typeface="Arial"/>
            </a:rPr>
            <a:t>hull SDM totals in section (F).</a:t>
          </a:r>
        </a:p>
        <a:p>
          <a:endParaRPr lang="en-US" sz="800"/>
        </a:p>
        <a:p>
          <a:r>
            <a:rPr lang="en-US" sz="800" b="1">
              <a:solidFill>
                <a:srgbClr val="333333"/>
              </a:solidFill>
              <a:latin typeface="Arial"/>
            </a:rPr>
            <a:t>Excluded from this table:</a:t>
          </a:r>
        </a:p>
        <a:p>
          <a:endParaRPr lang="en-US" sz="800"/>
        </a:p>
        <a:p>
          <a:r>
            <a:rPr lang="en-US" sz="800">
              <a:solidFill>
                <a:srgbClr val="333333"/>
              </a:solidFill>
              <a:latin typeface="Arial"/>
            </a:rPr>
            <a:t>• SIA - USS ARLEIGH BURKE (DDG 51) / USS RUSHMORE (LSD 47)</a:t>
          </a:r>
        </a:p>
        <a:p>
          <a:r>
            <a:rPr lang="en-US" sz="800">
              <a:solidFill>
                <a:srgbClr val="333333"/>
              </a:solidFill>
              <a:latin typeface="Arial"/>
            </a:rPr>
            <a:t>• Surface Ship Decommissioning (LSD 42, LSD 48, LCS 3, CG 67, CG 70)</a:t>
          </a:r>
        </a:p>
        <a:p>
          <a:endParaRPr lang="en-US" sz="800"/>
        </a:p>
        <a:p>
          <a:r>
            <a:rPr lang="en-US" sz="800">
              <a:solidFill>
                <a:srgbClr val="333333"/>
              </a:solidFill>
              <a:latin typeface="Arial"/>
            </a:rPr>
            <a:t>These name specific hull programs in their</a:t>
          </a:r>
        </a:p>
        <a:p>
          <a:r>
            <a:rPr lang="en-US" sz="800">
              <a:solidFill>
                <a:srgbClr val="333333"/>
              </a:solidFill>
              <a:latin typeface="Arial"/>
            </a:rPr>
            <a:t>titles, so applying them proportionally</a:t>
          </a:r>
        </a:p>
        <a:p>
          <a:r>
            <a:rPr lang="en-US" sz="800">
              <a:solidFill>
                <a:srgbClr val="333333"/>
              </a:solidFill>
              <a:latin typeface="Arial"/>
            </a:rPr>
            <a:t>across all hulls would misattribute spending.</a:t>
          </a:r>
        </a:p>
        <a:p>
          <a:r>
            <a:rPr lang="en-US" sz="800">
              <a:solidFill>
                <a:srgbClr val="333333"/>
              </a:solidFill>
              <a:latin typeface="Arial"/>
            </a:rPr>
            <a:t>They still count in SAM totals (sections</a:t>
          </a:r>
        </a:p>
        <a:p>
          <a:r>
            <a:rPr lang="en-US" sz="800">
              <a:solidFill>
                <a:srgbClr val="333333"/>
              </a:solidFill>
              <a:latin typeface="Arial"/>
            </a:rPr>
            <a:t>A/B/C) via the OMN [PARENT] row.</a:t>
          </a:r>
        </a:p>
      </xdr:txBody>
    </xdr:sp>
    <xdr:clientData/>
  </xdr:oneCellAnchor>
  <xdr:oneCellAnchor>
    <xdr:from>
      <xdr:col>13</xdr:col>
      <xdr:colOff>457200</xdr:colOff>
      <xdr:row>94</xdr:row>
      <xdr:rowOff>28575</xdr:rowOff>
    </xdr:from>
    <xdr:ext cx="2026920" cy="2326640"/>
    <xdr:sp macro="" textlink="">
      <xdr:nvSpPr>
        <xdr:cNvPr id="3" name="Note 3"/>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How this table works</a:t>
          </a:r>
        </a:p>
        <a:p>
          <a:endParaRPr lang="en-US" sz="800"/>
        </a:p>
        <a:p>
          <a:r>
            <a:rPr lang="en-US" sz="800">
              <a:solidFill>
                <a:srgbClr val="333333"/>
              </a:solidFill>
              <a:latin typeface="Arial"/>
            </a:rPr>
            <a:t>Each hull’s SDM total from section (D) is</a:t>
          </a:r>
        </a:p>
        <a:p>
          <a:r>
            <a:rPr lang="en-US" sz="800">
              <a:solidFill>
                <a:srgbClr val="333333"/>
              </a:solidFill>
              <a:latin typeface="Arial"/>
            </a:rPr>
            <a:t>multiplied by the percentage mix from (E).</a:t>
          </a:r>
        </a:p>
        <a:p>
          <a:r>
            <a:rPr lang="en-US" sz="800">
              <a:solidFill>
                <a:srgbClr val="333333"/>
              </a:solidFill>
              <a:latin typeface="Arial"/>
            </a:rPr>
            <a:t>For example, if 25% of aggregate SDM goes</a:t>
          </a:r>
        </a:p>
        <a:p>
          <a:r>
            <a:rPr lang="en-US" sz="800">
              <a:solidFill>
                <a:srgbClr val="333333"/>
              </a:solidFill>
              <a:latin typeface="Arial"/>
            </a:rPr>
            <a:t>to private-sector contracts, DDG’s $960M SDM</a:t>
          </a:r>
        </a:p>
        <a:p>
          <a:r>
            <a:rPr lang="en-US" sz="800">
              <a:solidFill>
                <a:srgbClr val="333333"/>
              </a:solidFill>
              <a:latin typeface="Arial"/>
            </a:rPr>
            <a:t>is estimated as ~$240M contract work.</a:t>
          </a:r>
        </a:p>
        <a:p>
          <a:endParaRPr lang="en-US" sz="800"/>
        </a:p>
        <a:p>
          <a:r>
            <a:rPr lang="en-US" sz="800">
              <a:solidFill>
                <a:srgbClr val="333333"/>
              </a:solidFill>
              <a:latin typeface="Arial"/>
            </a:rPr>
            <a:t>Unlike Newbuild SAM where P-5c gives a</a:t>
          </a:r>
        </a:p>
        <a:p>
          <a:r>
            <a:rPr lang="en-US" sz="800">
              <a:solidFill>
                <a:srgbClr val="333333"/>
              </a:solidFill>
              <a:latin typeface="Arial"/>
            </a:rPr>
            <a:t>_different_ cost mix per hull, MRO applies</a:t>
          </a:r>
        </a:p>
        <a:p>
          <a:r>
            <a:rPr lang="en-US" sz="800">
              <a:solidFill>
                <a:srgbClr val="333333"/>
              </a:solidFill>
              <a:latin typeface="Arial"/>
            </a:rPr>
            <a:t>the _same_ aggregate mix to every hull.</a:t>
          </a:r>
        </a:p>
        <a:p>
          <a:r>
            <a:rPr lang="en-US" sz="800">
              <a:solidFill>
                <a:srgbClr val="333333"/>
              </a:solidFill>
              <a:latin typeface="Arial"/>
            </a:rPr>
            <a:t>This is a directional approximation —</a:t>
          </a:r>
        </a:p>
        <a:p>
          <a:r>
            <a:rPr lang="en-US" sz="800">
              <a:solidFill>
                <a:srgbClr val="333333"/>
              </a:solidFill>
              <a:latin typeface="Arial"/>
            </a:rPr>
            <a:t>actual cost structure varies by hull class.</a:t>
          </a:r>
        </a:p>
        <a:p>
          <a:endParaRPr lang="en-US" sz="800"/>
        </a:p>
        <a:p>
          <a:r>
            <a:rPr lang="en-US" sz="800" i="1">
              <a:solidFill>
                <a:srgbClr val="808080"/>
              </a:solidFill>
              <a:latin typeface="Arial"/>
            </a:rPr>
            <a:t>Estimated SDM Total reconciles back to</a:t>
          </a:r>
        </a:p>
        <a:p>
          <a:r>
            <a:rPr lang="en-US" sz="800" i="1">
              <a:solidFill>
                <a:srgbClr val="808080"/>
              </a:solidFill>
              <a:latin typeface="Arial"/>
            </a:rPr>
            <a:t>each hull’s SDM from section (D).</a:t>
          </a:r>
        </a:p>
      </xdr:txBody>
    </xdr:sp>
    <xdr:clientData/>
  </xdr:oneCellAnchor>
  <xdr:oneCellAnchor>
    <xdr:from>
      <xdr:col>14</xdr:col>
      <xdr:colOff>457200</xdr:colOff>
      <xdr:row>42</xdr:row>
      <xdr:rowOff>28575</xdr:rowOff>
    </xdr:from>
    <xdr:ext cx="1901190" cy="929640"/>
    <xdr:sp macro="" textlink="">
      <xdr:nvSpPr>
        <xdr:cNvPr id="4" name="Note 4"/>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Work Type Mix by Hull</a:t>
          </a:r>
        </a:p>
        <a:p>
          <a:endParaRPr lang="en-US" sz="800"/>
        </a:p>
        <a:p>
          <a:r>
            <a:rPr lang="en-US" sz="800">
              <a:solidFill>
                <a:srgbClr val="333333"/>
              </a:solidFill>
              <a:latin typeface="Arial"/>
            </a:rPr>
            <a:t>Shows how each hull’s MRO SAM spend</a:t>
          </a:r>
        </a:p>
        <a:p>
          <a:r>
            <a:rPr lang="en-US" sz="800">
              <a:solidFill>
                <a:srgbClr val="333333"/>
              </a:solidFill>
              <a:latin typeface="Arial"/>
            </a:rPr>
            <a:t>splits across the four outsourceable work</a:t>
          </a:r>
        </a:p>
        <a:p>
          <a:r>
            <a:rPr lang="en-US" sz="800">
              <a:solidFill>
                <a:srgbClr val="333333"/>
              </a:solidFill>
              <a:latin typeface="Arial"/>
            </a:rPr>
            <a:t>types: SDM, Continuous/Emergent,</a:t>
          </a:r>
        </a:p>
        <a:p>
          <a:r>
            <a:rPr lang="en-US" sz="800">
              <a:solidFill>
                <a:srgbClr val="333333"/>
              </a:solidFill>
              <a:latin typeface="Arial"/>
            </a:rPr>
            <a:t>Modernization, and Major Life-Cycle.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Crane Ship</t>
        </is>
      </c>
      <c r="B27" s="30" t="inlineStr">
        <is>
          <t>USN</t>
        </is>
      </c>
      <c r="C27" s="31">
        <f>SUMIFS(JB_26BV,JB_B,1,JB_W,"Crane Ship",JB_RC,"ADD")</f>
        <v/>
      </c>
      <c r="D27" s="37">
        <f>IFERROR(C27/C$44,0)</f>
        <v/>
      </c>
    </row>
    <row r="28" ht="10" customHeight="1">
      <c r="A28" s="30" t="inlineStr">
        <is>
          <t>Command Ships</t>
        </is>
      </c>
      <c r="B28" s="30" t="inlineStr">
        <is>
          <t>USN</t>
        </is>
      </c>
      <c r="C28" s="31">
        <f>SUMIFS(JB_26BV,JB_B,1,JB_W,"Command Ships",JB_RC,"ADD")</f>
        <v/>
      </c>
      <c r="D28" s="37">
        <f>IFERROR(C28/C$44,0)</f>
        <v/>
      </c>
    </row>
    <row r="29" ht="10" customHeight="1">
      <c r="A29" s="30" t="inlineStr">
        <is>
          <t>Research, Survey &amp; Instrumentation Ships</t>
        </is>
      </c>
      <c r="B29" s="30" t="inlineStr">
        <is>
          <t>MSC</t>
        </is>
      </c>
      <c r="C29" s="31">
        <f>SUMIFS(JB_26BV,JB_B,1,JB_W,"Research, Survey &amp; Instrumentation Ships",JB_RC,"ADD")</f>
        <v/>
      </c>
      <c r="D29" s="37">
        <f>IFERROR(C29/C$44,0)</f>
        <v/>
      </c>
    </row>
    <row r="30" ht="10" customHeight="1">
      <c r="A30" s="30" t="inlineStr">
        <is>
          <t>Submarine Escort Ship</t>
        </is>
      </c>
      <c r="B30" s="30" t="inlineStr">
        <is>
          <t>USN</t>
        </is>
      </c>
      <c r="C30" s="31">
        <f>SUMIFS(JB_26BV,JB_B,1,JB_W,"Submarine Escort Ship",JB_RC,"ADD")</f>
        <v/>
      </c>
      <c r="D30" s="37">
        <f>IFERROR(C30/C$44,0)</f>
        <v/>
      </c>
    </row>
    <row r="31" ht="10" customHeight="1">
      <c r="A31" s="30" t="inlineStr">
        <is>
          <t>Aviation Logistics Support Ship</t>
        </is>
      </c>
      <c r="B31" s="30" t="inlineStr">
        <is>
          <t>USN</t>
        </is>
      </c>
      <c r="C31" s="31">
        <f>SUMIFS(JB_26BV,JB_B,1,JB_W,"Aviation Logistics Support Ship",JB_RC,"ADD")</f>
        <v/>
      </c>
      <c r="D31" s="37">
        <f>IFERROR(C31/C$44,0)</f>
        <v/>
      </c>
    </row>
    <row r="32" ht="10" customHeight="1">
      <c r="A32" s="30" t="inlineStr">
        <is>
          <t>General Auxiliary</t>
        </is>
      </c>
      <c r="B32" s="30" t="inlineStr">
        <is>
          <t>USN</t>
        </is>
      </c>
      <c r="C32" s="31">
        <f>SUMIFS(JB_26BV,JB_B,1,JB_W,"General Auxiliary",JB_RC,"ADD")</f>
        <v/>
      </c>
      <c r="D32" s="37">
        <f>IFERROR(C32/C$44,0)</f>
        <v/>
      </c>
    </row>
    <row r="33" ht="10" customHeight="1">
      <c r="A33" s="30" t="inlineStr">
        <is>
          <t>High Speed Transport</t>
        </is>
      </c>
      <c r="B33" s="30" t="inlineStr">
        <is>
          <t>USN</t>
        </is>
      </c>
      <c r="C33" s="31">
        <f>SUMIFS(JB_26BV,JB_B,1,JB_W,"High Speed Transport",JB_RC,"ADD")</f>
        <v/>
      </c>
      <c r="D33" s="37">
        <f>IFERROR(C33/C$44,0)</f>
        <v/>
      </c>
    </row>
    <row r="34" ht="10" customHeight="1">
      <c r="A34" s="30" t="inlineStr">
        <is>
          <t>Hospital Ship</t>
        </is>
      </c>
      <c r="B34" s="30" t="inlineStr">
        <is>
          <t>MSC</t>
        </is>
      </c>
      <c r="C34" s="31">
        <f>SUMIFS(JB_26BV,JB_B,1,JB_W,"Hospital Ship",JB_RC,"ADD")</f>
        <v/>
      </c>
      <c r="D34" s="37">
        <f>IFERROR(C34/C$44,0)</f>
        <v/>
      </c>
    </row>
    <row r="35" ht="10" customHeight="1">
      <c r="A35" s="30" t="inlineStr">
        <is>
          <t>Material Support Ships</t>
        </is>
      </c>
      <c r="B35" s="30" t="inlineStr">
        <is>
          <t>USN</t>
        </is>
      </c>
      <c r="C35" s="31">
        <f>SUMIFS(JB_26BV,JB_B,1,JB_W,"Material Support Ships",JB_RC,"ADD")</f>
        <v/>
      </c>
      <c r="D35" s="37">
        <f>IFERROR(C35/C$44,0)</f>
        <v/>
      </c>
    </row>
    <row r="36" ht="10" customHeight="1">
      <c r="A36" s="30" t="inlineStr">
        <is>
          <t>Mine Warfare</t>
        </is>
      </c>
      <c r="B36" s="30" t="inlineStr">
        <is>
          <t>USN</t>
        </is>
      </c>
      <c r="C36" s="31">
        <f>SUMIFS(JB_26BV,JB_B,1,JB_W,"Mine Warfare",JB_RC,"ADD")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Icebreakers, Great Lakes</t>
        </is>
      </c>
      <c r="B41" s="30" t="inlineStr">
        <is>
          <t>USCG</t>
        </is>
      </c>
      <c r="C41" s="31">
        <f>SUMIFS(JB_26BV,JB_B,1,JB_W,"Icebreakers, Great Lakes",JB_RC,"ADD")</f>
        <v/>
      </c>
      <c r="D41" s="37">
        <f>IFERROR(C41/C$44,0)</f>
        <v/>
      </c>
    </row>
    <row r="42" ht="10" customHeight="1">
      <c r="A42" s="30" t="inlineStr">
        <is>
          <t>Coastal Buoy Tenders</t>
        </is>
      </c>
      <c r="B42" s="30" t="inlineStr">
        <is>
          <t>USCG</t>
        </is>
      </c>
      <c r="C42" s="31">
        <f>SUMIFS(JB_26BV,JB_B,1,JB_W,"Coastal Buoy Tenders",JB_RC,"ADD")</f>
        <v/>
      </c>
      <c r="D42" s="37">
        <f>IFERROR(C42/C$44,0)</f>
        <v/>
      </c>
    </row>
    <row r="43" ht="10" customHeight="1">
      <c r="A43" s="30" t="inlineStr">
        <is>
          <t>National Security Cutters</t>
        </is>
      </c>
      <c r="B43" s="30" t="inlineStr">
        <is>
          <t>USCG</t>
        </is>
      </c>
      <c r="C43" s="31">
        <f>SUMIFS(JB_26BV,JB_B,1,JB_W,"National Security Cutters",JB_RC,"ADD")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270"/>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row>
    <row r="62" ht="10" customHeight="1">
      <c r="A62" s="26" t="inlineStr">
        <is>
          <t>Total estimated cost of each ship by component, from Exhibit P-5c. These are full ship-cost estimates — not single-year budget authority. Section (E) applies this cost mix to FY2026 net funding.</t>
        </is>
      </c>
    </row>
    <row r="63" ht="10" customHeight="1">
      <c r="A63" s="39" t="n"/>
      <c r="B63" s="40" t="inlineStr">
        <is>
          <t>USN</t>
        </is>
      </c>
      <c r="C63" s="39" t="n"/>
      <c r="D63" s="39" t="n"/>
      <c r="E63" s="39" t="n"/>
      <c r="F63" s="39" t="n"/>
      <c r="G63" s="39" t="n"/>
      <c r="H63" s="39" t="n"/>
      <c r="I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T-AO</t>
        </is>
      </c>
      <c r="H64" s="29" t="inlineStr">
        <is>
          <t>T-ATS</t>
        </is>
      </c>
      <c r="I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Costs",JB_H,"T-AO",JB_RC,"ALT")</f>
        <v/>
      </c>
      <c r="H65" s="31">
        <f>SUMIFS(JB_26BV,JB_B,1,JB_EX,"P-5c",JB_CC,"Plan Costs",JB_H,"T-ATS",JB_RC,"ALT")</f>
        <v/>
      </c>
      <c r="I65" s="45">
        <f>SUM(B65:H65)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Construction",JB_H,"T-AO",JB_RC,"ALT")</f>
        <v/>
      </c>
      <c r="H66" s="31">
        <f>SUMIFS(JB_26BV,JB_B,1,JB_EX,"P-5c",JB_CC,"Basic Construction",JB_H,"T-ATS",JB_RC,"ALT")</f>
        <v/>
      </c>
      <c r="I66" s="45">
        <f>SUM(B66:H66)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Orders",JB_H,"T-AO",JB_RC,"ALT")</f>
        <v/>
      </c>
      <c r="H67" s="31">
        <f>SUMIFS(JB_26BV,JB_B,1,JB_EX,"P-5c",JB_CC,"Change Orders",JB_H,"T-ATS",JB_RC,"ALT")</f>
        <v/>
      </c>
      <c r="I67" s="45">
        <f>SUM(B67:H67)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SUMIFS(JB_26BV,JB_B,1,JB_EX,"P-5c",JB_CC,"Electronics",JB_H,"T-AO",JB_RC,"ALT")</f>
        <v/>
      </c>
      <c r="H68" s="31">
        <f>SUMIFS(JB_26BV,JB_B,1,JB_EX,"P-5c",JB_CC,"Electronics",JB_H,"T-ATS",JB_RC,"ALT")</f>
        <v/>
      </c>
      <c r="I68" s="45">
        <f>SUM(B68:H68)</f>
        <v/>
      </c>
    </row>
    <row r="69" ht="10" customHeight="1">
      <c r="A69" s="46" t="inlineStr">
        <is>
          <t xml:space="preserve">    VERTICAL LAUNCHING SYSTEM (VLS) MK 57 4-CELL MODULES</t>
        </is>
      </c>
      <c r="B69" s="47">
        <f>SUMIFS(JB_26BV,JB_B,1,JB_EX,"P-8a",JB_CC,"Electronics",JB_H,"DDG",JB_CE,"VERTICAL LAUNCHING SYSTEM (VLS) MK 57 4-CELL MODULES",JB_RC,"ALT")</f>
        <v/>
      </c>
      <c r="C69" s="48">
        <f>SUMIFS(JB_26BV,JB_B,1,JB_EX,"P-8a",JB_CC,"Electronics",JB_H,"FFG",JB_CE,"VERTICAL LAUNCHING SYSTEM (VLS) MK 57 4-CELL MODULES",JB_RC,"ALT")</f>
        <v/>
      </c>
      <c r="D69" s="48">
        <f>SUMIFS(JB_26BV,JB_B,1,JB_EX,"P-8a",JB_CC,"Electronics",JB_H,"LPD",JB_CE,"VERTICAL LAUNCHING SYSTEM (VLS) MK 57 4-CELL MODULES",JB_RC,"ALT")</f>
        <v/>
      </c>
      <c r="E69" s="48">
        <f>SUMIFS(JB_26BV,JB_B,1,JB_EX,"P-8a",JB_CC,"Electronics",JB_H,"LHA",JB_CE,"VERTICAL LAUNCHING SYSTEM (VLS) MK 57 4-CELL MODULES",JB_RC,"ALT")</f>
        <v/>
      </c>
      <c r="F69" s="48">
        <f>SUMIFS(JB_26BV,JB_B,1,JB_EX,"P-8a",JB_CC,"Electronics",JB_H,"T-AGOS",JB_CE,"VERTICAL LAUNCHING SYSTEM (VLS) MK 57 4-CELL MODULES",JB_RC,"ALT")</f>
        <v/>
      </c>
      <c r="G69" s="48">
        <f>SUMIFS(JB_26BV,JB_B,1,JB_EX,"P-8a",JB_CC,"Electronics",JB_H,"T-AO",JB_CE,"VERTICAL LAUNCHING SYSTEM (VLS) MK 57 4-CELL MODULES",JB_RC,"ALT")</f>
        <v/>
      </c>
      <c r="H69" s="48">
        <f>SUMIFS(JB_26BV,JB_B,1,JB_EX,"P-8a",JB_CC,"Electronics",JB_H,"T-ATS",JB_CE,"VERTICAL LAUNCHING SYSTEM (VLS) MK 57 4-CELL MODULES",JB_RC,"ALT")</f>
        <v/>
      </c>
      <c r="I69" s="47">
        <f>SUM(B69:H69)</f>
        <v/>
      </c>
    </row>
    <row r="70" ht="10" customHeight="1">
      <c r="A70" s="46" t="inlineStr">
        <is>
          <t xml:space="preserve">    MULTI FUNCTION RADAR (MFR)</t>
        </is>
      </c>
      <c r="B70" s="47">
        <f>SUMIFS(JB_26BV,JB_B,1,JB_EX,"P-8a",JB_CC,"Electronics",JB_H,"DDG",JB_CE,"MULTI FUNCTION RADAR (MFR)",JB_RC,"ALT")</f>
        <v/>
      </c>
      <c r="C70" s="48">
        <f>SUMIFS(JB_26BV,JB_B,1,JB_EX,"P-8a",JB_CC,"Electronics",JB_H,"FFG",JB_CE,"MULTI FUNCTION RADAR (MFR)",JB_RC,"ALT")</f>
        <v/>
      </c>
      <c r="D70" s="48">
        <f>SUMIFS(JB_26BV,JB_B,1,JB_EX,"P-8a",JB_CC,"Electronics",JB_H,"LPD",JB_CE,"MULTI FUNCTION RADAR (MFR)",JB_RC,"ALT")</f>
        <v/>
      </c>
      <c r="E70" s="48">
        <f>SUMIFS(JB_26BV,JB_B,1,JB_EX,"P-8a",JB_CC,"Electronics",JB_H,"LHA",JB_CE,"MULTI FUNCTION RADAR (MFR)",JB_RC,"ALT")</f>
        <v/>
      </c>
      <c r="F70" s="48">
        <f>SUMIFS(JB_26BV,JB_B,1,JB_EX,"P-8a",JB_CC,"Electronics",JB_H,"T-AGOS",JB_CE,"MULTI FUNCTION RADAR (MFR)",JB_RC,"ALT")</f>
        <v/>
      </c>
      <c r="G70" s="48">
        <f>SUMIFS(JB_26BV,JB_B,1,JB_EX,"P-8a",JB_CC,"Electronics",JB_H,"T-AO",JB_CE,"MULTI FUNCTION RADAR (MFR)",JB_RC,"ALT")</f>
        <v/>
      </c>
      <c r="H70" s="48">
        <f>SUMIFS(JB_26BV,JB_B,1,JB_EX,"P-8a",JB_CC,"Electronics",JB_H,"T-ATS",JB_CE,"MULTI FUNCTION RADAR (MFR)",JB_RC,"ALT")</f>
        <v/>
      </c>
      <c r="I70" s="47">
        <f>SUM(B70:H70)</f>
        <v/>
      </c>
    </row>
    <row r="71" ht="10" customHeight="1">
      <c r="A71" s="46" t="inlineStr">
        <is>
          <t xml:space="preserve">    TOTAL SHIP COMPUTING ENVIRONMENT (TSCE)</t>
        </is>
      </c>
      <c r="B71" s="47">
        <f>SUMIFS(JB_26BV,JB_B,1,JB_EX,"P-8a",JB_CC,"Electronics",JB_H,"DDG",JB_CE,"TOTAL SHIP COMPUTING ENVIRONMENT (TSCE)",JB_RC,"ALT")</f>
        <v/>
      </c>
      <c r="C71" s="48">
        <f>SUMIFS(JB_26BV,JB_B,1,JB_EX,"P-8a",JB_CC,"Electronics",JB_H,"FFG",JB_CE,"TOTAL SHIP COMPUTING ENVIRONMENT (TSCE)",JB_RC,"ALT")</f>
        <v/>
      </c>
      <c r="D71" s="48">
        <f>SUMIFS(JB_26BV,JB_B,1,JB_EX,"P-8a",JB_CC,"Electronics",JB_H,"LPD",JB_CE,"TOTAL SHIP COMPUTING ENVIRONMENT (TSCE)",JB_RC,"ALT")</f>
        <v/>
      </c>
      <c r="E71" s="48">
        <f>SUMIFS(JB_26BV,JB_B,1,JB_EX,"P-8a",JB_CC,"Electronics",JB_H,"LHA",JB_CE,"TOTAL SHIP COMPUTING ENVIRONMENT (TSCE)",JB_RC,"ALT")</f>
        <v/>
      </c>
      <c r="F71" s="48">
        <f>SUMIFS(JB_26BV,JB_B,1,JB_EX,"P-8a",JB_CC,"Electronics",JB_H,"T-AGOS",JB_CE,"TOTAL SHIP COMPUTING ENVIRONMENT (TSCE)",JB_RC,"ALT")</f>
        <v/>
      </c>
      <c r="G71" s="48">
        <f>SUMIFS(JB_26BV,JB_B,1,JB_EX,"P-8a",JB_CC,"Electronics",JB_H,"T-AO",JB_CE,"TOTAL SHIP COMPUTING ENVIRONMENT (TSCE)",JB_RC,"ALT")</f>
        <v/>
      </c>
      <c r="H71" s="48">
        <f>SUMIFS(JB_26BV,JB_B,1,JB_EX,"P-8a",JB_CC,"Electronics",JB_H,"T-ATS",JB_CE,"TOTAL SHIP COMPUTING ENVIRONMENT (TSCE)",JB_RC,"ALT")</f>
        <v/>
      </c>
      <c r="I71" s="47">
        <f>SUM(B71:H71)</f>
        <v/>
      </c>
    </row>
    <row r="72" ht="10" customHeight="1">
      <c r="A72" s="46" t="inlineStr">
        <is>
          <t xml:space="preserve">    AN/SLQ-32 SEWIP V(7)</t>
        </is>
      </c>
      <c r="B72" s="47">
        <f>SUMIFS(JB_26BV,JB_B,1,JB_EX,"P-8a",JB_CC,"Electronics",JB_H,"DDG",JB_CE,"AN/SLQ-32 SEWIP V(7)",JB_RC,"ALT")</f>
        <v/>
      </c>
      <c r="C72" s="48">
        <f>SUMIFS(JB_26BV,JB_B,1,JB_EX,"P-8a",JB_CC,"Electronics",JB_H,"FFG",JB_CE,"AN/SLQ-32 SEWIP V(7)",JB_RC,"ALT")</f>
        <v/>
      </c>
      <c r="D72" s="48">
        <f>SUMIFS(JB_26BV,JB_B,1,JB_EX,"P-8a",JB_CC,"Electronics",JB_H,"LPD",JB_CE,"AN/SLQ-32 SEWIP V(7)",JB_RC,"ALT")</f>
        <v/>
      </c>
      <c r="E72" s="48">
        <f>SUMIFS(JB_26BV,JB_B,1,JB_EX,"P-8a",JB_CC,"Electronics",JB_H,"LHA",JB_CE,"AN/SLQ-32 SEWIP V(7)",JB_RC,"ALT")</f>
        <v/>
      </c>
      <c r="F72" s="48">
        <f>SUMIFS(JB_26BV,JB_B,1,JB_EX,"P-8a",JB_CC,"Electronics",JB_H,"T-AGOS",JB_CE,"AN/SLQ-32 SEWIP V(7)",JB_RC,"ALT")</f>
        <v/>
      </c>
      <c r="G72" s="48">
        <f>SUMIFS(JB_26BV,JB_B,1,JB_EX,"P-8a",JB_CC,"Electronics",JB_H,"T-AO",JB_CE,"AN/SLQ-32 SEWIP V(7)",JB_RC,"ALT")</f>
        <v/>
      </c>
      <c r="H72" s="48">
        <f>SUMIFS(JB_26BV,JB_B,1,JB_EX,"P-8a",JB_CC,"Electronics",JB_H,"T-ATS",JB_CE,"AN/SLQ-32 SEWIP V(7)",JB_RC,"ALT")</f>
        <v/>
      </c>
      <c r="I72" s="47">
        <f>SUM(B72:H72)</f>
        <v/>
      </c>
    </row>
    <row r="73" ht="10" customHeight="1">
      <c r="A73" s="46" t="inlineStr">
        <is>
          <t xml:space="preserve">    EXCOMM</t>
        </is>
      </c>
      <c r="B73" s="47">
        <f>SUMIFS(JB_26BV,JB_B,1,JB_EX,"P-8a",JB_CC,"Electronics",JB_H,"DDG",JB_CE,"EXCOMM",JB_RC,"ALT")</f>
        <v/>
      </c>
      <c r="C73" s="48">
        <f>SUMIFS(JB_26BV,JB_B,1,JB_EX,"P-8a",JB_CC,"Electronics",JB_H,"FFG",JB_CE,"EXCOMM",JB_RC,"ALT")</f>
        <v/>
      </c>
      <c r="D73" s="48">
        <f>SUMIFS(JB_26BV,JB_B,1,JB_EX,"P-8a",JB_CC,"Electronics",JB_H,"LPD",JB_CE,"EXCOMM",JB_RC,"ALT")</f>
        <v/>
      </c>
      <c r="E73" s="48">
        <f>SUMIFS(JB_26BV,JB_B,1,JB_EX,"P-8a",JB_CC,"Electronics",JB_H,"LHA",JB_CE,"EXCOMM",JB_RC,"ALT")</f>
        <v/>
      </c>
      <c r="F73" s="48">
        <f>SUMIFS(JB_26BV,JB_B,1,JB_EX,"P-8a",JB_CC,"Electronics",JB_H,"T-AGOS",JB_CE,"EXCOMM",JB_RC,"ALT")</f>
        <v/>
      </c>
      <c r="G73" s="48">
        <f>SUMIFS(JB_26BV,JB_B,1,JB_EX,"P-8a",JB_CC,"Electronics",JB_H,"T-AO",JB_CE,"EXCOMM",JB_RC,"ALT")</f>
        <v/>
      </c>
      <c r="H73" s="48">
        <f>SUMIFS(JB_26BV,JB_B,1,JB_EX,"P-8a",JB_CC,"Electronics",JB_H,"T-ATS",JB_CE,"EXCOMM",JB_RC,"ALT")</f>
        <v/>
      </c>
      <c r="I73" s="47">
        <f>SUM(B73:H73)</f>
        <v/>
      </c>
    </row>
    <row r="74" ht="10" customHeight="1">
      <c r="A74" s="46" t="inlineStr">
        <is>
          <t xml:space="preserve">    SQQ 89 ASW</t>
        </is>
      </c>
      <c r="B74" s="47">
        <f>SUMIFS(JB_26BV,JB_B,1,JB_EX,"P-8a",JB_CC,"Electronics",JB_H,"DDG",JB_CE,"SQQ 89 ASW",JB_RC,"ALT")</f>
        <v/>
      </c>
      <c r="C74" s="48">
        <f>SUMIFS(JB_26BV,JB_B,1,JB_EX,"P-8a",JB_CC,"Electronics",JB_H,"FFG",JB_CE,"SQQ 89 ASW",JB_RC,"ALT")</f>
        <v/>
      </c>
      <c r="D74" s="48">
        <f>SUMIFS(JB_26BV,JB_B,1,JB_EX,"P-8a",JB_CC,"Electronics",JB_H,"LPD",JB_CE,"SQQ 89 ASW",JB_RC,"ALT")</f>
        <v/>
      </c>
      <c r="E74" s="48">
        <f>SUMIFS(JB_26BV,JB_B,1,JB_EX,"P-8a",JB_CC,"Electronics",JB_H,"LHA",JB_CE,"SQQ 89 ASW",JB_RC,"ALT")</f>
        <v/>
      </c>
      <c r="F74" s="48">
        <f>SUMIFS(JB_26BV,JB_B,1,JB_EX,"P-8a",JB_CC,"Electronics",JB_H,"T-AGOS",JB_CE,"SQQ 89 ASW",JB_RC,"ALT")</f>
        <v/>
      </c>
      <c r="G74" s="48">
        <f>SUMIFS(JB_26BV,JB_B,1,JB_EX,"P-8a",JB_CC,"Electronics",JB_H,"T-AO",JB_CE,"SQQ 89 ASW",JB_RC,"ALT")</f>
        <v/>
      </c>
      <c r="H74" s="48">
        <f>SUMIFS(JB_26BV,JB_B,1,JB_EX,"P-8a",JB_CC,"Electronics",JB_H,"T-ATS",JB_CE,"SQQ 89 ASW",JB_RC,"ALT")</f>
        <v/>
      </c>
      <c r="I74" s="47">
        <f>SUM(B74:H74)</f>
        <v/>
      </c>
    </row>
    <row r="75" ht="10" customHeight="1">
      <c r="A75" s="46" t="inlineStr">
        <is>
          <t xml:space="preserve">    Command, Control, Communication, Computer Intelligence Surveillance and Reconnaissance (C4ISR)</t>
        </is>
      </c>
      <c r="B75" s="47">
        <f>SUMIFS(JB_26BV,JB_B,1,JB_EX,"P-8a",JB_CC,"Electronics",JB_H,"DDG",JB_CE,"Command, Control, Communication, Computer Intelligence Surveillance and Reconnaissance (C4ISR)",JB_RC,"ALT")</f>
        <v/>
      </c>
      <c r="C75" s="48">
        <f>SUMIFS(JB_26BV,JB_B,1,JB_EX,"P-8a",JB_CC,"Electronics",JB_H,"FFG",JB_CE,"Command, Control, Communication, Computer Intelligence Surveillance and Reconnaissance (C4ISR)",JB_RC,"ALT")</f>
        <v/>
      </c>
      <c r="D75" s="48">
        <f>SUMIFS(JB_26BV,JB_B,1,JB_EX,"P-8a",JB_CC,"Electronics",JB_H,"LPD",JB_CE,"Command, Control, Communication, Computer Intelligence Surveillance and Reconnaissance (C4ISR)",JB_RC,"ALT")</f>
        <v/>
      </c>
      <c r="E75" s="48">
        <f>SUMIFS(JB_26BV,JB_B,1,JB_EX,"P-8a",JB_CC,"Electronics",JB_H,"LHA",JB_CE,"Command, Control, Communication, Computer Intelligence Surveillance and Reconnaissance (C4ISR)",JB_RC,"ALT")</f>
        <v/>
      </c>
      <c r="F75" s="48">
        <f>SUMIFS(JB_26BV,JB_B,1,JB_EX,"P-8a",JB_CC,"Electronics",JB_H,"T-AGOS",JB_CE,"Command, Control, Communication, Computer Intelligence Surveillance and Reconnaissance (C4ISR)",JB_RC,"ALT")</f>
        <v/>
      </c>
      <c r="G75" s="48">
        <f>SUMIFS(JB_26BV,JB_B,1,JB_EX,"P-8a",JB_CC,"Electronics",JB_H,"T-AO",JB_CE,"Command, Control, Communication, Computer Intelligence Surveillance and Reconnaissance (C4ISR)",JB_RC,"ALT")</f>
        <v/>
      </c>
      <c r="H75" s="48">
        <f>SUMIFS(JB_26BV,JB_B,1,JB_EX,"P-8a",JB_CC,"Electronics",JB_H,"T-ATS",JB_CE,"Command, Control, Communication, Computer Intelligence Surveillance and Reconnaissance (C4ISR)",JB_RC,"ALT")</f>
        <v/>
      </c>
      <c r="I75" s="47">
        <f>SUM(B75:H75)</f>
        <v/>
      </c>
    </row>
    <row r="76" ht="10" customHeight="1">
      <c r="A76" s="46" t="inlineStr">
        <is>
          <t xml:space="preserve">    MISSION SYSTEM ENGR INTEGR &amp; TEST (MSEIT)</t>
        </is>
      </c>
      <c r="B76" s="47">
        <f>SUMIFS(JB_26BV,JB_B,1,JB_EX,"P-8a",JB_CC,"Electronics",JB_H,"DDG",JB_CE,"MISSION SYSTEM ENGR INTEGR &amp; TEST (MSEIT)",JB_RC,"ALT")</f>
        <v/>
      </c>
      <c r="C76" s="48">
        <f>SUMIFS(JB_26BV,JB_B,1,JB_EX,"P-8a",JB_CC,"Electronics",JB_H,"FFG",JB_CE,"MISSION SYSTEM ENGR INTEGR &amp; TEST (MSEIT)",JB_RC,"ALT")</f>
        <v/>
      </c>
      <c r="D76" s="48">
        <f>SUMIFS(JB_26BV,JB_B,1,JB_EX,"P-8a",JB_CC,"Electronics",JB_H,"LPD",JB_CE,"MISSION SYSTEM ENGR INTEGR &amp; TEST (MSEIT)",JB_RC,"ALT")</f>
        <v/>
      </c>
      <c r="E76" s="48">
        <f>SUMIFS(JB_26BV,JB_B,1,JB_EX,"P-8a",JB_CC,"Electronics",JB_H,"LHA",JB_CE,"MISSION SYSTEM ENGR INTEGR &amp; TEST (MSEIT)",JB_RC,"ALT")</f>
        <v/>
      </c>
      <c r="F76" s="48">
        <f>SUMIFS(JB_26BV,JB_B,1,JB_EX,"P-8a",JB_CC,"Electronics",JB_H,"T-AGOS",JB_CE,"MISSION SYSTEM ENGR INTEGR &amp; TEST (MSEIT)",JB_RC,"ALT")</f>
        <v/>
      </c>
      <c r="G76" s="48">
        <f>SUMIFS(JB_26BV,JB_B,1,JB_EX,"P-8a",JB_CC,"Electronics",JB_H,"T-AO",JB_CE,"MISSION SYSTEM ENGR INTEGR &amp; TEST (MSEIT)",JB_RC,"ALT")</f>
        <v/>
      </c>
      <c r="H76" s="48">
        <f>SUMIFS(JB_26BV,JB_B,1,JB_EX,"P-8a",JB_CC,"Electronics",JB_H,"T-ATS",JB_CE,"MISSION SYSTEM ENGR INTEGR &amp; TEST (MSEIT)",JB_RC,"ALT")</f>
        <v/>
      </c>
      <c r="I76" s="47">
        <f>SUM(B76:H76)</f>
        <v/>
      </c>
    </row>
    <row r="77" ht="10" customHeight="1">
      <c r="A77" s="46" t="inlineStr">
        <is>
          <t xml:space="preserve">    MISSION SYSTEM ACTIVATION</t>
        </is>
      </c>
      <c r="B77" s="47">
        <f>SUMIFS(JB_26BV,JB_B,1,JB_EX,"P-8a",JB_CC,"Electronics",JB_H,"DDG",JB_CE,"MISSION SYSTEM ACTIVATION",JB_RC,"ALT")</f>
        <v/>
      </c>
      <c r="C77" s="48">
        <f>SUMIFS(JB_26BV,JB_B,1,JB_EX,"P-8a",JB_CC,"Electronics",JB_H,"FFG",JB_CE,"MISSION SYSTEM ACTIVATION",JB_RC,"ALT")</f>
        <v/>
      </c>
      <c r="D77" s="48">
        <f>SUMIFS(JB_26BV,JB_B,1,JB_EX,"P-8a",JB_CC,"Electronics",JB_H,"LPD",JB_CE,"MISSION SYSTEM ACTIVATION",JB_RC,"ALT")</f>
        <v/>
      </c>
      <c r="E77" s="48">
        <f>SUMIFS(JB_26BV,JB_B,1,JB_EX,"P-8a",JB_CC,"Electronics",JB_H,"LHA",JB_CE,"MISSION SYSTEM ACTIVATION",JB_RC,"ALT")</f>
        <v/>
      </c>
      <c r="F77" s="48">
        <f>SUMIFS(JB_26BV,JB_B,1,JB_EX,"P-8a",JB_CC,"Electronics",JB_H,"T-AGOS",JB_CE,"MISSION SYSTEM ACTIVATION",JB_RC,"ALT")</f>
        <v/>
      </c>
      <c r="G77" s="48">
        <f>SUMIFS(JB_26BV,JB_B,1,JB_EX,"P-8a",JB_CC,"Electronics",JB_H,"T-AO",JB_CE,"MISSION SYSTEM ACTIVATION",JB_RC,"ALT")</f>
        <v/>
      </c>
      <c r="H77" s="48">
        <f>SUMIFS(JB_26BV,JB_B,1,JB_EX,"P-8a",JB_CC,"Electronics",JB_H,"T-ATS",JB_CE,"MISSION SYSTEM ACTIVATION",JB_RC,"ALT")</f>
        <v/>
      </c>
      <c r="I77" s="47">
        <f>SUM(B77:H77)</f>
        <v/>
      </c>
    </row>
    <row r="78" ht="10" customHeight="1">
      <c r="A78" s="46" t="inlineStr">
        <is>
          <t xml:space="preserve">    Enterprise Air Surveillance Radar (EASR)</t>
        </is>
      </c>
      <c r="B78" s="47">
        <f>SUMIFS(JB_26BV,JB_B,1,JB_EX,"P-8a",JB_CC,"Electronics",JB_H,"DDG",JB_CE,"Enterprise Air Surveillance Radar (EASR)",JB_RC,"ALT")</f>
        <v/>
      </c>
      <c r="C78" s="48">
        <f>SUMIFS(JB_26BV,JB_B,1,JB_EX,"P-8a",JB_CC,"Electronics",JB_H,"FFG",JB_CE,"Enterprise Air Surveillance Radar (EASR)",JB_RC,"ALT")</f>
        <v/>
      </c>
      <c r="D78" s="48">
        <f>SUMIFS(JB_26BV,JB_B,1,JB_EX,"P-8a",JB_CC,"Electronics",JB_H,"LPD",JB_CE,"Enterprise Air Surveillance Radar (EASR)",JB_RC,"ALT")</f>
        <v/>
      </c>
      <c r="E78" s="48">
        <f>SUMIFS(JB_26BV,JB_B,1,JB_EX,"P-8a",JB_CC,"Electronics",JB_H,"LHA",JB_CE,"Enterprise Air Surveillance Radar (EASR)",JB_RC,"ALT")</f>
        <v/>
      </c>
      <c r="F78" s="48">
        <f>SUMIFS(JB_26BV,JB_B,1,JB_EX,"P-8a",JB_CC,"Electronics",JB_H,"T-AGOS",JB_CE,"Enterprise Air Surveillance Radar (EASR)",JB_RC,"ALT")</f>
        <v/>
      </c>
      <c r="G78" s="48">
        <f>SUMIFS(JB_26BV,JB_B,1,JB_EX,"P-8a",JB_CC,"Electronics",JB_H,"T-AO",JB_CE,"Enterprise Air Surveillance Radar (EASR)",JB_RC,"ALT")</f>
        <v/>
      </c>
      <c r="H78" s="48">
        <f>SUMIFS(JB_26BV,JB_B,1,JB_EX,"P-8a",JB_CC,"Electronics",JB_H,"T-ATS",JB_CE,"Enterprise Air Surveillance Radar (EASR)",JB_RC,"ALT")</f>
        <v/>
      </c>
      <c r="I78" s="47">
        <f>SUM(B78:H78)</f>
        <v/>
      </c>
    </row>
    <row r="79" ht="10" customHeight="1">
      <c r="A79" s="46" t="inlineStr">
        <is>
          <t xml:space="preserve">    SHIP CONTROL SYSTEM (SCS)</t>
        </is>
      </c>
      <c r="B79" s="47">
        <f>SUMIFS(JB_26BV,JB_B,1,JB_EX,"P-8a",JB_CC,"Electronics",JB_H,"DDG",JB_CE,"SHIP CONTROL SYSTEM (SCS)",JB_RC,"ALT")</f>
        <v/>
      </c>
      <c r="C79" s="48">
        <f>SUMIFS(JB_26BV,JB_B,1,JB_EX,"P-8a",JB_CC,"Electronics",JB_H,"FFG",JB_CE,"SHIP CONTROL SYSTEM (SCS)",JB_RC,"ALT")</f>
        <v/>
      </c>
      <c r="D79" s="48">
        <f>SUMIFS(JB_26BV,JB_B,1,JB_EX,"P-8a",JB_CC,"Electronics",JB_H,"LPD",JB_CE,"SHIP CONTROL SYSTEM (SCS)",JB_RC,"ALT")</f>
        <v/>
      </c>
      <c r="E79" s="48">
        <f>SUMIFS(JB_26BV,JB_B,1,JB_EX,"P-8a",JB_CC,"Electronics",JB_H,"LHA",JB_CE,"SHIP CONTROL SYSTEM (SCS)",JB_RC,"ALT")</f>
        <v/>
      </c>
      <c r="F79" s="48">
        <f>SUMIFS(JB_26BV,JB_B,1,JB_EX,"P-8a",JB_CC,"Electronics",JB_H,"T-AGOS",JB_CE,"SHIP CONTROL SYSTEM (SCS)",JB_RC,"ALT")</f>
        <v/>
      </c>
      <c r="G79" s="48">
        <f>SUMIFS(JB_26BV,JB_B,1,JB_EX,"P-8a",JB_CC,"Electronics",JB_H,"T-AO",JB_CE,"SHIP CONTROL SYSTEM (SCS)",JB_RC,"ALT")</f>
        <v/>
      </c>
      <c r="H79" s="48">
        <f>SUMIFS(JB_26BV,JB_B,1,JB_EX,"P-8a",JB_CC,"Electronics",JB_H,"T-ATS",JB_CE,"SHIP CONTROL SYSTEM (SCS)",JB_RC,"ALT")</f>
        <v/>
      </c>
      <c r="I79" s="47">
        <f>SUM(B79:H79)</f>
        <v/>
      </c>
    </row>
    <row r="80" ht="10" customHeight="1">
      <c r="A80" s="46" t="inlineStr">
        <is>
          <t xml:space="preserve">    INTEGRATED UNDERSEA WARFARE (IUSW) SYSTEM</t>
        </is>
      </c>
      <c r="B80" s="47">
        <f>SUMIFS(JB_26BV,JB_B,1,JB_EX,"P-8a",JB_CC,"Electronics",JB_H,"DDG",JB_CE,"INTEGRATED UNDERSEA WARFARE (IUSW) SYSTEM",JB_RC,"ALT")</f>
        <v/>
      </c>
      <c r="C80" s="48">
        <f>SUMIFS(JB_26BV,JB_B,1,JB_EX,"P-8a",JB_CC,"Electronics",JB_H,"FFG",JB_CE,"INTEGRATED UNDERSEA WARFARE (IUSW) SYSTEM",JB_RC,"ALT")</f>
        <v/>
      </c>
      <c r="D80" s="48">
        <f>SUMIFS(JB_26BV,JB_B,1,JB_EX,"P-8a",JB_CC,"Electronics",JB_H,"LPD",JB_CE,"INTEGRATED UNDERSEA WARFARE (IUSW) SYSTEM",JB_RC,"ALT")</f>
        <v/>
      </c>
      <c r="E80" s="48">
        <f>SUMIFS(JB_26BV,JB_B,1,JB_EX,"P-8a",JB_CC,"Electronics",JB_H,"LHA",JB_CE,"INTEGRATED UNDERSEA WARFARE (IUSW) SYSTEM",JB_RC,"ALT")</f>
        <v/>
      </c>
      <c r="F80" s="48">
        <f>SUMIFS(JB_26BV,JB_B,1,JB_EX,"P-8a",JB_CC,"Electronics",JB_H,"T-AGOS",JB_CE,"INTEGRATED UNDERSEA WARFARE (IUSW) SYSTEM",JB_RC,"ALT")</f>
        <v/>
      </c>
      <c r="G80" s="48">
        <f>SUMIFS(JB_26BV,JB_B,1,JB_EX,"P-8a",JB_CC,"Electronics",JB_H,"T-AO",JB_CE,"INTEGRATED UNDERSEA WARFARE (IUSW) SYSTEM",JB_RC,"ALT")</f>
        <v/>
      </c>
      <c r="H80" s="48">
        <f>SUMIFS(JB_26BV,JB_B,1,JB_EX,"P-8a",JB_CC,"Electronics",JB_H,"T-ATS",JB_CE,"INTEGRATED UNDERSEA WARFARE (IUSW) SYSTEM",JB_RC,"ALT")</f>
        <v/>
      </c>
      <c r="I80" s="47">
        <f>SUM(B80:H80)</f>
        <v/>
      </c>
    </row>
    <row r="81" ht="10" customHeight="1">
      <c r="A81" s="46" t="inlineStr">
        <is>
          <t xml:space="preserve">    MISC. ELECTRONICS</t>
        </is>
      </c>
      <c r="B81" s="47">
        <f>SUMIFS(JB_26BV,JB_B,1,JB_EX,"P-8a",JB_CC,"Electronics",JB_H,"DDG",JB_CE,"MISC. ELECTRONICS",JB_RC,"ALT")</f>
        <v/>
      </c>
      <c r="C81" s="48">
        <f>SUMIFS(JB_26BV,JB_B,1,JB_EX,"P-8a",JB_CC,"Electronics",JB_H,"FFG",JB_CE,"MISC. ELECTRONICS",JB_RC,"ALT")</f>
        <v/>
      </c>
      <c r="D81" s="48">
        <f>SUMIFS(JB_26BV,JB_B,1,JB_EX,"P-8a",JB_CC,"Electronics",JB_H,"LPD",JB_CE,"MISC. ELECTRONICS",JB_RC,"ALT")</f>
        <v/>
      </c>
      <c r="E81" s="48">
        <f>SUMIFS(JB_26BV,JB_B,1,JB_EX,"P-8a",JB_CC,"Electronics",JB_H,"LHA",JB_CE,"MISC. ELECTRONICS",JB_RC,"ALT")</f>
        <v/>
      </c>
      <c r="F81" s="48">
        <f>SUMIFS(JB_26BV,JB_B,1,JB_EX,"P-8a",JB_CC,"Electronics",JB_H,"T-AGOS",JB_CE,"MISC. ELECTRONICS",JB_RC,"ALT")</f>
        <v/>
      </c>
      <c r="G81" s="48">
        <f>SUMIFS(JB_26BV,JB_B,1,JB_EX,"P-8a",JB_CC,"Electronics",JB_H,"T-AO",JB_CE,"MISC. ELECTRONICS",JB_RC,"ALT")</f>
        <v/>
      </c>
      <c r="H81" s="48">
        <f>SUMIFS(JB_26BV,JB_B,1,JB_EX,"P-8a",JB_CC,"Electronics",JB_H,"T-ATS",JB_CE,"MISC. ELECTRONICS",JB_RC,"ALT")</f>
        <v/>
      </c>
      <c r="I81" s="47">
        <f>SUM(B81:H81)</f>
        <v/>
      </c>
    </row>
    <row r="82" ht="10" customHeight="1">
      <c r="A82" s="46" t="inlineStr">
        <is>
          <t xml:space="preserve">    AEGIS Weapon System (AWS)</t>
        </is>
      </c>
      <c r="B82" s="47">
        <f>SUMIFS(JB_26BV,JB_B,1,JB_EX,"P-8a",JB_CC,"Electronics",JB_H,"DDG",JB_CE,"AEGIS Weapon System (AWS)",JB_RC,"ALT")</f>
        <v/>
      </c>
      <c r="C82" s="48">
        <f>SUMIFS(JB_26BV,JB_B,1,JB_EX,"P-8a",JB_CC,"Electronics",JB_H,"FFG",JB_CE,"AEGIS Weapon System (AWS)",JB_RC,"ALT")</f>
        <v/>
      </c>
      <c r="D82" s="48">
        <f>SUMIFS(JB_26BV,JB_B,1,JB_EX,"P-8a",JB_CC,"Electronics",JB_H,"LPD",JB_CE,"AEGIS Weapon System (AWS)",JB_RC,"ALT")</f>
        <v/>
      </c>
      <c r="E82" s="48">
        <f>SUMIFS(JB_26BV,JB_B,1,JB_EX,"P-8a",JB_CC,"Electronics",JB_H,"LHA",JB_CE,"AEGIS Weapon System (AWS)",JB_RC,"ALT")</f>
        <v/>
      </c>
      <c r="F82" s="48">
        <f>SUMIFS(JB_26BV,JB_B,1,JB_EX,"P-8a",JB_CC,"Electronics",JB_H,"T-AGOS",JB_CE,"AEGIS Weapon System (AWS)",JB_RC,"ALT")</f>
        <v/>
      </c>
      <c r="G82" s="48">
        <f>SUMIFS(JB_26BV,JB_B,1,JB_EX,"P-8a",JB_CC,"Electronics",JB_H,"T-AO",JB_CE,"AEGIS Weapon System (AWS)",JB_RC,"ALT")</f>
        <v/>
      </c>
      <c r="H82" s="48">
        <f>SUMIFS(JB_26BV,JB_B,1,JB_EX,"P-8a",JB_CC,"Electronics",JB_H,"T-ATS",JB_CE,"AEGIS Weapon System (AWS)",JB_RC,"ALT")</f>
        <v/>
      </c>
      <c r="I82" s="47">
        <f>SUM(B82:H82)</f>
        <v/>
      </c>
    </row>
    <row r="83" ht="10" customHeight="1">
      <c r="A83" s="46" t="inlineStr">
        <is>
          <t xml:space="preserve">    Surveillance Towed Array Sensor System (SURTASS)</t>
        </is>
      </c>
      <c r="B83" s="47">
        <f>SUMIFS(JB_26BV,JB_B,1,JB_EX,"P-8a",JB_CC,"Electronics",JB_H,"DDG",JB_CE,"Surveillance Towed Array Sensor System (SURTASS)",JB_RC,"ALT")</f>
        <v/>
      </c>
      <c r="C83" s="48">
        <f>SUMIFS(JB_26BV,JB_B,1,JB_EX,"P-8a",JB_CC,"Electronics",JB_H,"FFG",JB_CE,"Surveillance Towed Array Sensor System (SURTASS)",JB_RC,"ALT")</f>
        <v/>
      </c>
      <c r="D83" s="48">
        <f>SUMIFS(JB_26BV,JB_B,1,JB_EX,"P-8a",JB_CC,"Electronics",JB_H,"LPD",JB_CE,"Surveillance Towed Array Sensor System (SURTASS)",JB_RC,"ALT")</f>
        <v/>
      </c>
      <c r="E83" s="48">
        <f>SUMIFS(JB_26BV,JB_B,1,JB_EX,"P-8a",JB_CC,"Electronics",JB_H,"LHA",JB_CE,"Surveillance Towed Array Sensor System (SURTASS)",JB_RC,"ALT")</f>
        <v/>
      </c>
      <c r="F83" s="48">
        <f>SUMIFS(JB_26BV,JB_B,1,JB_EX,"P-8a",JB_CC,"Electronics",JB_H,"T-AGOS",JB_CE,"Surveillance Towed Array Sensor System (SURTASS)",JB_RC,"ALT")</f>
        <v/>
      </c>
      <c r="G83" s="48">
        <f>SUMIFS(JB_26BV,JB_B,1,JB_EX,"P-8a",JB_CC,"Electronics",JB_H,"T-AO",JB_CE,"Surveillance Towed Array Sensor System (SURTASS)",JB_RC,"ALT")</f>
        <v/>
      </c>
      <c r="H83" s="48">
        <f>SUMIFS(JB_26BV,JB_B,1,JB_EX,"P-8a",JB_CC,"Electronics",JB_H,"T-ATS",JB_CE,"Surveillance Towed Array Sensor System (SURTASS)",JB_RC,"ALT")</f>
        <v/>
      </c>
      <c r="I83" s="47">
        <f>SUM(B83:H83)</f>
        <v/>
      </c>
    </row>
    <row r="84" ht="10" customHeight="1">
      <c r="A84" s="46" t="inlineStr">
        <is>
          <t xml:space="preserve">    C4ISR</t>
        </is>
      </c>
      <c r="B84" s="47">
        <f>SUMIFS(JB_26BV,JB_B,1,JB_EX,"P-8a",JB_CC,"Electronics",JB_H,"DDG",JB_CE,"C4ISR",JB_RC,"ALT")</f>
        <v/>
      </c>
      <c r="C84" s="48">
        <f>SUMIFS(JB_26BV,JB_B,1,JB_EX,"P-8a",JB_CC,"Electronics",JB_H,"FFG",JB_CE,"C4ISR",JB_RC,"ALT")</f>
        <v/>
      </c>
      <c r="D84" s="48">
        <f>SUMIFS(JB_26BV,JB_B,1,JB_EX,"P-8a",JB_CC,"Electronics",JB_H,"LPD",JB_CE,"C4ISR",JB_RC,"ALT")</f>
        <v/>
      </c>
      <c r="E84" s="48">
        <f>SUMIFS(JB_26BV,JB_B,1,JB_EX,"P-8a",JB_CC,"Electronics",JB_H,"LHA",JB_CE,"C4ISR",JB_RC,"ALT")</f>
        <v/>
      </c>
      <c r="F84" s="48">
        <f>SUMIFS(JB_26BV,JB_B,1,JB_EX,"P-8a",JB_CC,"Electronics",JB_H,"T-AGOS",JB_CE,"C4ISR",JB_RC,"ALT")</f>
        <v/>
      </c>
      <c r="G84" s="48">
        <f>SUMIFS(JB_26BV,JB_B,1,JB_EX,"P-8a",JB_CC,"Electronics",JB_H,"T-AO",JB_CE,"C4ISR",JB_RC,"ALT")</f>
        <v/>
      </c>
      <c r="H84" s="48">
        <f>SUMIFS(JB_26BV,JB_B,1,JB_EX,"P-8a",JB_CC,"Electronics",JB_H,"T-ATS",JB_CE,"C4ISR",JB_RC,"ALT")</f>
        <v/>
      </c>
      <c r="I84" s="47">
        <f>SUM(B84:H84)</f>
        <v/>
      </c>
    </row>
    <row r="85" ht="10" customHeight="1">
      <c r="A85" s="46" t="inlineStr">
        <is>
          <t xml:space="preserve">    EXTERIOR COMMUNICATIONS (EXCOMMS)</t>
        </is>
      </c>
      <c r="B85" s="47">
        <f>SUMIFS(JB_26BV,JB_B,1,JB_EX,"P-8a",JB_CC,"Electronics",JB_H,"DDG",JB_CE,"EXTERIOR COMMUNICATIONS (EXCOMMS)",JB_RC,"ALT")</f>
        <v/>
      </c>
      <c r="C85" s="48">
        <f>SUMIFS(JB_26BV,JB_B,1,JB_EX,"P-8a",JB_CC,"Electronics",JB_H,"FFG",JB_CE,"EXTERIOR COMMUNICATIONS (EXCOMMS)",JB_RC,"ALT")</f>
        <v/>
      </c>
      <c r="D85" s="48">
        <f>SUMIFS(JB_26BV,JB_B,1,JB_EX,"P-8a",JB_CC,"Electronics",JB_H,"LPD",JB_CE,"EXTERIOR COMMUNICATIONS (EXCOMMS)",JB_RC,"ALT")</f>
        <v/>
      </c>
      <c r="E85" s="48">
        <f>SUMIFS(JB_26BV,JB_B,1,JB_EX,"P-8a",JB_CC,"Electronics",JB_H,"LHA",JB_CE,"EXTERIOR COMMUNICATIONS (EXCOMMS)",JB_RC,"ALT")</f>
        <v/>
      </c>
      <c r="F85" s="48">
        <f>SUMIFS(JB_26BV,JB_B,1,JB_EX,"P-8a",JB_CC,"Electronics",JB_H,"T-AGOS",JB_CE,"EXTERIOR COMMUNICATIONS (EXCOMMS)",JB_RC,"ALT")</f>
        <v/>
      </c>
      <c r="G85" s="48">
        <f>SUMIFS(JB_26BV,JB_B,1,JB_EX,"P-8a",JB_CC,"Electronics",JB_H,"T-AO",JB_CE,"EXTERIOR COMMUNICATIONS (EXCOMMS)",JB_RC,"ALT")</f>
        <v/>
      </c>
      <c r="H85" s="48">
        <f>SUMIFS(JB_26BV,JB_B,1,JB_EX,"P-8a",JB_CC,"Electronics",JB_H,"T-ATS",JB_CE,"EXTERIOR COMMUNICATIONS (EXCOMMS)",JB_RC,"ALT")</f>
        <v/>
      </c>
      <c r="I85" s="47">
        <f>SUM(B85:H85)</f>
        <v/>
      </c>
    </row>
    <row r="86" ht="10" customHeight="1">
      <c r="A86" s="46" t="inlineStr">
        <is>
          <t xml:space="preserve">    SPECTRAL</t>
        </is>
      </c>
      <c r="B86" s="47">
        <f>SUMIFS(JB_26BV,JB_B,1,JB_EX,"P-8a",JB_CC,"Electronics",JB_H,"DDG",JB_CE,"SPECTRAL",JB_RC,"ALT")</f>
        <v/>
      </c>
      <c r="C86" s="48">
        <f>SUMIFS(JB_26BV,JB_B,1,JB_EX,"P-8a",JB_CC,"Electronics",JB_H,"FFG",JB_CE,"SPECTRAL",JB_RC,"ALT")</f>
        <v/>
      </c>
      <c r="D86" s="48">
        <f>SUMIFS(JB_26BV,JB_B,1,JB_EX,"P-8a",JB_CC,"Electronics",JB_H,"LPD",JB_CE,"SPECTRAL",JB_RC,"ALT")</f>
        <v/>
      </c>
      <c r="E86" s="48">
        <f>SUMIFS(JB_26BV,JB_B,1,JB_EX,"P-8a",JB_CC,"Electronics",JB_H,"LHA",JB_CE,"SPECTRAL",JB_RC,"ALT")</f>
        <v/>
      </c>
      <c r="F86" s="48">
        <f>SUMIFS(JB_26BV,JB_B,1,JB_EX,"P-8a",JB_CC,"Electronics",JB_H,"T-AGOS",JB_CE,"SPECTRAL",JB_RC,"ALT")</f>
        <v/>
      </c>
      <c r="G86" s="48">
        <f>SUMIFS(JB_26BV,JB_B,1,JB_EX,"P-8a",JB_CC,"Electronics",JB_H,"T-AO",JB_CE,"SPECTRAL",JB_RC,"ALT")</f>
        <v/>
      </c>
      <c r="H86" s="48">
        <f>SUMIFS(JB_26BV,JB_B,1,JB_EX,"P-8a",JB_CC,"Electronics",JB_H,"T-ATS",JB_CE,"SPECTRAL",JB_RC,"ALT")</f>
        <v/>
      </c>
      <c r="I86" s="47">
        <f>SUM(B86:H86)</f>
        <v/>
      </c>
    </row>
    <row r="87" ht="10" customHeight="1">
      <c r="A87" s="46" t="inlineStr">
        <is>
          <t xml:space="preserve">    Anti-Submarine Warfare (ASW) Combat Suite</t>
        </is>
      </c>
      <c r="B87" s="47">
        <f>SUMIFS(JB_26BV,JB_B,1,JB_EX,"P-8a",JB_CC,"Electronics",JB_H,"DDG",JB_CE,"Anti-Submarine Warfare (ASW) Combat Suite",JB_RC,"ALT")</f>
        <v/>
      </c>
      <c r="C87" s="48">
        <f>SUMIFS(JB_26BV,JB_B,1,JB_EX,"P-8a",JB_CC,"Electronics",JB_H,"FFG",JB_CE,"Anti-Submarine Warfare (ASW) Combat Suite",JB_RC,"ALT")</f>
        <v/>
      </c>
      <c r="D87" s="48">
        <f>SUMIFS(JB_26BV,JB_B,1,JB_EX,"P-8a",JB_CC,"Electronics",JB_H,"LPD",JB_CE,"Anti-Submarine Warfare (ASW) Combat Suite",JB_RC,"ALT")</f>
        <v/>
      </c>
      <c r="E87" s="48">
        <f>SUMIFS(JB_26BV,JB_B,1,JB_EX,"P-8a",JB_CC,"Electronics",JB_H,"LHA",JB_CE,"Anti-Submarine Warfare (ASW) Combat Suite",JB_RC,"ALT")</f>
        <v/>
      </c>
      <c r="F87" s="48">
        <f>SUMIFS(JB_26BV,JB_B,1,JB_EX,"P-8a",JB_CC,"Electronics",JB_H,"T-AGOS",JB_CE,"Anti-Submarine Warfare (ASW) Combat Suite",JB_RC,"ALT")</f>
        <v/>
      </c>
      <c r="G87" s="48">
        <f>SUMIFS(JB_26BV,JB_B,1,JB_EX,"P-8a",JB_CC,"Electronics",JB_H,"T-AO",JB_CE,"Anti-Submarine Warfare (ASW) Combat Suite",JB_RC,"ALT")</f>
        <v/>
      </c>
      <c r="H87" s="48">
        <f>SUMIFS(JB_26BV,JB_B,1,JB_EX,"P-8a",JB_CC,"Electronics",JB_H,"T-ATS",JB_CE,"Anti-Submarine Warfare (ASW) Combat Suite",JB_RC,"ALT")</f>
        <v/>
      </c>
      <c r="I87" s="47">
        <f>SUM(B87:H87)</f>
        <v/>
      </c>
    </row>
    <row r="88" ht="10" customHeight="1">
      <c r="A88" s="46" t="inlineStr">
        <is>
          <t xml:space="preserve">    DDG 1002 TSCE MODERNIZATION</t>
        </is>
      </c>
      <c r="B88" s="47">
        <f>SUMIFS(JB_26BV,JB_B,1,JB_EX,"P-8a",JB_CC,"Electronics",JB_H,"DDG",JB_CE,"DDG 1002 TSCE MODERNIZATION",JB_RC,"ALT")</f>
        <v/>
      </c>
      <c r="C88" s="48">
        <f>SUMIFS(JB_26BV,JB_B,1,JB_EX,"P-8a",JB_CC,"Electronics",JB_H,"FFG",JB_CE,"DDG 1002 TSCE MODERNIZATION",JB_RC,"ALT")</f>
        <v/>
      </c>
      <c r="D88" s="48">
        <f>SUMIFS(JB_26BV,JB_B,1,JB_EX,"P-8a",JB_CC,"Electronics",JB_H,"LPD",JB_CE,"DDG 1002 TSCE MODERNIZATION",JB_RC,"ALT")</f>
        <v/>
      </c>
      <c r="E88" s="48">
        <f>SUMIFS(JB_26BV,JB_B,1,JB_EX,"P-8a",JB_CC,"Electronics",JB_H,"LHA",JB_CE,"DDG 1002 TSCE MODERNIZATION",JB_RC,"ALT")</f>
        <v/>
      </c>
      <c r="F88" s="48">
        <f>SUMIFS(JB_26BV,JB_B,1,JB_EX,"P-8a",JB_CC,"Electronics",JB_H,"T-AGOS",JB_CE,"DDG 1002 TSCE MODERNIZATION",JB_RC,"ALT")</f>
        <v/>
      </c>
      <c r="G88" s="48">
        <f>SUMIFS(JB_26BV,JB_B,1,JB_EX,"P-8a",JB_CC,"Electronics",JB_H,"T-AO",JB_CE,"DDG 1002 TSCE MODERNIZATION",JB_RC,"ALT")</f>
        <v/>
      </c>
      <c r="H88" s="48">
        <f>SUMIFS(JB_26BV,JB_B,1,JB_EX,"P-8a",JB_CC,"Electronics",JB_H,"T-ATS",JB_CE,"DDG 1002 TSCE MODERNIZATION",JB_RC,"ALT")</f>
        <v/>
      </c>
      <c r="I88" s="47">
        <f>SUM(B88:H88)</f>
        <v/>
      </c>
    </row>
    <row r="89" ht="10" customHeight="1">
      <c r="A89" s="46" t="inlineStr">
        <is>
          <t xml:space="preserve">    USQ 82(V) GEDMS</t>
        </is>
      </c>
      <c r="B89" s="47">
        <f>SUMIFS(JB_26BV,JB_B,1,JB_EX,"P-8a",JB_CC,"Electronics",JB_H,"DDG",JB_CE,"USQ 82(V) GEDMS",JB_RC,"ALT")</f>
        <v/>
      </c>
      <c r="C89" s="48">
        <f>SUMIFS(JB_26BV,JB_B,1,JB_EX,"P-8a",JB_CC,"Electronics",JB_H,"FFG",JB_CE,"USQ 82(V) GEDMS",JB_RC,"ALT")</f>
        <v/>
      </c>
      <c r="D89" s="48">
        <f>SUMIFS(JB_26BV,JB_B,1,JB_EX,"P-8a",JB_CC,"Electronics",JB_H,"LPD",JB_CE,"USQ 82(V) GEDMS",JB_RC,"ALT")</f>
        <v/>
      </c>
      <c r="E89" s="48">
        <f>SUMIFS(JB_26BV,JB_B,1,JB_EX,"P-8a",JB_CC,"Electronics",JB_H,"LHA",JB_CE,"USQ 82(V) GEDMS",JB_RC,"ALT")</f>
        <v/>
      </c>
      <c r="F89" s="48">
        <f>SUMIFS(JB_26BV,JB_B,1,JB_EX,"P-8a",JB_CC,"Electronics",JB_H,"T-AGOS",JB_CE,"USQ 82(V) GEDMS",JB_RC,"ALT")</f>
        <v/>
      </c>
      <c r="G89" s="48">
        <f>SUMIFS(JB_26BV,JB_B,1,JB_EX,"P-8a",JB_CC,"Electronics",JB_H,"T-AO",JB_CE,"USQ 82(V) GEDMS",JB_RC,"ALT")</f>
        <v/>
      </c>
      <c r="H89" s="48">
        <f>SUMIFS(JB_26BV,JB_B,1,JB_EX,"P-8a",JB_CC,"Electronics",JB_H,"T-ATS",JB_CE,"USQ 82(V) GEDMS",JB_RC,"ALT")</f>
        <v/>
      </c>
      <c r="I89" s="47">
        <f>SUM(B89:H89)</f>
        <v/>
      </c>
    </row>
    <row r="90" ht="10" customHeight="1">
      <c r="A90" s="46" t="inlineStr">
        <is>
          <t xml:space="preserve">    Mission Systems</t>
        </is>
      </c>
      <c r="B90" s="47">
        <f>SUMIFS(JB_26BV,JB_B,1,JB_EX,"P-8a",JB_CC,"Electronics",JB_H,"DDG",JB_CE,"Mission Systems",JB_RC,"ALT")</f>
        <v/>
      </c>
      <c r="C90" s="48">
        <f>SUMIFS(JB_26BV,JB_B,1,JB_EX,"P-8a",JB_CC,"Electronics",JB_H,"FFG",JB_CE,"Mission Systems",JB_RC,"ALT")</f>
        <v/>
      </c>
      <c r="D90" s="48">
        <f>SUMIFS(JB_26BV,JB_B,1,JB_EX,"P-8a",JB_CC,"Electronics",JB_H,"LPD",JB_CE,"Mission Systems",JB_RC,"ALT")</f>
        <v/>
      </c>
      <c r="E90" s="48">
        <f>SUMIFS(JB_26BV,JB_B,1,JB_EX,"P-8a",JB_CC,"Electronics",JB_H,"LHA",JB_CE,"Mission Systems",JB_RC,"ALT")</f>
        <v/>
      </c>
      <c r="F90" s="48">
        <f>SUMIFS(JB_26BV,JB_B,1,JB_EX,"P-8a",JB_CC,"Electronics",JB_H,"T-AGOS",JB_CE,"Mission Systems",JB_RC,"ALT")</f>
        <v/>
      </c>
      <c r="G90" s="48">
        <f>SUMIFS(JB_26BV,JB_B,1,JB_EX,"P-8a",JB_CC,"Electronics",JB_H,"T-AO",JB_CE,"Mission Systems",JB_RC,"ALT")</f>
        <v/>
      </c>
      <c r="H90" s="48">
        <f>SUMIFS(JB_26BV,JB_B,1,JB_EX,"P-8a",JB_CC,"Electronics",JB_H,"T-ATS",JB_CE,"Mission Systems",JB_RC,"ALT")</f>
        <v/>
      </c>
      <c r="I90" s="47">
        <f>SUM(B90:H90)</f>
        <v/>
      </c>
    </row>
    <row r="91" ht="10" customHeight="1">
      <c r="A91" s="46" t="inlineStr">
        <is>
          <t xml:space="preserve">    Miscellaneous Electronics</t>
        </is>
      </c>
      <c r="B91" s="47">
        <f>SUMIFS(JB_26BV,JB_B,1,JB_EX,"P-8a",JB_CC,"Electronics",JB_H,"DDG",JB_CE,"Miscellaneous Electronics",JB_RC,"ALT")</f>
        <v/>
      </c>
      <c r="C91" s="48">
        <f>SUMIFS(JB_26BV,JB_B,1,JB_EX,"P-8a",JB_CC,"Electronics",JB_H,"FFG",JB_CE,"Miscellaneous Electronics",JB_RC,"ALT")</f>
        <v/>
      </c>
      <c r="D91" s="48">
        <f>SUMIFS(JB_26BV,JB_B,1,JB_EX,"P-8a",JB_CC,"Electronics",JB_H,"LPD",JB_CE,"Miscellaneous Electronics",JB_RC,"ALT")</f>
        <v/>
      </c>
      <c r="E91" s="48">
        <f>SUMIFS(JB_26BV,JB_B,1,JB_EX,"P-8a",JB_CC,"Electronics",JB_H,"LHA",JB_CE,"Miscellaneous Electronics",JB_RC,"ALT")</f>
        <v/>
      </c>
      <c r="F91" s="48">
        <f>SUMIFS(JB_26BV,JB_B,1,JB_EX,"P-8a",JB_CC,"Electronics",JB_H,"T-AGOS",JB_CE,"Miscellaneous Electronics",JB_RC,"ALT")</f>
        <v/>
      </c>
      <c r="G91" s="48">
        <f>SUMIFS(JB_26BV,JB_B,1,JB_EX,"P-8a",JB_CC,"Electronics",JB_H,"T-AO",JB_CE,"Miscellaneous Electronics",JB_RC,"ALT")</f>
        <v/>
      </c>
      <c r="H91" s="48">
        <f>SUMIFS(JB_26BV,JB_B,1,JB_EX,"P-8a",JB_CC,"Electronics",JB_H,"T-ATS",JB_CE,"Miscellaneous Electronics",JB_RC,"ALT")</f>
        <v/>
      </c>
      <c r="I91" s="47">
        <f>SUM(B91:H91)</f>
        <v/>
      </c>
    </row>
    <row r="92" ht="10" customHeight="1">
      <c r="A92" s="46" t="inlineStr">
        <is>
          <t xml:space="preserve">    Tactical COMINT System- Spectral</t>
        </is>
      </c>
      <c r="B92" s="47">
        <f>SUMIFS(JB_26BV,JB_B,1,JB_EX,"P-8a",JB_CC,"Electronics",JB_H,"DDG",JB_CE,"Tactical COMINT System- Spectral",JB_RC,"ALT")</f>
        <v/>
      </c>
      <c r="C92" s="48">
        <f>SUMIFS(JB_26BV,JB_B,1,JB_EX,"P-8a",JB_CC,"Electronics",JB_H,"FFG",JB_CE,"Tactical COMINT System- Spectral",JB_RC,"ALT")</f>
        <v/>
      </c>
      <c r="D92" s="48">
        <f>SUMIFS(JB_26BV,JB_B,1,JB_EX,"P-8a",JB_CC,"Electronics",JB_H,"LPD",JB_CE,"Tactical COMINT System- Spectral",JB_RC,"ALT")</f>
        <v/>
      </c>
      <c r="E92" s="48">
        <f>SUMIFS(JB_26BV,JB_B,1,JB_EX,"P-8a",JB_CC,"Electronics",JB_H,"LHA",JB_CE,"Tactical COMINT System- Spectral",JB_RC,"ALT")</f>
        <v/>
      </c>
      <c r="F92" s="48">
        <f>SUMIFS(JB_26BV,JB_B,1,JB_EX,"P-8a",JB_CC,"Electronics",JB_H,"T-AGOS",JB_CE,"Tactical COMINT System- Spectral",JB_RC,"ALT")</f>
        <v/>
      </c>
      <c r="G92" s="48">
        <f>SUMIFS(JB_26BV,JB_B,1,JB_EX,"P-8a",JB_CC,"Electronics",JB_H,"T-AO",JB_CE,"Tactical COMINT System- Spectral",JB_RC,"ALT")</f>
        <v/>
      </c>
      <c r="H92" s="48">
        <f>SUMIFS(JB_26BV,JB_B,1,JB_EX,"P-8a",JB_CC,"Electronics",JB_H,"T-ATS",JB_CE,"Tactical COMINT System- Spectral",JB_RC,"ALT")</f>
        <v/>
      </c>
      <c r="I92" s="47">
        <f>SUM(B92:H92)</f>
        <v/>
      </c>
    </row>
    <row r="93" ht="10" customHeight="1">
      <c r="A93" s="46" t="inlineStr">
        <is>
          <t xml:space="preserve">    MK 2 MOD 4E Ship Self Defense System (SSDS)</t>
        </is>
      </c>
      <c r="B93" s="47">
        <f>SUMIFS(JB_26BV,JB_B,1,JB_EX,"P-8a",JB_CC,"Electronics",JB_H,"DDG",JB_CE,"MK 2 MOD 4E Ship Self Defense System (SSDS)",JB_RC,"ALT")</f>
        <v/>
      </c>
      <c r="C93" s="48">
        <f>SUMIFS(JB_26BV,JB_B,1,JB_EX,"P-8a",JB_CC,"Electronics",JB_H,"FFG",JB_CE,"MK 2 MOD 4E Ship Self Defense System (SSDS)",JB_RC,"ALT")</f>
        <v/>
      </c>
      <c r="D93" s="48">
        <f>SUMIFS(JB_26BV,JB_B,1,JB_EX,"P-8a",JB_CC,"Electronics",JB_H,"LPD",JB_CE,"MK 2 MOD 4E Ship Self Defense System (SSDS)",JB_RC,"ALT")</f>
        <v/>
      </c>
      <c r="E93" s="48">
        <f>SUMIFS(JB_26BV,JB_B,1,JB_EX,"P-8a",JB_CC,"Electronics",JB_H,"LHA",JB_CE,"MK 2 MOD 4E Ship Self Defense System (SSDS)",JB_RC,"ALT")</f>
        <v/>
      </c>
      <c r="F93" s="48">
        <f>SUMIFS(JB_26BV,JB_B,1,JB_EX,"P-8a",JB_CC,"Electronics",JB_H,"T-AGOS",JB_CE,"MK 2 MOD 4E Ship Self Defense System (SSDS)",JB_RC,"ALT")</f>
        <v/>
      </c>
      <c r="G93" s="48">
        <f>SUMIFS(JB_26BV,JB_B,1,JB_EX,"P-8a",JB_CC,"Electronics",JB_H,"T-AO",JB_CE,"MK 2 MOD 4E Ship Self Defense System (SSDS)",JB_RC,"ALT")</f>
        <v/>
      </c>
      <c r="H93" s="48">
        <f>SUMIFS(JB_26BV,JB_B,1,JB_EX,"P-8a",JB_CC,"Electronics",JB_H,"T-ATS",JB_CE,"MK 2 MOD 4E Ship Self Defense System (SSDS)",JB_RC,"ALT")</f>
        <v/>
      </c>
      <c r="I93" s="47">
        <f>SUM(B93:H93)</f>
        <v/>
      </c>
    </row>
    <row r="94" ht="10" customHeight="1">
      <c r="A94" s="46" t="inlineStr">
        <is>
          <t xml:space="preserve">    ELECTRO-OPTICAL / INFRARED (EO/IR)</t>
        </is>
      </c>
      <c r="B94" s="47">
        <f>SUMIFS(JB_26BV,JB_B,1,JB_EX,"P-8a",JB_CC,"Electronics",JB_H,"DDG",JB_CE,"ELECTRO-OPTICAL / INFRARED (EO/IR)",JB_RC,"ALT")</f>
        <v/>
      </c>
      <c r="C94" s="48">
        <f>SUMIFS(JB_26BV,JB_B,1,JB_EX,"P-8a",JB_CC,"Electronics",JB_H,"FFG",JB_CE,"ELECTRO-OPTICAL / INFRARED (EO/IR)",JB_RC,"ALT")</f>
        <v/>
      </c>
      <c r="D94" s="48">
        <f>SUMIFS(JB_26BV,JB_B,1,JB_EX,"P-8a",JB_CC,"Electronics",JB_H,"LPD",JB_CE,"ELECTRO-OPTICAL / INFRARED (EO/IR)",JB_RC,"ALT")</f>
        <v/>
      </c>
      <c r="E94" s="48">
        <f>SUMIFS(JB_26BV,JB_B,1,JB_EX,"P-8a",JB_CC,"Electronics",JB_H,"LHA",JB_CE,"ELECTRO-OPTICAL / INFRARED (EO/IR)",JB_RC,"ALT")</f>
        <v/>
      </c>
      <c r="F94" s="48">
        <f>SUMIFS(JB_26BV,JB_B,1,JB_EX,"P-8a",JB_CC,"Electronics",JB_H,"T-AGOS",JB_CE,"ELECTRO-OPTICAL / INFRARED (EO/IR)",JB_RC,"ALT")</f>
        <v/>
      </c>
      <c r="G94" s="48">
        <f>SUMIFS(JB_26BV,JB_B,1,JB_EX,"P-8a",JB_CC,"Electronics",JB_H,"T-AO",JB_CE,"ELECTRO-OPTICAL / INFRARED (EO/IR)",JB_RC,"ALT")</f>
        <v/>
      </c>
      <c r="H94" s="48">
        <f>SUMIFS(JB_26BV,JB_B,1,JB_EX,"P-8a",JB_CC,"Electronics",JB_H,"T-ATS",JB_CE,"ELECTRO-OPTICAL / INFRARED (EO/IR)",JB_RC,"ALT")</f>
        <v/>
      </c>
      <c r="I94" s="47">
        <f>SUM(B94:H94)</f>
        <v/>
      </c>
    </row>
    <row r="95" ht="10" customHeight="1">
      <c r="A95" s="46" t="inlineStr">
        <is>
          <t xml:space="preserve">    IDENTIFICATION FRIEND OR FOE (IFF)</t>
        </is>
      </c>
      <c r="B95" s="47">
        <f>SUMIFS(JB_26BV,JB_B,1,JB_EX,"P-8a",JB_CC,"Electronics",JB_H,"DDG",JB_CE,"IDENTIFICATION FRIEND OR FOE (IFF)",JB_RC,"ALT")</f>
        <v/>
      </c>
      <c r="C95" s="48">
        <f>SUMIFS(JB_26BV,JB_B,1,JB_EX,"P-8a",JB_CC,"Electronics",JB_H,"FFG",JB_CE,"IDENTIFICATION FRIEND OR FOE (IFF)",JB_RC,"ALT")</f>
        <v/>
      </c>
      <c r="D95" s="48">
        <f>SUMIFS(JB_26BV,JB_B,1,JB_EX,"P-8a",JB_CC,"Electronics",JB_H,"LPD",JB_CE,"IDENTIFICATION FRIEND OR FOE (IFF)",JB_RC,"ALT")</f>
        <v/>
      </c>
      <c r="E95" s="48">
        <f>SUMIFS(JB_26BV,JB_B,1,JB_EX,"P-8a",JB_CC,"Electronics",JB_H,"LHA",JB_CE,"IDENTIFICATION FRIEND OR FOE (IFF)",JB_RC,"ALT")</f>
        <v/>
      </c>
      <c r="F95" s="48">
        <f>SUMIFS(JB_26BV,JB_B,1,JB_EX,"P-8a",JB_CC,"Electronics",JB_H,"T-AGOS",JB_CE,"IDENTIFICATION FRIEND OR FOE (IFF)",JB_RC,"ALT")</f>
        <v/>
      </c>
      <c r="G95" s="48">
        <f>SUMIFS(JB_26BV,JB_B,1,JB_EX,"P-8a",JB_CC,"Electronics",JB_H,"T-AO",JB_CE,"IDENTIFICATION FRIEND OR FOE (IFF)",JB_RC,"ALT")</f>
        <v/>
      </c>
      <c r="H95" s="48">
        <f>SUMIFS(JB_26BV,JB_B,1,JB_EX,"P-8a",JB_CC,"Electronics",JB_H,"T-ATS",JB_CE,"IDENTIFICATION FRIEND OR FOE (IFF)",JB_RC,"ALT")</f>
        <v/>
      </c>
      <c r="I95" s="47">
        <f>SUM(B95:H95)</f>
        <v/>
      </c>
    </row>
    <row r="96" ht="10" customHeight="1">
      <c r="A96" s="46" t="inlineStr">
        <is>
          <t xml:space="preserve">    Cooperative Engagement Capability (CEC)</t>
        </is>
      </c>
      <c r="B96" s="47">
        <f>SUMIFS(JB_26BV,JB_B,1,JB_EX,"P-8a",JB_CC,"Electronics",JB_H,"DDG",JB_CE,"Cooperative Engagement Capability (CEC)",JB_RC,"ALT")</f>
        <v/>
      </c>
      <c r="C96" s="48">
        <f>SUMIFS(JB_26BV,JB_B,1,JB_EX,"P-8a",JB_CC,"Electronics",JB_H,"FFG",JB_CE,"Cooperative Engagement Capability (CEC)",JB_RC,"ALT")</f>
        <v/>
      </c>
      <c r="D96" s="48">
        <f>SUMIFS(JB_26BV,JB_B,1,JB_EX,"P-8a",JB_CC,"Electronics",JB_H,"LPD",JB_CE,"Cooperative Engagement Capability (CEC)",JB_RC,"ALT")</f>
        <v/>
      </c>
      <c r="E96" s="48">
        <f>SUMIFS(JB_26BV,JB_B,1,JB_EX,"P-8a",JB_CC,"Electronics",JB_H,"LHA",JB_CE,"Cooperative Engagement Capability (CEC)",JB_RC,"ALT")</f>
        <v/>
      </c>
      <c r="F96" s="48">
        <f>SUMIFS(JB_26BV,JB_B,1,JB_EX,"P-8a",JB_CC,"Electronics",JB_H,"T-AGOS",JB_CE,"Cooperative Engagement Capability (CEC)",JB_RC,"ALT")</f>
        <v/>
      </c>
      <c r="G96" s="48">
        <f>SUMIFS(JB_26BV,JB_B,1,JB_EX,"P-8a",JB_CC,"Electronics",JB_H,"T-AO",JB_CE,"Cooperative Engagement Capability (CEC)",JB_RC,"ALT")</f>
        <v/>
      </c>
      <c r="H96" s="48">
        <f>SUMIFS(JB_26BV,JB_B,1,JB_EX,"P-8a",JB_CC,"Electronics",JB_H,"T-ATS",JB_CE,"Cooperative Engagement Capability (CEC)",JB_RC,"ALT")</f>
        <v/>
      </c>
      <c r="I96" s="47">
        <f>SUM(B96:H96)</f>
        <v/>
      </c>
    </row>
    <row r="97" ht="10" customHeight="1">
      <c r="A97" s="46" t="inlineStr">
        <is>
          <t xml:space="preserve">    Command, Control, Communications, Computers and Intelligence (C4I)</t>
        </is>
      </c>
      <c r="B97" s="47">
        <f>SUMIFS(JB_26BV,JB_B,1,JB_EX,"P-8a",JB_CC,"Electronics",JB_H,"DDG",JB_CE,"Command, Control, Communications, Computers and Intelligence (C4I)",JB_RC,"ALT")</f>
        <v/>
      </c>
      <c r="C97" s="48">
        <f>SUMIFS(JB_26BV,JB_B,1,JB_EX,"P-8a",JB_CC,"Electronics",JB_H,"FFG",JB_CE,"Command, Control, Communications, Computers and Intelligence (C4I)",JB_RC,"ALT")</f>
        <v/>
      </c>
      <c r="D97" s="48">
        <f>SUMIFS(JB_26BV,JB_B,1,JB_EX,"P-8a",JB_CC,"Electronics",JB_H,"LPD",JB_CE,"Command, Control, Communications, Computers and Intelligence (C4I)",JB_RC,"ALT")</f>
        <v/>
      </c>
      <c r="E97" s="48">
        <f>SUMIFS(JB_26BV,JB_B,1,JB_EX,"P-8a",JB_CC,"Electronics",JB_H,"LHA",JB_CE,"Command, Control, Communications, Computers and Intelligence (C4I)",JB_RC,"ALT")</f>
        <v/>
      </c>
      <c r="F97" s="48">
        <f>SUMIFS(JB_26BV,JB_B,1,JB_EX,"P-8a",JB_CC,"Electronics",JB_H,"T-AGOS",JB_CE,"Command, Control, Communications, Computers and Intelligence (C4I)",JB_RC,"ALT")</f>
        <v/>
      </c>
      <c r="G97" s="48">
        <f>SUMIFS(JB_26BV,JB_B,1,JB_EX,"P-8a",JB_CC,"Electronics",JB_H,"T-AO",JB_CE,"Command, Control, Communications, Computers and Intelligence (C4I)",JB_RC,"ALT")</f>
        <v/>
      </c>
      <c r="H97" s="48">
        <f>SUMIFS(JB_26BV,JB_B,1,JB_EX,"P-8a",JB_CC,"Electronics",JB_H,"T-ATS",JB_CE,"Command, Control, Communications, Computers and Intelligence (C4I)",JB_RC,"ALT")</f>
        <v/>
      </c>
      <c r="I97" s="47">
        <f>SUM(B97:H97)</f>
        <v/>
      </c>
    </row>
    <row r="98" ht="10" customHeight="1">
      <c r="A98" s="46" t="inlineStr">
        <is>
          <t xml:space="preserve">    DDG 1002 UNIVERSAL CANISTER ELECTRICAL UNITS (UCEU)</t>
        </is>
      </c>
      <c r="B98" s="47">
        <f>SUMIFS(JB_26BV,JB_B,1,JB_EX,"P-8a",JB_CC,"Electronics",JB_H,"DDG",JB_CE,"DDG 1002 UNIVERSAL CANISTER ELECTRICAL UNITS (UCEU)",JB_RC,"ALT")</f>
        <v/>
      </c>
      <c r="C98" s="48">
        <f>SUMIFS(JB_26BV,JB_B,1,JB_EX,"P-8a",JB_CC,"Electronics",JB_H,"FFG",JB_CE,"DDG 1002 UNIVERSAL CANISTER ELECTRICAL UNITS (UCEU)",JB_RC,"ALT")</f>
        <v/>
      </c>
      <c r="D98" s="48">
        <f>SUMIFS(JB_26BV,JB_B,1,JB_EX,"P-8a",JB_CC,"Electronics",JB_H,"LPD",JB_CE,"DDG 1002 UNIVERSAL CANISTER ELECTRICAL UNITS (UCEU)",JB_RC,"ALT")</f>
        <v/>
      </c>
      <c r="E98" s="48">
        <f>SUMIFS(JB_26BV,JB_B,1,JB_EX,"P-8a",JB_CC,"Electronics",JB_H,"LHA",JB_CE,"DDG 1002 UNIVERSAL CANISTER ELECTRICAL UNITS (UCEU)",JB_RC,"ALT")</f>
        <v/>
      </c>
      <c r="F98" s="48">
        <f>SUMIFS(JB_26BV,JB_B,1,JB_EX,"P-8a",JB_CC,"Electronics",JB_H,"T-AGOS",JB_CE,"DDG 1002 UNIVERSAL CANISTER ELECTRICAL UNITS (UCEU)",JB_RC,"ALT")</f>
        <v/>
      </c>
      <c r="G98" s="48">
        <f>SUMIFS(JB_26BV,JB_B,1,JB_EX,"P-8a",JB_CC,"Electronics",JB_H,"T-AO",JB_CE,"DDG 1002 UNIVERSAL CANISTER ELECTRICAL UNITS (UCEU)",JB_RC,"ALT")</f>
        <v/>
      </c>
      <c r="H98" s="48">
        <f>SUMIFS(JB_26BV,JB_B,1,JB_EX,"P-8a",JB_CC,"Electronics",JB_H,"T-ATS",JB_CE,"DDG 1002 UNIVERSAL CANISTER ELECTRICAL UNITS (UCEU)",JB_RC,"ALT")</f>
        <v/>
      </c>
      <c r="I98" s="47">
        <f>SUM(B98:H98)</f>
        <v/>
      </c>
    </row>
    <row r="99" ht="10" customHeight="1">
      <c r="A99" s="46" t="inlineStr">
        <is>
          <t xml:space="preserve">    Ship Self Defense System (SSDS)</t>
        </is>
      </c>
      <c r="B99" s="47">
        <f>SUMIFS(JB_26BV,JB_B,1,JB_EX,"P-8a",JB_CC,"Electronics",JB_H,"DDG",JB_CE,"Ship Self Defense System (SSDS)",JB_RC,"ALT")</f>
        <v/>
      </c>
      <c r="C99" s="48">
        <f>SUMIFS(JB_26BV,JB_B,1,JB_EX,"P-8a",JB_CC,"Electronics",JB_H,"FFG",JB_CE,"Ship Self Defense System (SSDS)",JB_RC,"ALT")</f>
        <v/>
      </c>
      <c r="D99" s="48">
        <f>SUMIFS(JB_26BV,JB_B,1,JB_EX,"P-8a",JB_CC,"Electronics",JB_H,"LPD",JB_CE,"Ship Self Defense System (SSDS)",JB_RC,"ALT")</f>
        <v/>
      </c>
      <c r="E99" s="48">
        <f>SUMIFS(JB_26BV,JB_B,1,JB_EX,"P-8a",JB_CC,"Electronics",JB_H,"LHA",JB_CE,"Ship Self Defense System (SSDS)",JB_RC,"ALT")</f>
        <v/>
      </c>
      <c r="F99" s="48">
        <f>SUMIFS(JB_26BV,JB_B,1,JB_EX,"P-8a",JB_CC,"Electronics",JB_H,"T-AGOS",JB_CE,"Ship Self Defense System (SSDS)",JB_RC,"ALT")</f>
        <v/>
      </c>
      <c r="G99" s="48">
        <f>SUMIFS(JB_26BV,JB_B,1,JB_EX,"P-8a",JB_CC,"Electronics",JB_H,"T-AO",JB_CE,"Ship Self Defense System (SSDS)",JB_RC,"ALT")</f>
        <v/>
      </c>
      <c r="H99" s="48">
        <f>SUMIFS(JB_26BV,JB_B,1,JB_EX,"P-8a",JB_CC,"Electronics",JB_H,"T-ATS",JB_CE,"Ship Self Defense System (SSDS)",JB_RC,"ALT")</f>
        <v/>
      </c>
      <c r="I99" s="47">
        <f>SUM(B99:H99)</f>
        <v/>
      </c>
    </row>
    <row r="100" ht="10" customHeight="1">
      <c r="A100" s="46" t="inlineStr">
        <is>
          <t xml:space="preserve">    AN/UPX 29(V) IFF and TACAN</t>
        </is>
      </c>
      <c r="B100" s="47">
        <f>SUMIFS(JB_26BV,JB_B,1,JB_EX,"P-8a",JB_CC,"Electronics",JB_H,"DDG",JB_CE,"AN/UPX 29(V) IFF and TACAN",JB_RC,"ALT")</f>
        <v/>
      </c>
      <c r="C100" s="48">
        <f>SUMIFS(JB_26BV,JB_B,1,JB_EX,"P-8a",JB_CC,"Electronics",JB_H,"FFG",JB_CE,"AN/UPX 29(V) IFF and TACAN",JB_RC,"ALT")</f>
        <v/>
      </c>
      <c r="D100" s="48">
        <f>SUMIFS(JB_26BV,JB_B,1,JB_EX,"P-8a",JB_CC,"Electronics",JB_H,"LPD",JB_CE,"AN/UPX 29(V) IFF and TACAN",JB_RC,"ALT")</f>
        <v/>
      </c>
      <c r="E100" s="48">
        <f>SUMIFS(JB_26BV,JB_B,1,JB_EX,"P-8a",JB_CC,"Electronics",JB_H,"LHA",JB_CE,"AN/UPX 29(V) IFF and TACAN",JB_RC,"ALT")</f>
        <v/>
      </c>
      <c r="F100" s="48">
        <f>SUMIFS(JB_26BV,JB_B,1,JB_EX,"P-8a",JB_CC,"Electronics",JB_H,"T-AGOS",JB_CE,"AN/UPX 29(V) IFF and TACAN",JB_RC,"ALT")</f>
        <v/>
      </c>
      <c r="G100" s="48">
        <f>SUMIFS(JB_26BV,JB_B,1,JB_EX,"P-8a",JB_CC,"Electronics",JB_H,"T-AO",JB_CE,"AN/UPX 29(V) IFF and TACAN",JB_RC,"ALT")</f>
        <v/>
      </c>
      <c r="H100" s="48">
        <f>SUMIFS(JB_26BV,JB_B,1,JB_EX,"P-8a",JB_CC,"Electronics",JB_H,"T-ATS",JB_CE,"AN/UPX 29(V) IFF and TACAN",JB_RC,"ALT")</f>
        <v/>
      </c>
      <c r="I100" s="47">
        <f>SUM(B100:H100)</f>
        <v/>
      </c>
    </row>
    <row r="101" ht="10" customHeight="1">
      <c r="A101" s="46" t="inlineStr">
        <is>
          <t xml:space="preserve">    SRQ 4 LAMPS III</t>
        </is>
      </c>
      <c r="B101" s="47">
        <f>SUMIFS(JB_26BV,JB_B,1,JB_EX,"P-8a",JB_CC,"Electronics",JB_H,"DDG",JB_CE,"SRQ 4 LAMPS III",JB_RC,"ALT")</f>
        <v/>
      </c>
      <c r="C101" s="48">
        <f>SUMIFS(JB_26BV,JB_B,1,JB_EX,"P-8a",JB_CC,"Electronics",JB_H,"FFG",JB_CE,"SRQ 4 LAMPS III",JB_RC,"ALT")</f>
        <v/>
      </c>
      <c r="D101" s="48">
        <f>SUMIFS(JB_26BV,JB_B,1,JB_EX,"P-8a",JB_CC,"Electronics",JB_H,"LPD",JB_CE,"SRQ 4 LAMPS III",JB_RC,"ALT")</f>
        <v/>
      </c>
      <c r="E101" s="48">
        <f>SUMIFS(JB_26BV,JB_B,1,JB_EX,"P-8a",JB_CC,"Electronics",JB_H,"LHA",JB_CE,"SRQ 4 LAMPS III",JB_RC,"ALT")</f>
        <v/>
      </c>
      <c r="F101" s="48">
        <f>SUMIFS(JB_26BV,JB_B,1,JB_EX,"P-8a",JB_CC,"Electronics",JB_H,"T-AGOS",JB_CE,"SRQ 4 LAMPS III",JB_RC,"ALT")</f>
        <v/>
      </c>
      <c r="G101" s="48">
        <f>SUMIFS(JB_26BV,JB_B,1,JB_EX,"P-8a",JB_CC,"Electronics",JB_H,"T-AO",JB_CE,"SRQ 4 LAMPS III",JB_RC,"ALT")</f>
        <v/>
      </c>
      <c r="H101" s="48">
        <f>SUMIFS(JB_26BV,JB_B,1,JB_EX,"P-8a",JB_CC,"Electronics",JB_H,"T-ATS",JB_CE,"SRQ 4 LAMPS III",JB_RC,"ALT")</f>
        <v/>
      </c>
      <c r="I101" s="47">
        <f>SUM(B101:H101)</f>
        <v/>
      </c>
    </row>
    <row r="102" ht="10" customHeight="1">
      <c r="A102" s="46" t="inlineStr">
        <is>
          <t xml:space="preserve">    CEC</t>
        </is>
      </c>
      <c r="B102" s="47">
        <f>SUMIFS(JB_26BV,JB_B,1,JB_EX,"P-8a",JB_CC,"Electronics",JB_H,"DDG",JB_CE,"CEC",JB_RC,"ALT")</f>
        <v/>
      </c>
      <c r="C102" s="48">
        <f>SUMIFS(JB_26BV,JB_B,1,JB_EX,"P-8a",JB_CC,"Electronics",JB_H,"FFG",JB_CE,"CEC",JB_RC,"ALT")</f>
        <v/>
      </c>
      <c r="D102" s="48">
        <f>SUMIFS(JB_26BV,JB_B,1,JB_EX,"P-8a",JB_CC,"Electronics",JB_H,"LPD",JB_CE,"CEC",JB_RC,"ALT")</f>
        <v/>
      </c>
      <c r="E102" s="48">
        <f>SUMIFS(JB_26BV,JB_B,1,JB_EX,"P-8a",JB_CC,"Electronics",JB_H,"LHA",JB_CE,"CEC",JB_RC,"ALT")</f>
        <v/>
      </c>
      <c r="F102" s="48">
        <f>SUMIFS(JB_26BV,JB_B,1,JB_EX,"P-8a",JB_CC,"Electronics",JB_H,"T-AGOS",JB_CE,"CEC",JB_RC,"ALT")</f>
        <v/>
      </c>
      <c r="G102" s="48">
        <f>SUMIFS(JB_26BV,JB_B,1,JB_EX,"P-8a",JB_CC,"Electronics",JB_H,"T-AO",JB_CE,"CEC",JB_RC,"ALT")</f>
        <v/>
      </c>
      <c r="H102" s="48">
        <f>SUMIFS(JB_26BV,JB_B,1,JB_EX,"P-8a",JB_CC,"Electronics",JB_H,"T-ATS",JB_CE,"CEC",JB_RC,"ALT")</f>
        <v/>
      </c>
      <c r="I102" s="47">
        <f>SUM(B102:H102)</f>
        <v/>
      </c>
    </row>
    <row r="103" ht="10" customHeight="1">
      <c r="A103" s="46" t="inlineStr">
        <is>
          <t xml:space="preserve">    Network Management System (NMS) 2.0/Consolidated Afloat Networks and Enterprise Services (CANES) [T-AO 214]</t>
        </is>
      </c>
      <c r="B103" s="47">
        <f>SUMIFS(JB_26BV,JB_B,1,JB_EX,"P-8a",JB_CC,"Electronics",JB_H,"DDG",JB_CE,"Network Management System (NMS) 2.0/Consolidated Afloat Networks and Enterprise Services (CANES) [T-AO 214]",JB_RC,"ALT")</f>
        <v/>
      </c>
      <c r="C103" s="48">
        <f>SUMIFS(JB_26BV,JB_B,1,JB_EX,"P-8a",JB_CC,"Electronics",JB_H,"FFG",JB_CE,"Network Management System (NMS) 2.0/Consolidated Afloat Networks and Enterprise Services (CANES) [T-AO 214]",JB_RC,"ALT")</f>
        <v/>
      </c>
      <c r="D103" s="48">
        <f>SUMIFS(JB_26BV,JB_B,1,JB_EX,"P-8a",JB_CC,"Electronics",JB_H,"LPD",JB_CE,"Network Management System (NMS) 2.0/Consolidated Afloat Networks and Enterprise Services (CANES) [T-AO 214]",JB_RC,"ALT")</f>
        <v/>
      </c>
      <c r="E103" s="48">
        <f>SUMIFS(JB_26BV,JB_B,1,JB_EX,"P-8a",JB_CC,"Electronics",JB_H,"LHA",JB_CE,"Network Management System (NMS) 2.0/Consolidated Afloat Networks and Enterprise Services (CANES) [T-AO 214]",JB_RC,"ALT")</f>
        <v/>
      </c>
      <c r="F103" s="48">
        <f>SUMIFS(JB_26BV,JB_B,1,JB_EX,"P-8a",JB_CC,"Electronics",JB_H,"T-AGOS",JB_CE,"Network Management System (NMS) 2.0/Consolidated Afloat Networks and Enterprise Services (CANES) [T-AO 214]",JB_RC,"ALT")</f>
        <v/>
      </c>
      <c r="G103" s="48">
        <f>SUMIFS(JB_26BV,JB_B,1,JB_EX,"P-8a",JB_CC,"Electronics",JB_H,"T-AO",JB_CE,"Network Management System (NMS) 2.0/Consolidated Afloat Networks and Enterprise Services (CANES) [T-AO 214]",JB_RC,"ALT")</f>
        <v/>
      </c>
      <c r="H103" s="48">
        <f>SUMIFS(JB_26BV,JB_B,1,JB_EX,"P-8a",JB_CC,"Electronics",JB_H,"T-ATS",JB_CE,"Network Management System (NMS) 2.0/Consolidated Afloat Networks and Enterprise Services (CANES) [T-AO 214]",JB_RC,"ALT")</f>
        <v/>
      </c>
      <c r="I103" s="47">
        <f>SUM(B103:H103)</f>
        <v/>
      </c>
    </row>
    <row r="104" ht="10" customHeight="1">
      <c r="A104" s="46" t="inlineStr">
        <is>
          <t xml:space="preserve">    SURFACE ELECTRONIC WARFARE IMPROVEMENT PROGRAM (SEWIP)</t>
        </is>
      </c>
      <c r="B104" s="47">
        <f>SUMIFS(JB_26BV,JB_B,1,JB_EX,"P-8a",JB_CC,"Electronics",JB_H,"DDG",JB_CE,"SURFACE ELECTRONIC WARFARE IMPROVEMENT PROGRAM (SEWIP)",JB_RC,"ALT")</f>
        <v/>
      </c>
      <c r="C104" s="48">
        <f>SUMIFS(JB_26BV,JB_B,1,JB_EX,"P-8a",JB_CC,"Electronics",JB_H,"FFG",JB_CE,"SURFACE ELECTRONIC WARFARE IMPROVEMENT PROGRAM (SEWIP)",JB_RC,"ALT")</f>
        <v/>
      </c>
      <c r="D104" s="48">
        <f>SUMIFS(JB_26BV,JB_B,1,JB_EX,"P-8a",JB_CC,"Electronics",JB_H,"LPD",JB_CE,"SURFACE ELECTRONIC WARFARE IMPROVEMENT PROGRAM (SEWIP)",JB_RC,"ALT")</f>
        <v/>
      </c>
      <c r="E104" s="48">
        <f>SUMIFS(JB_26BV,JB_B,1,JB_EX,"P-8a",JB_CC,"Electronics",JB_H,"LHA",JB_CE,"SURFACE ELECTRONIC WARFARE IMPROVEMENT PROGRAM (SEWIP)",JB_RC,"ALT")</f>
        <v/>
      </c>
      <c r="F104" s="48">
        <f>SUMIFS(JB_26BV,JB_B,1,JB_EX,"P-8a",JB_CC,"Electronics",JB_H,"T-AGOS",JB_CE,"SURFACE ELECTRONIC WARFARE IMPROVEMENT PROGRAM (SEWIP)",JB_RC,"ALT")</f>
        <v/>
      </c>
      <c r="G104" s="48">
        <f>SUMIFS(JB_26BV,JB_B,1,JB_EX,"P-8a",JB_CC,"Electronics",JB_H,"T-AO",JB_CE,"SURFACE ELECTRONIC WARFARE IMPROVEMENT PROGRAM (SEWIP)",JB_RC,"ALT")</f>
        <v/>
      </c>
      <c r="H104" s="48">
        <f>SUMIFS(JB_26BV,JB_B,1,JB_EX,"P-8a",JB_CC,"Electronics",JB_H,"T-ATS",JB_CE,"SURFACE ELECTRONIC WARFARE IMPROVEMENT PROGRAM (SEWIP)",JB_RC,"ALT")</f>
        <v/>
      </c>
      <c r="I104" s="47">
        <f>SUM(B104:H104)</f>
        <v/>
      </c>
    </row>
    <row r="105" ht="10" customHeight="1">
      <c r="A105" s="46" t="inlineStr">
        <is>
          <t xml:space="preserve">    External Communication Suite (EXCOMM)</t>
        </is>
      </c>
      <c r="B105" s="47">
        <f>SUMIFS(JB_26BV,JB_B,1,JB_EX,"P-8a",JB_CC,"Electronics",JB_H,"DDG",JB_CE,"External Communication Suite (EXCOMM)",JB_RC,"ALT")</f>
        <v/>
      </c>
      <c r="C105" s="48">
        <f>SUMIFS(JB_26BV,JB_B,1,JB_EX,"P-8a",JB_CC,"Electronics",JB_H,"FFG",JB_CE,"External Communication Suite (EXCOMM)",JB_RC,"ALT")</f>
        <v/>
      </c>
      <c r="D105" s="48">
        <f>SUMIFS(JB_26BV,JB_B,1,JB_EX,"P-8a",JB_CC,"Electronics",JB_H,"LPD",JB_CE,"External Communication Suite (EXCOMM)",JB_RC,"ALT")</f>
        <v/>
      </c>
      <c r="E105" s="48">
        <f>SUMIFS(JB_26BV,JB_B,1,JB_EX,"P-8a",JB_CC,"Electronics",JB_H,"LHA",JB_CE,"External Communication Suite (EXCOMM)",JB_RC,"ALT")</f>
        <v/>
      </c>
      <c r="F105" s="48">
        <f>SUMIFS(JB_26BV,JB_B,1,JB_EX,"P-8a",JB_CC,"Electronics",JB_H,"T-AGOS",JB_CE,"External Communication Suite (EXCOMM)",JB_RC,"ALT")</f>
        <v/>
      </c>
      <c r="G105" s="48">
        <f>SUMIFS(JB_26BV,JB_B,1,JB_EX,"P-8a",JB_CC,"Electronics",JB_H,"T-AO",JB_CE,"External Communication Suite (EXCOMM)",JB_RC,"ALT")</f>
        <v/>
      </c>
      <c r="H105" s="48">
        <f>SUMIFS(JB_26BV,JB_B,1,JB_EX,"P-8a",JB_CC,"Electronics",JB_H,"T-ATS",JB_CE,"External Communication Suite (EXCOMM)",JB_RC,"ALT")</f>
        <v/>
      </c>
      <c r="I105" s="47">
        <f>SUM(B105:H105)</f>
        <v/>
      </c>
    </row>
    <row r="106" ht="10" customHeight="1">
      <c r="A106" s="46" t="inlineStr">
        <is>
          <t xml:space="preserve">    AN/SPN-50 (V)1</t>
        </is>
      </c>
      <c r="B106" s="47">
        <f>SUMIFS(JB_26BV,JB_B,1,JB_EX,"P-8a",JB_CC,"Electronics",JB_H,"DDG",JB_CE,"AN/SPN-50 (V)1",JB_RC,"ALT")</f>
        <v/>
      </c>
      <c r="C106" s="48">
        <f>SUMIFS(JB_26BV,JB_B,1,JB_EX,"P-8a",JB_CC,"Electronics",JB_H,"FFG",JB_CE,"AN/SPN-50 (V)1",JB_RC,"ALT")</f>
        <v/>
      </c>
      <c r="D106" s="48">
        <f>SUMIFS(JB_26BV,JB_B,1,JB_EX,"P-8a",JB_CC,"Electronics",JB_H,"LPD",JB_CE,"AN/SPN-50 (V)1",JB_RC,"ALT")</f>
        <v/>
      </c>
      <c r="E106" s="48">
        <f>SUMIFS(JB_26BV,JB_B,1,JB_EX,"P-8a",JB_CC,"Electronics",JB_H,"LHA",JB_CE,"AN/SPN-50 (V)1",JB_RC,"ALT")</f>
        <v/>
      </c>
      <c r="F106" s="48">
        <f>SUMIFS(JB_26BV,JB_B,1,JB_EX,"P-8a",JB_CC,"Electronics",JB_H,"T-AGOS",JB_CE,"AN/SPN-50 (V)1",JB_RC,"ALT")</f>
        <v/>
      </c>
      <c r="G106" s="48">
        <f>SUMIFS(JB_26BV,JB_B,1,JB_EX,"P-8a",JB_CC,"Electronics",JB_H,"T-AO",JB_CE,"AN/SPN-50 (V)1",JB_RC,"ALT")</f>
        <v/>
      </c>
      <c r="H106" s="48">
        <f>SUMIFS(JB_26BV,JB_B,1,JB_EX,"P-8a",JB_CC,"Electronics",JB_H,"T-ATS",JB_CE,"AN/SPN-50 (V)1",JB_RC,"ALT")</f>
        <v/>
      </c>
      <c r="I106" s="47">
        <f>SUM(B106:H106)</f>
        <v/>
      </c>
    </row>
    <row r="107" ht="10" customHeight="1">
      <c r="A107" s="46" t="inlineStr">
        <is>
          <t xml:space="preserve">    COMMON ARRAY POWER SYSTEM (CAPS)</t>
        </is>
      </c>
      <c r="B107" s="47">
        <f>SUMIFS(JB_26BV,JB_B,1,JB_EX,"P-8a",JB_CC,"Electronics",JB_H,"DDG",JB_CE,"COMMON ARRAY POWER SYSTEM (CAPS)",JB_RC,"ALT")</f>
        <v/>
      </c>
      <c r="C107" s="48">
        <f>SUMIFS(JB_26BV,JB_B,1,JB_EX,"P-8a",JB_CC,"Electronics",JB_H,"FFG",JB_CE,"COMMON ARRAY POWER SYSTEM (CAPS)",JB_RC,"ALT")</f>
        <v/>
      </c>
      <c r="D107" s="48">
        <f>SUMIFS(JB_26BV,JB_B,1,JB_EX,"P-8a",JB_CC,"Electronics",JB_H,"LPD",JB_CE,"COMMON ARRAY POWER SYSTEM (CAPS)",JB_RC,"ALT")</f>
        <v/>
      </c>
      <c r="E107" s="48">
        <f>SUMIFS(JB_26BV,JB_B,1,JB_EX,"P-8a",JB_CC,"Electronics",JB_H,"LHA",JB_CE,"COMMON ARRAY POWER SYSTEM (CAPS)",JB_RC,"ALT")</f>
        <v/>
      </c>
      <c r="F107" s="48">
        <f>SUMIFS(JB_26BV,JB_B,1,JB_EX,"P-8a",JB_CC,"Electronics",JB_H,"T-AGOS",JB_CE,"COMMON ARRAY POWER SYSTEM (CAPS)",JB_RC,"ALT")</f>
        <v/>
      </c>
      <c r="G107" s="48">
        <f>SUMIFS(JB_26BV,JB_B,1,JB_EX,"P-8a",JB_CC,"Electronics",JB_H,"T-AO",JB_CE,"COMMON ARRAY POWER SYSTEM (CAPS)",JB_RC,"ALT")</f>
        <v/>
      </c>
      <c r="H107" s="48">
        <f>SUMIFS(JB_26BV,JB_B,1,JB_EX,"P-8a",JB_CC,"Electronics",JB_H,"T-ATS",JB_CE,"COMMON ARRAY POWER SYSTEM (CAPS)",JB_RC,"ALT")</f>
        <v/>
      </c>
      <c r="I107" s="47">
        <f>SUM(B107:H107)</f>
        <v/>
      </c>
    </row>
    <row r="108" ht="10" customHeight="1">
      <c r="A108" s="46" t="inlineStr">
        <is>
          <t xml:space="preserve">    AN/SLQ-32(V), Surface Warfare Improvement Program (SEWIP)</t>
        </is>
      </c>
      <c r="B108" s="47">
        <f>SUMIFS(JB_26BV,JB_B,1,JB_EX,"P-8a",JB_CC,"Electronics",JB_H,"DDG",JB_CE,"AN/SLQ-32(V), Surface Warfare Improvement Program (SEWIP)",JB_RC,"ALT")</f>
        <v/>
      </c>
      <c r="C108" s="48">
        <f>SUMIFS(JB_26BV,JB_B,1,JB_EX,"P-8a",JB_CC,"Electronics",JB_H,"FFG",JB_CE,"AN/SLQ-32(V), Surface Warfare Improvement Program (SEWIP)",JB_RC,"ALT")</f>
        <v/>
      </c>
      <c r="D108" s="48">
        <f>SUMIFS(JB_26BV,JB_B,1,JB_EX,"P-8a",JB_CC,"Electronics",JB_H,"LPD",JB_CE,"AN/SLQ-32(V), Surface Warfare Improvement Program (SEWIP)",JB_RC,"ALT")</f>
        <v/>
      </c>
      <c r="E108" s="48">
        <f>SUMIFS(JB_26BV,JB_B,1,JB_EX,"P-8a",JB_CC,"Electronics",JB_H,"LHA",JB_CE,"AN/SLQ-32(V), Surface Warfare Improvement Program (SEWIP)",JB_RC,"ALT")</f>
        <v/>
      </c>
      <c r="F108" s="48">
        <f>SUMIFS(JB_26BV,JB_B,1,JB_EX,"P-8a",JB_CC,"Electronics",JB_H,"T-AGOS",JB_CE,"AN/SLQ-32(V), Surface Warfare Improvement Program (SEWIP)",JB_RC,"ALT")</f>
        <v/>
      </c>
      <c r="G108" s="48">
        <f>SUMIFS(JB_26BV,JB_B,1,JB_EX,"P-8a",JB_CC,"Electronics",JB_H,"T-AO",JB_CE,"AN/SLQ-32(V), Surface Warfare Improvement Program (SEWIP)",JB_RC,"ALT")</f>
        <v/>
      </c>
      <c r="H108" s="48">
        <f>SUMIFS(JB_26BV,JB_B,1,JB_EX,"P-8a",JB_CC,"Electronics",JB_H,"T-ATS",JB_CE,"AN/SLQ-32(V), Surface Warfare Improvement Program (SEWIP)",JB_RC,"ALT")</f>
        <v/>
      </c>
      <c r="I108" s="47">
        <f>SUM(B108:H108)</f>
        <v/>
      </c>
    </row>
    <row r="109" ht="10" customHeight="1">
      <c r="A109" s="46" t="inlineStr">
        <is>
          <t xml:space="preserve">    AN/SLQ-32(V)6 Surface Electronic Warfare Improvement Program (SEWIP)</t>
        </is>
      </c>
      <c r="B109" s="47">
        <f>SUMIFS(JB_26BV,JB_B,1,JB_EX,"P-8a",JB_CC,"Electronics",JB_H,"DDG",JB_CE,"AN/SLQ-32(V)6 Surface Electronic Warfare Improvement Program (SEWIP)",JB_RC,"ALT")</f>
        <v/>
      </c>
      <c r="C109" s="48">
        <f>SUMIFS(JB_26BV,JB_B,1,JB_EX,"P-8a",JB_CC,"Electronics",JB_H,"FFG",JB_CE,"AN/SLQ-32(V)6 Surface Electronic Warfare Improvement Program (SEWIP)",JB_RC,"ALT")</f>
        <v/>
      </c>
      <c r="D109" s="48">
        <f>SUMIFS(JB_26BV,JB_B,1,JB_EX,"P-8a",JB_CC,"Electronics",JB_H,"LPD",JB_CE,"AN/SLQ-32(V)6 Surface Electronic Warfare Improvement Program (SEWIP)",JB_RC,"ALT")</f>
        <v/>
      </c>
      <c r="E109" s="48">
        <f>SUMIFS(JB_26BV,JB_B,1,JB_EX,"P-8a",JB_CC,"Electronics",JB_H,"LHA",JB_CE,"AN/SLQ-32(V)6 Surface Electronic Warfare Improvement Program (SEWIP)",JB_RC,"ALT")</f>
        <v/>
      </c>
      <c r="F109" s="48">
        <f>SUMIFS(JB_26BV,JB_B,1,JB_EX,"P-8a",JB_CC,"Electronics",JB_H,"T-AGOS",JB_CE,"AN/SLQ-32(V)6 Surface Electronic Warfare Improvement Program (SEWIP)",JB_RC,"ALT")</f>
        <v/>
      </c>
      <c r="G109" s="48">
        <f>SUMIFS(JB_26BV,JB_B,1,JB_EX,"P-8a",JB_CC,"Electronics",JB_H,"T-AO",JB_CE,"AN/SLQ-32(V)6 Surface Electronic Warfare Improvement Program (SEWIP)",JB_RC,"ALT")</f>
        <v/>
      </c>
      <c r="H109" s="48">
        <f>SUMIFS(JB_26BV,JB_B,1,JB_EX,"P-8a",JB_CC,"Electronics",JB_H,"T-ATS",JB_CE,"AN/SLQ-32(V)6 Surface Electronic Warfare Improvement Program (SEWIP)",JB_RC,"ALT")</f>
        <v/>
      </c>
      <c r="I109" s="47">
        <f>SUM(B109:H109)</f>
        <v/>
      </c>
    </row>
    <row r="110" ht="10" customHeight="1">
      <c r="A110" s="46" t="inlineStr">
        <is>
          <t xml:space="preserve">    NAVIGATION SYSTEM</t>
        </is>
      </c>
      <c r="B110" s="47">
        <f>SUMIFS(JB_26BV,JB_B,1,JB_EX,"P-8a",JB_CC,"Electronics",JB_H,"DDG",JB_CE,"NAVIGATION SYSTEM",JB_RC,"ALT")</f>
        <v/>
      </c>
      <c r="C110" s="48">
        <f>SUMIFS(JB_26BV,JB_B,1,JB_EX,"P-8a",JB_CC,"Electronics",JB_H,"FFG",JB_CE,"NAVIGATION SYSTEM",JB_RC,"ALT")</f>
        <v/>
      </c>
      <c r="D110" s="48">
        <f>SUMIFS(JB_26BV,JB_B,1,JB_EX,"P-8a",JB_CC,"Electronics",JB_H,"LPD",JB_CE,"NAVIGATION SYSTEM",JB_RC,"ALT")</f>
        <v/>
      </c>
      <c r="E110" s="48">
        <f>SUMIFS(JB_26BV,JB_B,1,JB_EX,"P-8a",JB_CC,"Electronics",JB_H,"LHA",JB_CE,"NAVIGATION SYSTEM",JB_RC,"ALT")</f>
        <v/>
      </c>
      <c r="F110" s="48">
        <f>SUMIFS(JB_26BV,JB_B,1,JB_EX,"P-8a",JB_CC,"Electronics",JB_H,"T-AGOS",JB_CE,"NAVIGATION SYSTEM",JB_RC,"ALT")</f>
        <v/>
      </c>
      <c r="G110" s="48">
        <f>SUMIFS(JB_26BV,JB_B,1,JB_EX,"P-8a",JB_CC,"Electronics",JB_H,"T-AO",JB_CE,"NAVIGATION SYSTEM",JB_RC,"ALT")</f>
        <v/>
      </c>
      <c r="H110" s="48">
        <f>SUMIFS(JB_26BV,JB_B,1,JB_EX,"P-8a",JB_CC,"Electronics",JB_H,"T-ATS",JB_CE,"NAVIGATION SYSTEM",JB_RC,"ALT")</f>
        <v/>
      </c>
      <c r="I110" s="47">
        <f>SUM(B110:H110)</f>
        <v/>
      </c>
    </row>
    <row r="111" ht="10" customHeight="1">
      <c r="A111" s="46" t="inlineStr">
        <is>
          <t xml:space="preserve">    MIDS</t>
        </is>
      </c>
      <c r="B111" s="47">
        <f>SUMIFS(JB_26BV,JB_B,1,JB_EX,"P-8a",JB_CC,"Electronics",JB_H,"DDG",JB_CE,"MIDS",JB_RC,"ALT")</f>
        <v/>
      </c>
      <c r="C111" s="48">
        <f>SUMIFS(JB_26BV,JB_B,1,JB_EX,"P-8a",JB_CC,"Electronics",JB_H,"FFG",JB_CE,"MIDS",JB_RC,"ALT")</f>
        <v/>
      </c>
      <c r="D111" s="48">
        <f>SUMIFS(JB_26BV,JB_B,1,JB_EX,"P-8a",JB_CC,"Electronics",JB_H,"LPD",JB_CE,"MIDS",JB_RC,"ALT")</f>
        <v/>
      </c>
      <c r="E111" s="48">
        <f>SUMIFS(JB_26BV,JB_B,1,JB_EX,"P-8a",JB_CC,"Electronics",JB_H,"LHA",JB_CE,"MIDS",JB_RC,"ALT")</f>
        <v/>
      </c>
      <c r="F111" s="48">
        <f>SUMIFS(JB_26BV,JB_B,1,JB_EX,"P-8a",JB_CC,"Electronics",JB_H,"T-AGOS",JB_CE,"MIDS",JB_RC,"ALT")</f>
        <v/>
      </c>
      <c r="G111" s="48">
        <f>SUMIFS(JB_26BV,JB_B,1,JB_EX,"P-8a",JB_CC,"Electronics",JB_H,"T-AO",JB_CE,"MIDS",JB_RC,"ALT")</f>
        <v/>
      </c>
      <c r="H111" s="48">
        <f>SUMIFS(JB_26BV,JB_B,1,JB_EX,"P-8a",JB_CC,"Electronics",JB_H,"T-ATS",JB_CE,"MIDS",JB_RC,"ALT")</f>
        <v/>
      </c>
      <c r="I111" s="47">
        <f>SUM(B111:H111)</f>
        <v/>
      </c>
    </row>
    <row r="112" ht="10" customHeight="1">
      <c r="A112" s="46" t="inlineStr">
        <is>
          <t xml:space="preserve">    Identification Friend or Foe (IFF) UPX-29</t>
        </is>
      </c>
      <c r="B112" s="47">
        <f>SUMIFS(JB_26BV,JB_B,1,JB_EX,"P-8a",JB_CC,"Electronics",JB_H,"DDG",JB_CE,"Identification Friend or Foe (IFF) UPX-29",JB_RC,"ALT")</f>
        <v/>
      </c>
      <c r="C112" s="48">
        <f>SUMIFS(JB_26BV,JB_B,1,JB_EX,"P-8a",JB_CC,"Electronics",JB_H,"FFG",JB_CE,"Identification Friend or Foe (IFF) UPX-29",JB_RC,"ALT")</f>
        <v/>
      </c>
      <c r="D112" s="48">
        <f>SUMIFS(JB_26BV,JB_B,1,JB_EX,"P-8a",JB_CC,"Electronics",JB_H,"LPD",JB_CE,"Identification Friend or Foe (IFF) UPX-29",JB_RC,"ALT")</f>
        <v/>
      </c>
      <c r="E112" s="48">
        <f>SUMIFS(JB_26BV,JB_B,1,JB_EX,"P-8a",JB_CC,"Electronics",JB_H,"LHA",JB_CE,"Identification Friend or Foe (IFF) UPX-29",JB_RC,"ALT")</f>
        <v/>
      </c>
      <c r="F112" s="48">
        <f>SUMIFS(JB_26BV,JB_B,1,JB_EX,"P-8a",JB_CC,"Electronics",JB_H,"T-AGOS",JB_CE,"Identification Friend or Foe (IFF) UPX-29",JB_RC,"ALT")</f>
        <v/>
      </c>
      <c r="G112" s="48">
        <f>SUMIFS(JB_26BV,JB_B,1,JB_EX,"P-8a",JB_CC,"Electronics",JB_H,"T-AO",JB_CE,"Identification Friend or Foe (IFF) UPX-29",JB_RC,"ALT")</f>
        <v/>
      </c>
      <c r="H112" s="48">
        <f>SUMIFS(JB_26BV,JB_B,1,JB_EX,"P-8a",JB_CC,"Electronics",JB_H,"T-ATS",JB_CE,"Identification Friend or Foe (IFF) UPX-29",JB_RC,"ALT")</f>
        <v/>
      </c>
      <c r="I112" s="47">
        <f>SUM(B112:H112)</f>
        <v/>
      </c>
    </row>
    <row r="113" ht="10" customHeight="1">
      <c r="A113" s="46" t="inlineStr">
        <is>
          <t xml:space="preserve">    Integrated Voice Network (IVN)</t>
        </is>
      </c>
      <c r="B113" s="47">
        <f>SUMIFS(JB_26BV,JB_B,1,JB_EX,"P-8a",JB_CC,"Electronics",JB_H,"DDG",JB_CE,"Integrated Voice Network (IVN)",JB_RC,"ALT")</f>
        <v/>
      </c>
      <c r="C113" s="48">
        <f>SUMIFS(JB_26BV,JB_B,1,JB_EX,"P-8a",JB_CC,"Electronics",JB_H,"FFG",JB_CE,"Integrated Voice Network (IVN)",JB_RC,"ALT")</f>
        <v/>
      </c>
      <c r="D113" s="48">
        <f>SUMIFS(JB_26BV,JB_B,1,JB_EX,"P-8a",JB_CC,"Electronics",JB_H,"LPD",JB_CE,"Integrated Voice Network (IVN)",JB_RC,"ALT")</f>
        <v/>
      </c>
      <c r="E113" s="48">
        <f>SUMIFS(JB_26BV,JB_B,1,JB_EX,"P-8a",JB_CC,"Electronics",JB_H,"LHA",JB_CE,"Integrated Voice Network (IVN)",JB_RC,"ALT")</f>
        <v/>
      </c>
      <c r="F113" s="48">
        <f>SUMIFS(JB_26BV,JB_B,1,JB_EX,"P-8a",JB_CC,"Electronics",JB_H,"T-AGOS",JB_CE,"Integrated Voice Network (IVN)",JB_RC,"ALT")</f>
        <v/>
      </c>
      <c r="G113" s="48">
        <f>SUMIFS(JB_26BV,JB_B,1,JB_EX,"P-8a",JB_CC,"Electronics",JB_H,"T-AO",JB_CE,"Integrated Voice Network (IVN)",JB_RC,"ALT")</f>
        <v/>
      </c>
      <c r="H113" s="48">
        <f>SUMIFS(JB_26BV,JB_B,1,JB_EX,"P-8a",JB_CC,"Electronics",JB_H,"T-ATS",JB_CE,"Integrated Voice Network (IVN)",JB_RC,"ALT")</f>
        <v/>
      </c>
      <c r="I113" s="47">
        <f>SUM(B113:H113)</f>
        <v/>
      </c>
    </row>
    <row r="114" ht="10" customHeight="1">
      <c r="A114" s="46" t="inlineStr">
        <is>
          <t xml:space="preserve">    SLQ 25 NIXIE</t>
        </is>
      </c>
      <c r="B114" s="47">
        <f>SUMIFS(JB_26BV,JB_B,1,JB_EX,"P-8a",JB_CC,"Electronics",JB_H,"DDG",JB_CE,"SLQ 25 NIXIE",JB_RC,"ALT")</f>
        <v/>
      </c>
      <c r="C114" s="48">
        <f>SUMIFS(JB_26BV,JB_B,1,JB_EX,"P-8a",JB_CC,"Electronics",JB_H,"FFG",JB_CE,"SLQ 25 NIXIE",JB_RC,"ALT")</f>
        <v/>
      </c>
      <c r="D114" s="48">
        <f>SUMIFS(JB_26BV,JB_B,1,JB_EX,"P-8a",JB_CC,"Electronics",JB_H,"LPD",JB_CE,"SLQ 25 NIXIE",JB_RC,"ALT")</f>
        <v/>
      </c>
      <c r="E114" s="48">
        <f>SUMIFS(JB_26BV,JB_B,1,JB_EX,"P-8a",JB_CC,"Electronics",JB_H,"LHA",JB_CE,"SLQ 25 NIXIE",JB_RC,"ALT")</f>
        <v/>
      </c>
      <c r="F114" s="48">
        <f>SUMIFS(JB_26BV,JB_B,1,JB_EX,"P-8a",JB_CC,"Electronics",JB_H,"T-AGOS",JB_CE,"SLQ 25 NIXIE",JB_RC,"ALT")</f>
        <v/>
      </c>
      <c r="G114" s="48">
        <f>SUMIFS(JB_26BV,JB_B,1,JB_EX,"P-8a",JB_CC,"Electronics",JB_H,"T-AO",JB_CE,"SLQ 25 NIXIE",JB_RC,"ALT")</f>
        <v/>
      </c>
      <c r="H114" s="48">
        <f>SUMIFS(JB_26BV,JB_B,1,JB_EX,"P-8a",JB_CC,"Electronics",JB_H,"T-ATS",JB_CE,"SLQ 25 NIXIE",JB_RC,"ALT")</f>
        <v/>
      </c>
      <c r="I114" s="47">
        <f>SUM(B114:H114)</f>
        <v/>
      </c>
    </row>
    <row r="115" ht="10" customHeight="1">
      <c r="A115" s="46" t="inlineStr">
        <is>
          <t xml:space="preserve">    NGSSR</t>
        </is>
      </c>
      <c r="B115" s="47">
        <f>SUMIFS(JB_26BV,JB_B,1,JB_EX,"P-8a",JB_CC,"Electronics",JB_H,"DDG",JB_CE,"NGSSR",JB_RC,"ALT")</f>
        <v/>
      </c>
      <c r="C115" s="48">
        <f>SUMIFS(JB_26BV,JB_B,1,JB_EX,"P-8a",JB_CC,"Electronics",JB_H,"FFG",JB_CE,"NGSSR",JB_RC,"ALT")</f>
        <v/>
      </c>
      <c r="D115" s="48">
        <f>SUMIFS(JB_26BV,JB_B,1,JB_EX,"P-8a",JB_CC,"Electronics",JB_H,"LPD",JB_CE,"NGSSR",JB_RC,"ALT")</f>
        <v/>
      </c>
      <c r="E115" s="48">
        <f>SUMIFS(JB_26BV,JB_B,1,JB_EX,"P-8a",JB_CC,"Electronics",JB_H,"LHA",JB_CE,"NGSSR",JB_RC,"ALT")</f>
        <v/>
      </c>
      <c r="F115" s="48">
        <f>SUMIFS(JB_26BV,JB_B,1,JB_EX,"P-8a",JB_CC,"Electronics",JB_H,"T-AGOS",JB_CE,"NGSSR",JB_RC,"ALT")</f>
        <v/>
      </c>
      <c r="G115" s="48">
        <f>SUMIFS(JB_26BV,JB_B,1,JB_EX,"P-8a",JB_CC,"Electronics",JB_H,"T-AO",JB_CE,"NGSSR",JB_RC,"ALT")</f>
        <v/>
      </c>
      <c r="H115" s="48">
        <f>SUMIFS(JB_26BV,JB_B,1,JB_EX,"P-8a",JB_CC,"Electronics",JB_H,"T-ATS",JB_CE,"NGSSR",JB_RC,"ALT")</f>
        <v/>
      </c>
      <c r="I115" s="47">
        <f>SUM(B115:H115)</f>
        <v/>
      </c>
    </row>
    <row r="116" ht="10" customHeight="1">
      <c r="A116" s="46" t="inlineStr">
        <is>
          <t xml:space="preserve">    AN/UPX-29(V), Identification Friend or Foe (IFF) MK12</t>
        </is>
      </c>
      <c r="B116" s="47">
        <f>SUMIFS(JB_26BV,JB_B,1,JB_EX,"P-8a",JB_CC,"Electronics",JB_H,"DDG",JB_CE,"AN/UPX-29(V), Identification Friend or Foe (IFF) MK12",JB_RC,"ALT")</f>
        <v/>
      </c>
      <c r="C116" s="48">
        <f>SUMIFS(JB_26BV,JB_B,1,JB_EX,"P-8a",JB_CC,"Electronics",JB_H,"FFG",JB_CE,"AN/UPX-29(V), Identification Friend or Foe (IFF) MK12",JB_RC,"ALT")</f>
        <v/>
      </c>
      <c r="D116" s="48">
        <f>SUMIFS(JB_26BV,JB_B,1,JB_EX,"P-8a",JB_CC,"Electronics",JB_H,"LPD",JB_CE,"AN/UPX-29(V), Identification Friend or Foe (IFF) MK12",JB_RC,"ALT")</f>
        <v/>
      </c>
      <c r="E116" s="48">
        <f>SUMIFS(JB_26BV,JB_B,1,JB_EX,"P-8a",JB_CC,"Electronics",JB_H,"LHA",JB_CE,"AN/UPX-29(V), Identification Friend or Foe (IFF) MK12",JB_RC,"ALT")</f>
        <v/>
      </c>
      <c r="F116" s="48">
        <f>SUMIFS(JB_26BV,JB_B,1,JB_EX,"P-8a",JB_CC,"Electronics",JB_H,"T-AGOS",JB_CE,"AN/UPX-29(V), Identification Friend or Foe (IFF) MK12",JB_RC,"ALT")</f>
        <v/>
      </c>
      <c r="G116" s="48">
        <f>SUMIFS(JB_26BV,JB_B,1,JB_EX,"P-8a",JB_CC,"Electronics",JB_H,"T-AO",JB_CE,"AN/UPX-29(V), Identification Friend or Foe (IFF) MK12",JB_RC,"ALT")</f>
        <v/>
      </c>
      <c r="H116" s="48">
        <f>SUMIFS(JB_26BV,JB_B,1,JB_EX,"P-8a",JB_CC,"Electronics",JB_H,"T-ATS",JB_CE,"AN/UPX-29(V), Identification Friend or Foe (IFF) MK12",JB_RC,"ALT")</f>
        <v/>
      </c>
      <c r="I116" s="47">
        <f>SUM(B116:H116)</f>
        <v/>
      </c>
    </row>
    <row r="117" ht="10" customHeight="1">
      <c r="A117" s="46" t="inlineStr">
        <is>
          <t xml:space="preserve">    COOPERATIVE ENGAGEMENT CAPABILITY (CEC)</t>
        </is>
      </c>
      <c r="B117" s="47">
        <f>SUMIFS(JB_26BV,JB_B,1,JB_EX,"P-8a",JB_CC,"Electronics",JB_H,"DDG",JB_CE,"COOPERATIVE ENGAGEMENT CAPABILITY (CEC)",JB_RC,"ALT")</f>
        <v/>
      </c>
      <c r="C117" s="48">
        <f>SUMIFS(JB_26BV,JB_B,1,JB_EX,"P-8a",JB_CC,"Electronics",JB_H,"FFG",JB_CE,"COOPERATIVE ENGAGEMENT CAPABILITY (CEC)",JB_RC,"ALT")</f>
        <v/>
      </c>
      <c r="D117" s="48">
        <f>SUMIFS(JB_26BV,JB_B,1,JB_EX,"P-8a",JB_CC,"Electronics",JB_H,"LPD",JB_CE,"COOPERATIVE ENGAGEMENT CAPABILITY (CEC)",JB_RC,"ALT")</f>
        <v/>
      </c>
      <c r="E117" s="48">
        <f>SUMIFS(JB_26BV,JB_B,1,JB_EX,"P-8a",JB_CC,"Electronics",JB_H,"LHA",JB_CE,"COOPERATIVE ENGAGEMENT CAPABILITY (CEC)",JB_RC,"ALT")</f>
        <v/>
      </c>
      <c r="F117" s="48">
        <f>SUMIFS(JB_26BV,JB_B,1,JB_EX,"P-8a",JB_CC,"Electronics",JB_H,"T-AGOS",JB_CE,"COOPERATIVE ENGAGEMENT CAPABILITY (CEC)",JB_RC,"ALT")</f>
        <v/>
      </c>
      <c r="G117" s="48">
        <f>SUMIFS(JB_26BV,JB_B,1,JB_EX,"P-8a",JB_CC,"Electronics",JB_H,"T-AO",JB_CE,"COOPERATIVE ENGAGEMENT CAPABILITY (CEC)",JB_RC,"ALT")</f>
        <v/>
      </c>
      <c r="H117" s="48">
        <f>SUMIFS(JB_26BV,JB_B,1,JB_EX,"P-8a",JB_CC,"Electronics",JB_H,"T-ATS",JB_CE,"COOPERATIVE ENGAGEMENT CAPABILITY (CEC)",JB_RC,"ALT")</f>
        <v/>
      </c>
      <c r="I117" s="47">
        <f>SUM(B117:H117)</f>
        <v/>
      </c>
    </row>
    <row r="118" ht="10" customHeight="1">
      <c r="A118" s="46" t="inlineStr">
        <is>
          <t xml:space="preserve">    MK 53 NULKA</t>
        </is>
      </c>
      <c r="B118" s="47">
        <f>SUMIFS(JB_26BV,JB_B,1,JB_EX,"P-8a",JB_CC,"Electronics",JB_H,"DDG",JB_CE,"MK 53 NULKA",JB_RC,"ALT")</f>
        <v/>
      </c>
      <c r="C118" s="48">
        <f>SUMIFS(JB_26BV,JB_B,1,JB_EX,"P-8a",JB_CC,"Electronics",JB_H,"FFG",JB_CE,"MK 53 NULKA",JB_RC,"ALT")</f>
        <v/>
      </c>
      <c r="D118" s="48">
        <f>SUMIFS(JB_26BV,JB_B,1,JB_EX,"P-8a",JB_CC,"Electronics",JB_H,"LPD",JB_CE,"MK 53 NULKA",JB_RC,"ALT")</f>
        <v/>
      </c>
      <c r="E118" s="48">
        <f>SUMIFS(JB_26BV,JB_B,1,JB_EX,"P-8a",JB_CC,"Electronics",JB_H,"LHA",JB_CE,"MK 53 NULKA",JB_RC,"ALT")</f>
        <v/>
      </c>
      <c r="F118" s="48">
        <f>SUMIFS(JB_26BV,JB_B,1,JB_EX,"P-8a",JB_CC,"Electronics",JB_H,"T-AGOS",JB_CE,"MK 53 NULKA",JB_RC,"ALT")</f>
        <v/>
      </c>
      <c r="G118" s="48">
        <f>SUMIFS(JB_26BV,JB_B,1,JB_EX,"P-8a",JB_CC,"Electronics",JB_H,"T-AO",JB_CE,"MK 53 NULKA",JB_RC,"ALT")</f>
        <v/>
      </c>
      <c r="H118" s="48">
        <f>SUMIFS(JB_26BV,JB_B,1,JB_EX,"P-8a",JB_CC,"Electronics",JB_H,"T-ATS",JB_CE,"MK 53 NULKA",JB_RC,"ALT")</f>
        <v/>
      </c>
      <c r="I118" s="47">
        <f>SUM(B118:H118)</f>
        <v/>
      </c>
    </row>
    <row r="119" ht="10" customHeight="1">
      <c r="A119" s="46" t="inlineStr">
        <is>
          <t xml:space="preserve">    AN/USG-2, Cooperative Engagement Transmission Processing Set (CETPS)</t>
        </is>
      </c>
      <c r="B119" s="47">
        <f>SUMIFS(JB_26BV,JB_B,1,JB_EX,"P-8a",JB_CC,"Electronics",JB_H,"DDG",JB_CE,"AN/USG-2, Cooperative Engagement Transmission Processing Set (CETPS)",JB_RC,"ALT")</f>
        <v/>
      </c>
      <c r="C119" s="48">
        <f>SUMIFS(JB_26BV,JB_B,1,JB_EX,"P-8a",JB_CC,"Electronics",JB_H,"FFG",JB_CE,"AN/USG-2, Cooperative Engagement Transmission Processing Set (CETPS)",JB_RC,"ALT")</f>
        <v/>
      </c>
      <c r="D119" s="48">
        <f>SUMIFS(JB_26BV,JB_B,1,JB_EX,"P-8a",JB_CC,"Electronics",JB_H,"LPD",JB_CE,"AN/USG-2, Cooperative Engagement Transmission Processing Set (CETPS)",JB_RC,"ALT")</f>
        <v/>
      </c>
      <c r="E119" s="48">
        <f>SUMIFS(JB_26BV,JB_B,1,JB_EX,"P-8a",JB_CC,"Electronics",JB_H,"LHA",JB_CE,"AN/USG-2, Cooperative Engagement Transmission Processing Set (CETPS)",JB_RC,"ALT")</f>
        <v/>
      </c>
      <c r="F119" s="48">
        <f>SUMIFS(JB_26BV,JB_B,1,JB_EX,"P-8a",JB_CC,"Electronics",JB_H,"T-AGOS",JB_CE,"AN/USG-2, Cooperative Engagement Transmission Processing Set (CETPS)",JB_RC,"ALT")</f>
        <v/>
      </c>
      <c r="G119" s="48">
        <f>SUMIFS(JB_26BV,JB_B,1,JB_EX,"P-8a",JB_CC,"Electronics",JB_H,"T-AO",JB_CE,"AN/USG-2, Cooperative Engagement Transmission Processing Set (CETPS)",JB_RC,"ALT")</f>
        <v/>
      </c>
      <c r="H119" s="48">
        <f>SUMIFS(JB_26BV,JB_B,1,JB_EX,"P-8a",JB_CC,"Electronics",JB_H,"T-ATS",JB_CE,"AN/USG-2, Cooperative Engagement Transmission Processing Set (CETPS)",JB_RC,"ALT")</f>
        <v/>
      </c>
      <c r="I119" s="47">
        <f>SUM(B119:H119)</f>
        <v/>
      </c>
    </row>
    <row r="120" ht="10" customHeight="1">
      <c r="A120" s="46" t="inlineStr">
        <is>
          <t xml:space="preserve">    Minor Systems</t>
        </is>
      </c>
      <c r="B120" s="47">
        <f>SUMIFS(JB_26BV,JB_B,1,JB_EX,"P-8a",JB_CC,"Electronics",JB_H,"DDG",JB_CE,"Minor Systems",JB_RC,"ALT")</f>
        <v/>
      </c>
      <c r="C120" s="48">
        <f>SUMIFS(JB_26BV,JB_B,1,JB_EX,"P-8a",JB_CC,"Electronics",JB_H,"FFG",JB_CE,"Minor Systems",JB_RC,"ALT")</f>
        <v/>
      </c>
      <c r="D120" s="48">
        <f>SUMIFS(JB_26BV,JB_B,1,JB_EX,"P-8a",JB_CC,"Electronics",JB_H,"LPD",JB_CE,"Minor Systems",JB_RC,"ALT")</f>
        <v/>
      </c>
      <c r="E120" s="48">
        <f>SUMIFS(JB_26BV,JB_B,1,JB_EX,"P-8a",JB_CC,"Electronics",JB_H,"LHA",JB_CE,"Minor Systems",JB_RC,"ALT")</f>
        <v/>
      </c>
      <c r="F120" s="48">
        <f>SUMIFS(JB_26BV,JB_B,1,JB_EX,"P-8a",JB_CC,"Electronics",JB_H,"T-AGOS",JB_CE,"Minor Systems",JB_RC,"ALT")</f>
        <v/>
      </c>
      <c r="G120" s="48">
        <f>SUMIFS(JB_26BV,JB_B,1,JB_EX,"P-8a",JB_CC,"Electronics",JB_H,"T-AO",JB_CE,"Minor Systems",JB_RC,"ALT")</f>
        <v/>
      </c>
      <c r="H120" s="48">
        <f>SUMIFS(JB_26BV,JB_B,1,JB_EX,"P-8a",JB_CC,"Electronics",JB_H,"T-ATS",JB_CE,"Minor Systems",JB_RC,"ALT")</f>
        <v/>
      </c>
      <c r="I120" s="47">
        <f>SUM(B120:H120)</f>
        <v/>
      </c>
    </row>
    <row r="121" ht="10" customHeight="1">
      <c r="A121" s="46" t="inlineStr">
        <is>
          <t xml:space="preserve">    Joint Precision Approach and Landing System (JPALS) (AN/USN-3(V)1, SSLS)</t>
        </is>
      </c>
      <c r="B121" s="47">
        <f>SUMIFS(JB_26BV,JB_B,1,JB_EX,"P-8a",JB_CC,"Electronics",JB_H,"DDG",JB_CE,"Joint Precision Approach and Landing System (JPALS) (AN/USN-3(V)1, SSLS)",JB_RC,"ALT")</f>
        <v/>
      </c>
      <c r="C121" s="48">
        <f>SUMIFS(JB_26BV,JB_B,1,JB_EX,"P-8a",JB_CC,"Electronics",JB_H,"FFG",JB_CE,"Joint Precision Approach and Landing System (JPALS) (AN/USN-3(V)1, SSLS)",JB_RC,"ALT")</f>
        <v/>
      </c>
      <c r="D121" s="48">
        <f>SUMIFS(JB_26BV,JB_B,1,JB_EX,"P-8a",JB_CC,"Electronics",JB_H,"LPD",JB_CE,"Joint Precision Approach and Landing System (JPALS) (AN/USN-3(V)1, SSLS)",JB_RC,"ALT")</f>
        <v/>
      </c>
      <c r="E121" s="48">
        <f>SUMIFS(JB_26BV,JB_B,1,JB_EX,"P-8a",JB_CC,"Electronics",JB_H,"LHA",JB_CE,"Joint Precision Approach and Landing System (JPALS) (AN/USN-3(V)1, SSLS)",JB_RC,"ALT")</f>
        <v/>
      </c>
      <c r="F121" s="48">
        <f>SUMIFS(JB_26BV,JB_B,1,JB_EX,"P-8a",JB_CC,"Electronics",JB_H,"T-AGOS",JB_CE,"Joint Precision Approach and Landing System (JPALS) (AN/USN-3(V)1, SSLS)",JB_RC,"ALT")</f>
        <v/>
      </c>
      <c r="G121" s="48">
        <f>SUMIFS(JB_26BV,JB_B,1,JB_EX,"P-8a",JB_CC,"Electronics",JB_H,"T-AO",JB_CE,"Joint Precision Approach and Landing System (JPALS) (AN/USN-3(V)1, SSLS)",JB_RC,"ALT")</f>
        <v/>
      </c>
      <c r="H121" s="48">
        <f>SUMIFS(JB_26BV,JB_B,1,JB_EX,"P-8a",JB_CC,"Electronics",JB_H,"T-ATS",JB_CE,"Joint Precision Approach and Landing System (JPALS) (AN/USN-3(V)1, SSLS)",JB_RC,"ALT")</f>
        <v/>
      </c>
      <c r="I121" s="47">
        <f>SUM(B121:H121)</f>
        <v/>
      </c>
    </row>
    <row r="122" ht="10" customHeight="1">
      <c r="A122" s="46" t="inlineStr">
        <is>
          <t xml:space="preserve">    USQ-82, Gigabit Ethernet Data Multiplex System (GEDMS)</t>
        </is>
      </c>
      <c r="B122" s="47">
        <f>SUMIFS(JB_26BV,JB_B,1,JB_EX,"P-8a",JB_CC,"Electronics",JB_H,"DDG",JB_CE,"USQ-82, Gigabit Ethernet Data Multiplex System (GEDMS)",JB_RC,"ALT")</f>
        <v/>
      </c>
      <c r="C122" s="48">
        <f>SUMIFS(JB_26BV,JB_B,1,JB_EX,"P-8a",JB_CC,"Electronics",JB_H,"FFG",JB_CE,"USQ-82, Gigabit Ethernet Data Multiplex System (GEDMS)",JB_RC,"ALT")</f>
        <v/>
      </c>
      <c r="D122" s="48">
        <f>SUMIFS(JB_26BV,JB_B,1,JB_EX,"P-8a",JB_CC,"Electronics",JB_H,"LPD",JB_CE,"USQ-82, Gigabit Ethernet Data Multiplex System (GEDMS)",JB_RC,"ALT")</f>
        <v/>
      </c>
      <c r="E122" s="48">
        <f>SUMIFS(JB_26BV,JB_B,1,JB_EX,"P-8a",JB_CC,"Electronics",JB_H,"LHA",JB_CE,"USQ-82, Gigabit Ethernet Data Multiplex System (GEDMS)",JB_RC,"ALT")</f>
        <v/>
      </c>
      <c r="F122" s="48">
        <f>SUMIFS(JB_26BV,JB_B,1,JB_EX,"P-8a",JB_CC,"Electronics",JB_H,"T-AGOS",JB_CE,"USQ-82, Gigabit Ethernet Data Multiplex System (GEDMS)",JB_RC,"ALT")</f>
        <v/>
      </c>
      <c r="G122" s="48">
        <f>SUMIFS(JB_26BV,JB_B,1,JB_EX,"P-8a",JB_CC,"Electronics",JB_H,"T-AO",JB_CE,"USQ-82, Gigabit Ethernet Data Multiplex System (GEDMS)",JB_RC,"ALT")</f>
        <v/>
      </c>
      <c r="H122" s="48">
        <f>SUMIFS(JB_26BV,JB_B,1,JB_EX,"P-8a",JB_CC,"Electronics",JB_H,"T-ATS",JB_CE,"USQ-82, Gigabit Ethernet Data Multiplex System (GEDMS)",JB_RC,"ALT")</f>
        <v/>
      </c>
      <c r="I122" s="47">
        <f>SUM(B122:H122)</f>
        <v/>
      </c>
    </row>
    <row r="123" ht="10" customHeight="1">
      <c r="A123" s="46" t="inlineStr">
        <is>
          <t xml:space="preserve">    Interrogator System IFF (Identification Friend or Foe)</t>
        </is>
      </c>
      <c r="B123" s="47">
        <f>SUMIFS(JB_26BV,JB_B,1,JB_EX,"P-8a",JB_CC,"Electronics",JB_H,"DDG",JB_CE,"Interrogator System IFF (Identification Friend or Foe)",JB_RC,"ALT")</f>
        <v/>
      </c>
      <c r="C123" s="48">
        <f>SUMIFS(JB_26BV,JB_B,1,JB_EX,"P-8a",JB_CC,"Electronics",JB_H,"FFG",JB_CE,"Interrogator System IFF (Identification Friend or Foe)",JB_RC,"ALT")</f>
        <v/>
      </c>
      <c r="D123" s="48">
        <f>SUMIFS(JB_26BV,JB_B,1,JB_EX,"P-8a",JB_CC,"Electronics",JB_H,"LPD",JB_CE,"Interrogator System IFF (Identification Friend or Foe)",JB_RC,"ALT")</f>
        <v/>
      </c>
      <c r="E123" s="48">
        <f>SUMIFS(JB_26BV,JB_B,1,JB_EX,"P-8a",JB_CC,"Electronics",JB_H,"LHA",JB_CE,"Interrogator System IFF (Identification Friend or Foe)",JB_RC,"ALT")</f>
        <v/>
      </c>
      <c r="F123" s="48">
        <f>SUMIFS(JB_26BV,JB_B,1,JB_EX,"P-8a",JB_CC,"Electronics",JB_H,"T-AGOS",JB_CE,"Interrogator System IFF (Identification Friend or Foe)",JB_RC,"ALT")</f>
        <v/>
      </c>
      <c r="G123" s="48">
        <f>SUMIFS(JB_26BV,JB_B,1,JB_EX,"P-8a",JB_CC,"Electronics",JB_H,"T-AO",JB_CE,"Interrogator System IFF (Identification Friend or Foe)",JB_RC,"ALT")</f>
        <v/>
      </c>
      <c r="H123" s="48">
        <f>SUMIFS(JB_26BV,JB_B,1,JB_EX,"P-8a",JB_CC,"Electronics",JB_H,"T-ATS",JB_CE,"Interrogator System IFF (Identification Friend or Foe)",JB_RC,"ALT")</f>
        <v/>
      </c>
      <c r="I123" s="47">
        <f>SUM(B123:H123)</f>
        <v/>
      </c>
    </row>
    <row r="124" ht="10" customHeight="1">
      <c r="A124" s="46" t="inlineStr">
        <is>
          <t xml:space="preserve">    TSA ANTENNA</t>
        </is>
      </c>
      <c r="B124" s="47">
        <f>SUMIFS(JB_26BV,JB_B,1,JB_EX,"P-8a",JB_CC,"Electronics",JB_H,"DDG",JB_CE,"TSA ANTENNA",JB_RC,"ALT")</f>
        <v/>
      </c>
      <c r="C124" s="48">
        <f>SUMIFS(JB_26BV,JB_B,1,JB_EX,"P-8a",JB_CC,"Electronics",JB_H,"FFG",JB_CE,"TSA ANTENNA",JB_RC,"ALT")</f>
        <v/>
      </c>
      <c r="D124" s="48">
        <f>SUMIFS(JB_26BV,JB_B,1,JB_EX,"P-8a",JB_CC,"Electronics",JB_H,"LPD",JB_CE,"TSA ANTENNA",JB_RC,"ALT")</f>
        <v/>
      </c>
      <c r="E124" s="48">
        <f>SUMIFS(JB_26BV,JB_B,1,JB_EX,"P-8a",JB_CC,"Electronics",JB_H,"LHA",JB_CE,"TSA ANTENNA",JB_RC,"ALT")</f>
        <v/>
      </c>
      <c r="F124" s="48">
        <f>SUMIFS(JB_26BV,JB_B,1,JB_EX,"P-8a",JB_CC,"Electronics",JB_H,"T-AGOS",JB_CE,"TSA ANTENNA",JB_RC,"ALT")</f>
        <v/>
      </c>
      <c r="G124" s="48">
        <f>SUMIFS(JB_26BV,JB_B,1,JB_EX,"P-8a",JB_CC,"Electronics",JB_H,"T-AO",JB_CE,"TSA ANTENNA",JB_RC,"ALT")</f>
        <v/>
      </c>
      <c r="H124" s="48">
        <f>SUMIFS(JB_26BV,JB_B,1,JB_EX,"P-8a",JB_CC,"Electronics",JB_H,"T-ATS",JB_CE,"TSA ANTENNA",JB_RC,"ALT")</f>
        <v/>
      </c>
      <c r="I124" s="47">
        <f>SUM(B124:H124)</f>
        <v/>
      </c>
    </row>
    <row r="125" ht="10" customHeight="1">
      <c r="A125" s="46" t="inlineStr">
        <is>
          <t xml:space="preserve">    Radio Communication System (RCS) TURNKEY</t>
        </is>
      </c>
      <c r="B125" s="47">
        <f>SUMIFS(JB_26BV,JB_B,1,JB_EX,"P-8a",JB_CC,"Electronics",JB_H,"DDG",JB_CE,"Radio Communication System (RCS) TURNKEY",JB_RC,"ALT")</f>
        <v/>
      </c>
      <c r="C125" s="48">
        <f>SUMIFS(JB_26BV,JB_B,1,JB_EX,"P-8a",JB_CC,"Electronics",JB_H,"FFG",JB_CE,"Radio Communication System (RCS) TURNKEY",JB_RC,"ALT")</f>
        <v/>
      </c>
      <c r="D125" s="48">
        <f>SUMIFS(JB_26BV,JB_B,1,JB_EX,"P-8a",JB_CC,"Electronics",JB_H,"LPD",JB_CE,"Radio Communication System (RCS) TURNKEY",JB_RC,"ALT")</f>
        <v/>
      </c>
      <c r="E125" s="48">
        <f>SUMIFS(JB_26BV,JB_B,1,JB_EX,"P-8a",JB_CC,"Electronics",JB_H,"LHA",JB_CE,"Radio Communication System (RCS) TURNKEY",JB_RC,"ALT")</f>
        <v/>
      </c>
      <c r="F125" s="48">
        <f>SUMIFS(JB_26BV,JB_B,1,JB_EX,"P-8a",JB_CC,"Electronics",JB_H,"T-AGOS",JB_CE,"Radio Communication System (RCS) TURNKEY",JB_RC,"ALT")</f>
        <v/>
      </c>
      <c r="G125" s="48">
        <f>SUMIFS(JB_26BV,JB_B,1,JB_EX,"P-8a",JB_CC,"Electronics",JB_H,"T-AO",JB_CE,"Radio Communication System (RCS) TURNKEY",JB_RC,"ALT")</f>
        <v/>
      </c>
      <c r="H125" s="48">
        <f>SUMIFS(JB_26BV,JB_B,1,JB_EX,"P-8a",JB_CC,"Electronics",JB_H,"T-ATS",JB_CE,"Radio Communication System (RCS) TURNKEY",JB_RC,"ALT")</f>
        <v/>
      </c>
      <c r="I125" s="47">
        <f>SUM(B125:H125)</f>
        <v/>
      </c>
    </row>
    <row r="126" ht="10" customHeight="1">
      <c r="A126" s="46" t="inlineStr">
        <is>
          <t xml:space="preserve">    Aircraft Control Approach Central AN/SPN-35C</t>
        </is>
      </c>
      <c r="B126" s="47">
        <f>SUMIFS(JB_26BV,JB_B,1,JB_EX,"P-8a",JB_CC,"Electronics",JB_H,"DDG",JB_CE,"Aircraft Control Approach Central AN/SPN-35C",JB_RC,"ALT")</f>
        <v/>
      </c>
      <c r="C126" s="48">
        <f>SUMIFS(JB_26BV,JB_B,1,JB_EX,"P-8a",JB_CC,"Electronics",JB_H,"FFG",JB_CE,"Aircraft Control Approach Central AN/SPN-35C",JB_RC,"ALT")</f>
        <v/>
      </c>
      <c r="D126" s="48">
        <f>SUMIFS(JB_26BV,JB_B,1,JB_EX,"P-8a",JB_CC,"Electronics",JB_H,"LPD",JB_CE,"Aircraft Control Approach Central AN/SPN-35C",JB_RC,"ALT")</f>
        <v/>
      </c>
      <c r="E126" s="48">
        <f>SUMIFS(JB_26BV,JB_B,1,JB_EX,"P-8a",JB_CC,"Electronics",JB_H,"LHA",JB_CE,"Aircraft Control Approach Central AN/SPN-35C",JB_RC,"ALT")</f>
        <v/>
      </c>
      <c r="F126" s="48">
        <f>SUMIFS(JB_26BV,JB_B,1,JB_EX,"P-8a",JB_CC,"Electronics",JB_H,"T-AGOS",JB_CE,"Aircraft Control Approach Central AN/SPN-35C",JB_RC,"ALT")</f>
        <v/>
      </c>
      <c r="G126" s="48">
        <f>SUMIFS(JB_26BV,JB_B,1,JB_EX,"P-8a",JB_CC,"Electronics",JB_H,"T-AO",JB_CE,"Aircraft Control Approach Central AN/SPN-35C",JB_RC,"ALT")</f>
        <v/>
      </c>
      <c r="H126" s="48">
        <f>SUMIFS(JB_26BV,JB_B,1,JB_EX,"P-8a",JB_CC,"Electronics",JB_H,"T-ATS",JB_CE,"Aircraft Control Approach Central AN/SPN-35C",JB_RC,"ALT")</f>
        <v/>
      </c>
      <c r="I126" s="47">
        <f>SUM(B126:H126)</f>
        <v/>
      </c>
    </row>
    <row r="127" ht="10" customHeight="1">
      <c r="A127" s="46" t="inlineStr">
        <is>
          <t xml:space="preserve">    AN/SLQ-25 NIXIE</t>
        </is>
      </c>
      <c r="B127" s="47">
        <f>SUMIFS(JB_26BV,JB_B,1,JB_EX,"P-8a",JB_CC,"Electronics",JB_H,"DDG",JB_CE,"AN/SLQ-25 NIXIE",JB_RC,"ALT")</f>
        <v/>
      </c>
      <c r="C127" s="48">
        <f>SUMIFS(JB_26BV,JB_B,1,JB_EX,"P-8a",JB_CC,"Electronics",JB_H,"FFG",JB_CE,"AN/SLQ-25 NIXIE",JB_RC,"ALT")</f>
        <v/>
      </c>
      <c r="D127" s="48">
        <f>SUMIFS(JB_26BV,JB_B,1,JB_EX,"P-8a",JB_CC,"Electronics",JB_H,"LPD",JB_CE,"AN/SLQ-25 NIXIE",JB_RC,"ALT")</f>
        <v/>
      </c>
      <c r="E127" s="48">
        <f>SUMIFS(JB_26BV,JB_B,1,JB_EX,"P-8a",JB_CC,"Electronics",JB_H,"LHA",JB_CE,"AN/SLQ-25 NIXIE",JB_RC,"ALT")</f>
        <v/>
      </c>
      <c r="F127" s="48">
        <f>SUMIFS(JB_26BV,JB_B,1,JB_EX,"P-8a",JB_CC,"Electronics",JB_H,"T-AGOS",JB_CE,"AN/SLQ-25 NIXIE",JB_RC,"ALT")</f>
        <v/>
      </c>
      <c r="G127" s="48">
        <f>SUMIFS(JB_26BV,JB_B,1,JB_EX,"P-8a",JB_CC,"Electronics",JB_H,"T-AO",JB_CE,"AN/SLQ-25 NIXIE",JB_RC,"ALT")</f>
        <v/>
      </c>
      <c r="H127" s="48">
        <f>SUMIFS(JB_26BV,JB_B,1,JB_EX,"P-8a",JB_CC,"Electronics",JB_H,"T-ATS",JB_CE,"AN/SLQ-25 NIXIE",JB_RC,"ALT")</f>
        <v/>
      </c>
      <c r="I127" s="47">
        <f>SUM(B127:H127)</f>
        <v/>
      </c>
    </row>
    <row r="128" ht="10" customHeight="1">
      <c r="A128" s="46" t="inlineStr">
        <is>
          <t xml:space="preserve">    Hierarchical Yet Dynamically Reprogrammable Architecture (HYDRA) AN/SRC-55</t>
        </is>
      </c>
      <c r="B128" s="47">
        <f>SUMIFS(JB_26BV,JB_B,1,JB_EX,"P-8a",JB_CC,"Electronics",JB_H,"DDG",JB_CE,"Hierarchical Yet Dynamically Reprogrammable Architecture (HYDRA) AN/SRC-55",JB_RC,"ALT")</f>
        <v/>
      </c>
      <c r="C128" s="48">
        <f>SUMIFS(JB_26BV,JB_B,1,JB_EX,"P-8a",JB_CC,"Electronics",JB_H,"FFG",JB_CE,"Hierarchical Yet Dynamically Reprogrammable Architecture (HYDRA) AN/SRC-55",JB_RC,"ALT")</f>
        <v/>
      </c>
      <c r="D128" s="48">
        <f>SUMIFS(JB_26BV,JB_B,1,JB_EX,"P-8a",JB_CC,"Electronics",JB_H,"LPD",JB_CE,"Hierarchical Yet Dynamically Reprogrammable Architecture (HYDRA) AN/SRC-55",JB_RC,"ALT")</f>
        <v/>
      </c>
      <c r="E128" s="48">
        <f>SUMIFS(JB_26BV,JB_B,1,JB_EX,"P-8a",JB_CC,"Electronics",JB_H,"LHA",JB_CE,"Hierarchical Yet Dynamically Reprogrammable Architecture (HYDRA) AN/SRC-55",JB_RC,"ALT")</f>
        <v/>
      </c>
      <c r="F128" s="48">
        <f>SUMIFS(JB_26BV,JB_B,1,JB_EX,"P-8a",JB_CC,"Electronics",JB_H,"T-AGOS",JB_CE,"Hierarchical Yet Dynamically Reprogrammable Architecture (HYDRA) AN/SRC-55",JB_RC,"ALT")</f>
        <v/>
      </c>
      <c r="G128" s="48">
        <f>SUMIFS(JB_26BV,JB_B,1,JB_EX,"P-8a",JB_CC,"Electronics",JB_H,"T-AO",JB_CE,"Hierarchical Yet Dynamically Reprogrammable Architecture (HYDRA) AN/SRC-55",JB_RC,"ALT")</f>
        <v/>
      </c>
      <c r="H128" s="48">
        <f>SUMIFS(JB_26BV,JB_B,1,JB_EX,"P-8a",JB_CC,"Electronics",JB_H,"T-ATS",JB_CE,"Hierarchical Yet Dynamically Reprogrammable Architecture (HYDRA) AN/SRC-55",JB_RC,"ALT")</f>
        <v/>
      </c>
      <c r="I128" s="47">
        <f>SUM(B128:H128)</f>
        <v/>
      </c>
    </row>
    <row r="129" ht="10" customHeight="1">
      <c r="A129" s="46" t="inlineStr">
        <is>
          <t xml:space="preserve">    AN/SLQ-25C, Torpedo Countermeasures Transmitting Set (NIXIE)</t>
        </is>
      </c>
      <c r="B129" s="47">
        <f>SUMIFS(JB_26BV,JB_B,1,JB_EX,"P-8a",JB_CC,"Electronics",JB_H,"DDG",JB_CE,"AN/SLQ-25C, Torpedo Countermeasures Transmitting Set (NIXIE)",JB_RC,"ALT")</f>
        <v/>
      </c>
      <c r="C129" s="48">
        <f>SUMIFS(JB_26BV,JB_B,1,JB_EX,"P-8a",JB_CC,"Electronics",JB_H,"FFG",JB_CE,"AN/SLQ-25C, Torpedo Countermeasures Transmitting Set (NIXIE)",JB_RC,"ALT")</f>
        <v/>
      </c>
      <c r="D129" s="48">
        <f>SUMIFS(JB_26BV,JB_B,1,JB_EX,"P-8a",JB_CC,"Electronics",JB_H,"LPD",JB_CE,"AN/SLQ-25C, Torpedo Countermeasures Transmitting Set (NIXIE)",JB_RC,"ALT")</f>
        <v/>
      </c>
      <c r="E129" s="48">
        <f>SUMIFS(JB_26BV,JB_B,1,JB_EX,"P-8a",JB_CC,"Electronics",JB_H,"LHA",JB_CE,"AN/SLQ-25C, Torpedo Countermeasures Transmitting Set (NIXIE)",JB_RC,"ALT")</f>
        <v/>
      </c>
      <c r="F129" s="48">
        <f>SUMIFS(JB_26BV,JB_B,1,JB_EX,"P-8a",JB_CC,"Electronics",JB_H,"T-AGOS",JB_CE,"AN/SLQ-25C, Torpedo Countermeasures Transmitting Set (NIXIE)",JB_RC,"ALT")</f>
        <v/>
      </c>
      <c r="G129" s="48">
        <f>SUMIFS(JB_26BV,JB_B,1,JB_EX,"P-8a",JB_CC,"Electronics",JB_H,"T-AO",JB_CE,"AN/SLQ-25C, Torpedo Countermeasures Transmitting Set (NIXIE)",JB_RC,"ALT")</f>
        <v/>
      </c>
      <c r="H129" s="48">
        <f>SUMIFS(JB_26BV,JB_B,1,JB_EX,"P-8a",JB_CC,"Electronics",JB_H,"T-ATS",JB_CE,"AN/SLQ-25C, Torpedo Countermeasures Transmitting Set (NIXIE)",JB_RC,"ALT")</f>
        <v/>
      </c>
      <c r="I129" s="47">
        <f>SUM(B129:H129)</f>
        <v/>
      </c>
    </row>
    <row r="130" ht="10" customHeight="1">
      <c r="A130" s="46" t="inlineStr">
        <is>
          <t xml:space="preserve">    Ring Laser Gyro Navigator (RLGN) AN/WSN-7</t>
        </is>
      </c>
      <c r="B130" s="47">
        <f>SUMIFS(JB_26BV,JB_B,1,JB_EX,"P-8a",JB_CC,"Electronics",JB_H,"DDG",JB_CE,"Ring Laser Gyro Navigator (RLGN) AN/WSN-7",JB_RC,"ALT")</f>
        <v/>
      </c>
      <c r="C130" s="48">
        <f>SUMIFS(JB_26BV,JB_B,1,JB_EX,"P-8a",JB_CC,"Electronics",JB_H,"FFG",JB_CE,"Ring Laser Gyro Navigator (RLGN) AN/WSN-7",JB_RC,"ALT")</f>
        <v/>
      </c>
      <c r="D130" s="48">
        <f>SUMIFS(JB_26BV,JB_B,1,JB_EX,"P-8a",JB_CC,"Electronics",JB_H,"LPD",JB_CE,"Ring Laser Gyro Navigator (RLGN) AN/WSN-7",JB_RC,"ALT")</f>
        <v/>
      </c>
      <c r="E130" s="48">
        <f>SUMIFS(JB_26BV,JB_B,1,JB_EX,"P-8a",JB_CC,"Electronics",JB_H,"LHA",JB_CE,"Ring Laser Gyro Navigator (RLGN) AN/WSN-7",JB_RC,"ALT")</f>
        <v/>
      </c>
      <c r="F130" s="48">
        <f>SUMIFS(JB_26BV,JB_B,1,JB_EX,"P-8a",JB_CC,"Electronics",JB_H,"T-AGOS",JB_CE,"Ring Laser Gyro Navigator (RLGN) AN/WSN-7",JB_RC,"ALT")</f>
        <v/>
      </c>
      <c r="G130" s="48">
        <f>SUMIFS(JB_26BV,JB_B,1,JB_EX,"P-8a",JB_CC,"Electronics",JB_H,"T-AO",JB_CE,"Ring Laser Gyro Navigator (RLGN) AN/WSN-7",JB_RC,"ALT")</f>
        <v/>
      </c>
      <c r="H130" s="48">
        <f>SUMIFS(JB_26BV,JB_B,1,JB_EX,"P-8a",JB_CC,"Electronics",JB_H,"T-ATS",JB_CE,"Ring Laser Gyro Navigator (RLGN) AN/WSN-7",JB_RC,"ALT")</f>
        <v/>
      </c>
      <c r="I130" s="47">
        <f>SUM(B130:H130)</f>
        <v/>
      </c>
    </row>
    <row r="131" ht="10" customHeight="1">
      <c r="A131" s="46" t="inlineStr">
        <is>
          <t xml:space="preserve">    SPARES</t>
        </is>
      </c>
      <c r="B131" s="47">
        <f>SUMIFS(JB_26BV,JB_B,1,JB_EX,"P-8a",JB_CC,"Electronics",JB_H,"DDG",JB_CE,"SPARES",JB_RC,"ALT")</f>
        <v/>
      </c>
      <c r="C131" s="48">
        <f>SUMIFS(JB_26BV,JB_B,1,JB_EX,"P-8a",JB_CC,"Electronics",JB_H,"FFG",JB_CE,"SPARES",JB_RC,"ALT")</f>
        <v/>
      </c>
      <c r="D131" s="48">
        <f>SUMIFS(JB_26BV,JB_B,1,JB_EX,"P-8a",JB_CC,"Electronics",JB_H,"LPD",JB_CE,"SPARES",JB_RC,"ALT")</f>
        <v/>
      </c>
      <c r="E131" s="48">
        <f>SUMIFS(JB_26BV,JB_B,1,JB_EX,"P-8a",JB_CC,"Electronics",JB_H,"LHA",JB_CE,"SPARES",JB_RC,"ALT")</f>
        <v/>
      </c>
      <c r="F131" s="48">
        <f>SUMIFS(JB_26BV,JB_B,1,JB_EX,"P-8a",JB_CC,"Electronics",JB_H,"T-AGOS",JB_CE,"SPARES",JB_RC,"ALT")</f>
        <v/>
      </c>
      <c r="G131" s="48">
        <f>SUMIFS(JB_26BV,JB_B,1,JB_EX,"P-8a",JB_CC,"Electronics",JB_H,"T-AO",JB_CE,"SPARES",JB_RC,"ALT")</f>
        <v/>
      </c>
      <c r="H131" s="48">
        <f>SUMIFS(JB_26BV,JB_B,1,JB_EX,"P-8a",JB_CC,"Electronics",JB_H,"T-ATS",JB_CE,"SPARES",JB_RC,"ALT")</f>
        <v/>
      </c>
      <c r="I131" s="47">
        <f>SUM(B131:H131)</f>
        <v/>
      </c>
    </row>
    <row r="132" ht="10" customHeight="1">
      <c r="A132" s="46" t="inlineStr">
        <is>
          <t xml:space="preserve">    Amphibious Air Traffic Control Direct Altitude and Identity Readout (AATC-DAIR)</t>
        </is>
      </c>
      <c r="B132" s="47">
        <f>SUMIFS(JB_26BV,JB_B,1,JB_EX,"P-8a",JB_CC,"Electronics",JB_H,"DDG",JB_CE,"Amphibious Air Traffic Control Direct Altitude and Identity Readout (AATC-DAIR)",JB_RC,"ALT")</f>
        <v/>
      </c>
      <c r="C132" s="48">
        <f>SUMIFS(JB_26BV,JB_B,1,JB_EX,"P-8a",JB_CC,"Electronics",JB_H,"FFG",JB_CE,"Amphibious Air Traffic Control Direct Altitude and Identity Readout (AATC-DAIR)",JB_RC,"ALT")</f>
        <v/>
      </c>
      <c r="D132" s="48">
        <f>SUMIFS(JB_26BV,JB_B,1,JB_EX,"P-8a",JB_CC,"Electronics",JB_H,"LPD",JB_CE,"Amphibious Air Traffic Control Direct Altitude and Identity Readout (AATC-DAIR)",JB_RC,"ALT")</f>
        <v/>
      </c>
      <c r="E132" s="48">
        <f>SUMIFS(JB_26BV,JB_B,1,JB_EX,"P-8a",JB_CC,"Electronics",JB_H,"LHA",JB_CE,"Amphibious Air Traffic Control Direct Altitude and Identity Readout (AATC-DAIR)",JB_RC,"ALT")</f>
        <v/>
      </c>
      <c r="F132" s="48">
        <f>SUMIFS(JB_26BV,JB_B,1,JB_EX,"P-8a",JB_CC,"Electronics",JB_H,"T-AGOS",JB_CE,"Amphibious Air Traffic Control Direct Altitude and Identity Readout (AATC-DAIR)",JB_RC,"ALT")</f>
        <v/>
      </c>
      <c r="G132" s="48">
        <f>SUMIFS(JB_26BV,JB_B,1,JB_EX,"P-8a",JB_CC,"Electronics",JB_H,"T-AO",JB_CE,"Amphibious Air Traffic Control Direct Altitude and Identity Readout (AATC-DAIR)",JB_RC,"ALT")</f>
        <v/>
      </c>
      <c r="H132" s="48">
        <f>SUMIFS(JB_26BV,JB_B,1,JB_EX,"P-8a",JB_CC,"Electronics",JB_H,"T-ATS",JB_CE,"Amphibious Air Traffic Control Direct Altitude and Identity Readout (AATC-DAIR)",JB_RC,"ALT")</f>
        <v/>
      </c>
      <c r="I132" s="47">
        <f>SUM(B132:H132)</f>
        <v/>
      </c>
    </row>
    <row r="133" ht="10" customHeight="1">
      <c r="A133" s="46" t="inlineStr">
        <is>
          <t xml:space="preserve">    IWS CSI</t>
        </is>
      </c>
      <c r="B133" s="47">
        <f>SUMIFS(JB_26BV,JB_B,1,JB_EX,"P-8a",JB_CC,"Electronics",JB_H,"DDG",JB_CE,"IWS CSI",JB_RC,"ALT")</f>
        <v/>
      </c>
      <c r="C133" s="48">
        <f>SUMIFS(JB_26BV,JB_B,1,JB_EX,"P-8a",JB_CC,"Electronics",JB_H,"FFG",JB_CE,"IWS CSI",JB_RC,"ALT")</f>
        <v/>
      </c>
      <c r="D133" s="48">
        <f>SUMIFS(JB_26BV,JB_B,1,JB_EX,"P-8a",JB_CC,"Electronics",JB_H,"LPD",JB_CE,"IWS CSI",JB_RC,"ALT")</f>
        <v/>
      </c>
      <c r="E133" s="48">
        <f>SUMIFS(JB_26BV,JB_B,1,JB_EX,"P-8a",JB_CC,"Electronics",JB_H,"LHA",JB_CE,"IWS CSI",JB_RC,"ALT")</f>
        <v/>
      </c>
      <c r="F133" s="48">
        <f>SUMIFS(JB_26BV,JB_B,1,JB_EX,"P-8a",JB_CC,"Electronics",JB_H,"T-AGOS",JB_CE,"IWS CSI",JB_RC,"ALT")</f>
        <v/>
      </c>
      <c r="G133" s="48">
        <f>SUMIFS(JB_26BV,JB_B,1,JB_EX,"P-8a",JB_CC,"Electronics",JB_H,"T-AO",JB_CE,"IWS CSI",JB_RC,"ALT")</f>
        <v/>
      </c>
      <c r="H133" s="48">
        <f>SUMIFS(JB_26BV,JB_B,1,JB_EX,"P-8a",JB_CC,"Electronics",JB_H,"T-ATS",JB_CE,"IWS CSI",JB_RC,"ALT")</f>
        <v/>
      </c>
      <c r="I133" s="47">
        <f>SUM(B133:H133)</f>
        <v/>
      </c>
    </row>
    <row r="134" ht="10" customHeight="1">
      <c r="A134" s="46" t="inlineStr">
        <is>
          <t xml:space="preserve">    Digital Modular Radio (DMR)</t>
        </is>
      </c>
      <c r="B134" s="47">
        <f>SUMIFS(JB_26BV,JB_B,1,JB_EX,"P-8a",JB_CC,"Electronics",JB_H,"DDG",JB_CE,"Digital Modular Radio (DMR)",JB_RC,"ALT")</f>
        <v/>
      </c>
      <c r="C134" s="48">
        <f>SUMIFS(JB_26BV,JB_B,1,JB_EX,"P-8a",JB_CC,"Electronics",JB_H,"FFG",JB_CE,"Digital Modular Radio (DMR)",JB_RC,"ALT")</f>
        <v/>
      </c>
      <c r="D134" s="48">
        <f>SUMIFS(JB_26BV,JB_B,1,JB_EX,"P-8a",JB_CC,"Electronics",JB_H,"LPD",JB_CE,"Digital Modular Radio (DMR)",JB_RC,"ALT")</f>
        <v/>
      </c>
      <c r="E134" s="48">
        <f>SUMIFS(JB_26BV,JB_B,1,JB_EX,"P-8a",JB_CC,"Electronics",JB_H,"LHA",JB_CE,"Digital Modular Radio (DMR)",JB_RC,"ALT")</f>
        <v/>
      </c>
      <c r="F134" s="48">
        <f>SUMIFS(JB_26BV,JB_B,1,JB_EX,"P-8a",JB_CC,"Electronics",JB_H,"T-AGOS",JB_CE,"Digital Modular Radio (DMR)",JB_RC,"ALT")</f>
        <v/>
      </c>
      <c r="G134" s="48">
        <f>SUMIFS(JB_26BV,JB_B,1,JB_EX,"P-8a",JB_CC,"Electronics",JB_H,"T-AO",JB_CE,"Digital Modular Radio (DMR)",JB_RC,"ALT")</f>
        <v/>
      </c>
      <c r="H134" s="48">
        <f>SUMIFS(JB_26BV,JB_B,1,JB_EX,"P-8a",JB_CC,"Electronics",JB_H,"T-ATS",JB_CE,"Digital Modular Radio (DMR)",JB_RC,"ALT")</f>
        <v/>
      </c>
      <c r="I134" s="47">
        <f>SUM(B134:H134)</f>
        <v/>
      </c>
    </row>
    <row r="135" ht="10" customHeight="1">
      <c r="A135" s="46" t="inlineStr">
        <is>
          <t xml:space="preserve">    Aircraft Approach Control Transmitting Set (AACTS) AN/SPN-41B</t>
        </is>
      </c>
      <c r="B135" s="47">
        <f>SUMIFS(JB_26BV,JB_B,1,JB_EX,"P-8a",JB_CC,"Electronics",JB_H,"DDG",JB_CE,"Aircraft Approach Control Transmitting Set (AACTS) AN/SPN-41B",JB_RC,"ALT")</f>
        <v/>
      </c>
      <c r="C135" s="48">
        <f>SUMIFS(JB_26BV,JB_B,1,JB_EX,"P-8a",JB_CC,"Electronics",JB_H,"FFG",JB_CE,"Aircraft Approach Control Transmitting Set (AACTS) AN/SPN-41B",JB_RC,"ALT")</f>
        <v/>
      </c>
      <c r="D135" s="48">
        <f>SUMIFS(JB_26BV,JB_B,1,JB_EX,"P-8a",JB_CC,"Electronics",JB_H,"LPD",JB_CE,"Aircraft Approach Control Transmitting Set (AACTS) AN/SPN-41B",JB_RC,"ALT")</f>
        <v/>
      </c>
      <c r="E135" s="48">
        <f>SUMIFS(JB_26BV,JB_B,1,JB_EX,"P-8a",JB_CC,"Electronics",JB_H,"LHA",JB_CE,"Aircraft Approach Control Transmitting Set (AACTS) AN/SPN-41B",JB_RC,"ALT")</f>
        <v/>
      </c>
      <c r="F135" s="48">
        <f>SUMIFS(JB_26BV,JB_B,1,JB_EX,"P-8a",JB_CC,"Electronics",JB_H,"T-AGOS",JB_CE,"Aircraft Approach Control Transmitting Set (AACTS) AN/SPN-41B",JB_RC,"ALT")</f>
        <v/>
      </c>
      <c r="G135" s="48">
        <f>SUMIFS(JB_26BV,JB_B,1,JB_EX,"P-8a",JB_CC,"Electronics",JB_H,"T-AO",JB_CE,"Aircraft Approach Control Transmitting Set (AACTS) AN/SPN-41B",JB_RC,"ALT")</f>
        <v/>
      </c>
      <c r="H135" s="48">
        <f>SUMIFS(JB_26BV,JB_B,1,JB_EX,"P-8a",JB_CC,"Electronics",JB_H,"T-ATS",JB_CE,"Aircraft Approach Control Transmitting Set (AACTS) AN/SPN-41B",JB_RC,"ALT")</f>
        <v/>
      </c>
      <c r="I135" s="47">
        <f>SUM(B135:H135)</f>
        <v/>
      </c>
    </row>
    <row r="136" ht="10" customHeight="1">
      <c r="A136" s="46" t="inlineStr">
        <is>
          <t xml:space="preserve">    AN/WSN-7(RLGN)</t>
        </is>
      </c>
      <c r="B136" s="47">
        <f>SUMIFS(JB_26BV,JB_B,1,JB_EX,"P-8a",JB_CC,"Electronics",JB_H,"DDG",JB_CE,"AN/WSN-7(RLGN)",JB_RC,"ALT")</f>
        <v/>
      </c>
      <c r="C136" s="48">
        <f>SUMIFS(JB_26BV,JB_B,1,JB_EX,"P-8a",JB_CC,"Electronics",JB_H,"FFG",JB_CE,"AN/WSN-7(RLGN)",JB_RC,"ALT")</f>
        <v/>
      </c>
      <c r="D136" s="48">
        <f>SUMIFS(JB_26BV,JB_B,1,JB_EX,"P-8a",JB_CC,"Electronics",JB_H,"LPD",JB_CE,"AN/WSN-7(RLGN)",JB_RC,"ALT")</f>
        <v/>
      </c>
      <c r="E136" s="48">
        <f>SUMIFS(JB_26BV,JB_B,1,JB_EX,"P-8a",JB_CC,"Electronics",JB_H,"LHA",JB_CE,"AN/WSN-7(RLGN)",JB_RC,"ALT")</f>
        <v/>
      </c>
      <c r="F136" s="48">
        <f>SUMIFS(JB_26BV,JB_B,1,JB_EX,"P-8a",JB_CC,"Electronics",JB_H,"T-AGOS",JB_CE,"AN/WSN-7(RLGN)",JB_RC,"ALT")</f>
        <v/>
      </c>
      <c r="G136" s="48">
        <f>SUMIFS(JB_26BV,JB_B,1,JB_EX,"P-8a",JB_CC,"Electronics",JB_H,"T-AO",JB_CE,"AN/WSN-7(RLGN)",JB_RC,"ALT")</f>
        <v/>
      </c>
      <c r="H136" s="48">
        <f>SUMIFS(JB_26BV,JB_B,1,JB_EX,"P-8a",JB_CC,"Electronics",JB_H,"T-ATS",JB_CE,"AN/WSN-7(RLGN)",JB_RC,"ALT")</f>
        <v/>
      </c>
      <c r="I136" s="47">
        <f>SUM(B136:H136)</f>
        <v/>
      </c>
    </row>
    <row r="137" ht="10" customHeight="1">
      <c r="A137" s="46" t="inlineStr">
        <is>
          <t xml:space="preserve">    Commercial Broadband Satellite Program (CBSP)</t>
        </is>
      </c>
      <c r="B137" s="47">
        <f>SUMIFS(JB_26BV,JB_B,1,JB_EX,"P-8a",JB_CC,"Electronics",JB_H,"DDG",JB_CE,"Commercial Broadband Satellite Program (CBSP)",JB_RC,"ALT")</f>
        <v/>
      </c>
      <c r="C137" s="48">
        <f>SUMIFS(JB_26BV,JB_B,1,JB_EX,"P-8a",JB_CC,"Electronics",JB_H,"FFG",JB_CE,"Commercial Broadband Satellite Program (CBSP)",JB_RC,"ALT")</f>
        <v/>
      </c>
      <c r="D137" s="48">
        <f>SUMIFS(JB_26BV,JB_B,1,JB_EX,"P-8a",JB_CC,"Electronics",JB_H,"LPD",JB_CE,"Commercial Broadband Satellite Program (CBSP)",JB_RC,"ALT")</f>
        <v/>
      </c>
      <c r="E137" s="48">
        <f>SUMIFS(JB_26BV,JB_B,1,JB_EX,"P-8a",JB_CC,"Electronics",JB_H,"LHA",JB_CE,"Commercial Broadband Satellite Program (CBSP)",JB_RC,"ALT")</f>
        <v/>
      </c>
      <c r="F137" s="48">
        <f>SUMIFS(JB_26BV,JB_B,1,JB_EX,"P-8a",JB_CC,"Electronics",JB_H,"T-AGOS",JB_CE,"Commercial Broadband Satellite Program (CBSP)",JB_RC,"ALT")</f>
        <v/>
      </c>
      <c r="G137" s="48">
        <f>SUMIFS(JB_26BV,JB_B,1,JB_EX,"P-8a",JB_CC,"Electronics",JB_H,"T-AO",JB_CE,"Commercial Broadband Satellite Program (CBSP)",JB_RC,"ALT")</f>
        <v/>
      </c>
      <c r="H137" s="48">
        <f>SUMIFS(JB_26BV,JB_B,1,JB_EX,"P-8a",JB_CC,"Electronics",JB_H,"T-ATS",JB_CE,"Commercial Broadband Satellite Program (CBSP)",JB_RC,"ALT")</f>
        <v/>
      </c>
      <c r="I137" s="47">
        <f>SUM(B137:H137)</f>
        <v/>
      </c>
    </row>
    <row r="138" ht="10" customHeight="1">
      <c r="A138" s="46" t="inlineStr">
        <is>
          <t xml:space="preserve">    HM&amp;E Condition System (HMECS)</t>
        </is>
      </c>
      <c r="B138" s="47">
        <f>SUMIFS(JB_26BV,JB_B,1,JB_EX,"P-8a",JB_CC,"Electronics",JB_H,"DDG",JB_CE,"HM&amp;E Condition System (HMECS)",JB_RC,"ALT")</f>
        <v/>
      </c>
      <c r="C138" s="48">
        <f>SUMIFS(JB_26BV,JB_B,1,JB_EX,"P-8a",JB_CC,"Electronics",JB_H,"FFG",JB_CE,"HM&amp;E Condition System (HMECS)",JB_RC,"ALT")</f>
        <v/>
      </c>
      <c r="D138" s="48">
        <f>SUMIFS(JB_26BV,JB_B,1,JB_EX,"P-8a",JB_CC,"Electronics",JB_H,"LPD",JB_CE,"HM&amp;E Condition System (HMECS)",JB_RC,"ALT")</f>
        <v/>
      </c>
      <c r="E138" s="48">
        <f>SUMIFS(JB_26BV,JB_B,1,JB_EX,"P-8a",JB_CC,"Electronics",JB_H,"LHA",JB_CE,"HM&amp;E Condition System (HMECS)",JB_RC,"ALT")</f>
        <v/>
      </c>
      <c r="F138" s="48">
        <f>SUMIFS(JB_26BV,JB_B,1,JB_EX,"P-8a",JB_CC,"Electronics",JB_H,"T-AGOS",JB_CE,"HM&amp;E Condition System (HMECS)",JB_RC,"ALT")</f>
        <v/>
      </c>
      <c r="G138" s="48">
        <f>SUMIFS(JB_26BV,JB_B,1,JB_EX,"P-8a",JB_CC,"Electronics",JB_H,"T-AO",JB_CE,"HM&amp;E Condition System (HMECS)",JB_RC,"ALT")</f>
        <v/>
      </c>
      <c r="H138" s="48">
        <f>SUMIFS(JB_26BV,JB_B,1,JB_EX,"P-8a",JB_CC,"Electronics",JB_H,"T-ATS",JB_CE,"HM&amp;E Condition System (HMECS)",JB_RC,"ALT")</f>
        <v/>
      </c>
      <c r="I138" s="47">
        <f>SUM(B138:H138)</f>
        <v/>
      </c>
    </row>
    <row r="139" ht="10" customHeight="1">
      <c r="A139" s="46" t="inlineStr">
        <is>
          <t xml:space="preserve">    Announcing Systems AN/SIA-127H</t>
        </is>
      </c>
      <c r="B139" s="47">
        <f>SUMIFS(JB_26BV,JB_B,1,JB_EX,"P-8a",JB_CC,"Electronics",JB_H,"DDG",JB_CE,"Announcing Systems AN/SIA-127H",JB_RC,"ALT")</f>
        <v/>
      </c>
      <c r="C139" s="48">
        <f>SUMIFS(JB_26BV,JB_B,1,JB_EX,"P-8a",JB_CC,"Electronics",JB_H,"FFG",JB_CE,"Announcing Systems AN/SIA-127H",JB_RC,"ALT")</f>
        <v/>
      </c>
      <c r="D139" s="48">
        <f>SUMIFS(JB_26BV,JB_B,1,JB_EX,"P-8a",JB_CC,"Electronics",JB_H,"LPD",JB_CE,"Announcing Systems AN/SIA-127H",JB_RC,"ALT")</f>
        <v/>
      </c>
      <c r="E139" s="48">
        <f>SUMIFS(JB_26BV,JB_B,1,JB_EX,"P-8a",JB_CC,"Electronics",JB_H,"LHA",JB_CE,"Announcing Systems AN/SIA-127H",JB_RC,"ALT")</f>
        <v/>
      </c>
      <c r="F139" s="48">
        <f>SUMIFS(JB_26BV,JB_B,1,JB_EX,"P-8a",JB_CC,"Electronics",JB_H,"T-AGOS",JB_CE,"Announcing Systems AN/SIA-127H",JB_RC,"ALT")</f>
        <v/>
      </c>
      <c r="G139" s="48">
        <f>SUMIFS(JB_26BV,JB_B,1,JB_EX,"P-8a",JB_CC,"Electronics",JB_H,"T-AO",JB_CE,"Announcing Systems AN/SIA-127H",JB_RC,"ALT")</f>
        <v/>
      </c>
      <c r="H139" s="48">
        <f>SUMIFS(JB_26BV,JB_B,1,JB_EX,"P-8a",JB_CC,"Electronics",JB_H,"T-ATS",JB_CE,"Announcing Systems AN/SIA-127H",JB_RC,"ALT")</f>
        <v/>
      </c>
      <c r="I139" s="47">
        <f>SUM(B139:H139)</f>
        <v/>
      </c>
    </row>
    <row r="140" ht="10" customHeight="1">
      <c r="A140" s="46" t="inlineStr">
        <is>
          <t xml:space="preserve">    Amphibious Assault Direction System (AADS)</t>
        </is>
      </c>
      <c r="B140" s="47">
        <f>SUMIFS(JB_26BV,JB_B,1,JB_EX,"P-8a",JB_CC,"Electronics",JB_H,"DDG",JB_CE,"Amphibious Assault Direction System (AADS)",JB_RC,"ALT")</f>
        <v/>
      </c>
      <c r="C140" s="48">
        <f>SUMIFS(JB_26BV,JB_B,1,JB_EX,"P-8a",JB_CC,"Electronics",JB_H,"FFG",JB_CE,"Amphibious Assault Direction System (AADS)",JB_RC,"ALT")</f>
        <v/>
      </c>
      <c r="D140" s="48">
        <f>SUMIFS(JB_26BV,JB_B,1,JB_EX,"P-8a",JB_CC,"Electronics",JB_H,"LPD",JB_CE,"Amphibious Assault Direction System (AADS)",JB_RC,"ALT")</f>
        <v/>
      </c>
      <c r="E140" s="48">
        <f>SUMIFS(JB_26BV,JB_B,1,JB_EX,"P-8a",JB_CC,"Electronics",JB_H,"LHA",JB_CE,"Amphibious Assault Direction System (AADS)",JB_RC,"ALT")</f>
        <v/>
      </c>
      <c r="F140" s="48">
        <f>SUMIFS(JB_26BV,JB_B,1,JB_EX,"P-8a",JB_CC,"Electronics",JB_H,"T-AGOS",JB_CE,"Amphibious Assault Direction System (AADS)",JB_RC,"ALT")</f>
        <v/>
      </c>
      <c r="G140" s="48">
        <f>SUMIFS(JB_26BV,JB_B,1,JB_EX,"P-8a",JB_CC,"Electronics",JB_H,"T-AO",JB_CE,"Amphibious Assault Direction System (AADS)",JB_RC,"ALT")</f>
        <v/>
      </c>
      <c r="H140" s="48">
        <f>SUMIFS(JB_26BV,JB_B,1,JB_EX,"P-8a",JB_CC,"Electronics",JB_H,"T-ATS",JB_CE,"Amphibious Assault Direction System (AADS)",JB_RC,"ALT")</f>
        <v/>
      </c>
      <c r="I140" s="47">
        <f>SUM(B140:H140)</f>
        <v/>
      </c>
    </row>
    <row r="141" ht="10" customHeight="1">
      <c r="A141" s="46" t="inlineStr">
        <is>
          <t xml:space="preserve">    SATCC</t>
        </is>
      </c>
      <c r="B141" s="47">
        <f>SUMIFS(JB_26BV,JB_B,1,JB_EX,"P-8a",JB_CC,"Electronics",JB_H,"DDG",JB_CE,"SATCC",JB_RC,"ALT")</f>
        <v/>
      </c>
      <c r="C141" s="48">
        <f>SUMIFS(JB_26BV,JB_B,1,JB_EX,"P-8a",JB_CC,"Electronics",JB_H,"FFG",JB_CE,"SATCC",JB_RC,"ALT")</f>
        <v/>
      </c>
      <c r="D141" s="48">
        <f>SUMIFS(JB_26BV,JB_B,1,JB_EX,"P-8a",JB_CC,"Electronics",JB_H,"LPD",JB_CE,"SATCC",JB_RC,"ALT")</f>
        <v/>
      </c>
      <c r="E141" s="48">
        <f>SUMIFS(JB_26BV,JB_B,1,JB_EX,"P-8a",JB_CC,"Electronics",JB_H,"LHA",JB_CE,"SATCC",JB_RC,"ALT")</f>
        <v/>
      </c>
      <c r="F141" s="48">
        <f>SUMIFS(JB_26BV,JB_B,1,JB_EX,"P-8a",JB_CC,"Electronics",JB_H,"T-AGOS",JB_CE,"SATCC",JB_RC,"ALT")</f>
        <v/>
      </c>
      <c r="G141" s="48">
        <f>SUMIFS(JB_26BV,JB_B,1,JB_EX,"P-8a",JB_CC,"Electronics",JB_H,"T-AO",JB_CE,"SATCC",JB_RC,"ALT")</f>
        <v/>
      </c>
      <c r="H141" s="48">
        <f>SUMIFS(JB_26BV,JB_B,1,JB_EX,"P-8a",JB_CC,"Electronics",JB_H,"T-ATS",JB_CE,"SATCC",JB_RC,"ALT")</f>
        <v/>
      </c>
      <c r="I141" s="47">
        <f>SUM(B141:H141)</f>
        <v/>
      </c>
    </row>
    <row r="142" ht="10" customHeight="1">
      <c r="A142" s="46" t="inlineStr">
        <is>
          <t xml:space="preserve">    Electronic Charting Display and Information Systems-Navy (ECDIS-N)</t>
        </is>
      </c>
      <c r="B142" s="47">
        <f>SUMIFS(JB_26BV,JB_B,1,JB_EX,"P-8a",JB_CC,"Electronics",JB_H,"DDG",JB_CE,"Electronic Charting Display and Information Systems-Navy (ECDIS-N)",JB_RC,"ALT")</f>
        <v/>
      </c>
      <c r="C142" s="48">
        <f>SUMIFS(JB_26BV,JB_B,1,JB_EX,"P-8a",JB_CC,"Electronics",JB_H,"FFG",JB_CE,"Electronic Charting Display and Information Systems-Navy (ECDIS-N)",JB_RC,"ALT")</f>
        <v/>
      </c>
      <c r="D142" s="48">
        <f>SUMIFS(JB_26BV,JB_B,1,JB_EX,"P-8a",JB_CC,"Electronics",JB_H,"LPD",JB_CE,"Electronic Charting Display and Information Systems-Navy (ECDIS-N)",JB_RC,"ALT")</f>
        <v/>
      </c>
      <c r="E142" s="48">
        <f>SUMIFS(JB_26BV,JB_B,1,JB_EX,"P-8a",JB_CC,"Electronics",JB_H,"LHA",JB_CE,"Electronic Charting Display and Information Systems-Navy (ECDIS-N)",JB_RC,"ALT")</f>
        <v/>
      </c>
      <c r="F142" s="48">
        <f>SUMIFS(JB_26BV,JB_B,1,JB_EX,"P-8a",JB_CC,"Electronics",JB_H,"T-AGOS",JB_CE,"Electronic Charting Display and Information Systems-Navy (ECDIS-N)",JB_RC,"ALT")</f>
        <v/>
      </c>
      <c r="G142" s="48">
        <f>SUMIFS(JB_26BV,JB_B,1,JB_EX,"P-8a",JB_CC,"Electronics",JB_H,"T-AO",JB_CE,"Electronic Charting Display and Information Systems-Navy (ECDIS-N)",JB_RC,"ALT")</f>
        <v/>
      </c>
      <c r="H142" s="48">
        <f>SUMIFS(JB_26BV,JB_B,1,JB_EX,"P-8a",JB_CC,"Electronics",JB_H,"T-ATS",JB_CE,"Electronic Charting Display and Information Systems-Navy (ECDIS-N)",JB_RC,"ALT")</f>
        <v/>
      </c>
      <c r="I142" s="47">
        <f>SUM(B142:H142)</f>
        <v/>
      </c>
    </row>
    <row r="143" ht="10" customHeight="1">
      <c r="A143" s="46" t="inlineStr">
        <is>
          <t xml:space="preserve">    OA-9277A</t>
        </is>
      </c>
      <c r="B143" s="47">
        <f>SUMIFS(JB_26BV,JB_B,1,JB_EX,"P-8a",JB_CC,"Electronics",JB_H,"DDG",JB_CE,"OA-9277A",JB_RC,"ALT")</f>
        <v/>
      </c>
      <c r="C143" s="48">
        <f>SUMIFS(JB_26BV,JB_B,1,JB_EX,"P-8a",JB_CC,"Electronics",JB_H,"FFG",JB_CE,"OA-9277A",JB_RC,"ALT")</f>
        <v/>
      </c>
      <c r="D143" s="48">
        <f>SUMIFS(JB_26BV,JB_B,1,JB_EX,"P-8a",JB_CC,"Electronics",JB_H,"LPD",JB_CE,"OA-9277A",JB_RC,"ALT")</f>
        <v/>
      </c>
      <c r="E143" s="48">
        <f>SUMIFS(JB_26BV,JB_B,1,JB_EX,"P-8a",JB_CC,"Electronics",JB_H,"LHA",JB_CE,"OA-9277A",JB_RC,"ALT")</f>
        <v/>
      </c>
      <c r="F143" s="48">
        <f>SUMIFS(JB_26BV,JB_B,1,JB_EX,"P-8a",JB_CC,"Electronics",JB_H,"T-AGOS",JB_CE,"OA-9277A",JB_RC,"ALT")</f>
        <v/>
      </c>
      <c r="G143" s="48">
        <f>SUMIFS(JB_26BV,JB_B,1,JB_EX,"P-8a",JB_CC,"Electronics",JB_H,"T-AO",JB_CE,"OA-9277A",JB_RC,"ALT")</f>
        <v/>
      </c>
      <c r="H143" s="48">
        <f>SUMIFS(JB_26BV,JB_B,1,JB_EX,"P-8a",JB_CC,"Electronics",JB_H,"T-ATS",JB_CE,"OA-9277A",JB_RC,"ALT")</f>
        <v/>
      </c>
      <c r="I143" s="47">
        <f>SUM(B143:H143)</f>
        <v/>
      </c>
    </row>
    <row r="144" ht="10" customHeight="1">
      <c r="A144" s="46" t="inlineStr">
        <is>
          <t xml:space="preserve">    Nulka Decoy Launching System (DLS)</t>
        </is>
      </c>
      <c r="B144" s="47">
        <f>SUMIFS(JB_26BV,JB_B,1,JB_EX,"P-8a",JB_CC,"Electronics",JB_H,"DDG",JB_CE,"Nulka Decoy Launching System (DLS)",JB_RC,"ALT")</f>
        <v/>
      </c>
      <c r="C144" s="48">
        <f>SUMIFS(JB_26BV,JB_B,1,JB_EX,"P-8a",JB_CC,"Electronics",JB_H,"FFG",JB_CE,"Nulka Decoy Launching System (DLS)",JB_RC,"ALT")</f>
        <v/>
      </c>
      <c r="D144" s="48">
        <f>SUMIFS(JB_26BV,JB_B,1,JB_EX,"P-8a",JB_CC,"Electronics",JB_H,"LPD",JB_CE,"Nulka Decoy Launching System (DLS)",JB_RC,"ALT")</f>
        <v/>
      </c>
      <c r="E144" s="48">
        <f>SUMIFS(JB_26BV,JB_B,1,JB_EX,"P-8a",JB_CC,"Electronics",JB_H,"LHA",JB_CE,"Nulka Decoy Launching System (DLS)",JB_RC,"ALT")</f>
        <v/>
      </c>
      <c r="F144" s="48">
        <f>SUMIFS(JB_26BV,JB_B,1,JB_EX,"P-8a",JB_CC,"Electronics",JB_H,"T-AGOS",JB_CE,"Nulka Decoy Launching System (DLS)",JB_RC,"ALT")</f>
        <v/>
      </c>
      <c r="G144" s="48">
        <f>SUMIFS(JB_26BV,JB_B,1,JB_EX,"P-8a",JB_CC,"Electronics",JB_H,"T-AO",JB_CE,"Nulka Decoy Launching System (DLS)",JB_RC,"ALT")</f>
        <v/>
      </c>
      <c r="H144" s="48">
        <f>SUMIFS(JB_26BV,JB_B,1,JB_EX,"P-8a",JB_CC,"Electronics",JB_H,"T-ATS",JB_CE,"Nulka Decoy Launching System (DLS)",JB_RC,"ALT")</f>
        <v/>
      </c>
      <c r="I144" s="47">
        <f>SUM(B144:H144)</f>
        <v/>
      </c>
    </row>
    <row r="145" ht="10" customHeight="1">
      <c r="A145" s="46" t="inlineStr">
        <is>
          <t xml:space="preserve">    Battle Force Tactical Network (BFTN)/BFTN Resilient Command and Control System Enhancement (BRSE)</t>
        </is>
      </c>
      <c r="B145" s="47">
        <f>SUMIFS(JB_26BV,JB_B,1,JB_EX,"P-8a",JB_CC,"Electronics",JB_H,"DDG",JB_CE,"Battle Force Tactical Network (BFTN)/BFTN Resilient Command and Control System Enhancement (BRSE)",JB_RC,"ALT")</f>
        <v/>
      </c>
      <c r="C145" s="48">
        <f>SUMIFS(JB_26BV,JB_B,1,JB_EX,"P-8a",JB_CC,"Electronics",JB_H,"FFG",JB_CE,"Battle Force Tactical Network (BFTN)/BFTN Resilient Command and Control System Enhancement (BRSE)",JB_RC,"ALT")</f>
        <v/>
      </c>
      <c r="D145" s="48">
        <f>SUMIFS(JB_26BV,JB_B,1,JB_EX,"P-8a",JB_CC,"Electronics",JB_H,"LPD",JB_CE,"Battle Force Tactical Network (BFTN)/BFTN Resilient Command and Control System Enhancement (BRSE)",JB_RC,"ALT")</f>
        <v/>
      </c>
      <c r="E145" s="48">
        <f>SUMIFS(JB_26BV,JB_B,1,JB_EX,"P-8a",JB_CC,"Electronics",JB_H,"LHA",JB_CE,"Battle Force Tactical Network (BFTN)/BFTN Resilient Command and Control System Enhancement (BRSE)",JB_RC,"ALT")</f>
        <v/>
      </c>
      <c r="F145" s="48">
        <f>SUMIFS(JB_26BV,JB_B,1,JB_EX,"P-8a",JB_CC,"Electronics",JB_H,"T-AGOS",JB_CE,"Battle Force Tactical Network (BFTN)/BFTN Resilient Command and Control System Enhancement (BRSE)",JB_RC,"ALT")</f>
        <v/>
      </c>
      <c r="G145" s="48">
        <f>SUMIFS(JB_26BV,JB_B,1,JB_EX,"P-8a",JB_CC,"Electronics",JB_H,"T-AO",JB_CE,"Battle Force Tactical Network (BFTN)/BFTN Resilient Command and Control System Enhancement (BRSE)",JB_RC,"ALT")</f>
        <v/>
      </c>
      <c r="H145" s="48">
        <f>SUMIFS(JB_26BV,JB_B,1,JB_EX,"P-8a",JB_CC,"Electronics",JB_H,"T-ATS",JB_CE,"Battle Force Tactical Network (BFTN)/BFTN Resilient Command and Control System Enhancement (BRSE)",JB_RC,"ALT")</f>
        <v/>
      </c>
      <c r="I145" s="47">
        <f>SUM(B145:H145)</f>
        <v/>
      </c>
    </row>
    <row r="146" ht="10" customHeight="1">
      <c r="A146" s="46" t="inlineStr">
        <is>
          <t xml:space="preserve">    AN/USQ-155 Tactical Variant Switch (TVS)</t>
        </is>
      </c>
      <c r="B146" s="47">
        <f>SUMIFS(JB_26BV,JB_B,1,JB_EX,"P-8a",JB_CC,"Electronics",JB_H,"DDG",JB_CE,"AN/USQ-155 Tactical Variant Switch (TVS)",JB_RC,"ALT")</f>
        <v/>
      </c>
      <c r="C146" s="48">
        <f>SUMIFS(JB_26BV,JB_B,1,JB_EX,"P-8a",JB_CC,"Electronics",JB_H,"FFG",JB_CE,"AN/USQ-155 Tactical Variant Switch (TVS)",JB_RC,"ALT")</f>
        <v/>
      </c>
      <c r="D146" s="48">
        <f>SUMIFS(JB_26BV,JB_B,1,JB_EX,"P-8a",JB_CC,"Electronics",JB_H,"LPD",JB_CE,"AN/USQ-155 Tactical Variant Switch (TVS)",JB_RC,"ALT")</f>
        <v/>
      </c>
      <c r="E146" s="48">
        <f>SUMIFS(JB_26BV,JB_B,1,JB_EX,"P-8a",JB_CC,"Electronics",JB_H,"LHA",JB_CE,"AN/USQ-155 Tactical Variant Switch (TVS)",JB_RC,"ALT")</f>
        <v/>
      </c>
      <c r="F146" s="48">
        <f>SUMIFS(JB_26BV,JB_B,1,JB_EX,"P-8a",JB_CC,"Electronics",JB_H,"T-AGOS",JB_CE,"AN/USQ-155 Tactical Variant Switch (TVS)",JB_RC,"ALT")</f>
        <v/>
      </c>
      <c r="G146" s="48">
        <f>SUMIFS(JB_26BV,JB_B,1,JB_EX,"P-8a",JB_CC,"Electronics",JB_H,"T-AO",JB_CE,"AN/USQ-155 Tactical Variant Switch (TVS)",JB_RC,"ALT")</f>
        <v/>
      </c>
      <c r="H146" s="48">
        <f>SUMIFS(JB_26BV,JB_B,1,JB_EX,"P-8a",JB_CC,"Electronics",JB_H,"T-ATS",JB_CE,"AN/USQ-155 Tactical Variant Switch (TVS)",JB_RC,"ALT")</f>
        <v/>
      </c>
      <c r="I146" s="47">
        <f>SUM(B146:H146)</f>
        <v/>
      </c>
    </row>
    <row r="147" ht="10" customHeight="1">
      <c r="A147" s="46" t="inlineStr">
        <is>
          <t xml:space="preserve">    Advanced Training Domain (ATD)</t>
        </is>
      </c>
      <c r="B147" s="47">
        <f>SUMIFS(JB_26BV,JB_B,1,JB_EX,"P-8a",JB_CC,"Electronics",JB_H,"DDG",JB_CE,"Advanced Training Domain (ATD)",JB_RC,"ALT")</f>
        <v/>
      </c>
      <c r="C147" s="48">
        <f>SUMIFS(JB_26BV,JB_B,1,JB_EX,"P-8a",JB_CC,"Electronics",JB_H,"FFG",JB_CE,"Advanced Training Domain (ATD)",JB_RC,"ALT")</f>
        <v/>
      </c>
      <c r="D147" s="48">
        <f>SUMIFS(JB_26BV,JB_B,1,JB_EX,"P-8a",JB_CC,"Electronics",JB_H,"LPD",JB_CE,"Advanced Training Domain (ATD)",JB_RC,"ALT")</f>
        <v/>
      </c>
      <c r="E147" s="48">
        <f>SUMIFS(JB_26BV,JB_B,1,JB_EX,"P-8a",JB_CC,"Electronics",JB_H,"LHA",JB_CE,"Advanced Training Domain (ATD)",JB_RC,"ALT")</f>
        <v/>
      </c>
      <c r="F147" s="48">
        <f>SUMIFS(JB_26BV,JB_B,1,JB_EX,"P-8a",JB_CC,"Electronics",JB_H,"T-AGOS",JB_CE,"Advanced Training Domain (ATD)",JB_RC,"ALT")</f>
        <v/>
      </c>
      <c r="G147" s="48">
        <f>SUMIFS(JB_26BV,JB_B,1,JB_EX,"P-8a",JB_CC,"Electronics",JB_H,"T-AO",JB_CE,"Advanced Training Domain (ATD)",JB_RC,"ALT")</f>
        <v/>
      </c>
      <c r="H147" s="48">
        <f>SUMIFS(JB_26BV,JB_B,1,JB_EX,"P-8a",JB_CC,"Electronics",JB_H,"T-ATS",JB_CE,"Advanced Training Domain (ATD)",JB_RC,"ALT")</f>
        <v/>
      </c>
      <c r="I147" s="47">
        <f>SUM(B147:H147)</f>
        <v/>
      </c>
    </row>
    <row r="148" ht="10" customHeight="1">
      <c r="A148" s="46" t="inlineStr">
        <is>
          <t xml:space="preserve">    30 TV</t>
        </is>
      </c>
      <c r="B148" s="47">
        <f>SUMIFS(JB_26BV,JB_B,1,JB_EX,"P-8a",JB_CC,"Electronics",JB_H,"DDG",JB_CE,"30 TV",JB_RC,"ALT")</f>
        <v/>
      </c>
      <c r="C148" s="48">
        <f>SUMIFS(JB_26BV,JB_B,1,JB_EX,"P-8a",JB_CC,"Electronics",JB_H,"FFG",JB_CE,"30 TV",JB_RC,"ALT")</f>
        <v/>
      </c>
      <c r="D148" s="48">
        <f>SUMIFS(JB_26BV,JB_B,1,JB_EX,"P-8a",JB_CC,"Electronics",JB_H,"LPD",JB_CE,"30 TV",JB_RC,"ALT")</f>
        <v/>
      </c>
      <c r="E148" s="48">
        <f>SUMIFS(JB_26BV,JB_B,1,JB_EX,"P-8a",JB_CC,"Electronics",JB_H,"LHA",JB_CE,"30 TV",JB_RC,"ALT")</f>
        <v/>
      </c>
      <c r="F148" s="48">
        <f>SUMIFS(JB_26BV,JB_B,1,JB_EX,"P-8a",JB_CC,"Electronics",JB_H,"T-AGOS",JB_CE,"30 TV",JB_RC,"ALT")</f>
        <v/>
      </c>
      <c r="G148" s="48">
        <f>SUMIFS(JB_26BV,JB_B,1,JB_EX,"P-8a",JB_CC,"Electronics",JB_H,"T-AO",JB_CE,"30 TV",JB_RC,"ALT")</f>
        <v/>
      </c>
      <c r="H148" s="48">
        <f>SUMIFS(JB_26BV,JB_B,1,JB_EX,"P-8a",JB_CC,"Electronics",JB_H,"T-ATS",JB_CE,"30 TV",JB_RC,"ALT")</f>
        <v/>
      </c>
      <c r="I148" s="47">
        <f>SUM(B148:H148)</f>
        <v/>
      </c>
    </row>
    <row r="149" ht="10" customHeight="1">
      <c r="A149" s="46" t="inlineStr">
        <is>
          <t xml:space="preserve">    MK 53 NULKA Decoy Launching System (DLS) Mod 3</t>
        </is>
      </c>
      <c r="B149" s="47">
        <f>SUMIFS(JB_26BV,JB_B,1,JB_EX,"P-8a",JB_CC,"Electronics",JB_H,"DDG",JB_CE,"MK 53 NULKA Decoy Launching System (DLS) Mod 3",JB_RC,"ALT")</f>
        <v/>
      </c>
      <c r="C149" s="48">
        <f>SUMIFS(JB_26BV,JB_B,1,JB_EX,"P-8a",JB_CC,"Electronics",JB_H,"FFG",JB_CE,"MK 53 NULKA Decoy Launching System (DLS) Mod 3",JB_RC,"ALT")</f>
        <v/>
      </c>
      <c r="D149" s="48">
        <f>SUMIFS(JB_26BV,JB_B,1,JB_EX,"P-8a",JB_CC,"Electronics",JB_H,"LPD",JB_CE,"MK 53 NULKA Decoy Launching System (DLS) Mod 3",JB_RC,"ALT")</f>
        <v/>
      </c>
      <c r="E149" s="48">
        <f>SUMIFS(JB_26BV,JB_B,1,JB_EX,"P-8a",JB_CC,"Electronics",JB_H,"LHA",JB_CE,"MK 53 NULKA Decoy Launching System (DLS) Mod 3",JB_RC,"ALT")</f>
        <v/>
      </c>
      <c r="F149" s="48">
        <f>SUMIFS(JB_26BV,JB_B,1,JB_EX,"P-8a",JB_CC,"Electronics",JB_H,"T-AGOS",JB_CE,"MK 53 NULKA Decoy Launching System (DLS) Mod 3",JB_RC,"ALT")</f>
        <v/>
      </c>
      <c r="G149" s="48">
        <f>SUMIFS(JB_26BV,JB_B,1,JB_EX,"P-8a",JB_CC,"Electronics",JB_H,"T-AO",JB_CE,"MK 53 NULKA Decoy Launching System (DLS) Mod 3",JB_RC,"ALT")</f>
        <v/>
      </c>
      <c r="H149" s="48">
        <f>SUMIFS(JB_26BV,JB_B,1,JB_EX,"P-8a",JB_CC,"Electronics",JB_H,"T-ATS",JB_CE,"MK 53 NULKA Decoy Launching System (DLS) Mod 3",JB_RC,"ALT")</f>
        <v/>
      </c>
      <c r="I149" s="47">
        <f>SUM(B149:H149)</f>
        <v/>
      </c>
    </row>
    <row r="150" ht="10" customHeight="1">
      <c r="A150" s="46" t="inlineStr">
        <is>
          <t xml:space="preserve">    Next Generation Navigational Radar</t>
        </is>
      </c>
      <c r="B150" s="47">
        <f>SUMIFS(JB_26BV,JB_B,1,JB_EX,"P-8a",JB_CC,"Electronics",JB_H,"DDG",JB_CE,"Next Generation Navigational Radar",JB_RC,"ALT")</f>
        <v/>
      </c>
      <c r="C150" s="48">
        <f>SUMIFS(JB_26BV,JB_B,1,JB_EX,"P-8a",JB_CC,"Electronics",JB_H,"FFG",JB_CE,"Next Generation Navigational Radar",JB_RC,"ALT")</f>
        <v/>
      </c>
      <c r="D150" s="48">
        <f>SUMIFS(JB_26BV,JB_B,1,JB_EX,"P-8a",JB_CC,"Electronics",JB_H,"LPD",JB_CE,"Next Generation Navigational Radar",JB_RC,"ALT")</f>
        <v/>
      </c>
      <c r="E150" s="48">
        <f>SUMIFS(JB_26BV,JB_B,1,JB_EX,"P-8a",JB_CC,"Electronics",JB_H,"LHA",JB_CE,"Next Generation Navigational Radar",JB_RC,"ALT")</f>
        <v/>
      </c>
      <c r="F150" s="48">
        <f>SUMIFS(JB_26BV,JB_B,1,JB_EX,"P-8a",JB_CC,"Electronics",JB_H,"T-AGOS",JB_CE,"Next Generation Navigational Radar",JB_RC,"ALT")</f>
        <v/>
      </c>
      <c r="G150" s="48">
        <f>SUMIFS(JB_26BV,JB_B,1,JB_EX,"P-8a",JB_CC,"Electronics",JB_H,"T-AO",JB_CE,"Next Generation Navigational Radar",JB_RC,"ALT")</f>
        <v/>
      </c>
      <c r="H150" s="48">
        <f>SUMIFS(JB_26BV,JB_B,1,JB_EX,"P-8a",JB_CC,"Electronics",JB_H,"T-ATS",JB_CE,"Next Generation Navigational Radar",JB_RC,"ALT")</f>
        <v/>
      </c>
      <c r="I150" s="47">
        <f>SUM(B150:H150)</f>
        <v/>
      </c>
    </row>
    <row r="151" ht="10" customHeight="1">
      <c r="A151" s="46" t="inlineStr">
        <is>
          <t xml:space="preserve">    AN/USQ-T46(V), Battle Force Tactical Training (BFTT)</t>
        </is>
      </c>
      <c r="B151" s="47">
        <f>SUMIFS(JB_26BV,JB_B,1,JB_EX,"P-8a",JB_CC,"Electronics",JB_H,"DDG",JB_CE,"AN/USQ-T46(V), Battle Force Tactical Training (BFTT)",JB_RC,"ALT")</f>
        <v/>
      </c>
      <c r="C151" s="48">
        <f>SUMIFS(JB_26BV,JB_B,1,JB_EX,"P-8a",JB_CC,"Electronics",JB_H,"FFG",JB_CE,"AN/USQ-T46(V), Battle Force Tactical Training (BFTT)",JB_RC,"ALT")</f>
        <v/>
      </c>
      <c r="D151" s="48">
        <f>SUMIFS(JB_26BV,JB_B,1,JB_EX,"P-8a",JB_CC,"Electronics",JB_H,"LPD",JB_CE,"AN/USQ-T46(V), Battle Force Tactical Training (BFTT)",JB_RC,"ALT")</f>
        <v/>
      </c>
      <c r="E151" s="48">
        <f>SUMIFS(JB_26BV,JB_B,1,JB_EX,"P-8a",JB_CC,"Electronics",JB_H,"LHA",JB_CE,"AN/USQ-T46(V), Battle Force Tactical Training (BFTT)",JB_RC,"ALT")</f>
        <v/>
      </c>
      <c r="F151" s="48">
        <f>SUMIFS(JB_26BV,JB_B,1,JB_EX,"P-8a",JB_CC,"Electronics",JB_H,"T-AGOS",JB_CE,"AN/USQ-T46(V), Battle Force Tactical Training (BFTT)",JB_RC,"ALT")</f>
        <v/>
      </c>
      <c r="G151" s="48">
        <f>SUMIFS(JB_26BV,JB_B,1,JB_EX,"P-8a",JB_CC,"Electronics",JB_H,"T-AO",JB_CE,"AN/USQ-T46(V), Battle Force Tactical Training (BFTT)",JB_RC,"ALT")</f>
        <v/>
      </c>
      <c r="H151" s="48">
        <f>SUMIFS(JB_26BV,JB_B,1,JB_EX,"P-8a",JB_CC,"Electronics",JB_H,"T-ATS",JB_CE,"AN/USQ-T46(V), Battle Force Tactical Training (BFTT)",JB_RC,"ALT")</f>
        <v/>
      </c>
      <c r="I151" s="47">
        <f>SUM(B151:H151)</f>
        <v/>
      </c>
    </row>
    <row r="152" ht="10" customHeight="1">
      <c r="A152" s="46" t="inlineStr">
        <is>
          <t xml:space="preserve">    COMMON ARRAY COOLING SYSTEM (CACS)</t>
        </is>
      </c>
      <c r="B152" s="47">
        <f>SUMIFS(JB_26BV,JB_B,1,JB_EX,"P-8a",JB_CC,"Electronics",JB_H,"DDG",JB_CE,"COMMON ARRAY COOLING SYSTEM (CACS)",JB_RC,"ALT")</f>
        <v/>
      </c>
      <c r="C152" s="48">
        <f>SUMIFS(JB_26BV,JB_B,1,JB_EX,"P-8a",JB_CC,"Electronics",JB_H,"FFG",JB_CE,"COMMON ARRAY COOLING SYSTEM (CACS)",JB_RC,"ALT")</f>
        <v/>
      </c>
      <c r="D152" s="48">
        <f>SUMIFS(JB_26BV,JB_B,1,JB_EX,"P-8a",JB_CC,"Electronics",JB_H,"LPD",JB_CE,"COMMON ARRAY COOLING SYSTEM (CACS)",JB_RC,"ALT")</f>
        <v/>
      </c>
      <c r="E152" s="48">
        <f>SUMIFS(JB_26BV,JB_B,1,JB_EX,"P-8a",JB_CC,"Electronics",JB_H,"LHA",JB_CE,"COMMON ARRAY COOLING SYSTEM (CACS)",JB_RC,"ALT")</f>
        <v/>
      </c>
      <c r="F152" s="48">
        <f>SUMIFS(JB_26BV,JB_B,1,JB_EX,"P-8a",JB_CC,"Electronics",JB_H,"T-AGOS",JB_CE,"COMMON ARRAY COOLING SYSTEM (CACS)",JB_RC,"ALT")</f>
        <v/>
      </c>
      <c r="G152" s="48">
        <f>SUMIFS(JB_26BV,JB_B,1,JB_EX,"P-8a",JB_CC,"Electronics",JB_H,"T-AO",JB_CE,"COMMON ARRAY COOLING SYSTEM (CACS)",JB_RC,"ALT")</f>
        <v/>
      </c>
      <c r="H152" s="48">
        <f>SUMIFS(JB_26BV,JB_B,1,JB_EX,"P-8a",JB_CC,"Electronics",JB_H,"T-ATS",JB_CE,"COMMON ARRAY COOLING SYSTEM (CACS)",JB_RC,"ALT")</f>
        <v/>
      </c>
      <c r="I152" s="47">
        <f>SUM(B152:H152)</f>
        <v/>
      </c>
    </row>
    <row r="153" ht="10" customHeight="1">
      <c r="A153" s="46" t="inlineStr">
        <is>
          <t xml:space="preserve">    Digital Photo Lab</t>
        </is>
      </c>
      <c r="B153" s="47">
        <f>SUMIFS(JB_26BV,JB_B,1,JB_EX,"P-8a",JB_CC,"Electronics",JB_H,"DDG",JB_CE,"Digital Photo Lab",JB_RC,"ALT")</f>
        <v/>
      </c>
      <c r="C153" s="48">
        <f>SUMIFS(JB_26BV,JB_B,1,JB_EX,"P-8a",JB_CC,"Electronics",JB_H,"FFG",JB_CE,"Digital Photo Lab",JB_RC,"ALT")</f>
        <v/>
      </c>
      <c r="D153" s="48">
        <f>SUMIFS(JB_26BV,JB_B,1,JB_EX,"P-8a",JB_CC,"Electronics",JB_H,"LPD",JB_CE,"Digital Photo Lab",JB_RC,"ALT")</f>
        <v/>
      </c>
      <c r="E153" s="48">
        <f>SUMIFS(JB_26BV,JB_B,1,JB_EX,"P-8a",JB_CC,"Electronics",JB_H,"LHA",JB_CE,"Digital Photo Lab",JB_RC,"ALT")</f>
        <v/>
      </c>
      <c r="F153" s="48">
        <f>SUMIFS(JB_26BV,JB_B,1,JB_EX,"P-8a",JB_CC,"Electronics",JB_H,"T-AGOS",JB_CE,"Digital Photo Lab",JB_RC,"ALT")</f>
        <v/>
      </c>
      <c r="G153" s="48">
        <f>SUMIFS(JB_26BV,JB_B,1,JB_EX,"P-8a",JB_CC,"Electronics",JB_H,"T-AO",JB_CE,"Digital Photo Lab",JB_RC,"ALT")</f>
        <v/>
      </c>
      <c r="H153" s="48">
        <f>SUMIFS(JB_26BV,JB_B,1,JB_EX,"P-8a",JB_CC,"Electronics",JB_H,"T-ATS",JB_CE,"Digital Photo Lab",JB_RC,"ALT")</f>
        <v/>
      </c>
      <c r="I153" s="47">
        <f>SUM(B153:H153)</f>
        <v/>
      </c>
    </row>
    <row r="154" ht="10" customHeight="1">
      <c r="A154" s="46" t="inlineStr">
        <is>
          <t xml:space="preserve">    Print Shop</t>
        </is>
      </c>
      <c r="B154" s="47">
        <f>SUMIFS(JB_26BV,JB_B,1,JB_EX,"P-8a",JB_CC,"Electronics",JB_H,"DDG",JB_CE,"Print Shop",JB_RC,"ALT")</f>
        <v/>
      </c>
      <c r="C154" s="48">
        <f>SUMIFS(JB_26BV,JB_B,1,JB_EX,"P-8a",JB_CC,"Electronics",JB_H,"FFG",JB_CE,"Print Shop",JB_RC,"ALT")</f>
        <v/>
      </c>
      <c r="D154" s="48">
        <f>SUMIFS(JB_26BV,JB_B,1,JB_EX,"P-8a",JB_CC,"Electronics",JB_H,"LPD",JB_CE,"Print Shop",JB_RC,"ALT")</f>
        <v/>
      </c>
      <c r="E154" s="48">
        <f>SUMIFS(JB_26BV,JB_B,1,JB_EX,"P-8a",JB_CC,"Electronics",JB_H,"LHA",JB_CE,"Print Shop",JB_RC,"ALT")</f>
        <v/>
      </c>
      <c r="F154" s="48">
        <f>SUMIFS(JB_26BV,JB_B,1,JB_EX,"P-8a",JB_CC,"Electronics",JB_H,"T-AGOS",JB_CE,"Print Shop",JB_RC,"ALT")</f>
        <v/>
      </c>
      <c r="G154" s="48">
        <f>SUMIFS(JB_26BV,JB_B,1,JB_EX,"P-8a",JB_CC,"Electronics",JB_H,"T-AO",JB_CE,"Print Shop",JB_RC,"ALT")</f>
        <v/>
      </c>
      <c r="H154" s="48">
        <f>SUMIFS(JB_26BV,JB_B,1,JB_EX,"P-8a",JB_CC,"Electronics",JB_H,"T-ATS",JB_CE,"Print Shop",JB_RC,"ALT")</f>
        <v/>
      </c>
      <c r="I154" s="47">
        <f>SUM(B154:H154)</f>
        <v/>
      </c>
    </row>
    <row r="155" ht="10" customHeight="1">
      <c r="A155" s="46" t="inlineStr">
        <is>
          <t xml:space="preserve">    DHYSL</t>
        </is>
      </c>
      <c r="B155" s="47">
        <f>SUMIFS(JB_26BV,JB_B,1,JB_EX,"P-8a",JB_CC,"Electronics",JB_H,"DDG",JB_CE,"DHYSL",JB_RC,"ALT")</f>
        <v/>
      </c>
      <c r="C155" s="48">
        <f>SUMIFS(JB_26BV,JB_B,1,JB_EX,"P-8a",JB_CC,"Electronics",JB_H,"FFG",JB_CE,"DHYSL",JB_RC,"ALT")</f>
        <v/>
      </c>
      <c r="D155" s="48">
        <f>SUMIFS(JB_26BV,JB_B,1,JB_EX,"P-8a",JB_CC,"Electronics",JB_H,"LPD",JB_CE,"DHYSL",JB_RC,"ALT")</f>
        <v/>
      </c>
      <c r="E155" s="48">
        <f>SUMIFS(JB_26BV,JB_B,1,JB_EX,"P-8a",JB_CC,"Electronics",JB_H,"LHA",JB_CE,"DHYSL",JB_RC,"ALT")</f>
        <v/>
      </c>
      <c r="F155" s="48">
        <f>SUMIFS(JB_26BV,JB_B,1,JB_EX,"P-8a",JB_CC,"Electronics",JB_H,"T-AGOS",JB_CE,"DHYSL",JB_RC,"ALT")</f>
        <v/>
      </c>
      <c r="G155" s="48">
        <f>SUMIFS(JB_26BV,JB_B,1,JB_EX,"P-8a",JB_CC,"Electronics",JB_H,"T-AO",JB_CE,"DHYSL",JB_RC,"ALT")</f>
        <v/>
      </c>
      <c r="H155" s="48">
        <f>SUMIFS(JB_26BV,JB_B,1,JB_EX,"P-8a",JB_CC,"Electronics",JB_H,"T-ATS",JB_CE,"DHYSL",JB_RC,"ALT")</f>
        <v/>
      </c>
      <c r="I155" s="47">
        <f>SUM(B155:H155)</f>
        <v/>
      </c>
    </row>
    <row r="156" ht="10" customHeight="1">
      <c r="A156" s="46" t="inlineStr">
        <is>
          <t xml:space="preserve">    AN/UQN-10</t>
        </is>
      </c>
      <c r="B156" s="47">
        <f>SUMIFS(JB_26BV,JB_B,1,JB_EX,"P-8a",JB_CC,"Electronics",JB_H,"DDG",JB_CE,"AN/UQN-10",JB_RC,"ALT")</f>
        <v/>
      </c>
      <c r="C156" s="48">
        <f>SUMIFS(JB_26BV,JB_B,1,JB_EX,"P-8a",JB_CC,"Electronics",JB_H,"FFG",JB_CE,"AN/UQN-10",JB_RC,"ALT")</f>
        <v/>
      </c>
      <c r="D156" s="48">
        <f>SUMIFS(JB_26BV,JB_B,1,JB_EX,"P-8a",JB_CC,"Electronics",JB_H,"LPD",JB_CE,"AN/UQN-10",JB_RC,"ALT")</f>
        <v/>
      </c>
      <c r="E156" s="48">
        <f>SUMIFS(JB_26BV,JB_B,1,JB_EX,"P-8a",JB_CC,"Electronics",JB_H,"LHA",JB_CE,"AN/UQN-10",JB_RC,"ALT")</f>
        <v/>
      </c>
      <c r="F156" s="48">
        <f>SUMIFS(JB_26BV,JB_B,1,JB_EX,"P-8a",JB_CC,"Electronics",JB_H,"T-AGOS",JB_CE,"AN/UQN-10",JB_RC,"ALT")</f>
        <v/>
      </c>
      <c r="G156" s="48">
        <f>SUMIFS(JB_26BV,JB_B,1,JB_EX,"P-8a",JB_CC,"Electronics",JB_H,"T-AO",JB_CE,"AN/UQN-10",JB_RC,"ALT")</f>
        <v/>
      </c>
      <c r="H156" s="48">
        <f>SUMIFS(JB_26BV,JB_B,1,JB_EX,"P-8a",JB_CC,"Electronics",JB_H,"T-ATS",JB_CE,"AN/UQN-10",JB_RC,"ALT")</f>
        <v/>
      </c>
      <c r="I156" s="47">
        <f>SUM(B156:H156)</f>
        <v/>
      </c>
    </row>
    <row r="157" ht="10" customHeight="1">
      <c r="A157" s="46" t="inlineStr">
        <is>
          <t xml:space="preserve">    RADIAC</t>
        </is>
      </c>
      <c r="B157" s="47">
        <f>SUMIFS(JB_26BV,JB_B,1,JB_EX,"P-8a",JB_CC,"Electronics",JB_H,"DDG",JB_CE,"RADIAC",JB_RC,"ALT")</f>
        <v/>
      </c>
      <c r="C157" s="48">
        <f>SUMIFS(JB_26BV,JB_B,1,JB_EX,"P-8a",JB_CC,"Electronics",JB_H,"FFG",JB_CE,"RADIAC",JB_RC,"ALT")</f>
        <v/>
      </c>
      <c r="D157" s="48">
        <f>SUMIFS(JB_26BV,JB_B,1,JB_EX,"P-8a",JB_CC,"Electronics",JB_H,"LPD",JB_CE,"RADIAC",JB_RC,"ALT")</f>
        <v/>
      </c>
      <c r="E157" s="48">
        <f>SUMIFS(JB_26BV,JB_B,1,JB_EX,"P-8a",JB_CC,"Electronics",JB_H,"LHA",JB_CE,"RADIAC",JB_RC,"ALT")</f>
        <v/>
      </c>
      <c r="F157" s="48">
        <f>SUMIFS(JB_26BV,JB_B,1,JB_EX,"P-8a",JB_CC,"Electronics",JB_H,"T-AGOS",JB_CE,"RADIAC",JB_RC,"ALT")</f>
        <v/>
      </c>
      <c r="G157" s="48">
        <f>SUMIFS(JB_26BV,JB_B,1,JB_EX,"P-8a",JB_CC,"Electronics",JB_H,"T-AO",JB_CE,"RADIAC",JB_RC,"ALT")</f>
        <v/>
      </c>
      <c r="H157" s="48">
        <f>SUMIFS(JB_26BV,JB_B,1,JB_EX,"P-8a",JB_CC,"Electronics",JB_H,"T-ATS",JB_CE,"RADIAC",JB_RC,"ALT")</f>
        <v/>
      </c>
      <c r="I157" s="47">
        <f>SUM(B157:H157)</f>
        <v/>
      </c>
    </row>
    <row r="158" ht="10" customHeight="1">
      <c r="A158" s="30" t="inlineStr">
        <is>
          <t>Hull, Mechanical, and Electrical</t>
        </is>
      </c>
      <c r="B158" s="45">
        <f>SUMIFS(JB_26BV,JB_B,1,JB_EX,"P-5c",JB_CC,"Hull, Mechanical, and Electrical",JB_H,"DDG",JB_RC,"ALT")</f>
        <v/>
      </c>
      <c r="C158" s="31">
        <f>SUMIFS(JB_26BV,JB_B,1,JB_EX,"P-5c",JB_CC,"Hull, Mechanical, and Electrical",JB_H,"FFG",JB_RC,"ALT")</f>
        <v/>
      </c>
      <c r="D158" s="31">
        <f>SUMIFS(JB_26BV,JB_B,1,JB_EX,"P-5c",JB_CC,"Hull, Mechanical, and Electrical",JB_H,"LPD",JB_RC,"ALT")</f>
        <v/>
      </c>
      <c r="E158" s="31">
        <f>SUMIFS(JB_26BV,JB_B,1,JB_EX,"P-5c",JB_CC,"Hull, Mechanical, and Electrical",JB_H,"LHA",JB_RC,"ALT")</f>
        <v/>
      </c>
      <c r="F158" s="31">
        <f>SUMIFS(JB_26BV,JB_B,1,JB_EX,"P-5c",JB_CC,"Hull, Mechanical, and Electrical",JB_H,"T-AGOS",JB_RC,"ALT")</f>
        <v/>
      </c>
      <c r="G158" s="31">
        <f>SUMIFS(JB_26BV,JB_B,1,JB_EX,"P-5c",JB_CC,"Hull, Mechanical, and Electrical",JB_H,"T-AO",JB_RC,"ALT")</f>
        <v/>
      </c>
      <c r="H158" s="31">
        <f>SUMIFS(JB_26BV,JB_B,1,JB_EX,"P-5c",JB_CC,"Hull, Mechanical, and Electrical",JB_H,"T-ATS",JB_RC,"ALT")</f>
        <v/>
      </c>
      <c r="I158" s="45">
        <f>SUM(B158:H158)</f>
        <v/>
      </c>
    </row>
    <row r="159" ht="10" customHeight="1">
      <c r="A159" s="46" t="inlineStr">
        <is>
          <t xml:space="preserve">    MISC. HM&amp;E</t>
        </is>
      </c>
      <c r="B159" s="47">
        <f>SUMIFS(JB_26BV,JB_B,1,JB_EX,"P-8a",JB_CC,"Hull, Mechanical, and Electrical",JB_H,"DDG",JB_CE,"MISC. HM&amp;E",JB_RC,"ALT")</f>
        <v/>
      </c>
      <c r="C159" s="48">
        <f>SUMIFS(JB_26BV,JB_B,1,JB_EX,"P-8a",JB_CC,"Hull, Mechanical, and Electrical",JB_H,"FFG",JB_CE,"MISC. HM&amp;E",JB_RC,"ALT")</f>
        <v/>
      </c>
      <c r="D159" s="48">
        <f>SUMIFS(JB_26BV,JB_B,1,JB_EX,"P-8a",JB_CC,"Hull, Mechanical, and Electrical",JB_H,"LPD",JB_CE,"MISC. HM&amp;E",JB_RC,"ALT")</f>
        <v/>
      </c>
      <c r="E159" s="48">
        <f>SUMIFS(JB_26BV,JB_B,1,JB_EX,"P-8a",JB_CC,"Hull, Mechanical, and Electrical",JB_H,"LHA",JB_CE,"MISC. HM&amp;E",JB_RC,"ALT")</f>
        <v/>
      </c>
      <c r="F159" s="48">
        <f>SUMIFS(JB_26BV,JB_B,1,JB_EX,"P-8a",JB_CC,"Hull, Mechanical, and Electrical",JB_H,"T-AGOS",JB_CE,"MISC. HM&amp;E",JB_RC,"ALT")</f>
        <v/>
      </c>
      <c r="G159" s="48">
        <f>SUMIFS(JB_26BV,JB_B,1,JB_EX,"P-8a",JB_CC,"Hull, Mechanical, and Electrical",JB_H,"T-AO",JB_CE,"MISC. HM&amp;E",JB_RC,"ALT")</f>
        <v/>
      </c>
      <c r="H159" s="48">
        <f>SUMIFS(JB_26BV,JB_B,1,JB_EX,"P-8a",JB_CC,"Hull, Mechanical, and Electrical",JB_H,"T-ATS",JB_CE,"MISC. HM&amp;E",JB_RC,"ALT")</f>
        <v/>
      </c>
      <c r="I159" s="47">
        <f>SUM(B159:H159)</f>
        <v/>
      </c>
    </row>
    <row r="160" ht="10" customHeight="1">
      <c r="A160" s="46" t="inlineStr">
        <is>
          <t xml:space="preserve">    Equipment &amp; Engineering</t>
        </is>
      </c>
      <c r="B160" s="47">
        <f>SUMIFS(JB_26BV,JB_B,1,JB_EX,"P-8a",JB_CC,"Hull, Mechanical, and Electrical",JB_H,"DDG",JB_CE,"Equipment &amp; Engineering",JB_RC,"ALT")</f>
        <v/>
      </c>
      <c r="C160" s="48">
        <f>SUMIFS(JB_26BV,JB_B,1,JB_EX,"P-8a",JB_CC,"Hull, Mechanical, and Electrical",JB_H,"FFG",JB_CE,"Equipment &amp; Engineering",JB_RC,"ALT")</f>
        <v/>
      </c>
      <c r="D160" s="48">
        <f>SUMIFS(JB_26BV,JB_B,1,JB_EX,"P-8a",JB_CC,"Hull, Mechanical, and Electrical",JB_H,"LPD",JB_CE,"Equipment &amp; Engineering",JB_RC,"ALT")</f>
        <v/>
      </c>
      <c r="E160" s="48">
        <f>SUMIFS(JB_26BV,JB_B,1,JB_EX,"P-8a",JB_CC,"Hull, Mechanical, and Electrical",JB_H,"LHA",JB_CE,"Equipment &amp; Engineering",JB_RC,"ALT")</f>
        <v/>
      </c>
      <c r="F160" s="48">
        <f>SUMIFS(JB_26BV,JB_B,1,JB_EX,"P-8a",JB_CC,"Hull, Mechanical, and Electrical",JB_H,"T-AGOS",JB_CE,"Equipment &amp; Engineering",JB_RC,"ALT")</f>
        <v/>
      </c>
      <c r="G160" s="48">
        <f>SUMIFS(JB_26BV,JB_B,1,JB_EX,"P-8a",JB_CC,"Hull, Mechanical, and Electrical",JB_H,"T-AO",JB_CE,"Equipment &amp; Engineering",JB_RC,"ALT")</f>
        <v/>
      </c>
      <c r="H160" s="48">
        <f>SUMIFS(JB_26BV,JB_B,1,JB_EX,"P-8a",JB_CC,"Hull, Mechanical, and Electrical",JB_H,"T-ATS",JB_CE,"Equipment &amp; Engineering",JB_RC,"ALT")</f>
        <v/>
      </c>
      <c r="I160" s="47">
        <f>SUM(B160:H160)</f>
        <v/>
      </c>
    </row>
    <row r="161" ht="10" customHeight="1">
      <c r="A161" s="46" t="inlineStr">
        <is>
          <t xml:space="preserve">    MAIN TURBINE GENERATOR (MTG)</t>
        </is>
      </c>
      <c r="B161" s="47">
        <f>SUMIFS(JB_26BV,JB_B,1,JB_EX,"P-8a",JB_CC,"Hull, Mechanical, and Electrical",JB_H,"DDG",JB_CE,"MAIN TURBINE GENERATOR (MTG)",JB_RC,"ALT")</f>
        <v/>
      </c>
      <c r="C161" s="48">
        <f>SUMIFS(JB_26BV,JB_B,1,JB_EX,"P-8a",JB_CC,"Hull, Mechanical, and Electrical",JB_H,"FFG",JB_CE,"MAIN TURBINE GENERATOR (MTG)",JB_RC,"ALT")</f>
        <v/>
      </c>
      <c r="D161" s="48">
        <f>SUMIFS(JB_26BV,JB_B,1,JB_EX,"P-8a",JB_CC,"Hull, Mechanical, and Electrical",JB_H,"LPD",JB_CE,"MAIN TURBINE GENERATOR (MTG)",JB_RC,"ALT")</f>
        <v/>
      </c>
      <c r="E161" s="48">
        <f>SUMIFS(JB_26BV,JB_B,1,JB_EX,"P-8a",JB_CC,"Hull, Mechanical, and Electrical",JB_H,"LHA",JB_CE,"MAIN TURBINE GENERATOR (MTG)",JB_RC,"ALT")</f>
        <v/>
      </c>
      <c r="F161" s="48">
        <f>SUMIFS(JB_26BV,JB_B,1,JB_EX,"P-8a",JB_CC,"Hull, Mechanical, and Electrical",JB_H,"T-AGOS",JB_CE,"MAIN TURBINE GENERATOR (MTG)",JB_RC,"ALT")</f>
        <v/>
      </c>
      <c r="G161" s="48">
        <f>SUMIFS(JB_26BV,JB_B,1,JB_EX,"P-8a",JB_CC,"Hull, Mechanical, and Electrical",JB_H,"T-AO",JB_CE,"MAIN TURBINE GENERATOR (MTG)",JB_RC,"ALT")</f>
        <v/>
      </c>
      <c r="H161" s="48">
        <f>SUMIFS(JB_26BV,JB_B,1,JB_EX,"P-8a",JB_CC,"Hull, Mechanical, and Electrical",JB_H,"T-ATS",JB_CE,"MAIN TURBINE GENERATOR (MTG)",JB_RC,"ALT")</f>
        <v/>
      </c>
      <c r="I161" s="47">
        <f>SUM(B161:H161)</f>
        <v/>
      </c>
    </row>
    <row r="162" ht="10" customHeight="1">
      <c r="A162" s="46" t="inlineStr">
        <is>
          <t xml:space="preserve">    Integrated Bridge Navigation System</t>
        </is>
      </c>
      <c r="B162" s="47">
        <f>SUMIFS(JB_26BV,JB_B,1,JB_EX,"P-8a",JB_CC,"Hull, Mechanical, and Electrical",JB_H,"DDG",JB_CE,"Integrated Bridge Navigation System",JB_RC,"ALT")</f>
        <v/>
      </c>
      <c r="C162" s="48">
        <f>SUMIFS(JB_26BV,JB_B,1,JB_EX,"P-8a",JB_CC,"Hull, Mechanical, and Electrical",JB_H,"FFG",JB_CE,"Integrated Bridge Navigation System",JB_RC,"ALT")</f>
        <v/>
      </c>
      <c r="D162" s="48">
        <f>SUMIFS(JB_26BV,JB_B,1,JB_EX,"P-8a",JB_CC,"Hull, Mechanical, and Electrical",JB_H,"LPD",JB_CE,"Integrated Bridge Navigation System",JB_RC,"ALT")</f>
        <v/>
      </c>
      <c r="E162" s="48">
        <f>SUMIFS(JB_26BV,JB_B,1,JB_EX,"P-8a",JB_CC,"Hull, Mechanical, and Electrical",JB_H,"LHA",JB_CE,"Integrated Bridge Navigation System",JB_RC,"ALT")</f>
        <v/>
      </c>
      <c r="F162" s="48">
        <f>SUMIFS(JB_26BV,JB_B,1,JB_EX,"P-8a",JB_CC,"Hull, Mechanical, and Electrical",JB_H,"T-AGOS",JB_CE,"Integrated Bridge Navigation System",JB_RC,"ALT")</f>
        <v/>
      </c>
      <c r="G162" s="48">
        <f>SUMIFS(JB_26BV,JB_B,1,JB_EX,"P-8a",JB_CC,"Hull, Mechanical, and Electrical",JB_H,"T-AO",JB_CE,"Integrated Bridge Navigation System",JB_RC,"ALT")</f>
        <v/>
      </c>
      <c r="H162" s="48">
        <f>SUMIFS(JB_26BV,JB_B,1,JB_EX,"P-8a",JB_CC,"Hull, Mechanical, and Electrical",JB_H,"T-ATS",JB_CE,"Integrated Bridge Navigation System",JB_RC,"ALT")</f>
        <v/>
      </c>
      <c r="I162" s="47">
        <f>SUM(B162:H162)</f>
        <v/>
      </c>
    </row>
    <row r="163" ht="10" customHeight="1">
      <c r="A163" s="46" t="inlineStr">
        <is>
          <t xml:space="preserve">    STC 3 IVCS</t>
        </is>
      </c>
      <c r="B163" s="47">
        <f>SUMIFS(JB_26BV,JB_B,1,JB_EX,"P-8a",JB_CC,"Hull, Mechanical, and Electrical",JB_H,"DDG",JB_CE,"STC 3 IVCS",JB_RC,"ALT")</f>
        <v/>
      </c>
      <c r="C163" s="48">
        <f>SUMIFS(JB_26BV,JB_B,1,JB_EX,"P-8a",JB_CC,"Hull, Mechanical, and Electrical",JB_H,"FFG",JB_CE,"STC 3 IVCS",JB_RC,"ALT")</f>
        <v/>
      </c>
      <c r="D163" s="48">
        <f>SUMIFS(JB_26BV,JB_B,1,JB_EX,"P-8a",JB_CC,"Hull, Mechanical, and Electrical",JB_H,"LPD",JB_CE,"STC 3 IVCS",JB_RC,"ALT")</f>
        <v/>
      </c>
      <c r="E163" s="48">
        <f>SUMIFS(JB_26BV,JB_B,1,JB_EX,"P-8a",JB_CC,"Hull, Mechanical, and Electrical",JB_H,"LHA",JB_CE,"STC 3 IVCS",JB_RC,"ALT")</f>
        <v/>
      </c>
      <c r="F163" s="48">
        <f>SUMIFS(JB_26BV,JB_B,1,JB_EX,"P-8a",JB_CC,"Hull, Mechanical, and Electrical",JB_H,"T-AGOS",JB_CE,"STC 3 IVCS",JB_RC,"ALT")</f>
        <v/>
      </c>
      <c r="G163" s="48">
        <f>SUMIFS(JB_26BV,JB_B,1,JB_EX,"P-8a",JB_CC,"Hull, Mechanical, and Electrical",JB_H,"T-AO",JB_CE,"STC 3 IVCS",JB_RC,"ALT")</f>
        <v/>
      </c>
      <c r="H163" s="48">
        <f>SUMIFS(JB_26BV,JB_B,1,JB_EX,"P-8a",JB_CC,"Hull, Mechanical, and Electrical",JB_H,"T-ATS",JB_CE,"STC 3 IVCS",JB_RC,"ALT")</f>
        <v/>
      </c>
      <c r="I163" s="47">
        <f>SUM(B163:H163)</f>
        <v/>
      </c>
    </row>
    <row r="164" ht="10" customHeight="1">
      <c r="A164" s="46" t="inlineStr">
        <is>
          <t xml:space="preserve">    Machinery Control System</t>
        </is>
      </c>
      <c r="B164" s="47">
        <f>SUMIFS(JB_26BV,JB_B,1,JB_EX,"P-8a",JB_CC,"Hull, Mechanical, and Electrical",JB_H,"DDG",JB_CE,"Machinery Control System",JB_RC,"ALT")</f>
        <v/>
      </c>
      <c r="C164" s="48">
        <f>SUMIFS(JB_26BV,JB_B,1,JB_EX,"P-8a",JB_CC,"Hull, Mechanical, and Electrical",JB_H,"FFG",JB_CE,"Machinery Control System",JB_RC,"ALT")</f>
        <v/>
      </c>
      <c r="D164" s="48">
        <f>SUMIFS(JB_26BV,JB_B,1,JB_EX,"P-8a",JB_CC,"Hull, Mechanical, and Electrical",JB_H,"LPD",JB_CE,"Machinery Control System",JB_RC,"ALT")</f>
        <v/>
      </c>
      <c r="E164" s="48">
        <f>SUMIFS(JB_26BV,JB_B,1,JB_EX,"P-8a",JB_CC,"Hull, Mechanical, and Electrical",JB_H,"LHA",JB_CE,"Machinery Control System",JB_RC,"ALT")</f>
        <v/>
      </c>
      <c r="F164" s="48">
        <f>SUMIFS(JB_26BV,JB_B,1,JB_EX,"P-8a",JB_CC,"Hull, Mechanical, and Electrical",JB_H,"T-AGOS",JB_CE,"Machinery Control System",JB_RC,"ALT")</f>
        <v/>
      </c>
      <c r="G164" s="48">
        <f>SUMIFS(JB_26BV,JB_B,1,JB_EX,"P-8a",JB_CC,"Hull, Mechanical, and Electrical",JB_H,"T-AO",JB_CE,"Machinery Control System",JB_RC,"ALT")</f>
        <v/>
      </c>
      <c r="H164" s="48">
        <f>SUMIFS(JB_26BV,JB_B,1,JB_EX,"P-8a",JB_CC,"Hull, Mechanical, and Electrical",JB_H,"T-ATS",JB_CE,"Machinery Control System",JB_RC,"ALT")</f>
        <v/>
      </c>
      <c r="I164" s="47">
        <f>SUM(B164:H164)</f>
        <v/>
      </c>
    </row>
    <row r="165" ht="10" customHeight="1">
      <c r="A165" s="46" t="inlineStr">
        <is>
          <t xml:space="preserve">    Aircraft Ship Integrated Securing and Traversing System (ASIST)</t>
        </is>
      </c>
      <c r="B165" s="47">
        <f>SUMIFS(JB_26BV,JB_B,1,JB_EX,"P-8a",JB_CC,"Hull, Mechanical, and Electrical",JB_H,"DDG",JB_CE,"Aircraft Ship Integrated Securing and Traversing System (ASIST)",JB_RC,"ALT")</f>
        <v/>
      </c>
      <c r="C165" s="48">
        <f>SUMIFS(JB_26BV,JB_B,1,JB_EX,"P-8a",JB_CC,"Hull, Mechanical, and Electrical",JB_H,"FFG",JB_CE,"Aircraft Ship Integrated Securing and Traversing System (ASIST)",JB_RC,"ALT")</f>
        <v/>
      </c>
      <c r="D165" s="48">
        <f>SUMIFS(JB_26BV,JB_B,1,JB_EX,"P-8a",JB_CC,"Hull, Mechanical, and Electrical",JB_H,"LPD",JB_CE,"Aircraft Ship Integrated Securing and Traversing System (ASIST)",JB_RC,"ALT")</f>
        <v/>
      </c>
      <c r="E165" s="48">
        <f>SUMIFS(JB_26BV,JB_B,1,JB_EX,"P-8a",JB_CC,"Hull, Mechanical, and Electrical",JB_H,"LHA",JB_CE,"Aircraft Ship Integrated Securing and Traversing System (ASIST)",JB_RC,"ALT")</f>
        <v/>
      </c>
      <c r="F165" s="48">
        <f>SUMIFS(JB_26BV,JB_B,1,JB_EX,"P-8a",JB_CC,"Hull, Mechanical, and Electrical",JB_H,"T-AGOS",JB_CE,"Aircraft Ship Integrated Securing and Traversing System (ASIST)",JB_RC,"ALT")</f>
        <v/>
      </c>
      <c r="G165" s="48">
        <f>SUMIFS(JB_26BV,JB_B,1,JB_EX,"P-8a",JB_CC,"Hull, Mechanical, and Electrical",JB_H,"T-AO",JB_CE,"Aircraft Ship Integrated Securing and Traversing System (ASIST)",JB_RC,"ALT")</f>
        <v/>
      </c>
      <c r="H165" s="48">
        <f>SUMIFS(JB_26BV,JB_B,1,JB_EX,"P-8a",JB_CC,"Hull, Mechanical, and Electrical",JB_H,"T-ATS",JB_CE,"Aircraft Ship Integrated Securing and Traversing System (ASIST)",JB_RC,"ALT")</f>
        <v/>
      </c>
      <c r="I165" s="47">
        <f>SUM(B165:H165)</f>
        <v/>
      </c>
    </row>
    <row r="166" ht="10" customHeight="1">
      <c r="A166" s="46" t="inlineStr">
        <is>
          <t xml:space="preserve">    CYBER BDC</t>
        </is>
      </c>
      <c r="B166" s="47">
        <f>SUMIFS(JB_26BV,JB_B,1,JB_EX,"P-8a",JB_CC,"Hull, Mechanical, and Electrical",JB_H,"DDG",JB_CE,"CYBER BDC",JB_RC,"ALT")</f>
        <v/>
      </c>
      <c r="C166" s="48">
        <f>SUMIFS(JB_26BV,JB_B,1,JB_EX,"P-8a",JB_CC,"Hull, Mechanical, and Electrical",JB_H,"FFG",JB_CE,"CYBER BDC",JB_RC,"ALT")</f>
        <v/>
      </c>
      <c r="D166" s="48">
        <f>SUMIFS(JB_26BV,JB_B,1,JB_EX,"P-8a",JB_CC,"Hull, Mechanical, and Electrical",JB_H,"LPD",JB_CE,"CYBER BDC",JB_RC,"ALT")</f>
        <v/>
      </c>
      <c r="E166" s="48">
        <f>SUMIFS(JB_26BV,JB_B,1,JB_EX,"P-8a",JB_CC,"Hull, Mechanical, and Electrical",JB_H,"LHA",JB_CE,"CYBER BDC",JB_RC,"ALT")</f>
        <v/>
      </c>
      <c r="F166" s="48">
        <f>SUMIFS(JB_26BV,JB_B,1,JB_EX,"P-8a",JB_CC,"Hull, Mechanical, and Electrical",JB_H,"T-AGOS",JB_CE,"CYBER BDC",JB_RC,"ALT")</f>
        <v/>
      </c>
      <c r="G166" s="48">
        <f>SUMIFS(JB_26BV,JB_B,1,JB_EX,"P-8a",JB_CC,"Hull, Mechanical, and Electrical",JB_H,"T-AO",JB_CE,"CYBER BDC",JB_RC,"ALT")</f>
        <v/>
      </c>
      <c r="H166" s="48">
        <f>SUMIFS(JB_26BV,JB_B,1,JB_EX,"P-8a",JB_CC,"Hull, Mechanical, and Electrical",JB_H,"T-ATS",JB_CE,"CYBER BDC",JB_RC,"ALT")</f>
        <v/>
      </c>
      <c r="I166" s="47">
        <f>SUM(B166:H166)</f>
        <v/>
      </c>
    </row>
    <row r="167" ht="10" customHeight="1">
      <c r="A167" s="46" t="inlineStr">
        <is>
          <t xml:space="preserve">    WSN 12</t>
        </is>
      </c>
      <c r="B167" s="47">
        <f>SUMIFS(JB_26BV,JB_B,1,JB_EX,"P-8a",JB_CC,"Hull, Mechanical, and Electrical",JB_H,"DDG",JB_CE,"WSN 12",JB_RC,"ALT")</f>
        <v/>
      </c>
      <c r="C167" s="48">
        <f>SUMIFS(JB_26BV,JB_B,1,JB_EX,"P-8a",JB_CC,"Hull, Mechanical, and Electrical",JB_H,"FFG",JB_CE,"WSN 12",JB_RC,"ALT")</f>
        <v/>
      </c>
      <c r="D167" s="48">
        <f>SUMIFS(JB_26BV,JB_B,1,JB_EX,"P-8a",JB_CC,"Hull, Mechanical, and Electrical",JB_H,"LPD",JB_CE,"WSN 12",JB_RC,"ALT")</f>
        <v/>
      </c>
      <c r="E167" s="48">
        <f>SUMIFS(JB_26BV,JB_B,1,JB_EX,"P-8a",JB_CC,"Hull, Mechanical, and Electrical",JB_H,"LHA",JB_CE,"WSN 12",JB_RC,"ALT")</f>
        <v/>
      </c>
      <c r="F167" s="48">
        <f>SUMIFS(JB_26BV,JB_B,1,JB_EX,"P-8a",JB_CC,"Hull, Mechanical, and Electrical",JB_H,"T-AGOS",JB_CE,"WSN 12",JB_RC,"ALT")</f>
        <v/>
      </c>
      <c r="G167" s="48">
        <f>SUMIFS(JB_26BV,JB_B,1,JB_EX,"P-8a",JB_CC,"Hull, Mechanical, and Electrical",JB_H,"T-AO",JB_CE,"WSN 12",JB_RC,"ALT")</f>
        <v/>
      </c>
      <c r="H167" s="48">
        <f>SUMIFS(JB_26BV,JB_B,1,JB_EX,"P-8a",JB_CC,"Hull, Mechanical, and Electrical",JB_H,"T-ATS",JB_CE,"WSN 12",JB_RC,"ALT")</f>
        <v/>
      </c>
      <c r="I167" s="47">
        <f>SUM(B167:H167)</f>
        <v/>
      </c>
    </row>
    <row r="168" ht="10" customHeight="1">
      <c r="A168" s="46" t="inlineStr">
        <is>
          <t xml:space="preserve">    HM&amp;E (NGVLA, Moriah Wind Measurement System (WMS), Aviation Integration)</t>
        </is>
      </c>
      <c r="B168" s="47">
        <f>SUMIFS(JB_26BV,JB_B,1,JB_EX,"P-8a",JB_CC,"Hull, Mechanical, and Electrical",JB_H,"DDG",JB_CE,"HM&amp;E (NGVLA, Moriah Wind Measurement System (WMS), Aviation Integration)",JB_RC,"ALT")</f>
        <v/>
      </c>
      <c r="C168" s="48">
        <f>SUMIFS(JB_26BV,JB_B,1,JB_EX,"P-8a",JB_CC,"Hull, Mechanical, and Electrical",JB_H,"FFG",JB_CE,"HM&amp;E (NGVLA, Moriah Wind Measurement System (WMS), Aviation Integration)",JB_RC,"ALT")</f>
        <v/>
      </c>
      <c r="D168" s="48">
        <f>SUMIFS(JB_26BV,JB_B,1,JB_EX,"P-8a",JB_CC,"Hull, Mechanical, and Electrical",JB_H,"LPD",JB_CE,"HM&amp;E (NGVLA, Moriah Wind Measurement System (WMS), Aviation Integration)",JB_RC,"ALT")</f>
        <v/>
      </c>
      <c r="E168" s="48">
        <f>SUMIFS(JB_26BV,JB_B,1,JB_EX,"P-8a",JB_CC,"Hull, Mechanical, and Electrical",JB_H,"LHA",JB_CE,"HM&amp;E (NGVLA, Moriah Wind Measurement System (WMS), Aviation Integration)",JB_RC,"ALT")</f>
        <v/>
      </c>
      <c r="F168" s="48">
        <f>SUMIFS(JB_26BV,JB_B,1,JB_EX,"P-8a",JB_CC,"Hull, Mechanical, and Electrical",JB_H,"T-AGOS",JB_CE,"HM&amp;E (NGVLA, Moriah Wind Measurement System (WMS), Aviation Integration)",JB_RC,"ALT")</f>
        <v/>
      </c>
      <c r="G168" s="48">
        <f>SUMIFS(JB_26BV,JB_B,1,JB_EX,"P-8a",JB_CC,"Hull, Mechanical, and Electrical",JB_H,"T-AO",JB_CE,"HM&amp;E (NGVLA, Moriah Wind Measurement System (WMS), Aviation Integration)",JB_RC,"ALT")</f>
        <v/>
      </c>
      <c r="H168" s="48">
        <f>SUMIFS(JB_26BV,JB_B,1,JB_EX,"P-8a",JB_CC,"Hull, Mechanical, and Electrical",JB_H,"T-ATS",JB_CE,"HM&amp;E (NGVLA, Moriah Wind Measurement System (WMS), Aviation Integration)",JB_RC,"ALT")</f>
        <v/>
      </c>
      <c r="I168" s="47">
        <f>SUM(B168:H168)</f>
        <v/>
      </c>
    </row>
    <row r="169" ht="10" customHeight="1">
      <c r="A169" s="46" t="inlineStr">
        <is>
          <t xml:space="preserve">    Other HM&amp;E</t>
        </is>
      </c>
      <c r="B169" s="47">
        <f>SUMIFS(JB_26BV,JB_B,1,JB_EX,"P-8a",JB_CC,"Hull, Mechanical, and Electrical",JB_H,"DDG",JB_CE,"Other HM&amp;E",JB_RC,"ALT")</f>
        <v/>
      </c>
      <c r="C169" s="48">
        <f>SUMIFS(JB_26BV,JB_B,1,JB_EX,"P-8a",JB_CC,"Hull, Mechanical, and Electrical",JB_H,"FFG",JB_CE,"Other HM&amp;E",JB_RC,"ALT")</f>
        <v/>
      </c>
      <c r="D169" s="48">
        <f>SUMIFS(JB_26BV,JB_B,1,JB_EX,"P-8a",JB_CC,"Hull, Mechanical, and Electrical",JB_H,"LPD",JB_CE,"Other HM&amp;E",JB_RC,"ALT")</f>
        <v/>
      </c>
      <c r="E169" s="48">
        <f>SUMIFS(JB_26BV,JB_B,1,JB_EX,"P-8a",JB_CC,"Hull, Mechanical, and Electrical",JB_H,"LHA",JB_CE,"Other HM&amp;E",JB_RC,"ALT")</f>
        <v/>
      </c>
      <c r="F169" s="48">
        <f>SUMIFS(JB_26BV,JB_B,1,JB_EX,"P-8a",JB_CC,"Hull, Mechanical, and Electrical",JB_H,"T-AGOS",JB_CE,"Other HM&amp;E",JB_RC,"ALT")</f>
        <v/>
      </c>
      <c r="G169" s="48">
        <f>SUMIFS(JB_26BV,JB_B,1,JB_EX,"P-8a",JB_CC,"Hull, Mechanical, and Electrical",JB_H,"T-AO",JB_CE,"Other HM&amp;E",JB_RC,"ALT")</f>
        <v/>
      </c>
      <c r="H169" s="48">
        <f>SUMIFS(JB_26BV,JB_B,1,JB_EX,"P-8a",JB_CC,"Hull, Mechanical, and Electrical",JB_H,"T-ATS",JB_CE,"Other HM&amp;E",JB_RC,"ALT")</f>
        <v/>
      </c>
      <c r="I169" s="47">
        <f>SUM(B169:H169)</f>
        <v/>
      </c>
    </row>
    <row r="170" ht="10" customHeight="1">
      <c r="A170" s="46" t="inlineStr">
        <is>
          <t xml:space="preserve">    Engineering Services</t>
        </is>
      </c>
      <c r="B170" s="47">
        <f>SUMIFS(JB_26BV,JB_B,1,JB_EX,"P-8a",JB_CC,"Hull, Mechanical, and Electrical",JB_H,"DDG",JB_CE,"Engineering Services",JB_RC,"ALT")</f>
        <v/>
      </c>
      <c r="C170" s="48">
        <f>SUMIFS(JB_26BV,JB_B,1,JB_EX,"P-8a",JB_CC,"Hull, Mechanical, and Electrical",JB_H,"FFG",JB_CE,"Engineering Services",JB_RC,"ALT")</f>
        <v/>
      </c>
      <c r="D170" s="48">
        <f>SUMIFS(JB_26BV,JB_B,1,JB_EX,"P-8a",JB_CC,"Hull, Mechanical, and Electrical",JB_H,"LPD",JB_CE,"Engineering Services",JB_RC,"ALT")</f>
        <v/>
      </c>
      <c r="E170" s="48">
        <f>SUMIFS(JB_26BV,JB_B,1,JB_EX,"P-8a",JB_CC,"Hull, Mechanical, and Electrical",JB_H,"LHA",JB_CE,"Engineering Services",JB_RC,"ALT")</f>
        <v/>
      </c>
      <c r="F170" s="48">
        <f>SUMIFS(JB_26BV,JB_B,1,JB_EX,"P-8a",JB_CC,"Hull, Mechanical, and Electrical",JB_H,"T-AGOS",JB_CE,"Engineering Services",JB_RC,"ALT")</f>
        <v/>
      </c>
      <c r="G170" s="48">
        <f>SUMIFS(JB_26BV,JB_B,1,JB_EX,"P-8a",JB_CC,"Hull, Mechanical, and Electrical",JB_H,"T-AO",JB_CE,"Engineering Services",JB_RC,"ALT")</f>
        <v/>
      </c>
      <c r="H170" s="48">
        <f>SUMIFS(JB_26BV,JB_B,1,JB_EX,"P-8a",JB_CC,"Hull, Mechanical, and Electrical",JB_H,"T-ATS",JB_CE,"Engineering Services",JB_RC,"ALT")</f>
        <v/>
      </c>
      <c r="I170" s="47">
        <f>SUM(B170:H170)</f>
        <v/>
      </c>
    </row>
    <row r="171" ht="10" customHeight="1">
      <c r="A171" s="46" t="inlineStr">
        <is>
          <t xml:space="preserve">    Test &amp; Instrumentation</t>
        </is>
      </c>
      <c r="B171" s="47">
        <f>SUMIFS(JB_26BV,JB_B,1,JB_EX,"P-8a",JB_CC,"Hull, Mechanical, and Electrical",JB_H,"DDG",JB_CE,"Test &amp; Instrumentation",JB_RC,"ALT")</f>
        <v/>
      </c>
      <c r="C171" s="48">
        <f>SUMIFS(JB_26BV,JB_B,1,JB_EX,"P-8a",JB_CC,"Hull, Mechanical, and Electrical",JB_H,"FFG",JB_CE,"Test &amp; Instrumentation",JB_RC,"ALT")</f>
        <v/>
      </c>
      <c r="D171" s="48">
        <f>SUMIFS(JB_26BV,JB_B,1,JB_EX,"P-8a",JB_CC,"Hull, Mechanical, and Electrical",JB_H,"LPD",JB_CE,"Test &amp; Instrumentation",JB_RC,"ALT")</f>
        <v/>
      </c>
      <c r="E171" s="48">
        <f>SUMIFS(JB_26BV,JB_B,1,JB_EX,"P-8a",JB_CC,"Hull, Mechanical, and Electrical",JB_H,"LHA",JB_CE,"Test &amp; Instrumentation",JB_RC,"ALT")</f>
        <v/>
      </c>
      <c r="F171" s="48">
        <f>SUMIFS(JB_26BV,JB_B,1,JB_EX,"P-8a",JB_CC,"Hull, Mechanical, and Electrical",JB_H,"T-AGOS",JB_CE,"Test &amp; Instrumentation",JB_RC,"ALT")</f>
        <v/>
      </c>
      <c r="G171" s="48">
        <f>SUMIFS(JB_26BV,JB_B,1,JB_EX,"P-8a",JB_CC,"Hull, Mechanical, and Electrical",JB_H,"T-AO",JB_CE,"Test &amp; Instrumentation",JB_RC,"ALT")</f>
        <v/>
      </c>
      <c r="H171" s="48">
        <f>SUMIFS(JB_26BV,JB_B,1,JB_EX,"P-8a",JB_CC,"Hull, Mechanical, and Electrical",JB_H,"T-ATS",JB_CE,"Test &amp; Instrumentation",JB_RC,"ALT")</f>
        <v/>
      </c>
      <c r="I171" s="47">
        <f>SUM(B171:H171)</f>
        <v/>
      </c>
    </row>
    <row r="172" ht="10" customHeight="1">
      <c r="A172" s="46" t="inlineStr">
        <is>
          <t xml:space="preserve">    Unclassified Video System (UVS)</t>
        </is>
      </c>
      <c r="B172" s="47">
        <f>SUMIFS(JB_26BV,JB_B,1,JB_EX,"P-8a",JB_CC,"Hull, Mechanical, and Electrical",JB_H,"DDG",JB_CE,"Unclassified Video System (UVS)",JB_RC,"ALT")</f>
        <v/>
      </c>
      <c r="C172" s="48">
        <f>SUMIFS(JB_26BV,JB_B,1,JB_EX,"P-8a",JB_CC,"Hull, Mechanical, and Electrical",JB_H,"FFG",JB_CE,"Unclassified Video System (UVS)",JB_RC,"ALT")</f>
        <v/>
      </c>
      <c r="D172" s="48">
        <f>SUMIFS(JB_26BV,JB_B,1,JB_EX,"P-8a",JB_CC,"Hull, Mechanical, and Electrical",JB_H,"LPD",JB_CE,"Unclassified Video System (UVS)",JB_RC,"ALT")</f>
        <v/>
      </c>
      <c r="E172" s="48">
        <f>SUMIFS(JB_26BV,JB_B,1,JB_EX,"P-8a",JB_CC,"Hull, Mechanical, and Electrical",JB_H,"LHA",JB_CE,"Unclassified Video System (UVS)",JB_RC,"ALT")</f>
        <v/>
      </c>
      <c r="F172" s="48">
        <f>SUMIFS(JB_26BV,JB_B,1,JB_EX,"P-8a",JB_CC,"Hull, Mechanical, and Electrical",JB_H,"T-AGOS",JB_CE,"Unclassified Video System (UVS)",JB_RC,"ALT")</f>
        <v/>
      </c>
      <c r="G172" s="48">
        <f>SUMIFS(JB_26BV,JB_B,1,JB_EX,"P-8a",JB_CC,"Hull, Mechanical, and Electrical",JB_H,"T-AO",JB_CE,"Unclassified Video System (UVS)",JB_RC,"ALT")</f>
        <v/>
      </c>
      <c r="H172" s="48">
        <f>SUMIFS(JB_26BV,JB_B,1,JB_EX,"P-8a",JB_CC,"Hull, Mechanical, and Electrical",JB_H,"T-ATS",JB_CE,"Unclassified Video System (UVS)",JB_RC,"ALT")</f>
        <v/>
      </c>
      <c r="I172" s="47">
        <f>SUM(B172:H172)</f>
        <v/>
      </c>
    </row>
    <row r="173" ht="10" customHeight="1">
      <c r="A173" s="46" t="inlineStr">
        <is>
          <t xml:space="preserve">    INTERIM SPARES</t>
        </is>
      </c>
      <c r="B173" s="47">
        <f>SUMIFS(JB_26BV,JB_B,1,JB_EX,"P-8a",JB_CC,"Hull, Mechanical, and Electrical",JB_H,"DDG",JB_CE,"INTERIM SPARES",JB_RC,"ALT")</f>
        <v/>
      </c>
      <c r="C173" s="48">
        <f>SUMIFS(JB_26BV,JB_B,1,JB_EX,"P-8a",JB_CC,"Hull, Mechanical, and Electrical",JB_H,"FFG",JB_CE,"INTERIM SPARES",JB_RC,"ALT")</f>
        <v/>
      </c>
      <c r="D173" s="48">
        <f>SUMIFS(JB_26BV,JB_B,1,JB_EX,"P-8a",JB_CC,"Hull, Mechanical, and Electrical",JB_H,"LPD",JB_CE,"INTERIM SPARES",JB_RC,"ALT")</f>
        <v/>
      </c>
      <c r="E173" s="48">
        <f>SUMIFS(JB_26BV,JB_B,1,JB_EX,"P-8a",JB_CC,"Hull, Mechanical, and Electrical",JB_H,"LHA",JB_CE,"INTERIM SPARES",JB_RC,"ALT")</f>
        <v/>
      </c>
      <c r="F173" s="48">
        <f>SUMIFS(JB_26BV,JB_B,1,JB_EX,"P-8a",JB_CC,"Hull, Mechanical, and Electrical",JB_H,"T-AGOS",JB_CE,"INTERIM SPARES",JB_RC,"ALT")</f>
        <v/>
      </c>
      <c r="G173" s="48">
        <f>SUMIFS(JB_26BV,JB_B,1,JB_EX,"P-8a",JB_CC,"Hull, Mechanical, and Electrical",JB_H,"T-AO",JB_CE,"INTERIM SPARES",JB_RC,"ALT")</f>
        <v/>
      </c>
      <c r="H173" s="48">
        <f>SUMIFS(JB_26BV,JB_B,1,JB_EX,"P-8a",JB_CC,"Hull, Mechanical, and Electrical",JB_H,"T-ATS",JB_CE,"INTERIM SPARES",JB_RC,"ALT")</f>
        <v/>
      </c>
      <c r="I173" s="47">
        <f>SUM(B173:H173)</f>
        <v/>
      </c>
    </row>
    <row r="174" ht="10" customHeight="1">
      <c r="A174" s="46" t="inlineStr">
        <is>
          <t xml:space="preserve">    Internal Communication (IC) Voice</t>
        </is>
      </c>
      <c r="B174" s="47">
        <f>SUMIFS(JB_26BV,JB_B,1,JB_EX,"P-8a",JB_CC,"Hull, Mechanical, and Electrical",JB_H,"DDG",JB_CE,"Internal Communication (IC) Voice",JB_RC,"ALT")</f>
        <v/>
      </c>
      <c r="C174" s="48">
        <f>SUMIFS(JB_26BV,JB_B,1,JB_EX,"P-8a",JB_CC,"Hull, Mechanical, and Electrical",JB_H,"FFG",JB_CE,"Internal Communication (IC) Voice",JB_RC,"ALT")</f>
        <v/>
      </c>
      <c r="D174" s="48">
        <f>SUMIFS(JB_26BV,JB_B,1,JB_EX,"P-8a",JB_CC,"Hull, Mechanical, and Electrical",JB_H,"LPD",JB_CE,"Internal Communication (IC) Voice",JB_RC,"ALT")</f>
        <v/>
      </c>
      <c r="E174" s="48">
        <f>SUMIFS(JB_26BV,JB_B,1,JB_EX,"P-8a",JB_CC,"Hull, Mechanical, and Electrical",JB_H,"LHA",JB_CE,"Internal Communication (IC) Voice",JB_RC,"ALT")</f>
        <v/>
      </c>
      <c r="F174" s="48">
        <f>SUMIFS(JB_26BV,JB_B,1,JB_EX,"P-8a",JB_CC,"Hull, Mechanical, and Electrical",JB_H,"T-AGOS",JB_CE,"Internal Communication (IC) Voice",JB_RC,"ALT")</f>
        <v/>
      </c>
      <c r="G174" s="48">
        <f>SUMIFS(JB_26BV,JB_B,1,JB_EX,"P-8a",JB_CC,"Hull, Mechanical, and Electrical",JB_H,"T-AO",JB_CE,"Internal Communication (IC) Voice",JB_RC,"ALT")</f>
        <v/>
      </c>
      <c r="H174" s="48">
        <f>SUMIFS(JB_26BV,JB_B,1,JB_EX,"P-8a",JB_CC,"Hull, Mechanical, and Electrical",JB_H,"T-ATS",JB_CE,"Internal Communication (IC) Voice",JB_RC,"ALT")</f>
        <v/>
      </c>
      <c r="I174" s="47">
        <f>SUM(B174:H174)</f>
        <v/>
      </c>
    </row>
    <row r="175" ht="10" customHeight="1">
      <c r="A175" s="46" t="inlineStr">
        <is>
          <t xml:space="preserve">    Interior Wireless Communication System (IWCS)</t>
        </is>
      </c>
      <c r="B175" s="47">
        <f>SUMIFS(JB_26BV,JB_B,1,JB_EX,"P-8a",JB_CC,"Hull, Mechanical, and Electrical",JB_H,"DDG",JB_CE,"Interior Wireless Communication System (IWCS)",JB_RC,"ALT")</f>
        <v/>
      </c>
      <c r="C175" s="48">
        <f>SUMIFS(JB_26BV,JB_B,1,JB_EX,"P-8a",JB_CC,"Hull, Mechanical, and Electrical",JB_H,"FFG",JB_CE,"Interior Wireless Communication System (IWCS)",JB_RC,"ALT")</f>
        <v/>
      </c>
      <c r="D175" s="48">
        <f>SUMIFS(JB_26BV,JB_B,1,JB_EX,"P-8a",JB_CC,"Hull, Mechanical, and Electrical",JB_H,"LPD",JB_CE,"Interior Wireless Communication System (IWCS)",JB_RC,"ALT")</f>
        <v/>
      </c>
      <c r="E175" s="48">
        <f>SUMIFS(JB_26BV,JB_B,1,JB_EX,"P-8a",JB_CC,"Hull, Mechanical, and Electrical",JB_H,"LHA",JB_CE,"Interior Wireless Communication System (IWCS)",JB_RC,"ALT")</f>
        <v/>
      </c>
      <c r="F175" s="48">
        <f>SUMIFS(JB_26BV,JB_B,1,JB_EX,"P-8a",JB_CC,"Hull, Mechanical, and Electrical",JB_H,"T-AGOS",JB_CE,"Interior Wireless Communication System (IWCS)",JB_RC,"ALT")</f>
        <v/>
      </c>
      <c r="G175" s="48">
        <f>SUMIFS(JB_26BV,JB_B,1,JB_EX,"P-8a",JB_CC,"Hull, Mechanical, and Electrical",JB_H,"T-AO",JB_CE,"Interior Wireless Communication System (IWCS)",JB_RC,"ALT")</f>
        <v/>
      </c>
      <c r="H175" s="48">
        <f>SUMIFS(JB_26BV,JB_B,1,JB_EX,"P-8a",JB_CC,"Hull, Mechanical, and Electrical",JB_H,"T-ATS",JB_CE,"Interior Wireless Communication System (IWCS)",JB_RC,"ALT")</f>
        <v/>
      </c>
      <c r="I175" s="47">
        <f>SUM(B175:H175)</f>
        <v/>
      </c>
    </row>
    <row r="176" ht="10" customHeight="1">
      <c r="A176" s="46" t="inlineStr">
        <is>
          <t xml:space="preserve">    SUPSHIP Material/Services</t>
        </is>
      </c>
      <c r="B176" s="47">
        <f>SUMIFS(JB_26BV,JB_B,1,JB_EX,"P-8a",JB_CC,"Hull, Mechanical, and Electrical",JB_H,"DDG",JB_CE,"SUPSHIP Material/Services",JB_RC,"ALT")</f>
        <v/>
      </c>
      <c r="C176" s="48">
        <f>SUMIFS(JB_26BV,JB_B,1,JB_EX,"P-8a",JB_CC,"Hull, Mechanical, and Electrical",JB_H,"FFG",JB_CE,"SUPSHIP Material/Services",JB_RC,"ALT")</f>
        <v/>
      </c>
      <c r="D176" s="48">
        <f>SUMIFS(JB_26BV,JB_B,1,JB_EX,"P-8a",JB_CC,"Hull, Mechanical, and Electrical",JB_H,"LPD",JB_CE,"SUPSHIP Material/Services",JB_RC,"ALT")</f>
        <v/>
      </c>
      <c r="E176" s="48">
        <f>SUMIFS(JB_26BV,JB_B,1,JB_EX,"P-8a",JB_CC,"Hull, Mechanical, and Electrical",JB_H,"LHA",JB_CE,"SUPSHIP Material/Services",JB_RC,"ALT")</f>
        <v/>
      </c>
      <c r="F176" s="48">
        <f>SUMIFS(JB_26BV,JB_B,1,JB_EX,"P-8a",JB_CC,"Hull, Mechanical, and Electrical",JB_H,"T-AGOS",JB_CE,"SUPSHIP Material/Services",JB_RC,"ALT")</f>
        <v/>
      </c>
      <c r="G176" s="48">
        <f>SUMIFS(JB_26BV,JB_B,1,JB_EX,"P-8a",JB_CC,"Hull, Mechanical, and Electrical",JB_H,"T-AO",JB_CE,"SUPSHIP Material/Services",JB_RC,"ALT")</f>
        <v/>
      </c>
      <c r="H176" s="48">
        <f>SUMIFS(JB_26BV,JB_B,1,JB_EX,"P-8a",JB_CC,"Hull, Mechanical, and Electrical",JB_H,"T-ATS",JB_CE,"SUPSHIP Material/Services",JB_RC,"ALT")</f>
        <v/>
      </c>
      <c r="I176" s="47">
        <f>SUM(B176:H176)</f>
        <v/>
      </c>
    </row>
    <row r="177" ht="10" customHeight="1">
      <c r="A177" s="46" t="inlineStr">
        <is>
          <t xml:space="preserve">    Ship Control System-Government (SCS GOV)</t>
        </is>
      </c>
      <c r="B177" s="47">
        <f>SUMIFS(JB_26BV,JB_B,1,JB_EX,"P-8a",JB_CC,"Hull, Mechanical, and Electrical",JB_H,"DDG",JB_CE,"Ship Control System-Government (SCS GOV)",JB_RC,"ALT")</f>
        <v/>
      </c>
      <c r="C177" s="48">
        <f>SUMIFS(JB_26BV,JB_B,1,JB_EX,"P-8a",JB_CC,"Hull, Mechanical, and Electrical",JB_H,"FFG",JB_CE,"Ship Control System-Government (SCS GOV)",JB_RC,"ALT")</f>
        <v/>
      </c>
      <c r="D177" s="48">
        <f>SUMIFS(JB_26BV,JB_B,1,JB_EX,"P-8a",JB_CC,"Hull, Mechanical, and Electrical",JB_H,"LPD",JB_CE,"Ship Control System-Government (SCS GOV)",JB_RC,"ALT")</f>
        <v/>
      </c>
      <c r="E177" s="48">
        <f>SUMIFS(JB_26BV,JB_B,1,JB_EX,"P-8a",JB_CC,"Hull, Mechanical, and Electrical",JB_H,"LHA",JB_CE,"Ship Control System-Government (SCS GOV)",JB_RC,"ALT")</f>
        <v/>
      </c>
      <c r="F177" s="48">
        <f>SUMIFS(JB_26BV,JB_B,1,JB_EX,"P-8a",JB_CC,"Hull, Mechanical, and Electrical",JB_H,"T-AGOS",JB_CE,"Ship Control System-Government (SCS GOV)",JB_RC,"ALT")</f>
        <v/>
      </c>
      <c r="G177" s="48">
        <f>SUMIFS(JB_26BV,JB_B,1,JB_EX,"P-8a",JB_CC,"Hull, Mechanical, and Electrical",JB_H,"T-AO",JB_CE,"Ship Control System-Government (SCS GOV)",JB_RC,"ALT")</f>
        <v/>
      </c>
      <c r="H177" s="48">
        <f>SUMIFS(JB_26BV,JB_B,1,JB_EX,"P-8a",JB_CC,"Hull, Mechanical, and Electrical",JB_H,"T-ATS",JB_CE,"Ship Control System-Government (SCS GOV)",JB_RC,"ALT")</f>
        <v/>
      </c>
      <c r="I177" s="47">
        <f>SUM(B177:H177)</f>
        <v/>
      </c>
    </row>
    <row r="178" ht="10" customHeight="1">
      <c r="A178" s="46" t="inlineStr">
        <is>
          <t xml:space="preserve">    Advanced Flight Deck Lighting System (AFDLS)</t>
        </is>
      </c>
      <c r="B178" s="47">
        <f>SUMIFS(JB_26BV,JB_B,1,JB_EX,"P-8a",JB_CC,"Hull, Mechanical, and Electrical",JB_H,"DDG",JB_CE,"Advanced Flight Deck Lighting System (AFDLS)",JB_RC,"ALT")</f>
        <v/>
      </c>
      <c r="C178" s="48">
        <f>SUMIFS(JB_26BV,JB_B,1,JB_EX,"P-8a",JB_CC,"Hull, Mechanical, and Electrical",JB_H,"FFG",JB_CE,"Advanced Flight Deck Lighting System (AFDLS)",JB_RC,"ALT")</f>
        <v/>
      </c>
      <c r="D178" s="48">
        <f>SUMIFS(JB_26BV,JB_B,1,JB_EX,"P-8a",JB_CC,"Hull, Mechanical, and Electrical",JB_H,"LPD",JB_CE,"Advanced Flight Deck Lighting System (AFDLS)",JB_RC,"ALT")</f>
        <v/>
      </c>
      <c r="E178" s="48">
        <f>SUMIFS(JB_26BV,JB_B,1,JB_EX,"P-8a",JB_CC,"Hull, Mechanical, and Electrical",JB_H,"LHA",JB_CE,"Advanced Flight Deck Lighting System (AFDLS)",JB_RC,"ALT")</f>
        <v/>
      </c>
      <c r="F178" s="48">
        <f>SUMIFS(JB_26BV,JB_B,1,JB_EX,"P-8a",JB_CC,"Hull, Mechanical, and Electrical",JB_H,"T-AGOS",JB_CE,"Advanced Flight Deck Lighting System (AFDLS)",JB_RC,"ALT")</f>
        <v/>
      </c>
      <c r="G178" s="48">
        <f>SUMIFS(JB_26BV,JB_B,1,JB_EX,"P-8a",JB_CC,"Hull, Mechanical, and Electrical",JB_H,"T-AO",JB_CE,"Advanced Flight Deck Lighting System (AFDLS)",JB_RC,"ALT")</f>
        <v/>
      </c>
      <c r="H178" s="48">
        <f>SUMIFS(JB_26BV,JB_B,1,JB_EX,"P-8a",JB_CC,"Hull, Mechanical, and Electrical",JB_H,"T-ATS",JB_CE,"Advanced Flight Deck Lighting System (AFDLS)",JB_RC,"ALT")</f>
        <v/>
      </c>
      <c r="I178" s="47">
        <f>SUM(B178:H178)</f>
        <v/>
      </c>
    </row>
    <row r="179" ht="10" customHeight="1">
      <c r="A179" s="46" t="inlineStr">
        <is>
          <t xml:space="preserve">    Forklift Trucks</t>
        </is>
      </c>
      <c r="B179" s="47">
        <f>SUMIFS(JB_26BV,JB_B,1,JB_EX,"P-8a",JB_CC,"Hull, Mechanical, and Electrical",JB_H,"DDG",JB_CE,"Forklift Trucks",JB_RC,"ALT")</f>
        <v/>
      </c>
      <c r="C179" s="48">
        <f>SUMIFS(JB_26BV,JB_B,1,JB_EX,"P-8a",JB_CC,"Hull, Mechanical, and Electrical",JB_H,"FFG",JB_CE,"Forklift Trucks",JB_RC,"ALT")</f>
        <v/>
      </c>
      <c r="D179" s="48">
        <f>SUMIFS(JB_26BV,JB_B,1,JB_EX,"P-8a",JB_CC,"Hull, Mechanical, and Electrical",JB_H,"LPD",JB_CE,"Forklift Trucks",JB_RC,"ALT")</f>
        <v/>
      </c>
      <c r="E179" s="48">
        <f>SUMIFS(JB_26BV,JB_B,1,JB_EX,"P-8a",JB_CC,"Hull, Mechanical, and Electrical",JB_H,"LHA",JB_CE,"Forklift Trucks",JB_RC,"ALT")</f>
        <v/>
      </c>
      <c r="F179" s="48">
        <f>SUMIFS(JB_26BV,JB_B,1,JB_EX,"P-8a",JB_CC,"Hull, Mechanical, and Electrical",JB_H,"T-AGOS",JB_CE,"Forklift Trucks",JB_RC,"ALT")</f>
        <v/>
      </c>
      <c r="G179" s="48">
        <f>SUMIFS(JB_26BV,JB_B,1,JB_EX,"P-8a",JB_CC,"Hull, Mechanical, and Electrical",JB_H,"T-AO",JB_CE,"Forklift Trucks",JB_RC,"ALT")</f>
        <v/>
      </c>
      <c r="H179" s="48">
        <f>SUMIFS(JB_26BV,JB_B,1,JB_EX,"P-8a",JB_CC,"Hull, Mechanical, and Electrical",JB_H,"T-ATS",JB_CE,"Forklift Trucks",JB_RC,"ALT")</f>
        <v/>
      </c>
      <c r="I179" s="47">
        <f>SUM(B179:H179)</f>
        <v/>
      </c>
    </row>
    <row r="180" ht="10" customHeight="1">
      <c r="A180" s="46" t="inlineStr">
        <is>
          <t xml:space="preserve">    Logistics Support Services</t>
        </is>
      </c>
      <c r="B180" s="47">
        <f>SUMIFS(JB_26BV,JB_B,1,JB_EX,"P-8a",JB_CC,"Hull, Mechanical, and Electrical",JB_H,"DDG",JB_CE,"Logistics Support Services",JB_RC,"ALT")</f>
        <v/>
      </c>
      <c r="C180" s="48">
        <f>SUMIFS(JB_26BV,JB_B,1,JB_EX,"P-8a",JB_CC,"Hull, Mechanical, and Electrical",JB_H,"FFG",JB_CE,"Logistics Support Services",JB_RC,"ALT")</f>
        <v/>
      </c>
      <c r="D180" s="48">
        <f>SUMIFS(JB_26BV,JB_B,1,JB_EX,"P-8a",JB_CC,"Hull, Mechanical, and Electrical",JB_H,"LPD",JB_CE,"Logistics Support Services",JB_RC,"ALT")</f>
        <v/>
      </c>
      <c r="E180" s="48">
        <f>SUMIFS(JB_26BV,JB_B,1,JB_EX,"P-8a",JB_CC,"Hull, Mechanical, and Electrical",JB_H,"LHA",JB_CE,"Logistics Support Services",JB_RC,"ALT")</f>
        <v/>
      </c>
      <c r="F180" s="48">
        <f>SUMIFS(JB_26BV,JB_B,1,JB_EX,"P-8a",JB_CC,"Hull, Mechanical, and Electrical",JB_H,"T-AGOS",JB_CE,"Logistics Support Services",JB_RC,"ALT")</f>
        <v/>
      </c>
      <c r="G180" s="48">
        <f>SUMIFS(JB_26BV,JB_B,1,JB_EX,"P-8a",JB_CC,"Hull, Mechanical, and Electrical",JB_H,"T-AO",JB_CE,"Logistics Support Services",JB_RC,"ALT")</f>
        <v/>
      </c>
      <c r="H180" s="48">
        <f>SUMIFS(JB_26BV,JB_B,1,JB_EX,"P-8a",JB_CC,"Hull, Mechanical, and Electrical",JB_H,"T-ATS",JB_CE,"Logistics Support Services",JB_RC,"ALT")</f>
        <v/>
      </c>
      <c r="I180" s="47">
        <f>SUM(B180:H180)</f>
        <v/>
      </c>
    </row>
    <row r="181" ht="10" customHeight="1">
      <c r="A181" s="46" t="inlineStr">
        <is>
          <t xml:space="preserve">    Material Handling Equipment</t>
        </is>
      </c>
      <c r="B181" s="47">
        <f>SUMIFS(JB_26BV,JB_B,1,JB_EX,"P-8a",JB_CC,"Hull, Mechanical, and Electrical",JB_H,"DDG",JB_CE,"Material Handling Equipment",JB_RC,"ALT")</f>
        <v/>
      </c>
      <c r="C181" s="48">
        <f>SUMIFS(JB_26BV,JB_B,1,JB_EX,"P-8a",JB_CC,"Hull, Mechanical, and Electrical",JB_H,"FFG",JB_CE,"Material Handling Equipment",JB_RC,"ALT")</f>
        <v/>
      </c>
      <c r="D181" s="48">
        <f>SUMIFS(JB_26BV,JB_B,1,JB_EX,"P-8a",JB_CC,"Hull, Mechanical, and Electrical",JB_H,"LPD",JB_CE,"Material Handling Equipment",JB_RC,"ALT")</f>
        <v/>
      </c>
      <c r="E181" s="48">
        <f>SUMIFS(JB_26BV,JB_B,1,JB_EX,"P-8a",JB_CC,"Hull, Mechanical, and Electrical",JB_H,"LHA",JB_CE,"Material Handling Equipment",JB_RC,"ALT")</f>
        <v/>
      </c>
      <c r="F181" s="48">
        <f>SUMIFS(JB_26BV,JB_B,1,JB_EX,"P-8a",JB_CC,"Hull, Mechanical, and Electrical",JB_H,"T-AGOS",JB_CE,"Material Handling Equipment",JB_RC,"ALT")</f>
        <v/>
      </c>
      <c r="G181" s="48">
        <f>SUMIFS(JB_26BV,JB_B,1,JB_EX,"P-8a",JB_CC,"Hull, Mechanical, and Electrical",JB_H,"T-AO",JB_CE,"Material Handling Equipment",JB_RC,"ALT")</f>
        <v/>
      </c>
      <c r="H181" s="48">
        <f>SUMIFS(JB_26BV,JB_B,1,JB_EX,"P-8a",JB_CC,"Hull, Mechanical, and Electrical",JB_H,"T-ATS",JB_CE,"Material Handling Equipment",JB_RC,"ALT")</f>
        <v/>
      </c>
      <c r="I181" s="47">
        <f>SUM(B181:H181)</f>
        <v/>
      </c>
    </row>
    <row r="182" ht="10" customHeight="1">
      <c r="A182" s="46" t="inlineStr">
        <is>
          <t xml:space="preserve">    RIGID HULL INFLATABLE BOAT (RHIB)</t>
        </is>
      </c>
      <c r="B182" s="47">
        <f>SUMIFS(JB_26BV,JB_B,1,JB_EX,"P-8a",JB_CC,"Hull, Mechanical, and Electrical",JB_H,"DDG",JB_CE,"RIGID HULL INFLATABLE BOAT (RHIB)",JB_RC,"ALT")</f>
        <v/>
      </c>
      <c r="C182" s="48">
        <f>SUMIFS(JB_26BV,JB_B,1,JB_EX,"P-8a",JB_CC,"Hull, Mechanical, and Electrical",JB_H,"FFG",JB_CE,"RIGID HULL INFLATABLE BOAT (RHIB)",JB_RC,"ALT")</f>
        <v/>
      </c>
      <c r="D182" s="48">
        <f>SUMIFS(JB_26BV,JB_B,1,JB_EX,"P-8a",JB_CC,"Hull, Mechanical, and Electrical",JB_H,"LPD",JB_CE,"RIGID HULL INFLATABLE BOAT (RHIB)",JB_RC,"ALT")</f>
        <v/>
      </c>
      <c r="E182" s="48">
        <f>SUMIFS(JB_26BV,JB_B,1,JB_EX,"P-8a",JB_CC,"Hull, Mechanical, and Electrical",JB_H,"LHA",JB_CE,"RIGID HULL INFLATABLE BOAT (RHIB)",JB_RC,"ALT")</f>
        <v/>
      </c>
      <c r="F182" s="48">
        <f>SUMIFS(JB_26BV,JB_B,1,JB_EX,"P-8a",JB_CC,"Hull, Mechanical, and Electrical",JB_H,"T-AGOS",JB_CE,"RIGID HULL INFLATABLE BOAT (RHIB)",JB_RC,"ALT")</f>
        <v/>
      </c>
      <c r="G182" s="48">
        <f>SUMIFS(JB_26BV,JB_B,1,JB_EX,"P-8a",JB_CC,"Hull, Mechanical, and Electrical",JB_H,"T-AO",JB_CE,"RIGID HULL INFLATABLE BOAT (RHIB)",JB_RC,"ALT")</f>
        <v/>
      </c>
      <c r="H182" s="48">
        <f>SUMIFS(JB_26BV,JB_B,1,JB_EX,"P-8a",JB_CC,"Hull, Mechanical, and Electrical",JB_H,"T-ATS",JB_CE,"RIGID HULL INFLATABLE BOAT (RHIB)",JB_RC,"ALT")</f>
        <v/>
      </c>
      <c r="I182" s="47">
        <f>SUM(B182:H182)</f>
        <v/>
      </c>
    </row>
    <row r="183" ht="10" customHeight="1">
      <c r="A183" s="46" t="inlineStr">
        <is>
          <t xml:space="preserve">    Chemical Warfare Detectors</t>
        </is>
      </c>
      <c r="B183" s="47">
        <f>SUMIFS(JB_26BV,JB_B,1,JB_EX,"P-8a",JB_CC,"Hull, Mechanical, and Electrical",JB_H,"DDG",JB_CE,"Chemical Warfare Detectors",JB_RC,"ALT")</f>
        <v/>
      </c>
      <c r="C183" s="48">
        <f>SUMIFS(JB_26BV,JB_B,1,JB_EX,"P-8a",JB_CC,"Hull, Mechanical, and Electrical",JB_H,"FFG",JB_CE,"Chemical Warfare Detectors",JB_RC,"ALT")</f>
        <v/>
      </c>
      <c r="D183" s="48">
        <f>SUMIFS(JB_26BV,JB_B,1,JB_EX,"P-8a",JB_CC,"Hull, Mechanical, and Electrical",JB_H,"LPD",JB_CE,"Chemical Warfare Detectors",JB_RC,"ALT")</f>
        <v/>
      </c>
      <c r="E183" s="48">
        <f>SUMIFS(JB_26BV,JB_B,1,JB_EX,"P-8a",JB_CC,"Hull, Mechanical, and Electrical",JB_H,"LHA",JB_CE,"Chemical Warfare Detectors",JB_RC,"ALT")</f>
        <v/>
      </c>
      <c r="F183" s="48">
        <f>SUMIFS(JB_26BV,JB_B,1,JB_EX,"P-8a",JB_CC,"Hull, Mechanical, and Electrical",JB_H,"T-AGOS",JB_CE,"Chemical Warfare Detectors",JB_RC,"ALT")</f>
        <v/>
      </c>
      <c r="G183" s="48">
        <f>SUMIFS(JB_26BV,JB_B,1,JB_EX,"P-8a",JB_CC,"Hull, Mechanical, and Electrical",JB_H,"T-AO",JB_CE,"Chemical Warfare Detectors",JB_RC,"ALT")</f>
        <v/>
      </c>
      <c r="H183" s="48">
        <f>SUMIFS(JB_26BV,JB_B,1,JB_EX,"P-8a",JB_CC,"Hull, Mechanical, and Electrical",JB_H,"T-ATS",JB_CE,"Chemical Warfare Detectors",JB_RC,"ALT")</f>
        <v/>
      </c>
      <c r="I183" s="47">
        <f>SUM(B183:H183)</f>
        <v/>
      </c>
    </row>
    <row r="184" ht="10" customHeight="1">
      <c r="A184" s="46" t="inlineStr">
        <is>
          <t xml:space="preserve">    Motor Operated Pilot Valve (MOPV)</t>
        </is>
      </c>
      <c r="B184" s="47">
        <f>SUMIFS(JB_26BV,JB_B,1,JB_EX,"P-8a",JB_CC,"Hull, Mechanical, and Electrical",JB_H,"DDG",JB_CE,"Motor Operated Pilot Valve (MOPV)",JB_RC,"ALT")</f>
        <v/>
      </c>
      <c r="C184" s="48">
        <f>SUMIFS(JB_26BV,JB_B,1,JB_EX,"P-8a",JB_CC,"Hull, Mechanical, and Electrical",JB_H,"FFG",JB_CE,"Motor Operated Pilot Valve (MOPV)",JB_RC,"ALT")</f>
        <v/>
      </c>
      <c r="D184" s="48">
        <f>SUMIFS(JB_26BV,JB_B,1,JB_EX,"P-8a",JB_CC,"Hull, Mechanical, and Electrical",JB_H,"LPD",JB_CE,"Motor Operated Pilot Valve (MOPV)",JB_RC,"ALT")</f>
        <v/>
      </c>
      <c r="E184" s="48">
        <f>SUMIFS(JB_26BV,JB_B,1,JB_EX,"P-8a",JB_CC,"Hull, Mechanical, and Electrical",JB_H,"LHA",JB_CE,"Motor Operated Pilot Valve (MOPV)",JB_RC,"ALT")</f>
        <v/>
      </c>
      <c r="F184" s="48">
        <f>SUMIFS(JB_26BV,JB_B,1,JB_EX,"P-8a",JB_CC,"Hull, Mechanical, and Electrical",JB_H,"T-AGOS",JB_CE,"Motor Operated Pilot Valve (MOPV)",JB_RC,"ALT")</f>
        <v/>
      </c>
      <c r="G184" s="48">
        <f>SUMIFS(JB_26BV,JB_B,1,JB_EX,"P-8a",JB_CC,"Hull, Mechanical, and Electrical",JB_H,"T-AO",JB_CE,"Motor Operated Pilot Valve (MOPV)",JB_RC,"ALT")</f>
        <v/>
      </c>
      <c r="H184" s="48">
        <f>SUMIFS(JB_26BV,JB_B,1,JB_EX,"P-8a",JB_CC,"Hull, Mechanical, and Electrical",JB_H,"T-ATS",JB_CE,"Motor Operated Pilot Valve (MOPV)",JB_RC,"ALT")</f>
        <v/>
      </c>
      <c r="I184" s="47">
        <f>SUM(B184:H184)</f>
        <v/>
      </c>
    </row>
    <row r="185" ht="10" customHeight="1">
      <c r="A185" s="46" t="inlineStr">
        <is>
          <t xml:space="preserve">    Plastic Waste Processing EQP</t>
        </is>
      </c>
      <c r="B185" s="47">
        <f>SUMIFS(JB_26BV,JB_B,1,JB_EX,"P-8a",JB_CC,"Hull, Mechanical, and Electrical",JB_H,"DDG",JB_CE,"Plastic Waste Processing EQP",JB_RC,"ALT")</f>
        <v/>
      </c>
      <c r="C185" s="48">
        <f>SUMIFS(JB_26BV,JB_B,1,JB_EX,"P-8a",JB_CC,"Hull, Mechanical, and Electrical",JB_H,"FFG",JB_CE,"Plastic Waste Processing EQP",JB_RC,"ALT")</f>
        <v/>
      </c>
      <c r="D185" s="48">
        <f>SUMIFS(JB_26BV,JB_B,1,JB_EX,"P-8a",JB_CC,"Hull, Mechanical, and Electrical",JB_H,"LPD",JB_CE,"Plastic Waste Processing EQP",JB_RC,"ALT")</f>
        <v/>
      </c>
      <c r="E185" s="48">
        <f>SUMIFS(JB_26BV,JB_B,1,JB_EX,"P-8a",JB_CC,"Hull, Mechanical, and Electrical",JB_H,"LHA",JB_CE,"Plastic Waste Processing EQP",JB_RC,"ALT")</f>
        <v/>
      </c>
      <c r="F185" s="48">
        <f>SUMIFS(JB_26BV,JB_B,1,JB_EX,"P-8a",JB_CC,"Hull, Mechanical, and Electrical",JB_H,"T-AGOS",JB_CE,"Plastic Waste Processing EQP",JB_RC,"ALT")</f>
        <v/>
      </c>
      <c r="G185" s="48">
        <f>SUMIFS(JB_26BV,JB_B,1,JB_EX,"P-8a",JB_CC,"Hull, Mechanical, and Electrical",JB_H,"T-AO",JB_CE,"Plastic Waste Processing EQP",JB_RC,"ALT")</f>
        <v/>
      </c>
      <c r="H185" s="48">
        <f>SUMIFS(JB_26BV,JB_B,1,JB_EX,"P-8a",JB_CC,"Hull, Mechanical, and Electrical",JB_H,"T-ATS",JB_CE,"Plastic Waste Processing EQP",JB_RC,"ALT")</f>
        <v/>
      </c>
      <c r="I185" s="47">
        <f>SUM(B185:H185)</f>
        <v/>
      </c>
    </row>
    <row r="186" ht="10" customHeight="1">
      <c r="A186" s="46" t="inlineStr">
        <is>
          <t xml:space="preserve">    Boats (Rigid Inflatable Boat, 7 meter)</t>
        </is>
      </c>
      <c r="B186" s="47">
        <f>SUMIFS(JB_26BV,JB_B,1,JB_EX,"P-8a",JB_CC,"Hull, Mechanical, and Electrical",JB_H,"DDG",JB_CE,"Boats (Rigid Inflatable Boat, 7 meter)",JB_RC,"ALT")</f>
        <v/>
      </c>
      <c r="C186" s="48">
        <f>SUMIFS(JB_26BV,JB_B,1,JB_EX,"P-8a",JB_CC,"Hull, Mechanical, and Electrical",JB_H,"FFG",JB_CE,"Boats (Rigid Inflatable Boat, 7 meter)",JB_RC,"ALT")</f>
        <v/>
      </c>
      <c r="D186" s="48">
        <f>SUMIFS(JB_26BV,JB_B,1,JB_EX,"P-8a",JB_CC,"Hull, Mechanical, and Electrical",JB_H,"LPD",JB_CE,"Boats (Rigid Inflatable Boat, 7 meter)",JB_RC,"ALT")</f>
        <v/>
      </c>
      <c r="E186" s="48">
        <f>SUMIFS(JB_26BV,JB_B,1,JB_EX,"P-8a",JB_CC,"Hull, Mechanical, and Electrical",JB_H,"LHA",JB_CE,"Boats (Rigid Inflatable Boat, 7 meter)",JB_RC,"ALT")</f>
        <v/>
      </c>
      <c r="F186" s="48">
        <f>SUMIFS(JB_26BV,JB_B,1,JB_EX,"P-8a",JB_CC,"Hull, Mechanical, and Electrical",JB_H,"T-AGOS",JB_CE,"Boats (Rigid Inflatable Boat, 7 meter)",JB_RC,"ALT")</f>
        <v/>
      </c>
      <c r="G186" s="48">
        <f>SUMIFS(JB_26BV,JB_B,1,JB_EX,"P-8a",JB_CC,"Hull, Mechanical, and Electrical",JB_H,"T-AO",JB_CE,"Boats (Rigid Inflatable Boat, 7 meter)",JB_RC,"ALT")</f>
        <v/>
      </c>
      <c r="H186" s="48">
        <f>SUMIFS(JB_26BV,JB_B,1,JB_EX,"P-8a",JB_CC,"Hull, Mechanical, and Electrical",JB_H,"T-ATS",JB_CE,"Boats (Rigid Inflatable Boat, 7 meter)",JB_RC,"ALT")</f>
        <v/>
      </c>
      <c r="I186" s="47">
        <f>SUM(B186:H186)</f>
        <v/>
      </c>
    </row>
    <row r="187" ht="10" customHeight="1">
      <c r="A187" s="46" t="inlineStr">
        <is>
          <t xml:space="preserve">    Military Payroll System</t>
        </is>
      </c>
      <c r="B187" s="47">
        <f>SUMIFS(JB_26BV,JB_B,1,JB_EX,"P-8a",JB_CC,"Hull, Mechanical, and Electrical",JB_H,"DDG",JB_CE,"Military Payroll System",JB_RC,"ALT")</f>
        <v/>
      </c>
      <c r="C187" s="48">
        <f>SUMIFS(JB_26BV,JB_B,1,JB_EX,"P-8a",JB_CC,"Hull, Mechanical, and Electrical",JB_H,"FFG",JB_CE,"Military Payroll System",JB_RC,"ALT")</f>
        <v/>
      </c>
      <c r="D187" s="48">
        <f>SUMIFS(JB_26BV,JB_B,1,JB_EX,"P-8a",JB_CC,"Hull, Mechanical, and Electrical",JB_H,"LPD",JB_CE,"Military Payroll System",JB_RC,"ALT")</f>
        <v/>
      </c>
      <c r="E187" s="48">
        <f>SUMIFS(JB_26BV,JB_B,1,JB_EX,"P-8a",JB_CC,"Hull, Mechanical, and Electrical",JB_H,"LHA",JB_CE,"Military Payroll System",JB_RC,"ALT")</f>
        <v/>
      </c>
      <c r="F187" s="48">
        <f>SUMIFS(JB_26BV,JB_B,1,JB_EX,"P-8a",JB_CC,"Hull, Mechanical, and Electrical",JB_H,"T-AGOS",JB_CE,"Military Payroll System",JB_RC,"ALT")</f>
        <v/>
      </c>
      <c r="G187" s="48">
        <f>SUMIFS(JB_26BV,JB_B,1,JB_EX,"P-8a",JB_CC,"Hull, Mechanical, and Electrical",JB_H,"T-AO",JB_CE,"Military Payroll System",JB_RC,"ALT")</f>
        <v/>
      </c>
      <c r="H187" s="48">
        <f>SUMIFS(JB_26BV,JB_B,1,JB_EX,"P-8a",JB_CC,"Hull, Mechanical, and Electrical",JB_H,"T-ATS",JB_CE,"Military Payroll System",JB_RC,"ALT")</f>
        <v/>
      </c>
      <c r="I187" s="47">
        <f>SUM(B187:H187)</f>
        <v/>
      </c>
    </row>
    <row r="188" ht="10" customHeight="1">
      <c r="A188" s="46" t="inlineStr">
        <is>
          <t xml:space="preserve">    Improved Point Detection System - Lifecycle Replacement (IPDS-LR)</t>
        </is>
      </c>
      <c r="B188" s="47">
        <f>SUMIFS(JB_26BV,JB_B,1,JB_EX,"P-8a",JB_CC,"Hull, Mechanical, and Electrical",JB_H,"DDG",JB_CE,"Improved Point Detection System - Lifecycle Replacement (IPDS-LR)",JB_RC,"ALT")</f>
        <v/>
      </c>
      <c r="C188" s="48">
        <f>SUMIFS(JB_26BV,JB_B,1,JB_EX,"P-8a",JB_CC,"Hull, Mechanical, and Electrical",JB_H,"FFG",JB_CE,"Improved Point Detection System - Lifecycle Replacement (IPDS-LR)",JB_RC,"ALT")</f>
        <v/>
      </c>
      <c r="D188" s="48">
        <f>SUMIFS(JB_26BV,JB_B,1,JB_EX,"P-8a",JB_CC,"Hull, Mechanical, and Electrical",JB_H,"LPD",JB_CE,"Improved Point Detection System - Lifecycle Replacement (IPDS-LR)",JB_RC,"ALT")</f>
        <v/>
      </c>
      <c r="E188" s="48">
        <f>SUMIFS(JB_26BV,JB_B,1,JB_EX,"P-8a",JB_CC,"Hull, Mechanical, and Electrical",JB_H,"LHA",JB_CE,"Improved Point Detection System - Lifecycle Replacement (IPDS-LR)",JB_RC,"ALT")</f>
        <v/>
      </c>
      <c r="F188" s="48">
        <f>SUMIFS(JB_26BV,JB_B,1,JB_EX,"P-8a",JB_CC,"Hull, Mechanical, and Electrical",JB_H,"T-AGOS",JB_CE,"Improved Point Detection System - Lifecycle Replacement (IPDS-LR)",JB_RC,"ALT")</f>
        <v/>
      </c>
      <c r="G188" s="48">
        <f>SUMIFS(JB_26BV,JB_B,1,JB_EX,"P-8a",JB_CC,"Hull, Mechanical, and Electrical",JB_H,"T-AO",JB_CE,"Improved Point Detection System - Lifecycle Replacement (IPDS-LR)",JB_RC,"ALT")</f>
        <v/>
      </c>
      <c r="H188" s="48">
        <f>SUMIFS(JB_26BV,JB_B,1,JB_EX,"P-8a",JB_CC,"Hull, Mechanical, and Electrical",JB_H,"T-ATS",JB_CE,"Improved Point Detection System - Lifecycle Replacement (IPDS-LR)",JB_RC,"ALT")</f>
        <v/>
      </c>
      <c r="I188" s="47">
        <f>SUM(B188:H188)</f>
        <v/>
      </c>
    </row>
    <row r="189" ht="10" customHeight="1">
      <c r="A189" s="46" t="inlineStr">
        <is>
          <t xml:space="preserve">    Shipboard Automated Maintenance Module (SAMM)</t>
        </is>
      </c>
      <c r="B189" s="47">
        <f>SUMIFS(JB_26BV,JB_B,1,JB_EX,"P-8a",JB_CC,"Hull, Mechanical, and Electrical",JB_H,"DDG",JB_CE,"Shipboard Automated Maintenance Module (SAMM)",JB_RC,"ALT")</f>
        <v/>
      </c>
      <c r="C189" s="48">
        <f>SUMIFS(JB_26BV,JB_B,1,JB_EX,"P-8a",JB_CC,"Hull, Mechanical, and Electrical",JB_H,"FFG",JB_CE,"Shipboard Automated Maintenance Module (SAMM)",JB_RC,"ALT")</f>
        <v/>
      </c>
      <c r="D189" s="48">
        <f>SUMIFS(JB_26BV,JB_B,1,JB_EX,"P-8a",JB_CC,"Hull, Mechanical, and Electrical",JB_H,"LPD",JB_CE,"Shipboard Automated Maintenance Module (SAMM)",JB_RC,"ALT")</f>
        <v/>
      </c>
      <c r="E189" s="48">
        <f>SUMIFS(JB_26BV,JB_B,1,JB_EX,"P-8a",JB_CC,"Hull, Mechanical, and Electrical",JB_H,"LHA",JB_CE,"Shipboard Automated Maintenance Module (SAMM)",JB_RC,"ALT")</f>
        <v/>
      </c>
      <c r="F189" s="48">
        <f>SUMIFS(JB_26BV,JB_B,1,JB_EX,"P-8a",JB_CC,"Hull, Mechanical, and Electrical",JB_H,"T-AGOS",JB_CE,"Shipboard Automated Maintenance Module (SAMM)",JB_RC,"ALT")</f>
        <v/>
      </c>
      <c r="G189" s="48">
        <f>SUMIFS(JB_26BV,JB_B,1,JB_EX,"P-8a",JB_CC,"Hull, Mechanical, and Electrical",JB_H,"T-AO",JB_CE,"Shipboard Automated Maintenance Module (SAMM)",JB_RC,"ALT")</f>
        <v/>
      </c>
      <c r="H189" s="48">
        <f>SUMIFS(JB_26BV,JB_B,1,JB_EX,"P-8a",JB_CC,"Hull, Mechanical, and Electrical",JB_H,"T-ATS",JB_CE,"Shipboard Automated Maintenance Module (SAMM)",JB_RC,"ALT")</f>
        <v/>
      </c>
      <c r="I189" s="47">
        <f>SUM(B189:H189)</f>
        <v/>
      </c>
    </row>
    <row r="190" ht="10" customHeight="1">
      <c r="A190" s="46" t="inlineStr">
        <is>
          <t xml:space="preserve">    Oily Water Separator</t>
        </is>
      </c>
      <c r="B190" s="47">
        <f>SUMIFS(JB_26BV,JB_B,1,JB_EX,"P-8a",JB_CC,"Hull, Mechanical, and Electrical",JB_H,"DDG",JB_CE,"Oily Water Separator",JB_RC,"ALT")</f>
        <v/>
      </c>
      <c r="C190" s="48">
        <f>SUMIFS(JB_26BV,JB_B,1,JB_EX,"P-8a",JB_CC,"Hull, Mechanical, and Electrical",JB_H,"FFG",JB_CE,"Oily Water Separator",JB_RC,"ALT")</f>
        <v/>
      </c>
      <c r="D190" s="48">
        <f>SUMIFS(JB_26BV,JB_B,1,JB_EX,"P-8a",JB_CC,"Hull, Mechanical, and Electrical",JB_H,"LPD",JB_CE,"Oily Water Separator",JB_RC,"ALT")</f>
        <v/>
      </c>
      <c r="E190" s="48">
        <f>SUMIFS(JB_26BV,JB_B,1,JB_EX,"P-8a",JB_CC,"Hull, Mechanical, and Electrical",JB_H,"LHA",JB_CE,"Oily Water Separator",JB_RC,"ALT")</f>
        <v/>
      </c>
      <c r="F190" s="48">
        <f>SUMIFS(JB_26BV,JB_B,1,JB_EX,"P-8a",JB_CC,"Hull, Mechanical, and Electrical",JB_H,"T-AGOS",JB_CE,"Oily Water Separator",JB_RC,"ALT")</f>
        <v/>
      </c>
      <c r="G190" s="48">
        <f>SUMIFS(JB_26BV,JB_B,1,JB_EX,"P-8a",JB_CC,"Hull, Mechanical, and Electrical",JB_H,"T-AO",JB_CE,"Oily Water Separator",JB_RC,"ALT")</f>
        <v/>
      </c>
      <c r="H190" s="48">
        <f>SUMIFS(JB_26BV,JB_B,1,JB_EX,"P-8a",JB_CC,"Hull, Mechanical, and Electrical",JB_H,"T-ATS",JB_CE,"Oily Water Separator",JB_RC,"ALT")</f>
        <v/>
      </c>
      <c r="I190" s="47">
        <f>SUM(B190:H190)</f>
        <v/>
      </c>
    </row>
    <row r="191" ht="10" customHeight="1">
      <c r="A191" s="30" t="inlineStr">
        <is>
          <t>Ordnance</t>
        </is>
      </c>
      <c r="B191" s="45">
        <f>SUMIFS(JB_26BV,JB_B,1,JB_EX,"P-5c",JB_CC,"Ordnance",JB_H,"DDG",JB_RC,"ALT")</f>
        <v/>
      </c>
      <c r="C191" s="31">
        <f>SUMIFS(JB_26BV,JB_B,1,JB_EX,"P-5c",JB_CC,"Ordnance",JB_H,"FFG",JB_RC,"ALT")</f>
        <v/>
      </c>
      <c r="D191" s="31">
        <f>SUMIFS(JB_26BV,JB_B,1,JB_EX,"P-5c",JB_CC,"Ordnance",JB_H,"LPD",JB_RC,"ALT")</f>
        <v/>
      </c>
      <c r="E191" s="31">
        <f>SUMIFS(JB_26BV,JB_B,1,JB_EX,"P-5c",JB_CC,"Ordnance",JB_H,"LHA",JB_RC,"ALT")</f>
        <v/>
      </c>
      <c r="F191" s="31">
        <f>SUMIFS(JB_26BV,JB_B,1,JB_EX,"P-5c",JB_CC,"Ordnance",JB_H,"T-AGOS",JB_RC,"ALT")</f>
        <v/>
      </c>
      <c r="G191" s="31">
        <f>SUMIFS(JB_26BV,JB_B,1,JB_EX,"P-5c",JB_CC,"Ordnance",JB_H,"T-AO",JB_RC,"ALT")</f>
        <v/>
      </c>
      <c r="H191" s="31">
        <f>SUMIFS(JB_26BV,JB_B,1,JB_EX,"P-5c",JB_CC,"Ordnance",JB_H,"T-ATS",JB_RC,"ALT")</f>
        <v/>
      </c>
      <c r="I191" s="45">
        <f>SUM(B191:H191)</f>
        <v/>
      </c>
    </row>
    <row r="192" ht="10" customHeight="1">
      <c r="A192" s="46" t="inlineStr">
        <is>
          <t xml:space="preserve">    AN/SPY-6(V)1 (AMDR)</t>
        </is>
      </c>
      <c r="B192" s="47">
        <f>SUMIFS(JB_26BV,JB_B,1,JB_EX,"P-8a",JB_CC,"Ordnance",JB_H,"DDG",JB_CE,"AN/SPY-6(V)1 (AMDR)",JB_RC,"ALT")</f>
        <v/>
      </c>
      <c r="C192" s="48">
        <f>SUMIFS(JB_26BV,JB_B,1,JB_EX,"P-8a",JB_CC,"Ordnance",JB_H,"FFG",JB_CE,"AN/SPY-6(V)1 (AMDR)",JB_RC,"ALT")</f>
        <v/>
      </c>
      <c r="D192" s="48">
        <f>SUMIFS(JB_26BV,JB_B,1,JB_EX,"P-8a",JB_CC,"Ordnance",JB_H,"LPD",JB_CE,"AN/SPY-6(V)1 (AMDR)",JB_RC,"ALT")</f>
        <v/>
      </c>
      <c r="E192" s="48">
        <f>SUMIFS(JB_26BV,JB_B,1,JB_EX,"P-8a",JB_CC,"Ordnance",JB_H,"LHA",JB_CE,"AN/SPY-6(V)1 (AMDR)",JB_RC,"ALT")</f>
        <v/>
      </c>
      <c r="F192" s="48">
        <f>SUMIFS(JB_26BV,JB_B,1,JB_EX,"P-8a",JB_CC,"Ordnance",JB_H,"T-AGOS",JB_CE,"AN/SPY-6(V)1 (AMDR)",JB_RC,"ALT")</f>
        <v/>
      </c>
      <c r="G192" s="48">
        <f>SUMIFS(JB_26BV,JB_B,1,JB_EX,"P-8a",JB_CC,"Ordnance",JB_H,"T-AO",JB_CE,"AN/SPY-6(V)1 (AMDR)",JB_RC,"ALT")</f>
        <v/>
      </c>
      <c r="H192" s="48">
        <f>SUMIFS(JB_26BV,JB_B,1,JB_EX,"P-8a",JB_CC,"Ordnance",JB_H,"T-ATS",JB_CE,"AN/SPY-6(V)1 (AMDR)",JB_RC,"ALT")</f>
        <v/>
      </c>
      <c r="I192" s="47">
        <f>SUM(B192:H192)</f>
        <v/>
      </c>
    </row>
    <row r="193" ht="10" customHeight="1">
      <c r="A193" s="46" t="inlineStr">
        <is>
          <t xml:space="preserve">    AEGIS WEAPON SYSTEM (MK-7)</t>
        </is>
      </c>
      <c r="B193" s="47">
        <f>SUMIFS(JB_26BV,JB_B,1,JB_EX,"P-8a",JB_CC,"Ordnance",JB_H,"DDG",JB_CE,"AEGIS WEAPON SYSTEM (MK-7)",JB_RC,"ALT")</f>
        <v/>
      </c>
      <c r="C193" s="48">
        <f>SUMIFS(JB_26BV,JB_B,1,JB_EX,"P-8a",JB_CC,"Ordnance",JB_H,"FFG",JB_CE,"AEGIS WEAPON SYSTEM (MK-7)",JB_RC,"ALT")</f>
        <v/>
      </c>
      <c r="D193" s="48">
        <f>SUMIFS(JB_26BV,JB_B,1,JB_EX,"P-8a",JB_CC,"Ordnance",JB_H,"LPD",JB_CE,"AEGIS WEAPON SYSTEM (MK-7)",JB_RC,"ALT")</f>
        <v/>
      </c>
      <c r="E193" s="48">
        <f>SUMIFS(JB_26BV,JB_B,1,JB_EX,"P-8a",JB_CC,"Ordnance",JB_H,"LHA",JB_CE,"AEGIS WEAPON SYSTEM (MK-7)",JB_RC,"ALT")</f>
        <v/>
      </c>
      <c r="F193" s="48">
        <f>SUMIFS(JB_26BV,JB_B,1,JB_EX,"P-8a",JB_CC,"Ordnance",JB_H,"T-AGOS",JB_CE,"AEGIS WEAPON SYSTEM (MK-7)",JB_RC,"ALT")</f>
        <v/>
      </c>
      <c r="G193" s="48">
        <f>SUMIFS(JB_26BV,JB_B,1,JB_EX,"P-8a",JB_CC,"Ordnance",JB_H,"T-AO",JB_CE,"AEGIS WEAPON SYSTEM (MK-7)",JB_RC,"ALT")</f>
        <v/>
      </c>
      <c r="H193" s="48">
        <f>SUMIFS(JB_26BV,JB_B,1,JB_EX,"P-8a",JB_CC,"Ordnance",JB_H,"T-ATS",JB_CE,"AEGIS WEAPON SYSTEM (MK-7)",JB_RC,"ALT")</f>
        <v/>
      </c>
      <c r="I193" s="47">
        <f>SUM(B193:H193)</f>
        <v/>
      </c>
    </row>
    <row r="194" ht="10" customHeight="1">
      <c r="A194" s="46" t="inlineStr">
        <is>
          <t xml:space="preserve">    ADVANCED GUN SYSTEM (AGS)</t>
        </is>
      </c>
      <c r="B194" s="47">
        <f>SUMIFS(JB_26BV,JB_B,1,JB_EX,"P-8a",JB_CC,"Ordnance",JB_H,"DDG",JB_CE,"ADVANCED GUN SYSTEM (AGS)",JB_RC,"ALT")</f>
        <v/>
      </c>
      <c r="C194" s="48">
        <f>SUMIFS(JB_26BV,JB_B,1,JB_EX,"P-8a",JB_CC,"Ordnance",JB_H,"FFG",JB_CE,"ADVANCED GUN SYSTEM (AGS)",JB_RC,"ALT")</f>
        <v/>
      </c>
      <c r="D194" s="48">
        <f>SUMIFS(JB_26BV,JB_B,1,JB_EX,"P-8a",JB_CC,"Ordnance",JB_H,"LPD",JB_CE,"ADVANCED GUN SYSTEM (AGS)",JB_RC,"ALT")</f>
        <v/>
      </c>
      <c r="E194" s="48">
        <f>SUMIFS(JB_26BV,JB_B,1,JB_EX,"P-8a",JB_CC,"Ordnance",JB_H,"LHA",JB_CE,"ADVANCED GUN SYSTEM (AGS)",JB_RC,"ALT")</f>
        <v/>
      </c>
      <c r="F194" s="48">
        <f>SUMIFS(JB_26BV,JB_B,1,JB_EX,"P-8a",JB_CC,"Ordnance",JB_H,"T-AGOS",JB_CE,"ADVANCED GUN SYSTEM (AGS)",JB_RC,"ALT")</f>
        <v/>
      </c>
      <c r="G194" s="48">
        <f>SUMIFS(JB_26BV,JB_B,1,JB_EX,"P-8a",JB_CC,"Ordnance",JB_H,"T-AO",JB_CE,"ADVANCED GUN SYSTEM (AGS)",JB_RC,"ALT")</f>
        <v/>
      </c>
      <c r="H194" s="48">
        <f>SUMIFS(JB_26BV,JB_B,1,JB_EX,"P-8a",JB_CC,"Ordnance",JB_H,"T-ATS",JB_CE,"ADVANCED GUN SYSTEM (AGS)",JB_RC,"ALT")</f>
        <v/>
      </c>
      <c r="I194" s="47">
        <f>SUM(B194:H194)</f>
        <v/>
      </c>
    </row>
    <row r="195" ht="10" customHeight="1">
      <c r="A195" s="46" t="inlineStr">
        <is>
          <t xml:space="preserve">    VLS MK 41</t>
        </is>
      </c>
      <c r="B195" s="47">
        <f>SUMIFS(JB_26BV,JB_B,1,JB_EX,"P-8a",JB_CC,"Ordnance",JB_H,"DDG",JB_CE,"VLS MK 41",JB_RC,"ALT")</f>
        <v/>
      </c>
      <c r="C195" s="48">
        <f>SUMIFS(JB_26BV,JB_B,1,JB_EX,"P-8a",JB_CC,"Ordnance",JB_H,"FFG",JB_CE,"VLS MK 41",JB_RC,"ALT")</f>
        <v/>
      </c>
      <c r="D195" s="48">
        <f>SUMIFS(JB_26BV,JB_B,1,JB_EX,"P-8a",JB_CC,"Ordnance",JB_H,"LPD",JB_CE,"VLS MK 41",JB_RC,"ALT")</f>
        <v/>
      </c>
      <c r="E195" s="48">
        <f>SUMIFS(JB_26BV,JB_B,1,JB_EX,"P-8a",JB_CC,"Ordnance",JB_H,"LHA",JB_CE,"VLS MK 41",JB_RC,"ALT")</f>
        <v/>
      </c>
      <c r="F195" s="48">
        <f>SUMIFS(JB_26BV,JB_B,1,JB_EX,"P-8a",JB_CC,"Ordnance",JB_H,"T-AGOS",JB_CE,"VLS MK 41",JB_RC,"ALT")</f>
        <v/>
      </c>
      <c r="G195" s="48">
        <f>SUMIFS(JB_26BV,JB_B,1,JB_EX,"P-8a",JB_CC,"Ordnance",JB_H,"T-AO",JB_CE,"VLS MK 41",JB_RC,"ALT")</f>
        <v/>
      </c>
      <c r="H195" s="48">
        <f>SUMIFS(JB_26BV,JB_B,1,JB_EX,"P-8a",JB_CC,"Ordnance",JB_H,"T-ATS",JB_CE,"VLS MK 41",JB_RC,"ALT")</f>
        <v/>
      </c>
      <c r="I195" s="47">
        <f>SUM(B195:H195)</f>
        <v/>
      </c>
    </row>
    <row r="196" ht="10" customHeight="1">
      <c r="A196" s="46" t="inlineStr">
        <is>
          <t xml:space="preserve">    MISC. ORDNANCE</t>
        </is>
      </c>
      <c r="B196" s="47">
        <f>SUMIFS(JB_26BV,JB_B,1,JB_EX,"P-8a",JB_CC,"Ordnance",JB_H,"DDG",JB_CE,"MISC. ORDNANCE",JB_RC,"ALT")</f>
        <v/>
      </c>
      <c r="C196" s="48">
        <f>SUMIFS(JB_26BV,JB_B,1,JB_EX,"P-8a",JB_CC,"Ordnance",JB_H,"FFG",JB_CE,"MISC. ORDNANCE",JB_RC,"ALT")</f>
        <v/>
      </c>
      <c r="D196" s="48">
        <f>SUMIFS(JB_26BV,JB_B,1,JB_EX,"P-8a",JB_CC,"Ordnance",JB_H,"LPD",JB_CE,"MISC. ORDNANCE",JB_RC,"ALT")</f>
        <v/>
      </c>
      <c r="E196" s="48">
        <f>SUMIFS(JB_26BV,JB_B,1,JB_EX,"P-8a",JB_CC,"Ordnance",JB_H,"LHA",JB_CE,"MISC. ORDNANCE",JB_RC,"ALT")</f>
        <v/>
      </c>
      <c r="F196" s="48">
        <f>SUMIFS(JB_26BV,JB_B,1,JB_EX,"P-8a",JB_CC,"Ordnance",JB_H,"T-AGOS",JB_CE,"MISC. ORDNANCE",JB_RC,"ALT")</f>
        <v/>
      </c>
      <c r="G196" s="48">
        <f>SUMIFS(JB_26BV,JB_B,1,JB_EX,"P-8a",JB_CC,"Ordnance",JB_H,"T-AO",JB_CE,"MISC. ORDNANCE",JB_RC,"ALT")</f>
        <v/>
      </c>
      <c r="H196" s="48">
        <f>SUMIFS(JB_26BV,JB_B,1,JB_EX,"P-8a",JB_CC,"Ordnance",JB_H,"T-ATS",JB_CE,"MISC. ORDNANCE",JB_RC,"ALT")</f>
        <v/>
      </c>
      <c r="I196" s="47">
        <f>SUM(B196:H196)</f>
        <v/>
      </c>
    </row>
    <row r="197" ht="10" customHeight="1">
      <c r="A197" s="46" t="inlineStr">
        <is>
          <t xml:space="preserve">    MK 45 Light Weight Gun (LWG)</t>
        </is>
      </c>
      <c r="B197" s="47">
        <f>SUMIFS(JB_26BV,JB_B,1,JB_EX,"P-8a",JB_CC,"Ordnance",JB_H,"DDG",JB_CE,"MK 45 Light Weight Gun (LWG)",JB_RC,"ALT")</f>
        <v/>
      </c>
      <c r="C197" s="48">
        <f>SUMIFS(JB_26BV,JB_B,1,JB_EX,"P-8a",JB_CC,"Ordnance",JB_H,"FFG",JB_CE,"MK 45 Light Weight Gun (LWG)",JB_RC,"ALT")</f>
        <v/>
      </c>
      <c r="D197" s="48">
        <f>SUMIFS(JB_26BV,JB_B,1,JB_EX,"P-8a",JB_CC,"Ordnance",JB_H,"LPD",JB_CE,"MK 45 Light Weight Gun (LWG)",JB_RC,"ALT")</f>
        <v/>
      </c>
      <c r="E197" s="48">
        <f>SUMIFS(JB_26BV,JB_B,1,JB_EX,"P-8a",JB_CC,"Ordnance",JB_H,"LHA",JB_CE,"MK 45 Light Weight Gun (LWG)",JB_RC,"ALT")</f>
        <v/>
      </c>
      <c r="F197" s="48">
        <f>SUMIFS(JB_26BV,JB_B,1,JB_EX,"P-8a",JB_CC,"Ordnance",JB_H,"T-AGOS",JB_CE,"MK 45 Light Weight Gun (LWG)",JB_RC,"ALT")</f>
        <v/>
      </c>
      <c r="G197" s="48">
        <f>SUMIFS(JB_26BV,JB_B,1,JB_EX,"P-8a",JB_CC,"Ordnance",JB_H,"T-AO",JB_CE,"MK 45 Light Weight Gun (LWG)",JB_RC,"ALT")</f>
        <v/>
      </c>
      <c r="H197" s="48">
        <f>SUMIFS(JB_26BV,JB_B,1,JB_EX,"P-8a",JB_CC,"Ordnance",JB_H,"T-ATS",JB_CE,"MK 45 Light Weight Gun (LWG)",JB_RC,"ALT")</f>
        <v/>
      </c>
      <c r="I197" s="47">
        <f>SUM(B197:H197)</f>
        <v/>
      </c>
    </row>
    <row r="198" ht="10" customHeight="1">
      <c r="A198" s="46" t="inlineStr">
        <is>
          <t xml:space="preserve">    MK 41 Vertical Launch System (VLS)- 32 Cell</t>
        </is>
      </c>
      <c r="B198" s="47">
        <f>SUMIFS(JB_26BV,JB_B,1,JB_EX,"P-8a",JB_CC,"Ordnance",JB_H,"DDG",JB_CE,"MK 41 Vertical Launch System (VLS)- 32 Cell",JB_RC,"ALT")</f>
        <v/>
      </c>
      <c r="C198" s="48">
        <f>SUMIFS(JB_26BV,JB_B,1,JB_EX,"P-8a",JB_CC,"Ordnance",JB_H,"FFG",JB_CE,"MK 41 Vertical Launch System (VLS)- 32 Cell",JB_RC,"ALT")</f>
        <v/>
      </c>
      <c r="D198" s="48">
        <f>SUMIFS(JB_26BV,JB_B,1,JB_EX,"P-8a",JB_CC,"Ordnance",JB_H,"LPD",JB_CE,"MK 41 Vertical Launch System (VLS)- 32 Cell",JB_RC,"ALT")</f>
        <v/>
      </c>
      <c r="E198" s="48">
        <f>SUMIFS(JB_26BV,JB_B,1,JB_EX,"P-8a",JB_CC,"Ordnance",JB_H,"LHA",JB_CE,"MK 41 Vertical Launch System (VLS)- 32 Cell",JB_RC,"ALT")</f>
        <v/>
      </c>
      <c r="F198" s="48">
        <f>SUMIFS(JB_26BV,JB_B,1,JB_EX,"P-8a",JB_CC,"Ordnance",JB_H,"T-AGOS",JB_CE,"MK 41 Vertical Launch System (VLS)- 32 Cell",JB_RC,"ALT")</f>
        <v/>
      </c>
      <c r="G198" s="48">
        <f>SUMIFS(JB_26BV,JB_B,1,JB_EX,"P-8a",JB_CC,"Ordnance",JB_H,"T-AO",JB_CE,"MK 41 Vertical Launch System (VLS)- 32 Cell",JB_RC,"ALT")</f>
        <v/>
      </c>
      <c r="H198" s="48">
        <f>SUMIFS(JB_26BV,JB_B,1,JB_EX,"P-8a",JB_CC,"Ordnance",JB_H,"T-ATS",JB_CE,"MK 41 Vertical Launch System (VLS)- 32 Cell",JB_RC,"ALT")</f>
        <v/>
      </c>
      <c r="I198" s="47">
        <f>SUM(B198:H198)</f>
        <v/>
      </c>
    </row>
    <row r="199" ht="10" customHeight="1">
      <c r="A199" s="46" t="inlineStr">
        <is>
          <t xml:space="preserve">    MK 37 TOMAHAWK</t>
        </is>
      </c>
      <c r="B199" s="47">
        <f>SUMIFS(JB_26BV,JB_B,1,JB_EX,"P-8a",JB_CC,"Ordnance",JB_H,"DDG",JB_CE,"MK 37 TOMAHAWK",JB_RC,"ALT")</f>
        <v/>
      </c>
      <c r="C199" s="48">
        <f>SUMIFS(JB_26BV,JB_B,1,JB_EX,"P-8a",JB_CC,"Ordnance",JB_H,"FFG",JB_CE,"MK 37 TOMAHAWK",JB_RC,"ALT")</f>
        <v/>
      </c>
      <c r="D199" s="48">
        <f>SUMIFS(JB_26BV,JB_B,1,JB_EX,"P-8a",JB_CC,"Ordnance",JB_H,"LPD",JB_CE,"MK 37 TOMAHAWK",JB_RC,"ALT")</f>
        <v/>
      </c>
      <c r="E199" s="48">
        <f>SUMIFS(JB_26BV,JB_B,1,JB_EX,"P-8a",JB_CC,"Ordnance",JB_H,"LHA",JB_CE,"MK 37 TOMAHAWK",JB_RC,"ALT")</f>
        <v/>
      </c>
      <c r="F199" s="48">
        <f>SUMIFS(JB_26BV,JB_B,1,JB_EX,"P-8a",JB_CC,"Ordnance",JB_H,"T-AGOS",JB_CE,"MK 37 TOMAHAWK",JB_RC,"ALT")</f>
        <v/>
      </c>
      <c r="G199" s="48">
        <f>SUMIFS(JB_26BV,JB_B,1,JB_EX,"P-8a",JB_CC,"Ordnance",JB_H,"T-AO",JB_CE,"MK 37 TOMAHAWK",JB_RC,"ALT")</f>
        <v/>
      </c>
      <c r="H199" s="48">
        <f>SUMIFS(JB_26BV,JB_B,1,JB_EX,"P-8a",JB_CC,"Ordnance",JB_H,"T-ATS",JB_CE,"MK 37 TOMAHAWK",JB_RC,"ALT")</f>
        <v/>
      </c>
      <c r="I199" s="47">
        <f>SUM(B199:H199)</f>
        <v/>
      </c>
    </row>
    <row r="200" ht="10" customHeight="1">
      <c r="A200" s="46" t="inlineStr">
        <is>
          <t xml:space="preserve">    EASR</t>
        </is>
      </c>
      <c r="B200" s="47">
        <f>SUMIFS(JB_26BV,JB_B,1,JB_EX,"P-8a",JB_CC,"Ordnance",JB_H,"DDG",JB_CE,"EASR",JB_RC,"ALT")</f>
        <v/>
      </c>
      <c r="C200" s="48">
        <f>SUMIFS(JB_26BV,JB_B,1,JB_EX,"P-8a",JB_CC,"Ordnance",JB_H,"FFG",JB_CE,"EASR",JB_RC,"ALT")</f>
        <v/>
      </c>
      <c r="D200" s="48">
        <f>SUMIFS(JB_26BV,JB_B,1,JB_EX,"P-8a",JB_CC,"Ordnance",JB_H,"LPD",JB_CE,"EASR",JB_RC,"ALT")</f>
        <v/>
      </c>
      <c r="E200" s="48">
        <f>SUMIFS(JB_26BV,JB_B,1,JB_EX,"P-8a",JB_CC,"Ordnance",JB_H,"LHA",JB_CE,"EASR",JB_RC,"ALT")</f>
        <v/>
      </c>
      <c r="F200" s="48">
        <f>SUMIFS(JB_26BV,JB_B,1,JB_EX,"P-8a",JB_CC,"Ordnance",JB_H,"T-AGOS",JB_CE,"EASR",JB_RC,"ALT")</f>
        <v/>
      </c>
      <c r="G200" s="48">
        <f>SUMIFS(JB_26BV,JB_B,1,JB_EX,"P-8a",JB_CC,"Ordnance",JB_H,"T-AO",JB_CE,"EASR",JB_RC,"ALT")</f>
        <v/>
      </c>
      <c r="H200" s="48">
        <f>SUMIFS(JB_26BV,JB_B,1,JB_EX,"P-8a",JB_CC,"Ordnance",JB_H,"T-ATS",JB_CE,"EASR",JB_RC,"ALT")</f>
        <v/>
      </c>
      <c r="I200" s="47">
        <f>SUM(B200:H200)</f>
        <v/>
      </c>
    </row>
    <row r="201" ht="10" customHeight="1">
      <c r="A201" s="46" t="inlineStr">
        <is>
          <t xml:space="preserve">    Enterprise Air Surveillance Radar (EASR)</t>
        </is>
      </c>
      <c r="B201" s="47">
        <f>SUMIFS(JB_26BV,JB_B,1,JB_EX,"P-8a",JB_CC,"Ordnance",JB_H,"DDG",JB_CE,"Enterprise Air Surveillance Radar (EASR)",JB_RC,"ALT")</f>
        <v/>
      </c>
      <c r="C201" s="48">
        <f>SUMIFS(JB_26BV,JB_B,1,JB_EX,"P-8a",JB_CC,"Ordnance",JB_H,"FFG",JB_CE,"Enterprise Air Surveillance Radar (EASR)",JB_RC,"ALT")</f>
        <v/>
      </c>
      <c r="D201" s="48">
        <f>SUMIFS(JB_26BV,JB_B,1,JB_EX,"P-8a",JB_CC,"Ordnance",JB_H,"LPD",JB_CE,"Enterprise Air Surveillance Radar (EASR)",JB_RC,"ALT")</f>
        <v/>
      </c>
      <c r="E201" s="48">
        <f>SUMIFS(JB_26BV,JB_B,1,JB_EX,"P-8a",JB_CC,"Ordnance",JB_H,"LHA",JB_CE,"Enterprise Air Surveillance Radar (EASR)",JB_RC,"ALT")</f>
        <v/>
      </c>
      <c r="F201" s="48">
        <f>SUMIFS(JB_26BV,JB_B,1,JB_EX,"P-8a",JB_CC,"Ordnance",JB_H,"T-AGOS",JB_CE,"Enterprise Air Surveillance Radar (EASR)",JB_RC,"ALT")</f>
        <v/>
      </c>
      <c r="G201" s="48">
        <f>SUMIFS(JB_26BV,JB_B,1,JB_EX,"P-8a",JB_CC,"Ordnance",JB_H,"T-AO",JB_CE,"Enterprise Air Surveillance Radar (EASR)",JB_RC,"ALT")</f>
        <v/>
      </c>
      <c r="H201" s="48">
        <f>SUMIFS(JB_26BV,JB_B,1,JB_EX,"P-8a",JB_CC,"Ordnance",JB_H,"T-ATS",JB_CE,"Enterprise Air Surveillance Radar (EASR)",JB_RC,"ALT")</f>
        <v/>
      </c>
      <c r="I201" s="47">
        <f>SUM(B201:H201)</f>
        <v/>
      </c>
    </row>
    <row r="202" ht="10" customHeight="1">
      <c r="A202" s="46" t="inlineStr">
        <is>
          <t xml:space="preserve">    NATO Sea Sparrow Missile System (NSSMS) MK 57 Mod 14</t>
        </is>
      </c>
      <c r="B202" s="47">
        <f>SUMIFS(JB_26BV,JB_B,1,JB_EX,"P-8a",JB_CC,"Ordnance",JB_H,"DDG",JB_CE,"NATO Sea Sparrow Missile System (NSSMS) MK 57 Mod 14",JB_RC,"ALT")</f>
        <v/>
      </c>
      <c r="C202" s="48">
        <f>SUMIFS(JB_26BV,JB_B,1,JB_EX,"P-8a",JB_CC,"Ordnance",JB_H,"FFG",JB_CE,"NATO Sea Sparrow Missile System (NSSMS) MK 57 Mod 14",JB_RC,"ALT")</f>
        <v/>
      </c>
      <c r="D202" s="48">
        <f>SUMIFS(JB_26BV,JB_B,1,JB_EX,"P-8a",JB_CC,"Ordnance",JB_H,"LPD",JB_CE,"NATO Sea Sparrow Missile System (NSSMS) MK 57 Mod 14",JB_RC,"ALT")</f>
        <v/>
      </c>
      <c r="E202" s="48">
        <f>SUMIFS(JB_26BV,JB_B,1,JB_EX,"P-8a",JB_CC,"Ordnance",JB_H,"LHA",JB_CE,"NATO Sea Sparrow Missile System (NSSMS) MK 57 Mod 14",JB_RC,"ALT")</f>
        <v/>
      </c>
      <c r="F202" s="48">
        <f>SUMIFS(JB_26BV,JB_B,1,JB_EX,"P-8a",JB_CC,"Ordnance",JB_H,"T-AGOS",JB_CE,"NATO Sea Sparrow Missile System (NSSMS) MK 57 Mod 14",JB_RC,"ALT")</f>
        <v/>
      </c>
      <c r="G202" s="48">
        <f>SUMIFS(JB_26BV,JB_B,1,JB_EX,"P-8a",JB_CC,"Ordnance",JB_H,"T-AO",JB_CE,"NATO Sea Sparrow Missile System (NSSMS) MK 57 Mod 14",JB_RC,"ALT")</f>
        <v/>
      </c>
      <c r="H202" s="48">
        <f>SUMIFS(JB_26BV,JB_B,1,JB_EX,"P-8a",JB_CC,"Ordnance",JB_H,"T-ATS",JB_CE,"NATO Sea Sparrow Missile System (NSSMS) MK 57 Mod 14",JB_RC,"ALT")</f>
        <v/>
      </c>
      <c r="I202" s="47">
        <f>SUM(B202:H202)</f>
        <v/>
      </c>
    </row>
    <row r="203" ht="10" customHeight="1">
      <c r="A203" s="46" t="inlineStr">
        <is>
          <t xml:space="preserve">    SPQ-9B Radar</t>
        </is>
      </c>
      <c r="B203" s="47">
        <f>SUMIFS(JB_26BV,JB_B,1,JB_EX,"P-8a",JB_CC,"Ordnance",JB_H,"DDG",JB_CE,"SPQ-9B Radar",JB_RC,"ALT")</f>
        <v/>
      </c>
      <c r="C203" s="48">
        <f>SUMIFS(JB_26BV,JB_B,1,JB_EX,"P-8a",JB_CC,"Ordnance",JB_H,"FFG",JB_CE,"SPQ-9B Radar",JB_RC,"ALT")</f>
        <v/>
      </c>
      <c r="D203" s="48">
        <f>SUMIFS(JB_26BV,JB_B,1,JB_EX,"P-8a",JB_CC,"Ordnance",JB_H,"LPD",JB_CE,"SPQ-9B Radar",JB_RC,"ALT")</f>
        <v/>
      </c>
      <c r="E203" s="48">
        <f>SUMIFS(JB_26BV,JB_B,1,JB_EX,"P-8a",JB_CC,"Ordnance",JB_H,"LHA",JB_CE,"SPQ-9B Radar",JB_RC,"ALT")</f>
        <v/>
      </c>
      <c r="F203" s="48">
        <f>SUMIFS(JB_26BV,JB_B,1,JB_EX,"P-8a",JB_CC,"Ordnance",JB_H,"T-AGOS",JB_CE,"SPQ-9B Radar",JB_RC,"ALT")</f>
        <v/>
      </c>
      <c r="G203" s="48">
        <f>SUMIFS(JB_26BV,JB_B,1,JB_EX,"P-8a",JB_CC,"Ordnance",JB_H,"T-AO",JB_CE,"SPQ-9B Radar",JB_RC,"ALT")</f>
        <v/>
      </c>
      <c r="H203" s="48">
        <f>SUMIFS(JB_26BV,JB_B,1,JB_EX,"P-8a",JB_CC,"Ordnance",JB_H,"T-ATS",JB_CE,"SPQ-9B Radar",JB_RC,"ALT")</f>
        <v/>
      </c>
      <c r="I203" s="47">
        <f>SUM(B203:H203)</f>
        <v/>
      </c>
    </row>
    <row r="204" ht="10" customHeight="1">
      <c r="A204" s="46" t="inlineStr">
        <is>
          <t xml:space="preserve">    MK 48 Gun Weapon System (GWS)</t>
        </is>
      </c>
      <c r="B204" s="47">
        <f>SUMIFS(JB_26BV,JB_B,1,JB_EX,"P-8a",JB_CC,"Ordnance",JB_H,"DDG",JB_CE,"MK 48 Gun Weapon System (GWS)",JB_RC,"ALT")</f>
        <v/>
      </c>
      <c r="C204" s="48">
        <f>SUMIFS(JB_26BV,JB_B,1,JB_EX,"P-8a",JB_CC,"Ordnance",JB_H,"FFG",JB_CE,"MK 48 Gun Weapon System (GWS)",JB_RC,"ALT")</f>
        <v/>
      </c>
      <c r="D204" s="48">
        <f>SUMIFS(JB_26BV,JB_B,1,JB_EX,"P-8a",JB_CC,"Ordnance",JB_H,"LPD",JB_CE,"MK 48 Gun Weapon System (GWS)",JB_RC,"ALT")</f>
        <v/>
      </c>
      <c r="E204" s="48">
        <f>SUMIFS(JB_26BV,JB_B,1,JB_EX,"P-8a",JB_CC,"Ordnance",JB_H,"LHA",JB_CE,"MK 48 Gun Weapon System (GWS)",JB_RC,"ALT")</f>
        <v/>
      </c>
      <c r="F204" s="48">
        <f>SUMIFS(JB_26BV,JB_B,1,JB_EX,"P-8a",JB_CC,"Ordnance",JB_H,"T-AGOS",JB_CE,"MK 48 Gun Weapon System (GWS)",JB_RC,"ALT")</f>
        <v/>
      </c>
      <c r="G204" s="48">
        <f>SUMIFS(JB_26BV,JB_B,1,JB_EX,"P-8a",JB_CC,"Ordnance",JB_H,"T-AO",JB_CE,"MK 48 Gun Weapon System (GWS)",JB_RC,"ALT")</f>
        <v/>
      </c>
      <c r="H204" s="48">
        <f>SUMIFS(JB_26BV,JB_B,1,JB_EX,"P-8a",JB_CC,"Ordnance",JB_H,"T-ATS",JB_CE,"MK 48 Gun Weapon System (GWS)",JB_RC,"ALT")</f>
        <v/>
      </c>
      <c r="I204" s="47">
        <f>SUM(B204:H204)</f>
        <v/>
      </c>
    </row>
    <row r="205" ht="10" customHeight="1">
      <c r="A205" s="46" t="inlineStr">
        <is>
          <t xml:space="preserve">    PHALANX (CIWS)</t>
        </is>
      </c>
      <c r="B205" s="47">
        <f>SUMIFS(JB_26BV,JB_B,1,JB_EX,"P-8a",JB_CC,"Ordnance",JB_H,"DDG",JB_CE,"PHALANX (CIWS)",JB_RC,"ALT")</f>
        <v/>
      </c>
      <c r="C205" s="48">
        <f>SUMIFS(JB_26BV,JB_B,1,JB_EX,"P-8a",JB_CC,"Ordnance",JB_H,"FFG",JB_CE,"PHALANX (CIWS)",JB_RC,"ALT")</f>
        <v/>
      </c>
      <c r="D205" s="48">
        <f>SUMIFS(JB_26BV,JB_B,1,JB_EX,"P-8a",JB_CC,"Ordnance",JB_H,"LPD",JB_CE,"PHALANX (CIWS)",JB_RC,"ALT")</f>
        <v/>
      </c>
      <c r="E205" s="48">
        <f>SUMIFS(JB_26BV,JB_B,1,JB_EX,"P-8a",JB_CC,"Ordnance",JB_H,"LHA",JB_CE,"PHALANX (CIWS)",JB_RC,"ALT")</f>
        <v/>
      </c>
      <c r="F205" s="48">
        <f>SUMIFS(JB_26BV,JB_B,1,JB_EX,"P-8a",JB_CC,"Ordnance",JB_H,"T-AGOS",JB_CE,"PHALANX (CIWS)",JB_RC,"ALT")</f>
        <v/>
      </c>
      <c r="G205" s="48">
        <f>SUMIFS(JB_26BV,JB_B,1,JB_EX,"P-8a",JB_CC,"Ordnance",JB_H,"T-AO",JB_CE,"PHALANX (CIWS)",JB_RC,"ALT")</f>
        <v/>
      </c>
      <c r="H205" s="48">
        <f>SUMIFS(JB_26BV,JB_B,1,JB_EX,"P-8a",JB_CC,"Ordnance",JB_H,"T-ATS",JB_CE,"PHALANX (CIWS)",JB_RC,"ALT")</f>
        <v/>
      </c>
      <c r="I205" s="47">
        <f>SUM(B205:H205)</f>
        <v/>
      </c>
    </row>
    <row r="206" ht="10" customHeight="1">
      <c r="A206" s="46" t="inlineStr">
        <is>
          <t xml:space="preserve">    DDG 1002 Missile Tubes (CPS)</t>
        </is>
      </c>
      <c r="B206" s="47">
        <f>SUMIFS(JB_26BV,JB_B,1,JB_EX,"P-8a",JB_CC,"Ordnance",JB_H,"DDG",JB_CE,"DDG 1002 Missile Tubes (CPS)",JB_RC,"ALT")</f>
        <v/>
      </c>
      <c r="C206" s="48">
        <f>SUMIFS(JB_26BV,JB_B,1,JB_EX,"P-8a",JB_CC,"Ordnance",JB_H,"FFG",JB_CE,"DDG 1002 Missile Tubes (CPS)",JB_RC,"ALT")</f>
        <v/>
      </c>
      <c r="D206" s="48">
        <f>SUMIFS(JB_26BV,JB_B,1,JB_EX,"P-8a",JB_CC,"Ordnance",JB_H,"LPD",JB_CE,"DDG 1002 Missile Tubes (CPS)",JB_RC,"ALT")</f>
        <v/>
      </c>
      <c r="E206" s="48">
        <f>SUMIFS(JB_26BV,JB_B,1,JB_EX,"P-8a",JB_CC,"Ordnance",JB_H,"LHA",JB_CE,"DDG 1002 Missile Tubes (CPS)",JB_RC,"ALT")</f>
        <v/>
      </c>
      <c r="F206" s="48">
        <f>SUMIFS(JB_26BV,JB_B,1,JB_EX,"P-8a",JB_CC,"Ordnance",JB_H,"T-AGOS",JB_CE,"DDG 1002 Missile Tubes (CPS)",JB_RC,"ALT")</f>
        <v/>
      </c>
      <c r="G206" s="48">
        <f>SUMIFS(JB_26BV,JB_B,1,JB_EX,"P-8a",JB_CC,"Ordnance",JB_H,"T-AO",JB_CE,"DDG 1002 Missile Tubes (CPS)",JB_RC,"ALT")</f>
        <v/>
      </c>
      <c r="H206" s="48">
        <f>SUMIFS(JB_26BV,JB_B,1,JB_EX,"P-8a",JB_CC,"Ordnance",JB_H,"T-ATS",JB_CE,"DDG 1002 Missile Tubes (CPS)",JB_RC,"ALT")</f>
        <v/>
      </c>
      <c r="I206" s="47">
        <f>SUM(B206:H206)</f>
        <v/>
      </c>
    </row>
    <row r="207" ht="10" customHeight="1">
      <c r="A207" s="46" t="inlineStr">
        <is>
          <t xml:space="preserve">    MK-38 Gun Weapon System (GWS)</t>
        </is>
      </c>
      <c r="B207" s="47">
        <f>SUMIFS(JB_26BV,JB_B,1,JB_EX,"P-8a",JB_CC,"Ordnance",JB_H,"DDG",JB_CE,"MK-38 Gun Weapon System (GWS)",JB_RC,"ALT")</f>
        <v/>
      </c>
      <c r="C207" s="48">
        <f>SUMIFS(JB_26BV,JB_B,1,JB_EX,"P-8a",JB_CC,"Ordnance",JB_H,"FFG",JB_CE,"MK-38 Gun Weapon System (GWS)",JB_RC,"ALT")</f>
        <v/>
      </c>
      <c r="D207" s="48">
        <f>SUMIFS(JB_26BV,JB_B,1,JB_EX,"P-8a",JB_CC,"Ordnance",JB_H,"LPD",JB_CE,"MK-38 Gun Weapon System (GWS)",JB_RC,"ALT")</f>
        <v/>
      </c>
      <c r="E207" s="48">
        <f>SUMIFS(JB_26BV,JB_B,1,JB_EX,"P-8a",JB_CC,"Ordnance",JB_H,"LHA",JB_CE,"MK-38 Gun Weapon System (GWS)",JB_RC,"ALT")</f>
        <v/>
      </c>
      <c r="F207" s="48">
        <f>SUMIFS(JB_26BV,JB_B,1,JB_EX,"P-8a",JB_CC,"Ordnance",JB_H,"T-AGOS",JB_CE,"MK-38 Gun Weapon System (GWS)",JB_RC,"ALT")</f>
        <v/>
      </c>
      <c r="G207" s="48">
        <f>SUMIFS(JB_26BV,JB_B,1,JB_EX,"P-8a",JB_CC,"Ordnance",JB_H,"T-AO",JB_CE,"MK-38 Gun Weapon System (GWS)",JB_RC,"ALT")</f>
        <v/>
      </c>
      <c r="H207" s="48">
        <f>SUMIFS(JB_26BV,JB_B,1,JB_EX,"P-8a",JB_CC,"Ordnance",JB_H,"T-ATS",JB_CE,"MK-38 Gun Weapon System (GWS)",JB_RC,"ALT")</f>
        <v/>
      </c>
      <c r="I207" s="47">
        <f>SUM(B207:H207)</f>
        <v/>
      </c>
    </row>
    <row r="208" ht="10" customHeight="1">
      <c r="A208" s="46" t="inlineStr">
        <is>
          <t xml:space="preserve">    MK31 Mod 3, Rolling Airframe Missile (RAM) (Tech Refresh)</t>
        </is>
      </c>
      <c r="B208" s="47">
        <f>SUMIFS(JB_26BV,JB_B,1,JB_EX,"P-8a",JB_CC,"Ordnance",JB_H,"DDG",JB_CE,"MK31 Mod 3, Rolling Airframe Missile (RAM) (Tech Refresh)",JB_RC,"ALT")</f>
        <v/>
      </c>
      <c r="C208" s="48">
        <f>SUMIFS(JB_26BV,JB_B,1,JB_EX,"P-8a",JB_CC,"Ordnance",JB_H,"FFG",JB_CE,"MK31 Mod 3, Rolling Airframe Missile (RAM) (Tech Refresh)",JB_RC,"ALT")</f>
        <v/>
      </c>
      <c r="D208" s="48">
        <f>SUMIFS(JB_26BV,JB_B,1,JB_EX,"P-8a",JB_CC,"Ordnance",JB_H,"LPD",JB_CE,"MK31 Mod 3, Rolling Airframe Missile (RAM) (Tech Refresh)",JB_RC,"ALT")</f>
        <v/>
      </c>
      <c r="E208" s="48">
        <f>SUMIFS(JB_26BV,JB_B,1,JB_EX,"P-8a",JB_CC,"Ordnance",JB_H,"LHA",JB_CE,"MK31 Mod 3, Rolling Airframe Missile (RAM) (Tech Refresh)",JB_RC,"ALT")</f>
        <v/>
      </c>
      <c r="F208" s="48">
        <f>SUMIFS(JB_26BV,JB_B,1,JB_EX,"P-8a",JB_CC,"Ordnance",JB_H,"T-AGOS",JB_CE,"MK31 Mod 3, Rolling Airframe Missile (RAM) (Tech Refresh)",JB_RC,"ALT")</f>
        <v/>
      </c>
      <c r="G208" s="48">
        <f>SUMIFS(JB_26BV,JB_B,1,JB_EX,"P-8a",JB_CC,"Ordnance",JB_H,"T-AO",JB_CE,"MK31 Mod 3, Rolling Airframe Missile (RAM) (Tech Refresh)",JB_RC,"ALT")</f>
        <v/>
      </c>
      <c r="H208" s="48">
        <f>SUMIFS(JB_26BV,JB_B,1,JB_EX,"P-8a",JB_CC,"Ordnance",JB_H,"T-ATS",JB_CE,"MK31 Mod 3, Rolling Airframe Missile (RAM) (Tech Refresh)",JB_RC,"ALT")</f>
        <v/>
      </c>
      <c r="I208" s="47">
        <f>SUM(B208:H208)</f>
        <v/>
      </c>
    </row>
    <row r="209" ht="10" customHeight="1">
      <c r="A209" s="46" t="inlineStr">
        <is>
          <t xml:space="preserve">    RAM BLOCK II</t>
        </is>
      </c>
      <c r="B209" s="47">
        <f>SUMIFS(JB_26BV,JB_B,1,JB_EX,"P-8a",JB_CC,"Ordnance",JB_H,"DDG",JB_CE,"RAM BLOCK II",JB_RC,"ALT")</f>
        <v/>
      </c>
      <c r="C209" s="48">
        <f>SUMIFS(JB_26BV,JB_B,1,JB_EX,"P-8a",JB_CC,"Ordnance",JB_H,"FFG",JB_CE,"RAM BLOCK II",JB_RC,"ALT")</f>
        <v/>
      </c>
      <c r="D209" s="48">
        <f>SUMIFS(JB_26BV,JB_B,1,JB_EX,"P-8a",JB_CC,"Ordnance",JB_H,"LPD",JB_CE,"RAM BLOCK II",JB_RC,"ALT")</f>
        <v/>
      </c>
      <c r="E209" s="48">
        <f>SUMIFS(JB_26BV,JB_B,1,JB_EX,"P-8a",JB_CC,"Ordnance",JB_H,"LHA",JB_CE,"RAM BLOCK II",JB_RC,"ALT")</f>
        <v/>
      </c>
      <c r="F209" s="48">
        <f>SUMIFS(JB_26BV,JB_B,1,JB_EX,"P-8a",JB_CC,"Ordnance",JB_H,"T-AGOS",JB_CE,"RAM BLOCK II",JB_RC,"ALT")</f>
        <v/>
      </c>
      <c r="G209" s="48">
        <f>SUMIFS(JB_26BV,JB_B,1,JB_EX,"P-8a",JB_CC,"Ordnance",JB_H,"T-AO",JB_CE,"RAM BLOCK II",JB_RC,"ALT")</f>
        <v/>
      </c>
      <c r="H209" s="48">
        <f>SUMIFS(JB_26BV,JB_B,1,JB_EX,"P-8a",JB_CC,"Ordnance",JB_H,"T-ATS",JB_CE,"RAM BLOCK II",JB_RC,"ALT")</f>
        <v/>
      </c>
      <c r="I209" s="47">
        <f>SUM(B209:H209)</f>
        <v/>
      </c>
    </row>
    <row r="210" ht="10" customHeight="1">
      <c r="A210" s="46" t="inlineStr">
        <is>
          <t xml:space="preserve">    PHALANX Block 1B MK15 Mod 21 &amp; 22, Close-in Weapon System (CIWS)</t>
        </is>
      </c>
      <c r="B210" s="47">
        <f>SUMIFS(JB_26BV,JB_B,1,JB_EX,"P-8a",JB_CC,"Ordnance",JB_H,"DDG",JB_CE,"PHALANX Block 1B MK15 Mod 21 &amp; 22, Close-in Weapon System (CIWS)",JB_RC,"ALT")</f>
        <v/>
      </c>
      <c r="C210" s="48">
        <f>SUMIFS(JB_26BV,JB_B,1,JB_EX,"P-8a",JB_CC,"Ordnance",JB_H,"FFG",JB_CE,"PHALANX Block 1B MK15 Mod 21 &amp; 22, Close-in Weapon System (CIWS)",JB_RC,"ALT")</f>
        <v/>
      </c>
      <c r="D210" s="48">
        <f>SUMIFS(JB_26BV,JB_B,1,JB_EX,"P-8a",JB_CC,"Ordnance",JB_H,"LPD",JB_CE,"PHALANX Block 1B MK15 Mod 21 &amp; 22, Close-in Weapon System (CIWS)",JB_RC,"ALT")</f>
        <v/>
      </c>
      <c r="E210" s="48">
        <f>SUMIFS(JB_26BV,JB_B,1,JB_EX,"P-8a",JB_CC,"Ordnance",JB_H,"LHA",JB_CE,"PHALANX Block 1B MK15 Mod 21 &amp; 22, Close-in Weapon System (CIWS)",JB_RC,"ALT")</f>
        <v/>
      </c>
      <c r="F210" s="48">
        <f>SUMIFS(JB_26BV,JB_B,1,JB_EX,"P-8a",JB_CC,"Ordnance",JB_H,"T-AGOS",JB_CE,"PHALANX Block 1B MK15 Mod 21 &amp; 22, Close-in Weapon System (CIWS)",JB_RC,"ALT")</f>
        <v/>
      </c>
      <c r="G210" s="48">
        <f>SUMIFS(JB_26BV,JB_B,1,JB_EX,"P-8a",JB_CC,"Ordnance",JB_H,"T-AO",JB_CE,"PHALANX Block 1B MK15 Mod 21 &amp; 22, Close-in Weapon System (CIWS)",JB_RC,"ALT")</f>
        <v/>
      </c>
      <c r="H210" s="48">
        <f>SUMIFS(JB_26BV,JB_B,1,JB_EX,"P-8a",JB_CC,"Ordnance",JB_H,"T-ATS",JB_CE,"PHALANX Block 1B MK15 Mod 21 &amp; 22, Close-in Weapon System (CIWS)",JB_RC,"ALT")</f>
        <v/>
      </c>
      <c r="I210" s="47">
        <f>SUM(B210:H210)</f>
        <v/>
      </c>
    </row>
    <row r="211" ht="10" customHeight="1">
      <c r="A211" s="46" t="inlineStr">
        <is>
          <t xml:space="preserve">    MISCELLANEOUS ORDNANCE</t>
        </is>
      </c>
      <c r="B211" s="47">
        <f>SUMIFS(JB_26BV,JB_B,1,JB_EX,"P-8a",JB_CC,"Ordnance",JB_H,"DDG",JB_CE,"MISCELLANEOUS ORDNANCE",JB_RC,"ALT")</f>
        <v/>
      </c>
      <c r="C211" s="48">
        <f>SUMIFS(JB_26BV,JB_B,1,JB_EX,"P-8a",JB_CC,"Ordnance",JB_H,"FFG",JB_CE,"MISCELLANEOUS ORDNANCE",JB_RC,"ALT")</f>
        <v/>
      </c>
      <c r="D211" s="48">
        <f>SUMIFS(JB_26BV,JB_B,1,JB_EX,"P-8a",JB_CC,"Ordnance",JB_H,"LPD",JB_CE,"MISCELLANEOUS ORDNANCE",JB_RC,"ALT")</f>
        <v/>
      </c>
      <c r="E211" s="48">
        <f>SUMIFS(JB_26BV,JB_B,1,JB_EX,"P-8a",JB_CC,"Ordnance",JB_H,"LHA",JB_CE,"MISCELLANEOUS ORDNANCE",JB_RC,"ALT")</f>
        <v/>
      </c>
      <c r="F211" s="48">
        <f>SUMIFS(JB_26BV,JB_B,1,JB_EX,"P-8a",JB_CC,"Ordnance",JB_H,"T-AGOS",JB_CE,"MISCELLANEOUS ORDNANCE",JB_RC,"ALT")</f>
        <v/>
      </c>
      <c r="G211" s="48">
        <f>SUMIFS(JB_26BV,JB_B,1,JB_EX,"P-8a",JB_CC,"Ordnance",JB_H,"T-AO",JB_CE,"MISCELLANEOUS ORDNANCE",JB_RC,"ALT")</f>
        <v/>
      </c>
      <c r="H211" s="48">
        <f>SUMIFS(JB_26BV,JB_B,1,JB_EX,"P-8a",JB_CC,"Ordnance",JB_H,"T-ATS",JB_CE,"MISCELLANEOUS ORDNANCE",JB_RC,"ALT")</f>
        <v/>
      </c>
      <c r="I211" s="47">
        <f>SUM(B211:H211)</f>
        <v/>
      </c>
    </row>
    <row r="212" ht="10" customHeight="1">
      <c r="A212" s="46" t="inlineStr">
        <is>
          <t xml:space="preserve">    AN/SPQ-9B Radar Set</t>
        </is>
      </c>
      <c r="B212" s="47">
        <f>SUMIFS(JB_26BV,JB_B,1,JB_EX,"P-8a",JB_CC,"Ordnance",JB_H,"DDG",JB_CE,"AN/SPQ-9B Radar Set",JB_RC,"ALT")</f>
        <v/>
      </c>
      <c r="C212" s="48">
        <f>SUMIFS(JB_26BV,JB_B,1,JB_EX,"P-8a",JB_CC,"Ordnance",JB_H,"FFG",JB_CE,"AN/SPQ-9B Radar Set",JB_RC,"ALT")</f>
        <v/>
      </c>
      <c r="D212" s="48">
        <f>SUMIFS(JB_26BV,JB_B,1,JB_EX,"P-8a",JB_CC,"Ordnance",JB_H,"LPD",JB_CE,"AN/SPQ-9B Radar Set",JB_RC,"ALT")</f>
        <v/>
      </c>
      <c r="E212" s="48">
        <f>SUMIFS(JB_26BV,JB_B,1,JB_EX,"P-8a",JB_CC,"Ordnance",JB_H,"LHA",JB_CE,"AN/SPQ-9B Radar Set",JB_RC,"ALT")</f>
        <v/>
      </c>
      <c r="F212" s="48">
        <f>SUMIFS(JB_26BV,JB_B,1,JB_EX,"P-8a",JB_CC,"Ordnance",JB_H,"T-AGOS",JB_CE,"AN/SPQ-9B Radar Set",JB_RC,"ALT")</f>
        <v/>
      </c>
      <c r="G212" s="48">
        <f>SUMIFS(JB_26BV,JB_B,1,JB_EX,"P-8a",JB_CC,"Ordnance",JB_H,"T-AO",JB_CE,"AN/SPQ-9B Radar Set",JB_RC,"ALT")</f>
        <v/>
      </c>
      <c r="H212" s="48">
        <f>SUMIFS(JB_26BV,JB_B,1,JB_EX,"P-8a",JB_CC,"Ordnance",JB_H,"T-ATS",JB_CE,"AN/SPQ-9B Radar Set",JB_RC,"ALT")</f>
        <v/>
      </c>
      <c r="I212" s="47">
        <f>SUM(B212:H212)</f>
        <v/>
      </c>
    </row>
    <row r="213" ht="10" customHeight="1">
      <c r="A213" s="46" t="inlineStr">
        <is>
          <t xml:space="preserve">    Vertical/Stationary Take-Off Landing Optical Landing System (VSTOL OLS)</t>
        </is>
      </c>
      <c r="B213" s="47">
        <f>SUMIFS(JB_26BV,JB_B,1,JB_EX,"P-8a",JB_CC,"Ordnance",JB_H,"DDG",JB_CE,"Vertical/Stationary Take-Off Landing Optical Landing System (VSTOL OLS)",JB_RC,"ALT")</f>
        <v/>
      </c>
      <c r="C213" s="48">
        <f>SUMIFS(JB_26BV,JB_B,1,JB_EX,"P-8a",JB_CC,"Ordnance",JB_H,"FFG",JB_CE,"Vertical/Stationary Take-Off Landing Optical Landing System (VSTOL OLS)",JB_RC,"ALT")</f>
        <v/>
      </c>
      <c r="D213" s="48">
        <f>SUMIFS(JB_26BV,JB_B,1,JB_EX,"P-8a",JB_CC,"Ordnance",JB_H,"LPD",JB_CE,"Vertical/Stationary Take-Off Landing Optical Landing System (VSTOL OLS)",JB_RC,"ALT")</f>
        <v/>
      </c>
      <c r="E213" s="48">
        <f>SUMIFS(JB_26BV,JB_B,1,JB_EX,"P-8a",JB_CC,"Ordnance",JB_H,"LHA",JB_CE,"Vertical/Stationary Take-Off Landing Optical Landing System (VSTOL OLS)",JB_RC,"ALT")</f>
        <v/>
      </c>
      <c r="F213" s="48">
        <f>SUMIFS(JB_26BV,JB_B,1,JB_EX,"P-8a",JB_CC,"Ordnance",JB_H,"T-AGOS",JB_CE,"Vertical/Stationary Take-Off Landing Optical Landing System (VSTOL OLS)",JB_RC,"ALT")</f>
        <v/>
      </c>
      <c r="G213" s="48">
        <f>SUMIFS(JB_26BV,JB_B,1,JB_EX,"P-8a",JB_CC,"Ordnance",JB_H,"T-AO",JB_CE,"Vertical/Stationary Take-Off Landing Optical Landing System (VSTOL OLS)",JB_RC,"ALT")</f>
        <v/>
      </c>
      <c r="H213" s="48">
        <f>SUMIFS(JB_26BV,JB_B,1,JB_EX,"P-8a",JB_CC,"Ordnance",JB_H,"T-ATS",JB_CE,"Vertical/Stationary Take-Off Landing Optical Landing System (VSTOL OLS)",JB_RC,"ALT")</f>
        <v/>
      </c>
      <c r="I213" s="47">
        <f>SUM(B213:H213)</f>
        <v/>
      </c>
    </row>
    <row r="214" ht="10" customHeight="1">
      <c r="A214" s="46" t="inlineStr">
        <is>
          <t xml:space="preserve">    DDG 1002 Rubber Boots, Hatches, Shock Isolation (CPS)</t>
        </is>
      </c>
      <c r="B214" s="47">
        <f>SUMIFS(JB_26BV,JB_B,1,JB_EX,"P-8a",JB_CC,"Ordnance",JB_H,"DDG",JB_CE,"DDG 1002 Rubber Boots, Hatches, Shock Isolation (CPS)",JB_RC,"ALT")</f>
        <v/>
      </c>
      <c r="C214" s="48">
        <f>SUMIFS(JB_26BV,JB_B,1,JB_EX,"P-8a",JB_CC,"Ordnance",JB_H,"FFG",JB_CE,"DDG 1002 Rubber Boots, Hatches, Shock Isolation (CPS)",JB_RC,"ALT")</f>
        <v/>
      </c>
      <c r="D214" s="48">
        <f>SUMIFS(JB_26BV,JB_B,1,JB_EX,"P-8a",JB_CC,"Ordnance",JB_H,"LPD",JB_CE,"DDG 1002 Rubber Boots, Hatches, Shock Isolation (CPS)",JB_RC,"ALT")</f>
        <v/>
      </c>
      <c r="E214" s="48">
        <f>SUMIFS(JB_26BV,JB_B,1,JB_EX,"P-8a",JB_CC,"Ordnance",JB_H,"LHA",JB_CE,"DDG 1002 Rubber Boots, Hatches, Shock Isolation (CPS)",JB_RC,"ALT")</f>
        <v/>
      </c>
      <c r="F214" s="48">
        <f>SUMIFS(JB_26BV,JB_B,1,JB_EX,"P-8a",JB_CC,"Ordnance",JB_H,"T-AGOS",JB_CE,"DDG 1002 Rubber Boots, Hatches, Shock Isolation (CPS)",JB_RC,"ALT")</f>
        <v/>
      </c>
      <c r="G214" s="48">
        <f>SUMIFS(JB_26BV,JB_B,1,JB_EX,"P-8a",JB_CC,"Ordnance",JB_H,"T-AO",JB_CE,"DDG 1002 Rubber Boots, Hatches, Shock Isolation (CPS)",JB_RC,"ALT")</f>
        <v/>
      </c>
      <c r="H214" s="48">
        <f>SUMIFS(JB_26BV,JB_B,1,JB_EX,"P-8a",JB_CC,"Ordnance",JB_H,"T-ATS",JB_CE,"DDG 1002 Rubber Boots, Hatches, Shock Isolation (CPS)",JB_RC,"ALT")</f>
        <v/>
      </c>
      <c r="I214" s="47">
        <f>SUM(B214:H214)</f>
        <v/>
      </c>
    </row>
    <row r="215" ht="10" customHeight="1">
      <c r="A215" s="46" t="inlineStr">
        <is>
          <t xml:space="preserve">    CLOSE-IN GUN SYSTEM (CIGS)</t>
        </is>
      </c>
      <c r="B215" s="47">
        <f>SUMIFS(JB_26BV,JB_B,1,JB_EX,"P-8a",JB_CC,"Ordnance",JB_H,"DDG",JB_CE,"CLOSE-IN GUN SYSTEM (CIGS)",JB_RC,"ALT")</f>
        <v/>
      </c>
      <c r="C215" s="48">
        <f>SUMIFS(JB_26BV,JB_B,1,JB_EX,"P-8a",JB_CC,"Ordnance",JB_H,"FFG",JB_CE,"CLOSE-IN GUN SYSTEM (CIGS)",JB_RC,"ALT")</f>
        <v/>
      </c>
      <c r="D215" s="48">
        <f>SUMIFS(JB_26BV,JB_B,1,JB_EX,"P-8a",JB_CC,"Ordnance",JB_H,"LPD",JB_CE,"CLOSE-IN GUN SYSTEM (CIGS)",JB_RC,"ALT")</f>
        <v/>
      </c>
      <c r="E215" s="48">
        <f>SUMIFS(JB_26BV,JB_B,1,JB_EX,"P-8a",JB_CC,"Ordnance",JB_H,"LHA",JB_CE,"CLOSE-IN GUN SYSTEM (CIGS)",JB_RC,"ALT")</f>
        <v/>
      </c>
      <c r="F215" s="48">
        <f>SUMIFS(JB_26BV,JB_B,1,JB_EX,"P-8a",JB_CC,"Ordnance",JB_H,"T-AGOS",JB_CE,"CLOSE-IN GUN SYSTEM (CIGS)",JB_RC,"ALT")</f>
        <v/>
      </c>
      <c r="G215" s="48">
        <f>SUMIFS(JB_26BV,JB_B,1,JB_EX,"P-8a",JB_CC,"Ordnance",JB_H,"T-AO",JB_CE,"CLOSE-IN GUN SYSTEM (CIGS)",JB_RC,"ALT")</f>
        <v/>
      </c>
      <c r="H215" s="48">
        <f>SUMIFS(JB_26BV,JB_B,1,JB_EX,"P-8a",JB_CC,"Ordnance",JB_H,"T-ATS",JB_CE,"CLOSE-IN GUN SYSTEM (CIGS)",JB_RC,"ALT")</f>
        <v/>
      </c>
      <c r="I215" s="47">
        <f>SUM(B215:H215)</f>
        <v/>
      </c>
    </row>
    <row r="216" ht="10" customHeight="1">
      <c r="A216" s="46" t="inlineStr">
        <is>
          <t xml:space="preserve">    MK 160 Gun Fire Control System (GFCS)</t>
        </is>
      </c>
      <c r="B216" s="47">
        <f>SUMIFS(JB_26BV,JB_B,1,JB_EX,"P-8a",JB_CC,"Ordnance",JB_H,"DDG",JB_CE,"MK 160 Gun Fire Control System (GFCS)",JB_RC,"ALT")</f>
        <v/>
      </c>
      <c r="C216" s="48">
        <f>SUMIFS(JB_26BV,JB_B,1,JB_EX,"P-8a",JB_CC,"Ordnance",JB_H,"FFG",JB_CE,"MK 160 Gun Fire Control System (GFCS)",JB_RC,"ALT")</f>
        <v/>
      </c>
      <c r="D216" s="48">
        <f>SUMIFS(JB_26BV,JB_B,1,JB_EX,"P-8a",JB_CC,"Ordnance",JB_H,"LPD",JB_CE,"MK 160 Gun Fire Control System (GFCS)",JB_RC,"ALT")</f>
        <v/>
      </c>
      <c r="E216" s="48">
        <f>SUMIFS(JB_26BV,JB_B,1,JB_EX,"P-8a",JB_CC,"Ordnance",JB_H,"LHA",JB_CE,"MK 160 Gun Fire Control System (GFCS)",JB_RC,"ALT")</f>
        <v/>
      </c>
      <c r="F216" s="48">
        <f>SUMIFS(JB_26BV,JB_B,1,JB_EX,"P-8a",JB_CC,"Ordnance",JB_H,"T-AGOS",JB_CE,"MK 160 Gun Fire Control System (GFCS)",JB_RC,"ALT")</f>
        <v/>
      </c>
      <c r="G216" s="48">
        <f>SUMIFS(JB_26BV,JB_B,1,JB_EX,"P-8a",JB_CC,"Ordnance",JB_H,"T-AO",JB_CE,"MK 160 Gun Fire Control System (GFCS)",JB_RC,"ALT")</f>
        <v/>
      </c>
      <c r="H216" s="48">
        <f>SUMIFS(JB_26BV,JB_B,1,JB_EX,"P-8a",JB_CC,"Ordnance",JB_H,"T-ATS",JB_CE,"MK 160 Gun Fire Control System (GFCS)",JB_RC,"ALT")</f>
        <v/>
      </c>
      <c r="I216" s="47">
        <f>SUM(B216:H216)</f>
        <v/>
      </c>
    </row>
    <row r="217" ht="10" customHeight="1">
      <c r="A217" s="46" t="inlineStr">
        <is>
          <t xml:space="preserve">    ELECTRO-OPTICAL SYSTEM</t>
        </is>
      </c>
      <c r="B217" s="47">
        <f>SUMIFS(JB_26BV,JB_B,1,JB_EX,"P-8a",JB_CC,"Ordnance",JB_H,"DDG",JB_CE,"ELECTRO-OPTICAL SYSTEM",JB_RC,"ALT")</f>
        <v/>
      </c>
      <c r="C217" s="48">
        <f>SUMIFS(JB_26BV,JB_B,1,JB_EX,"P-8a",JB_CC,"Ordnance",JB_H,"FFG",JB_CE,"ELECTRO-OPTICAL SYSTEM",JB_RC,"ALT")</f>
        <v/>
      </c>
      <c r="D217" s="48">
        <f>SUMIFS(JB_26BV,JB_B,1,JB_EX,"P-8a",JB_CC,"Ordnance",JB_H,"LPD",JB_CE,"ELECTRO-OPTICAL SYSTEM",JB_RC,"ALT")</f>
        <v/>
      </c>
      <c r="E217" s="48">
        <f>SUMIFS(JB_26BV,JB_B,1,JB_EX,"P-8a",JB_CC,"Ordnance",JB_H,"LHA",JB_CE,"ELECTRO-OPTICAL SYSTEM",JB_RC,"ALT")</f>
        <v/>
      </c>
      <c r="F217" s="48">
        <f>SUMIFS(JB_26BV,JB_B,1,JB_EX,"P-8a",JB_CC,"Ordnance",JB_H,"T-AGOS",JB_CE,"ELECTRO-OPTICAL SYSTEM",JB_RC,"ALT")</f>
        <v/>
      </c>
      <c r="G217" s="48">
        <f>SUMIFS(JB_26BV,JB_B,1,JB_EX,"P-8a",JB_CC,"Ordnance",JB_H,"T-AO",JB_CE,"ELECTRO-OPTICAL SYSTEM",JB_RC,"ALT")</f>
        <v/>
      </c>
      <c r="H217" s="48">
        <f>SUMIFS(JB_26BV,JB_B,1,JB_EX,"P-8a",JB_CC,"Ordnance",JB_H,"T-ATS",JB_CE,"ELECTRO-OPTICAL SYSTEM",JB_RC,"ALT")</f>
        <v/>
      </c>
      <c r="I217" s="47">
        <f>SUM(B217:H217)</f>
        <v/>
      </c>
    </row>
    <row r="218" ht="10" customHeight="1">
      <c r="A218" s="46" t="inlineStr">
        <is>
          <t xml:space="preserve">    MK 32 Surface Vessel Torpedo Tubes (SVTT)</t>
        </is>
      </c>
      <c r="B218" s="47">
        <f>SUMIFS(JB_26BV,JB_B,1,JB_EX,"P-8a",JB_CC,"Ordnance",JB_H,"DDG",JB_CE,"MK 32 Surface Vessel Torpedo Tubes (SVTT)",JB_RC,"ALT")</f>
        <v/>
      </c>
      <c r="C218" s="48">
        <f>SUMIFS(JB_26BV,JB_B,1,JB_EX,"P-8a",JB_CC,"Ordnance",JB_H,"FFG",JB_CE,"MK 32 Surface Vessel Torpedo Tubes (SVTT)",JB_RC,"ALT")</f>
        <v/>
      </c>
      <c r="D218" s="48">
        <f>SUMIFS(JB_26BV,JB_B,1,JB_EX,"P-8a",JB_CC,"Ordnance",JB_H,"LPD",JB_CE,"MK 32 Surface Vessel Torpedo Tubes (SVTT)",JB_RC,"ALT")</f>
        <v/>
      </c>
      <c r="E218" s="48">
        <f>SUMIFS(JB_26BV,JB_B,1,JB_EX,"P-8a",JB_CC,"Ordnance",JB_H,"LHA",JB_CE,"MK 32 Surface Vessel Torpedo Tubes (SVTT)",JB_RC,"ALT")</f>
        <v/>
      </c>
      <c r="F218" s="48">
        <f>SUMIFS(JB_26BV,JB_B,1,JB_EX,"P-8a",JB_CC,"Ordnance",JB_H,"T-AGOS",JB_CE,"MK 32 Surface Vessel Torpedo Tubes (SVTT)",JB_RC,"ALT")</f>
        <v/>
      </c>
      <c r="G218" s="48">
        <f>SUMIFS(JB_26BV,JB_B,1,JB_EX,"P-8a",JB_CC,"Ordnance",JB_H,"T-AO",JB_CE,"MK 32 Surface Vessel Torpedo Tubes (SVTT)",JB_RC,"ALT")</f>
        <v/>
      </c>
      <c r="H218" s="48">
        <f>SUMIFS(JB_26BV,JB_B,1,JB_EX,"P-8a",JB_CC,"Ordnance",JB_H,"T-ATS",JB_CE,"MK 32 Surface Vessel Torpedo Tubes (SVTT)",JB_RC,"ALT")</f>
        <v/>
      </c>
      <c r="I218" s="47">
        <f>SUM(B218:H218)</f>
        <v/>
      </c>
    </row>
    <row r="219" ht="10" customHeight="1">
      <c r="A219" s="46" t="inlineStr">
        <is>
          <t xml:space="preserve">    MK 46 GUN</t>
        </is>
      </c>
      <c r="B219" s="47">
        <f>SUMIFS(JB_26BV,JB_B,1,JB_EX,"P-8a",JB_CC,"Ordnance",JB_H,"DDG",JB_CE,"MK 46 GUN",JB_RC,"ALT")</f>
        <v/>
      </c>
      <c r="C219" s="48">
        <f>SUMIFS(JB_26BV,JB_B,1,JB_EX,"P-8a",JB_CC,"Ordnance",JB_H,"FFG",JB_CE,"MK 46 GUN",JB_RC,"ALT")</f>
        <v/>
      </c>
      <c r="D219" s="48">
        <f>SUMIFS(JB_26BV,JB_B,1,JB_EX,"P-8a",JB_CC,"Ordnance",JB_H,"LPD",JB_CE,"MK 46 GUN",JB_RC,"ALT")</f>
        <v/>
      </c>
      <c r="E219" s="48">
        <f>SUMIFS(JB_26BV,JB_B,1,JB_EX,"P-8a",JB_CC,"Ordnance",JB_H,"LHA",JB_CE,"MK 46 GUN",JB_RC,"ALT")</f>
        <v/>
      </c>
      <c r="F219" s="48">
        <f>SUMIFS(JB_26BV,JB_B,1,JB_EX,"P-8a",JB_CC,"Ordnance",JB_H,"T-AGOS",JB_CE,"MK 46 GUN",JB_RC,"ALT")</f>
        <v/>
      </c>
      <c r="G219" s="48">
        <f>SUMIFS(JB_26BV,JB_B,1,JB_EX,"P-8a",JB_CC,"Ordnance",JB_H,"T-AO",JB_CE,"MK 46 GUN",JB_RC,"ALT")</f>
        <v/>
      </c>
      <c r="H219" s="48">
        <f>SUMIFS(JB_26BV,JB_B,1,JB_EX,"P-8a",JB_CC,"Ordnance",JB_H,"T-ATS",JB_CE,"MK 46 GUN",JB_RC,"ALT")</f>
        <v/>
      </c>
      <c r="I219" s="47">
        <f>SUM(B219:H219)</f>
        <v/>
      </c>
    </row>
    <row r="220" ht="10" customHeight="1">
      <c r="A220" s="46" t="inlineStr">
        <is>
          <t xml:space="preserve">    Aviation Support</t>
        </is>
      </c>
      <c r="B220" s="47">
        <f>SUMIFS(JB_26BV,JB_B,1,JB_EX,"P-8a",JB_CC,"Ordnance",JB_H,"DDG",JB_CE,"Aviation Support",JB_RC,"ALT")</f>
        <v/>
      </c>
      <c r="C220" s="48">
        <f>SUMIFS(JB_26BV,JB_B,1,JB_EX,"P-8a",JB_CC,"Ordnance",JB_H,"FFG",JB_CE,"Aviation Support",JB_RC,"ALT")</f>
        <v/>
      </c>
      <c r="D220" s="48">
        <f>SUMIFS(JB_26BV,JB_B,1,JB_EX,"P-8a",JB_CC,"Ordnance",JB_H,"LPD",JB_CE,"Aviation Support",JB_RC,"ALT")</f>
        <v/>
      </c>
      <c r="E220" s="48">
        <f>SUMIFS(JB_26BV,JB_B,1,JB_EX,"P-8a",JB_CC,"Ordnance",JB_H,"LHA",JB_CE,"Aviation Support",JB_RC,"ALT")</f>
        <v/>
      </c>
      <c r="F220" s="48">
        <f>SUMIFS(JB_26BV,JB_B,1,JB_EX,"P-8a",JB_CC,"Ordnance",JB_H,"T-AGOS",JB_CE,"Aviation Support",JB_RC,"ALT")</f>
        <v/>
      </c>
      <c r="G220" s="48">
        <f>SUMIFS(JB_26BV,JB_B,1,JB_EX,"P-8a",JB_CC,"Ordnance",JB_H,"T-AO",JB_CE,"Aviation Support",JB_RC,"ALT")</f>
        <v/>
      </c>
      <c r="H220" s="48">
        <f>SUMIFS(JB_26BV,JB_B,1,JB_EX,"P-8a",JB_CC,"Ordnance",JB_H,"T-ATS",JB_CE,"Aviation Support",JB_RC,"ALT")</f>
        <v/>
      </c>
      <c r="I220" s="47">
        <f>SUM(B220:H220)</f>
        <v/>
      </c>
    </row>
    <row r="221" ht="10" customHeight="1">
      <c r="A221" s="46" t="inlineStr">
        <is>
          <t xml:space="preserve">    MK 38 Mod 2 Stabilized Gun Stand Assembly</t>
        </is>
      </c>
      <c r="B221" s="47">
        <f>SUMIFS(JB_26BV,JB_B,1,JB_EX,"P-8a",JB_CC,"Ordnance",JB_H,"DDG",JB_CE,"MK 38 Mod 2 Stabilized Gun Stand Assembly",JB_RC,"ALT")</f>
        <v/>
      </c>
      <c r="C221" s="48">
        <f>SUMIFS(JB_26BV,JB_B,1,JB_EX,"P-8a",JB_CC,"Ordnance",JB_H,"FFG",JB_CE,"MK 38 Mod 2 Stabilized Gun Stand Assembly",JB_RC,"ALT")</f>
        <v/>
      </c>
      <c r="D221" s="48">
        <f>SUMIFS(JB_26BV,JB_B,1,JB_EX,"P-8a",JB_CC,"Ordnance",JB_H,"LPD",JB_CE,"MK 38 Mod 2 Stabilized Gun Stand Assembly",JB_RC,"ALT")</f>
        <v/>
      </c>
      <c r="E221" s="48">
        <f>SUMIFS(JB_26BV,JB_B,1,JB_EX,"P-8a",JB_CC,"Ordnance",JB_H,"LHA",JB_CE,"MK 38 Mod 2 Stabilized Gun Stand Assembly",JB_RC,"ALT")</f>
        <v/>
      </c>
      <c r="F221" s="48">
        <f>SUMIFS(JB_26BV,JB_B,1,JB_EX,"P-8a",JB_CC,"Ordnance",JB_H,"T-AGOS",JB_CE,"MK 38 Mod 2 Stabilized Gun Stand Assembly",JB_RC,"ALT")</f>
        <v/>
      </c>
      <c r="G221" s="48">
        <f>SUMIFS(JB_26BV,JB_B,1,JB_EX,"P-8a",JB_CC,"Ordnance",JB_H,"T-AO",JB_CE,"MK 38 Mod 2 Stabilized Gun Stand Assembly",JB_RC,"ALT")</f>
        <v/>
      </c>
      <c r="H221" s="48">
        <f>SUMIFS(JB_26BV,JB_B,1,JB_EX,"P-8a",JB_CC,"Ordnance",JB_H,"T-ATS",JB_CE,"MK 38 Mod 2 Stabilized Gun Stand Assembly",JB_RC,"ALT")</f>
        <v/>
      </c>
      <c r="I221" s="47">
        <f>SUM(B221:H221)</f>
        <v/>
      </c>
    </row>
    <row r="222" ht="10" customHeight="1">
      <c r="A222" s="46" t="inlineStr">
        <is>
          <t xml:space="preserve">    Other Ordnance</t>
        </is>
      </c>
      <c r="B222" s="47">
        <f>SUMIFS(JB_26BV,JB_B,1,JB_EX,"P-8a",JB_CC,"Ordnance",JB_H,"DDG",JB_CE,"Other Ordnance",JB_RC,"ALT")</f>
        <v/>
      </c>
      <c r="C222" s="48">
        <f>SUMIFS(JB_26BV,JB_B,1,JB_EX,"P-8a",JB_CC,"Ordnance",JB_H,"FFG",JB_CE,"Other Ordnance",JB_RC,"ALT")</f>
        <v/>
      </c>
      <c r="D222" s="48">
        <f>SUMIFS(JB_26BV,JB_B,1,JB_EX,"P-8a",JB_CC,"Ordnance",JB_H,"LPD",JB_CE,"Other Ordnance",JB_RC,"ALT")</f>
        <v/>
      </c>
      <c r="E222" s="48">
        <f>SUMIFS(JB_26BV,JB_B,1,JB_EX,"P-8a",JB_CC,"Ordnance",JB_H,"LHA",JB_CE,"Other Ordnance",JB_RC,"ALT")</f>
        <v/>
      </c>
      <c r="F222" s="48">
        <f>SUMIFS(JB_26BV,JB_B,1,JB_EX,"P-8a",JB_CC,"Ordnance",JB_H,"T-AGOS",JB_CE,"Other Ordnance",JB_RC,"ALT")</f>
        <v/>
      </c>
      <c r="G222" s="48">
        <f>SUMIFS(JB_26BV,JB_B,1,JB_EX,"P-8a",JB_CC,"Ordnance",JB_H,"T-AO",JB_CE,"Other Ordnance",JB_RC,"ALT")</f>
        <v/>
      </c>
      <c r="H222" s="48">
        <f>SUMIFS(JB_26BV,JB_B,1,JB_EX,"P-8a",JB_CC,"Ordnance",JB_H,"T-ATS",JB_CE,"Other Ordnance",JB_RC,"ALT")</f>
        <v/>
      </c>
      <c r="I222" s="47">
        <f>SUM(B222:H222)</f>
        <v/>
      </c>
    </row>
    <row r="223" ht="10" customHeight="1">
      <c r="A223" s="46" t="inlineStr">
        <is>
          <t xml:space="preserve">    ASGSI/HOSS/MWS Fit Control &amp; Inst Land Sys</t>
        </is>
      </c>
      <c r="B223" s="47">
        <f>SUMIFS(JB_26BV,JB_B,1,JB_EX,"P-8a",JB_CC,"Ordnance",JB_H,"DDG",JB_CE,"ASGSI/HOSS/MWS Fit Control &amp; Inst Land Sys",JB_RC,"ALT")</f>
        <v/>
      </c>
      <c r="C223" s="48">
        <f>SUMIFS(JB_26BV,JB_B,1,JB_EX,"P-8a",JB_CC,"Ordnance",JB_H,"FFG",JB_CE,"ASGSI/HOSS/MWS Fit Control &amp; Inst Land Sys",JB_RC,"ALT")</f>
        <v/>
      </c>
      <c r="D223" s="48">
        <f>SUMIFS(JB_26BV,JB_B,1,JB_EX,"P-8a",JB_CC,"Ordnance",JB_H,"LPD",JB_CE,"ASGSI/HOSS/MWS Fit Control &amp; Inst Land Sys",JB_RC,"ALT")</f>
        <v/>
      </c>
      <c r="E223" s="48">
        <f>SUMIFS(JB_26BV,JB_B,1,JB_EX,"P-8a",JB_CC,"Ordnance",JB_H,"LHA",JB_CE,"ASGSI/HOSS/MWS Fit Control &amp; Inst Land Sys",JB_RC,"ALT")</f>
        <v/>
      </c>
      <c r="F223" s="48">
        <f>SUMIFS(JB_26BV,JB_B,1,JB_EX,"P-8a",JB_CC,"Ordnance",JB_H,"T-AGOS",JB_CE,"ASGSI/HOSS/MWS Fit Control &amp; Inst Land Sys",JB_RC,"ALT")</f>
        <v/>
      </c>
      <c r="G223" s="48">
        <f>SUMIFS(JB_26BV,JB_B,1,JB_EX,"P-8a",JB_CC,"Ordnance",JB_H,"T-AO",JB_CE,"ASGSI/HOSS/MWS Fit Control &amp; Inst Land Sys",JB_RC,"ALT")</f>
        <v/>
      </c>
      <c r="H223" s="48">
        <f>SUMIFS(JB_26BV,JB_B,1,JB_EX,"P-8a",JB_CC,"Ordnance",JB_H,"T-ATS",JB_CE,"ASGSI/HOSS/MWS Fit Control &amp; Inst Land Sys",JB_RC,"ALT")</f>
        <v/>
      </c>
      <c r="I223" s="47">
        <f>SUM(B223:H223)</f>
        <v/>
      </c>
    </row>
    <row r="224" ht="10" customHeight="1">
      <c r="A224" s="46" t="inlineStr">
        <is>
          <t xml:space="preserve">    Next Generation Surface Search Radar (NGSSR)</t>
        </is>
      </c>
      <c r="B224" s="47">
        <f>SUMIFS(JB_26BV,JB_B,1,JB_EX,"P-8a",JB_CC,"Ordnance",JB_H,"DDG",JB_CE,"Next Generation Surface Search Radar (NGSSR)",JB_RC,"ALT")</f>
        <v/>
      </c>
      <c r="C224" s="48">
        <f>SUMIFS(JB_26BV,JB_B,1,JB_EX,"P-8a",JB_CC,"Ordnance",JB_H,"FFG",JB_CE,"Next Generation Surface Search Radar (NGSSR)",JB_RC,"ALT")</f>
        <v/>
      </c>
      <c r="D224" s="48">
        <f>SUMIFS(JB_26BV,JB_B,1,JB_EX,"P-8a",JB_CC,"Ordnance",JB_H,"LPD",JB_CE,"Next Generation Surface Search Radar (NGSSR)",JB_RC,"ALT")</f>
        <v/>
      </c>
      <c r="E224" s="48">
        <f>SUMIFS(JB_26BV,JB_B,1,JB_EX,"P-8a",JB_CC,"Ordnance",JB_H,"LHA",JB_CE,"Next Generation Surface Search Radar (NGSSR)",JB_RC,"ALT")</f>
        <v/>
      </c>
      <c r="F224" s="48">
        <f>SUMIFS(JB_26BV,JB_B,1,JB_EX,"P-8a",JB_CC,"Ordnance",JB_H,"T-AGOS",JB_CE,"Next Generation Surface Search Radar (NGSSR)",JB_RC,"ALT")</f>
        <v/>
      </c>
      <c r="G224" s="48">
        <f>SUMIFS(JB_26BV,JB_B,1,JB_EX,"P-8a",JB_CC,"Ordnance",JB_H,"T-AO",JB_CE,"Next Generation Surface Search Radar (NGSSR)",JB_RC,"ALT")</f>
        <v/>
      </c>
      <c r="H224" s="48">
        <f>SUMIFS(JB_26BV,JB_B,1,JB_EX,"P-8a",JB_CC,"Ordnance",JB_H,"T-ATS",JB_CE,"Next Generation Surface Search Radar (NGSSR)",JB_RC,"ALT")</f>
        <v/>
      </c>
      <c r="I224" s="47">
        <f>SUM(B224:H224)</f>
        <v/>
      </c>
    </row>
    <row r="225" ht="10" customHeight="1">
      <c r="A225" s="46" t="inlineStr">
        <is>
          <t xml:space="preserve">    MK 53 Decoy Launching System (DLS) (Nulka)- 4 Launcher</t>
        </is>
      </c>
      <c r="B225" s="47">
        <f>SUMIFS(JB_26BV,JB_B,1,JB_EX,"P-8a",JB_CC,"Ordnance",JB_H,"DDG",JB_CE,"MK 53 Decoy Launching System (DLS) (Nulka)- 4 Launcher",JB_RC,"ALT")</f>
        <v/>
      </c>
      <c r="C225" s="48">
        <f>SUMIFS(JB_26BV,JB_B,1,JB_EX,"P-8a",JB_CC,"Ordnance",JB_H,"FFG",JB_CE,"MK 53 Decoy Launching System (DLS) (Nulka)- 4 Launcher",JB_RC,"ALT")</f>
        <v/>
      </c>
      <c r="D225" s="48">
        <f>SUMIFS(JB_26BV,JB_B,1,JB_EX,"P-8a",JB_CC,"Ordnance",JB_H,"LPD",JB_CE,"MK 53 Decoy Launching System (DLS) (Nulka)- 4 Launcher",JB_RC,"ALT")</f>
        <v/>
      </c>
      <c r="E225" s="48">
        <f>SUMIFS(JB_26BV,JB_B,1,JB_EX,"P-8a",JB_CC,"Ordnance",JB_H,"LHA",JB_CE,"MK 53 Decoy Launching System (DLS) (Nulka)- 4 Launcher",JB_RC,"ALT")</f>
        <v/>
      </c>
      <c r="F225" s="48">
        <f>SUMIFS(JB_26BV,JB_B,1,JB_EX,"P-8a",JB_CC,"Ordnance",JB_H,"T-AGOS",JB_CE,"MK 53 Decoy Launching System (DLS) (Nulka)- 4 Launcher",JB_RC,"ALT")</f>
        <v/>
      </c>
      <c r="G225" s="48">
        <f>SUMIFS(JB_26BV,JB_B,1,JB_EX,"P-8a",JB_CC,"Ordnance",JB_H,"T-AO",JB_CE,"MK 53 Decoy Launching System (DLS) (Nulka)- 4 Launcher",JB_RC,"ALT")</f>
        <v/>
      </c>
      <c r="H225" s="48">
        <f>SUMIFS(JB_26BV,JB_B,1,JB_EX,"P-8a",JB_CC,"Ordnance",JB_H,"T-ATS",JB_CE,"MK 53 Decoy Launching System (DLS) (Nulka)- 4 Launcher",JB_RC,"ALT")</f>
        <v/>
      </c>
      <c r="I225" s="47">
        <f>SUM(B225:H225)</f>
        <v/>
      </c>
    </row>
    <row r="226" ht="10" customHeight="1">
      <c r="A226" s="46" t="inlineStr">
        <is>
          <t xml:space="preserve">    Miscellaneous Ordnance</t>
        </is>
      </c>
      <c r="B226" s="47">
        <f>SUMIFS(JB_26BV,JB_B,1,JB_EX,"P-8a",JB_CC,"Ordnance",JB_H,"DDG",JB_CE,"Miscellaneous Ordnance",JB_RC,"ALT")</f>
        <v/>
      </c>
      <c r="C226" s="48">
        <f>SUMIFS(JB_26BV,JB_B,1,JB_EX,"P-8a",JB_CC,"Ordnance",JB_H,"FFG",JB_CE,"Miscellaneous Ordnance",JB_RC,"ALT")</f>
        <v/>
      </c>
      <c r="D226" s="48">
        <f>SUMIFS(JB_26BV,JB_B,1,JB_EX,"P-8a",JB_CC,"Ordnance",JB_H,"LPD",JB_CE,"Miscellaneous Ordnance",JB_RC,"ALT")</f>
        <v/>
      </c>
      <c r="E226" s="48">
        <f>SUMIFS(JB_26BV,JB_B,1,JB_EX,"P-8a",JB_CC,"Ordnance",JB_H,"LHA",JB_CE,"Miscellaneous Ordnance",JB_RC,"ALT")</f>
        <v/>
      </c>
      <c r="F226" s="48">
        <f>SUMIFS(JB_26BV,JB_B,1,JB_EX,"P-8a",JB_CC,"Ordnance",JB_H,"T-AGOS",JB_CE,"Miscellaneous Ordnance",JB_RC,"ALT")</f>
        <v/>
      </c>
      <c r="G226" s="48">
        <f>SUMIFS(JB_26BV,JB_B,1,JB_EX,"P-8a",JB_CC,"Ordnance",JB_H,"T-AO",JB_CE,"Miscellaneous Ordnance",JB_RC,"ALT")</f>
        <v/>
      </c>
      <c r="H226" s="48">
        <f>SUMIFS(JB_26BV,JB_B,1,JB_EX,"P-8a",JB_CC,"Ordnance",JB_H,"T-ATS",JB_CE,"Miscellaneous Ordnance",JB_RC,"ALT")</f>
        <v/>
      </c>
      <c r="I226" s="47">
        <f>SUM(B226:H226)</f>
        <v/>
      </c>
    </row>
    <row r="227" ht="10" customHeight="1">
      <c r="A227" s="46" t="inlineStr">
        <is>
          <t xml:space="preserve">    MORIAH</t>
        </is>
      </c>
      <c r="B227" s="47">
        <f>SUMIFS(JB_26BV,JB_B,1,JB_EX,"P-8a",JB_CC,"Ordnance",JB_H,"DDG",JB_CE,"MORIAH",JB_RC,"ALT")</f>
        <v/>
      </c>
      <c r="C227" s="48">
        <f>SUMIFS(JB_26BV,JB_B,1,JB_EX,"P-8a",JB_CC,"Ordnance",JB_H,"FFG",JB_CE,"MORIAH",JB_RC,"ALT")</f>
        <v/>
      </c>
      <c r="D227" s="48">
        <f>SUMIFS(JB_26BV,JB_B,1,JB_EX,"P-8a",JB_CC,"Ordnance",JB_H,"LPD",JB_CE,"MORIAH",JB_RC,"ALT")</f>
        <v/>
      </c>
      <c r="E227" s="48">
        <f>SUMIFS(JB_26BV,JB_B,1,JB_EX,"P-8a",JB_CC,"Ordnance",JB_H,"LHA",JB_CE,"MORIAH",JB_RC,"ALT")</f>
        <v/>
      </c>
      <c r="F227" s="48">
        <f>SUMIFS(JB_26BV,JB_B,1,JB_EX,"P-8a",JB_CC,"Ordnance",JB_H,"T-AGOS",JB_CE,"MORIAH",JB_RC,"ALT")</f>
        <v/>
      </c>
      <c r="G227" s="48">
        <f>SUMIFS(JB_26BV,JB_B,1,JB_EX,"P-8a",JB_CC,"Ordnance",JB_H,"T-AO",JB_CE,"MORIAH",JB_RC,"ALT")</f>
        <v/>
      </c>
      <c r="H227" s="48">
        <f>SUMIFS(JB_26BV,JB_B,1,JB_EX,"P-8a",JB_CC,"Ordnance",JB_H,"T-ATS",JB_CE,"MORIAH",JB_RC,"ALT")</f>
        <v/>
      </c>
      <c r="I227" s="47">
        <f>SUM(B227:H227)</f>
        <v/>
      </c>
    </row>
    <row r="228" ht="10" customHeight="1">
      <c r="A228" s="46" t="inlineStr">
        <is>
          <t xml:space="preserve">    AN/SPQ-14</t>
        </is>
      </c>
      <c r="B228" s="47">
        <f>SUMIFS(JB_26BV,JB_B,1,JB_EX,"P-8a",JB_CC,"Ordnance",JB_H,"DDG",JB_CE,"AN/SPQ-14",JB_RC,"ALT")</f>
        <v/>
      </c>
      <c r="C228" s="48">
        <f>SUMIFS(JB_26BV,JB_B,1,JB_EX,"P-8a",JB_CC,"Ordnance",JB_H,"FFG",JB_CE,"AN/SPQ-14",JB_RC,"ALT")</f>
        <v/>
      </c>
      <c r="D228" s="48">
        <f>SUMIFS(JB_26BV,JB_B,1,JB_EX,"P-8a",JB_CC,"Ordnance",JB_H,"LPD",JB_CE,"AN/SPQ-14",JB_RC,"ALT")</f>
        <v/>
      </c>
      <c r="E228" s="48">
        <f>SUMIFS(JB_26BV,JB_B,1,JB_EX,"P-8a",JB_CC,"Ordnance",JB_H,"LHA",JB_CE,"AN/SPQ-14",JB_RC,"ALT")</f>
        <v/>
      </c>
      <c r="F228" s="48">
        <f>SUMIFS(JB_26BV,JB_B,1,JB_EX,"P-8a",JB_CC,"Ordnance",JB_H,"T-AGOS",JB_CE,"AN/SPQ-14",JB_RC,"ALT")</f>
        <v/>
      </c>
      <c r="G228" s="48">
        <f>SUMIFS(JB_26BV,JB_B,1,JB_EX,"P-8a",JB_CC,"Ordnance",JB_H,"T-AO",JB_CE,"AN/SPQ-14",JB_RC,"ALT")</f>
        <v/>
      </c>
      <c r="H228" s="48">
        <f>SUMIFS(JB_26BV,JB_B,1,JB_EX,"P-8a",JB_CC,"Ordnance",JB_H,"T-ATS",JB_CE,"AN/SPQ-14",JB_RC,"ALT")</f>
        <v/>
      </c>
      <c r="I228" s="47">
        <f>SUM(B228:H228)</f>
        <v/>
      </c>
    </row>
    <row r="229" ht="10" customHeight="1">
      <c r="A229" s="46" t="inlineStr">
        <is>
          <t xml:space="preserve">    ORDNANCE HANDLING EQUIPMENT</t>
        </is>
      </c>
      <c r="B229" s="47">
        <f>SUMIFS(JB_26BV,JB_B,1,JB_EX,"P-8a",JB_CC,"Ordnance",JB_H,"DDG",JB_CE,"ORDNANCE HANDLING EQUIPMENT",JB_RC,"ALT")</f>
        <v/>
      </c>
      <c r="C229" s="48">
        <f>SUMIFS(JB_26BV,JB_B,1,JB_EX,"P-8a",JB_CC,"Ordnance",JB_H,"FFG",JB_CE,"ORDNANCE HANDLING EQUIPMENT",JB_RC,"ALT")</f>
        <v/>
      </c>
      <c r="D229" s="48">
        <f>SUMIFS(JB_26BV,JB_B,1,JB_EX,"P-8a",JB_CC,"Ordnance",JB_H,"LPD",JB_CE,"ORDNANCE HANDLING EQUIPMENT",JB_RC,"ALT")</f>
        <v/>
      </c>
      <c r="E229" s="48">
        <f>SUMIFS(JB_26BV,JB_B,1,JB_EX,"P-8a",JB_CC,"Ordnance",JB_H,"LHA",JB_CE,"ORDNANCE HANDLING EQUIPMENT",JB_RC,"ALT")</f>
        <v/>
      </c>
      <c r="F229" s="48">
        <f>SUMIFS(JB_26BV,JB_B,1,JB_EX,"P-8a",JB_CC,"Ordnance",JB_H,"T-AGOS",JB_CE,"ORDNANCE HANDLING EQUIPMENT",JB_RC,"ALT")</f>
        <v/>
      </c>
      <c r="G229" s="48">
        <f>SUMIFS(JB_26BV,JB_B,1,JB_EX,"P-8a",JB_CC,"Ordnance",JB_H,"T-AO",JB_CE,"ORDNANCE HANDLING EQUIPMENT",JB_RC,"ALT")</f>
        <v/>
      </c>
      <c r="H229" s="48">
        <f>SUMIFS(JB_26BV,JB_B,1,JB_EX,"P-8a",JB_CC,"Ordnance",JB_H,"T-ATS",JB_CE,"ORDNANCE HANDLING EQUIPMENT",JB_RC,"ALT")</f>
        <v/>
      </c>
      <c r="I229" s="47">
        <f>SUM(B229:H229)</f>
        <v/>
      </c>
    </row>
    <row r="230" ht="10" customHeight="1">
      <c r="A230" s="30" t="inlineStr">
        <is>
          <t>Other Cost</t>
        </is>
      </c>
      <c r="B230" s="45">
        <f>SUMIFS(JB_26BV,JB_B,1,JB_EX,"P-5c",JB_CC,"Other Cost",JB_H,"DDG",JB_RC,"ALT")</f>
        <v/>
      </c>
      <c r="C230" s="31">
        <f>SUMIFS(JB_26BV,JB_B,1,JB_EX,"P-5c",JB_CC,"Other Cost",JB_H,"FFG",JB_RC,"ALT")</f>
        <v/>
      </c>
      <c r="D230" s="31">
        <f>SUMIFS(JB_26BV,JB_B,1,JB_EX,"P-5c",JB_CC,"Other Cost",JB_H,"LPD",JB_RC,"ALT")</f>
        <v/>
      </c>
      <c r="E230" s="31">
        <f>SUMIFS(JB_26BV,JB_B,1,JB_EX,"P-5c",JB_CC,"Other Cost",JB_H,"LHA",JB_RC,"ALT")</f>
        <v/>
      </c>
      <c r="F230" s="31">
        <f>SUMIFS(JB_26BV,JB_B,1,JB_EX,"P-5c",JB_CC,"Other Cost",JB_H,"T-AGOS",JB_RC,"ALT")</f>
        <v/>
      </c>
      <c r="G230" s="31">
        <f>SUMIFS(JB_26BV,JB_B,1,JB_EX,"P-5c",JB_CC,"Other Cost",JB_H,"T-AO",JB_RC,"ALT")</f>
        <v/>
      </c>
      <c r="H230" s="31">
        <f>SUMIFS(JB_26BV,JB_B,1,JB_EX,"P-5c",JB_CC,"Other Cost",JB_H,"T-ATS",JB_RC,"ALT")</f>
        <v/>
      </c>
      <c r="I230" s="45">
        <f>SUM(B230:H230)</f>
        <v/>
      </c>
    </row>
    <row r="231" ht="10" customHeight="1">
      <c r="A231" s="32" t="inlineStr">
        <is>
          <t>Gross Total ($K)</t>
        </is>
      </c>
      <c r="B231" s="44">
        <f>B65+B66+B67+B68+B158+B191+B230</f>
        <v/>
      </c>
      <c r="C231" s="33">
        <f>C65+C66+C67+C68+C158+C191+C230</f>
        <v/>
      </c>
      <c r="D231" s="33">
        <f>D65+D66+D67+D68+D158+D191+D230</f>
        <v/>
      </c>
      <c r="E231" s="33">
        <f>E65+E66+E67+E68+E158+E191+E230</f>
        <v/>
      </c>
      <c r="F231" s="33">
        <f>F65+F66+F67+F68+F158+F191+F230</f>
        <v/>
      </c>
      <c r="G231" s="33">
        <f>G65+G66+G67+G68+G158+G191+G230</f>
        <v/>
      </c>
      <c r="H231" s="33">
        <f>H65+H66+H67+H68+H158+H191+H230</f>
        <v/>
      </c>
      <c r="I231" s="44">
        <f>I65+I66+I67+I68+I158+I191+I230</f>
        <v/>
      </c>
    </row>
    <row r="232" ht="10" customHeight="1"/>
    <row r="233" ht="10" customHeight="1">
      <c r="A233" s="49" t="inlineStr">
        <is>
          <t>Cost category mix (% of gross total per hull program)</t>
        </is>
      </c>
      <c r="B233" s="41" t="n"/>
      <c r="C233" s="39" t="n"/>
      <c r="D233" s="39" t="n"/>
      <c r="E233" s="39" t="n"/>
      <c r="F233" s="39" t="n"/>
      <c r="G233" s="39" t="n"/>
      <c r="H233" s="39" t="n"/>
      <c r="I233" s="41" t="n"/>
    </row>
    <row r="234" ht="10" customHeight="1">
      <c r="A234" s="29" t="inlineStr">
        <is>
          <t>Cost Category</t>
        </is>
      </c>
      <c r="B234" s="42" t="inlineStr">
        <is>
          <t>DDG</t>
        </is>
      </c>
      <c r="C234" s="29" t="inlineStr">
        <is>
          <t>FFG</t>
        </is>
      </c>
      <c r="D234" s="29" t="inlineStr">
        <is>
          <t>LPD</t>
        </is>
      </c>
      <c r="E234" s="29" t="inlineStr">
        <is>
          <t>LHA</t>
        </is>
      </c>
      <c r="F234" s="29" t="inlineStr">
        <is>
          <t>T-AGOS</t>
        </is>
      </c>
      <c r="G234" s="29" t="inlineStr">
        <is>
          <t>T-AO</t>
        </is>
      </c>
      <c r="H234" s="29" t="inlineStr">
        <is>
          <t>T-ATS</t>
        </is>
      </c>
      <c r="I234" s="42" t="inlineStr">
        <is>
          <t>Total</t>
        </is>
      </c>
    </row>
    <row r="235" ht="10" customHeight="1">
      <c r="A235" s="30" t="inlineStr">
        <is>
          <t>Plan Costs</t>
        </is>
      </c>
      <c r="B235" s="43">
        <f>IFERROR(B65/B$231,0)</f>
        <v/>
      </c>
      <c r="C235" s="37">
        <f>IFERROR(C65/C$231,0)</f>
        <v/>
      </c>
      <c r="D235" s="37">
        <f>IFERROR(D65/D$231,0)</f>
        <v/>
      </c>
      <c r="E235" s="37">
        <f>IFERROR(E65/E$231,0)</f>
        <v/>
      </c>
      <c r="F235" s="37">
        <f>IFERROR(F65/F$231,0)</f>
        <v/>
      </c>
      <c r="G235" s="37">
        <f>IFERROR(G65/G$231,0)</f>
        <v/>
      </c>
      <c r="H235" s="37">
        <f>IFERROR(H65/H$231,0)</f>
        <v/>
      </c>
      <c r="I235" s="43">
        <f>IFERROR(I65/I$231,0)</f>
        <v/>
      </c>
    </row>
    <row r="236" ht="10" customHeight="1">
      <c r="A236" s="30" t="inlineStr">
        <is>
          <t>Basic Construction</t>
        </is>
      </c>
      <c r="B236" s="43">
        <f>IFERROR(B66/B$231,0)</f>
        <v/>
      </c>
      <c r="C236" s="37">
        <f>IFERROR(C66/C$231,0)</f>
        <v/>
      </c>
      <c r="D236" s="37">
        <f>IFERROR(D66/D$231,0)</f>
        <v/>
      </c>
      <c r="E236" s="37">
        <f>IFERROR(E66/E$231,0)</f>
        <v/>
      </c>
      <c r="F236" s="37">
        <f>IFERROR(F66/F$231,0)</f>
        <v/>
      </c>
      <c r="G236" s="37">
        <f>IFERROR(G66/G$231,0)</f>
        <v/>
      </c>
      <c r="H236" s="37">
        <f>IFERROR(H66/H$231,0)</f>
        <v/>
      </c>
      <c r="I236" s="43">
        <f>IFERROR(I66/I$231,0)</f>
        <v/>
      </c>
    </row>
    <row r="237" ht="10" customHeight="1">
      <c r="A237" s="30" t="inlineStr">
        <is>
          <t>Change Orders</t>
        </is>
      </c>
      <c r="B237" s="43">
        <f>IFERROR(B67/B$231,0)</f>
        <v/>
      </c>
      <c r="C237" s="37">
        <f>IFERROR(C67/C$231,0)</f>
        <v/>
      </c>
      <c r="D237" s="37">
        <f>IFERROR(D67/D$231,0)</f>
        <v/>
      </c>
      <c r="E237" s="37">
        <f>IFERROR(E67/E$231,0)</f>
        <v/>
      </c>
      <c r="F237" s="37">
        <f>IFERROR(F67/F$231,0)</f>
        <v/>
      </c>
      <c r="G237" s="37">
        <f>IFERROR(G67/G$231,0)</f>
        <v/>
      </c>
      <c r="H237" s="37">
        <f>IFERROR(H67/H$231,0)</f>
        <v/>
      </c>
      <c r="I237" s="43">
        <f>IFERROR(I67/I$231,0)</f>
        <v/>
      </c>
    </row>
    <row r="238" ht="10" customHeight="1">
      <c r="A238" s="30" t="inlineStr">
        <is>
          <t>Electronics</t>
        </is>
      </c>
      <c r="B238" s="43">
        <f>IFERROR(B68/B$231,0)</f>
        <v/>
      </c>
      <c r="C238" s="37">
        <f>IFERROR(C68/C$231,0)</f>
        <v/>
      </c>
      <c r="D238" s="37">
        <f>IFERROR(D68/D$231,0)</f>
        <v/>
      </c>
      <c r="E238" s="37">
        <f>IFERROR(E68/E$231,0)</f>
        <v/>
      </c>
      <c r="F238" s="37">
        <f>IFERROR(F68/F$231,0)</f>
        <v/>
      </c>
      <c r="G238" s="37">
        <f>IFERROR(G68/G$231,0)</f>
        <v/>
      </c>
      <c r="H238" s="37">
        <f>IFERROR(H68/H$231,0)</f>
        <v/>
      </c>
      <c r="I238" s="43">
        <f>IFERROR(I68/I$231,0)</f>
        <v/>
      </c>
    </row>
    <row r="239" ht="10" customHeight="1">
      <c r="A239" s="30" t="inlineStr">
        <is>
          <t>Hull, Mechanical, and Electrical</t>
        </is>
      </c>
      <c r="B239" s="43">
        <f>IFERROR(B158/B$231,0)</f>
        <v/>
      </c>
      <c r="C239" s="37">
        <f>IFERROR(C158/C$231,0)</f>
        <v/>
      </c>
      <c r="D239" s="37">
        <f>IFERROR(D158/D$231,0)</f>
        <v/>
      </c>
      <c r="E239" s="37">
        <f>IFERROR(E158/E$231,0)</f>
        <v/>
      </c>
      <c r="F239" s="37">
        <f>IFERROR(F158/F$231,0)</f>
        <v/>
      </c>
      <c r="G239" s="37">
        <f>IFERROR(G158/G$231,0)</f>
        <v/>
      </c>
      <c r="H239" s="37">
        <f>IFERROR(H158/H$231,0)</f>
        <v/>
      </c>
      <c r="I239" s="43">
        <f>IFERROR(I158/I$231,0)</f>
        <v/>
      </c>
    </row>
    <row r="240" ht="10" customHeight="1">
      <c r="A240" s="30" t="inlineStr">
        <is>
          <t>Ordnance</t>
        </is>
      </c>
      <c r="B240" s="43">
        <f>IFERROR(B191/B$231,0)</f>
        <v/>
      </c>
      <c r="C240" s="37">
        <f>IFERROR(C191/C$231,0)</f>
        <v/>
      </c>
      <c r="D240" s="37">
        <f>IFERROR(D191/D$231,0)</f>
        <v/>
      </c>
      <c r="E240" s="37">
        <f>IFERROR(E191/E$231,0)</f>
        <v/>
      </c>
      <c r="F240" s="37">
        <f>IFERROR(F191/F$231,0)</f>
        <v/>
      </c>
      <c r="G240" s="37">
        <f>IFERROR(G191/G$231,0)</f>
        <v/>
      </c>
      <c r="H240" s="37">
        <f>IFERROR(H191/H$231,0)</f>
        <v/>
      </c>
      <c r="I240" s="43">
        <f>IFERROR(I191/I$231,0)</f>
        <v/>
      </c>
    </row>
    <row r="241" ht="10" customHeight="1">
      <c r="A241" s="30" t="inlineStr">
        <is>
          <t>Other Cost</t>
        </is>
      </c>
      <c r="B241" s="43">
        <f>IFERROR(B230/B$231,0)</f>
        <v/>
      </c>
      <c r="C241" s="37">
        <f>IFERROR(C230/C$231,0)</f>
        <v/>
      </c>
      <c r="D241" s="37">
        <f>IFERROR(D230/D$231,0)</f>
        <v/>
      </c>
      <c r="E241" s="37">
        <f>IFERROR(E230/E$231,0)</f>
        <v/>
      </c>
      <c r="F241" s="37">
        <f>IFERROR(F230/F$231,0)</f>
        <v/>
      </c>
      <c r="G241" s="37">
        <f>IFERROR(G230/G$231,0)</f>
        <v/>
      </c>
      <c r="H241" s="37">
        <f>IFERROR(H230/H$231,0)</f>
        <v/>
      </c>
      <c r="I241" s="43">
        <f>IFERROR(I230/I$231,0)</f>
        <v/>
      </c>
    </row>
    <row r="242" ht="10" customHeight="1">
      <c r="A242" s="32" t="inlineStr">
        <is>
          <t>Total</t>
        </is>
      </c>
      <c r="B242" s="50" t="n">
        <v>1</v>
      </c>
      <c r="C242" s="38" t="n">
        <v>1</v>
      </c>
      <c r="D242" s="38" t="n">
        <v>1</v>
      </c>
      <c r="E242" s="38" t="n">
        <v>1</v>
      </c>
      <c r="F242" s="38" t="n">
        <v>1</v>
      </c>
      <c r="G242" s="38" t="n">
        <v>1</v>
      </c>
      <c r="H242" s="38" t="n">
        <v>1</v>
      </c>
      <c r="I242" s="50" t="n">
        <v>1</v>
      </c>
    </row>
    <row r="243" ht="10" customHeight="1"/>
    <row r="244" ht="10" customHeight="1"/>
    <row r="245" ht="10" customHeight="1">
      <c r="A245" s="27" t="inlineStr">
        <is>
          <t>(E) Newbuild SAM (cost-element coverage) — FY2026 ($K)</t>
        </is>
      </c>
      <c r="B245" s="28" t="n"/>
      <c r="C245" s="28" t="n"/>
      <c r="D245" s="28" t="n"/>
      <c r="E245" s="28" t="n"/>
      <c r="F245" s="28" t="n"/>
      <c r="G245" s="28" t="n"/>
      <c r="H245" s="28" t="n"/>
      <c r="I245" s="28" t="n"/>
    </row>
    <row r="246" ht="10" customHeight="1">
      <c r="A246" s="26" t="inlineStr">
        <is>
          <t>P-5c percentage mix from (D) applied to SAM net budget-authority totals. This is the Newbuild SAM — the outsourceable new-construction market sized at component level.</t>
        </is>
      </c>
    </row>
    <row r="247" ht="10" customHeight="1">
      <c r="A247" s="39" t="n"/>
      <c r="B247" s="40" t="inlineStr">
        <is>
          <t>USN</t>
        </is>
      </c>
      <c r="C247" s="39" t="n"/>
      <c r="D247" s="39" t="n"/>
      <c r="E247" s="39" t="n"/>
      <c r="F247" s="39" t="n"/>
      <c r="G247" s="39" t="n"/>
      <c r="H247" s="39" t="n"/>
      <c r="I247" s="41" t="n"/>
    </row>
    <row r="248" ht="10" customHeight="1">
      <c r="A248" s="29" t="inlineStr">
        <is>
          <t>Cost Category</t>
        </is>
      </c>
      <c r="B248" s="42" t="inlineStr">
        <is>
          <t>DDG</t>
        </is>
      </c>
      <c r="C248" s="29" t="inlineStr">
        <is>
          <t>T-AO</t>
        </is>
      </c>
      <c r="D248" s="29" t="inlineStr">
        <is>
          <t>LPD</t>
        </is>
      </c>
      <c r="E248" s="29" t="inlineStr">
        <is>
          <t>LHA</t>
        </is>
      </c>
      <c r="F248" s="29" t="inlineStr">
        <is>
          <t>T-AGOS</t>
        </is>
      </c>
      <c r="G248" s="29" t="inlineStr">
        <is>
          <t>FFG</t>
        </is>
      </c>
      <c r="H248" s="29" t="inlineStr">
        <is>
          <t>T-ATS</t>
        </is>
      </c>
      <c r="I248" s="42" t="inlineStr">
        <is>
          <t>Total</t>
        </is>
      </c>
    </row>
    <row r="249" ht="10" customHeight="1">
      <c r="A249" s="35" t="inlineStr">
        <is>
          <t>SAM Net Total ($K)</t>
        </is>
      </c>
      <c r="B249" s="51">
        <f>SUMIFS(JB_26BV,JB_B,1,JB_H,"DDG",JB_RC,"ADD")</f>
        <v/>
      </c>
      <c r="C249" s="36">
        <f>SUMIFS(JB_26BV,JB_B,1,JB_H,"T-AO",JB_RC,"ADD")</f>
        <v/>
      </c>
      <c r="D249" s="36">
        <f>SUMIFS(JB_26BV,JB_B,1,JB_H,"LPD",JB_RC,"ADD")</f>
        <v/>
      </c>
      <c r="E249" s="36">
        <f>SUMIFS(JB_26BV,JB_B,1,JB_H,"LHA",JB_RC,"ADD")</f>
        <v/>
      </c>
      <c r="F249" s="36">
        <f>SUMIFS(JB_26BV,JB_B,1,JB_H,"T-AGOS",JB_RC,"ADD")</f>
        <v/>
      </c>
      <c r="G249" s="36">
        <f>SUMIFS(JB_26BV,JB_B,1,JB_H,"FFG",JB_RC,"ADD")</f>
        <v/>
      </c>
      <c r="H249" s="36">
        <f>SUMIFS(JB_26BV,JB_B,1,JB_H,"T-ATS",JB_RC,"ADD")</f>
        <v/>
      </c>
      <c r="I249" s="51">
        <f>SUM(B249:H249)</f>
        <v/>
      </c>
    </row>
    <row r="250" ht="10" customHeight="1">
      <c r="A250" s="30" t="inlineStr">
        <is>
          <t>Plan Costs</t>
        </is>
      </c>
      <c r="B250" s="45">
        <f>IFERROR(B$249*(SUMIFS(JB_26BV,JB_B,1,JB_EX,"P-5c",JB_CC,"Plan Costs",JB_H,"DDG",JB_RC,"ALT"))/(SUMIFS(JB_26BV,JB_B,1,JB_EX,"P-5c",JB_H,"DDG",JB_RC,"ALT")),0)</f>
        <v/>
      </c>
      <c r="C250" s="31">
        <f>IFERROR(C$249*(SUMIFS(JB_26BV,JB_B,1,JB_EX,"P-5c",JB_CC,"Plan Costs",JB_H,"T-AO",JB_RC,"ALT"))/(SUMIFS(JB_26BV,JB_B,1,JB_EX,"P-5c",JB_H,"T-AO",JB_RC,"ALT")),0)</f>
        <v/>
      </c>
      <c r="D250" s="31">
        <f>IFERROR(D$249*(SUMIFS(JB_26BV,JB_B,1,JB_EX,"P-5c",JB_CC,"Plan Costs",JB_H,"LPD",JB_RC,"ALT"))/(SUMIFS(JB_26BV,JB_B,1,JB_EX,"P-5c",JB_H,"LPD",JB_RC,"ALT")),0)</f>
        <v/>
      </c>
      <c r="E250" s="31">
        <f>IFERROR(E$249*(SUMIFS(JB_26BV,JB_B,1,JB_EX,"P-5c",JB_CC,"Plan Costs",JB_H,"LHA",JB_RC,"ALT"))/(SUMIFS(JB_26BV,JB_B,1,JB_EX,"P-5c",JB_H,"LHA",JB_RC,"ALT")),0)</f>
        <v/>
      </c>
      <c r="F250" s="31">
        <f>IFERROR(F$249*(SUMIFS(JB_26BV,JB_B,1,JB_EX,"P-5c",JB_CC,"Plan Costs",JB_H,"T-AGOS",JB_RC,"ALT"))/(SUMIFS(JB_26BV,JB_B,1,JB_EX,"P-5c",JB_H,"T-AGOS",JB_RC,"ALT")),0)</f>
        <v/>
      </c>
      <c r="G250" s="31">
        <f>IFERROR(G$249*(SUMIFS(JB_26BV,JB_B,1,JB_EX,"P-5c",JB_CC,"Plan Costs",JB_H,"FFG",JB_RC,"ALT"))/(SUMIFS(JB_26BV,JB_B,1,JB_EX,"P-5c",JB_H,"FFG",JB_RC,"ALT")),0)</f>
        <v/>
      </c>
      <c r="H250" s="31">
        <f>IFERROR(H$249*(SUMIFS(JB_26BV,JB_B,1,JB_EX,"P-5c",JB_CC,"Plan Costs",JB_H,"T-ATS",JB_RC,"ALT"))/(SUMIFS(JB_26BV,JB_B,1,JB_EX,"P-5c",JB_H,"T-ATS",JB_RC,"ALT")),0)</f>
        <v/>
      </c>
      <c r="I250" s="45">
        <f>SUM(B250:H250)</f>
        <v/>
      </c>
    </row>
    <row r="251" ht="10" customHeight="1">
      <c r="A251" s="30" t="inlineStr">
        <is>
          <t>Basic Construction</t>
        </is>
      </c>
      <c r="B251" s="45">
        <f>IFERROR(B$249*(SUMIFS(JB_26BV,JB_B,1,JB_EX,"P-5c",JB_CC,"Basic Construction",JB_H,"DDG",JB_RC,"ALT"))/(SUMIFS(JB_26BV,JB_B,1,JB_EX,"P-5c",JB_H,"DDG",JB_RC,"ALT")),0)</f>
        <v/>
      </c>
      <c r="C251" s="31">
        <f>IFERROR(C$249*(SUMIFS(JB_26BV,JB_B,1,JB_EX,"P-5c",JB_CC,"Basic Construction",JB_H,"T-AO",JB_RC,"ALT"))/(SUMIFS(JB_26BV,JB_B,1,JB_EX,"P-5c",JB_H,"T-AO",JB_RC,"ALT")),0)</f>
        <v/>
      </c>
      <c r="D251" s="31">
        <f>IFERROR(D$249*(SUMIFS(JB_26BV,JB_B,1,JB_EX,"P-5c",JB_CC,"Basic Construction",JB_H,"LPD",JB_RC,"ALT"))/(SUMIFS(JB_26BV,JB_B,1,JB_EX,"P-5c",JB_H,"LPD",JB_RC,"ALT")),0)</f>
        <v/>
      </c>
      <c r="E251" s="31">
        <f>IFERROR(E$249*(SUMIFS(JB_26BV,JB_B,1,JB_EX,"P-5c",JB_CC,"Basic Construction",JB_H,"LHA",JB_RC,"ALT"))/(SUMIFS(JB_26BV,JB_B,1,JB_EX,"P-5c",JB_H,"LHA",JB_RC,"ALT")),0)</f>
        <v/>
      </c>
      <c r="F251" s="31">
        <f>IFERROR(F$249*(SUMIFS(JB_26BV,JB_B,1,JB_EX,"P-5c",JB_CC,"Basic Construction",JB_H,"T-AGOS",JB_RC,"ALT"))/(SUMIFS(JB_26BV,JB_B,1,JB_EX,"P-5c",JB_H,"T-AGOS",JB_RC,"ALT")),0)</f>
        <v/>
      </c>
      <c r="G251" s="31">
        <f>IFERROR(G$249*(SUMIFS(JB_26BV,JB_B,1,JB_EX,"P-5c",JB_CC,"Basic Construction",JB_H,"FFG",JB_RC,"ALT"))/(SUMIFS(JB_26BV,JB_B,1,JB_EX,"P-5c",JB_H,"FFG",JB_RC,"ALT")),0)</f>
        <v/>
      </c>
      <c r="H251" s="31">
        <f>IFERROR(H$249*(SUMIFS(JB_26BV,JB_B,1,JB_EX,"P-5c",JB_CC,"Basic Construction",JB_H,"T-ATS",JB_RC,"ALT"))/(SUMIFS(JB_26BV,JB_B,1,JB_EX,"P-5c",JB_H,"T-ATS",JB_RC,"ALT")),0)</f>
        <v/>
      </c>
      <c r="I251" s="45">
        <f>SUM(B251:H251)</f>
        <v/>
      </c>
    </row>
    <row r="252" ht="10" customHeight="1">
      <c r="A252" s="30" t="inlineStr">
        <is>
          <t>Change Orders</t>
        </is>
      </c>
      <c r="B252" s="45">
        <f>IFERROR(B$249*(SUMIFS(JB_26BV,JB_B,1,JB_EX,"P-5c",JB_CC,"Change Orders",JB_H,"DDG",JB_RC,"ALT"))/(SUMIFS(JB_26BV,JB_B,1,JB_EX,"P-5c",JB_H,"DDG",JB_RC,"ALT")),0)</f>
        <v/>
      </c>
      <c r="C252" s="31">
        <f>IFERROR(C$249*(SUMIFS(JB_26BV,JB_B,1,JB_EX,"P-5c",JB_CC,"Change Orders",JB_H,"T-AO",JB_RC,"ALT"))/(SUMIFS(JB_26BV,JB_B,1,JB_EX,"P-5c",JB_H,"T-AO",JB_RC,"ALT")),0)</f>
        <v/>
      </c>
      <c r="D252" s="31">
        <f>IFERROR(D$249*(SUMIFS(JB_26BV,JB_B,1,JB_EX,"P-5c",JB_CC,"Change Orders",JB_H,"LPD",JB_RC,"ALT"))/(SUMIFS(JB_26BV,JB_B,1,JB_EX,"P-5c",JB_H,"LPD",JB_RC,"ALT")),0)</f>
        <v/>
      </c>
      <c r="E252" s="31">
        <f>IFERROR(E$249*(SUMIFS(JB_26BV,JB_B,1,JB_EX,"P-5c",JB_CC,"Change Orders",JB_H,"LHA",JB_RC,"ALT"))/(SUMIFS(JB_26BV,JB_B,1,JB_EX,"P-5c",JB_H,"LHA",JB_RC,"ALT")),0)</f>
        <v/>
      </c>
      <c r="F252" s="31">
        <f>IFERROR(F$249*(SUMIFS(JB_26BV,JB_B,1,JB_EX,"P-5c",JB_CC,"Change Orders",JB_H,"T-AGOS",JB_RC,"ALT"))/(SUMIFS(JB_26BV,JB_B,1,JB_EX,"P-5c",JB_H,"T-AGOS",JB_RC,"ALT")),0)</f>
        <v/>
      </c>
      <c r="G252" s="31">
        <f>IFERROR(G$249*(SUMIFS(JB_26BV,JB_B,1,JB_EX,"P-5c",JB_CC,"Change Orders",JB_H,"FFG",JB_RC,"ALT"))/(SUMIFS(JB_26BV,JB_B,1,JB_EX,"P-5c",JB_H,"FFG",JB_RC,"ALT")),0)</f>
        <v/>
      </c>
      <c r="H252" s="31">
        <f>IFERROR(H$249*(SUMIFS(JB_26BV,JB_B,1,JB_EX,"P-5c",JB_CC,"Change Orders",JB_H,"T-ATS",JB_RC,"ALT"))/(SUMIFS(JB_26BV,JB_B,1,JB_EX,"P-5c",JB_H,"T-ATS",JB_RC,"ALT")),0)</f>
        <v/>
      </c>
      <c r="I252" s="45">
        <f>SUM(B252:H252)</f>
        <v/>
      </c>
    </row>
    <row r="253" ht="10" customHeight="1">
      <c r="A253" s="30" t="inlineStr">
        <is>
          <t>Electronics</t>
        </is>
      </c>
      <c r="B253" s="45">
        <f>IFERROR(B$249*(SUMIFS(JB_26BV,JB_B,1,JB_EX,"P-5c",JB_CC,"Electronics",JB_H,"DDG",JB_RC,"ALT"))/(SUMIFS(JB_26BV,JB_B,1,JB_EX,"P-5c",JB_H,"DDG",JB_RC,"ALT")),0)</f>
        <v/>
      </c>
      <c r="C253" s="31">
        <f>IFERROR(C$249*(SUMIFS(JB_26BV,JB_B,1,JB_EX,"P-5c",JB_CC,"Electronics",JB_H,"T-AO",JB_RC,"ALT"))/(SUMIFS(JB_26BV,JB_B,1,JB_EX,"P-5c",JB_H,"T-AO",JB_RC,"ALT")),0)</f>
        <v/>
      </c>
      <c r="D253" s="31">
        <f>IFERROR(D$249*(SUMIFS(JB_26BV,JB_B,1,JB_EX,"P-5c",JB_CC,"Electronics",JB_H,"LPD",JB_RC,"ALT"))/(SUMIFS(JB_26BV,JB_B,1,JB_EX,"P-5c",JB_H,"LPD",JB_RC,"ALT")),0)</f>
        <v/>
      </c>
      <c r="E253" s="31">
        <f>IFERROR(E$249*(SUMIFS(JB_26BV,JB_B,1,JB_EX,"P-5c",JB_CC,"Electronics",JB_H,"LHA",JB_RC,"ALT"))/(SUMIFS(JB_26BV,JB_B,1,JB_EX,"P-5c",JB_H,"LHA",JB_RC,"ALT")),0)</f>
        <v/>
      </c>
      <c r="F253" s="31">
        <f>IFERROR(F$249*(SUMIFS(JB_26BV,JB_B,1,JB_EX,"P-5c",JB_CC,"Electronics",JB_H,"T-AGOS",JB_RC,"ALT"))/(SUMIFS(JB_26BV,JB_B,1,JB_EX,"P-5c",JB_H,"T-AGOS",JB_RC,"ALT")),0)</f>
        <v/>
      </c>
      <c r="G253" s="31">
        <f>IFERROR(G$249*(SUMIFS(JB_26BV,JB_B,1,JB_EX,"P-5c",JB_CC,"Electronics",JB_H,"FFG",JB_RC,"ALT"))/(SUMIFS(JB_26BV,JB_B,1,JB_EX,"P-5c",JB_H,"FFG",JB_RC,"ALT")),0)</f>
        <v/>
      </c>
      <c r="H253" s="31">
        <f>IFERROR(H$249*(SUMIFS(JB_26BV,JB_B,1,JB_EX,"P-5c",JB_CC,"Electronics",JB_H,"T-ATS",JB_RC,"ALT"))/(SUMIFS(JB_26BV,JB_B,1,JB_EX,"P-5c",JB_H,"T-ATS",JB_RC,"ALT")),0)</f>
        <v/>
      </c>
      <c r="I253" s="45">
        <f>SUM(B253:H253)</f>
        <v/>
      </c>
    </row>
    <row r="254" ht="10" customHeight="1">
      <c r="A254" s="30" t="inlineStr">
        <is>
          <t>Hull, Mechanical, and Electrical</t>
        </is>
      </c>
      <c r="B254" s="45">
        <f>IFERROR(B$249*(SUMIFS(JB_26BV,JB_B,1,JB_EX,"P-5c",JB_CC,"Hull, Mechanical, and Electrical",JB_H,"DDG",JB_RC,"ALT"))/(SUMIFS(JB_26BV,JB_B,1,JB_EX,"P-5c",JB_H,"DDG",JB_RC,"ALT")),0)</f>
        <v/>
      </c>
      <c r="C254" s="31">
        <f>IFERROR(C$249*(SUMIFS(JB_26BV,JB_B,1,JB_EX,"P-5c",JB_CC,"Hull, Mechanical, and Electrical",JB_H,"T-AO",JB_RC,"ALT"))/(SUMIFS(JB_26BV,JB_B,1,JB_EX,"P-5c",JB_H,"T-AO",JB_RC,"ALT")),0)</f>
        <v/>
      </c>
      <c r="D254" s="31">
        <f>IFERROR(D$249*(SUMIFS(JB_26BV,JB_B,1,JB_EX,"P-5c",JB_CC,"Hull, Mechanical, and Electrical",JB_H,"LPD",JB_RC,"ALT"))/(SUMIFS(JB_26BV,JB_B,1,JB_EX,"P-5c",JB_H,"LPD",JB_RC,"ALT")),0)</f>
        <v/>
      </c>
      <c r="E254" s="31">
        <f>IFERROR(E$249*(SUMIFS(JB_26BV,JB_B,1,JB_EX,"P-5c",JB_CC,"Hull, Mechanical, and Electrical",JB_H,"LHA",JB_RC,"ALT"))/(SUMIFS(JB_26BV,JB_B,1,JB_EX,"P-5c",JB_H,"LHA",JB_RC,"ALT")),0)</f>
        <v/>
      </c>
      <c r="F254" s="31">
        <f>IFERROR(F$249*(SUMIFS(JB_26BV,JB_B,1,JB_EX,"P-5c",JB_CC,"Hull, Mechanical, and Electrical",JB_H,"T-AGOS",JB_RC,"ALT"))/(SUMIFS(JB_26BV,JB_B,1,JB_EX,"P-5c",JB_H,"T-AGOS",JB_RC,"ALT")),0)</f>
        <v/>
      </c>
      <c r="G254" s="31">
        <f>IFERROR(G$249*(SUMIFS(JB_26BV,JB_B,1,JB_EX,"P-5c",JB_CC,"Hull, Mechanical, and Electrical",JB_H,"FFG",JB_RC,"ALT"))/(SUMIFS(JB_26BV,JB_B,1,JB_EX,"P-5c",JB_H,"FFG",JB_RC,"ALT")),0)</f>
        <v/>
      </c>
      <c r="H254" s="31">
        <f>IFERROR(H$249*(SUMIFS(JB_26BV,JB_B,1,JB_EX,"P-5c",JB_CC,"Hull, Mechanical, and Electrical",JB_H,"T-ATS",JB_RC,"ALT"))/(SUMIFS(JB_26BV,JB_B,1,JB_EX,"P-5c",JB_H,"T-ATS",JB_RC,"ALT")),0)</f>
        <v/>
      </c>
      <c r="I254" s="45">
        <f>SUM(B254:H254)</f>
        <v/>
      </c>
    </row>
    <row r="255" ht="10" customHeight="1">
      <c r="A255" s="30" t="inlineStr">
        <is>
          <t>Ordnance</t>
        </is>
      </c>
      <c r="B255" s="45">
        <f>IFERROR(B$249*(SUMIFS(JB_26BV,JB_B,1,JB_EX,"P-5c",JB_CC,"Ordnance",JB_H,"DDG",JB_RC,"ALT"))/(SUMIFS(JB_26BV,JB_B,1,JB_EX,"P-5c",JB_H,"DDG",JB_RC,"ALT")),0)</f>
        <v/>
      </c>
      <c r="C255" s="31">
        <f>IFERROR(C$249*(SUMIFS(JB_26BV,JB_B,1,JB_EX,"P-5c",JB_CC,"Ordnance",JB_H,"T-AO",JB_RC,"ALT"))/(SUMIFS(JB_26BV,JB_B,1,JB_EX,"P-5c",JB_H,"T-AO",JB_RC,"ALT")),0)</f>
        <v/>
      </c>
      <c r="D255" s="31">
        <f>IFERROR(D$249*(SUMIFS(JB_26BV,JB_B,1,JB_EX,"P-5c",JB_CC,"Ordnance",JB_H,"LPD",JB_RC,"ALT"))/(SUMIFS(JB_26BV,JB_B,1,JB_EX,"P-5c",JB_H,"LPD",JB_RC,"ALT")),0)</f>
        <v/>
      </c>
      <c r="E255" s="31">
        <f>IFERROR(E$249*(SUMIFS(JB_26BV,JB_B,1,JB_EX,"P-5c",JB_CC,"Ordnance",JB_H,"LHA",JB_RC,"ALT"))/(SUMIFS(JB_26BV,JB_B,1,JB_EX,"P-5c",JB_H,"LHA",JB_RC,"ALT")),0)</f>
        <v/>
      </c>
      <c r="F255" s="31">
        <f>IFERROR(F$249*(SUMIFS(JB_26BV,JB_B,1,JB_EX,"P-5c",JB_CC,"Ordnance",JB_H,"T-AGOS",JB_RC,"ALT"))/(SUMIFS(JB_26BV,JB_B,1,JB_EX,"P-5c",JB_H,"T-AGOS",JB_RC,"ALT")),0)</f>
        <v/>
      </c>
      <c r="G255" s="31">
        <f>IFERROR(G$249*(SUMIFS(JB_26BV,JB_B,1,JB_EX,"P-5c",JB_CC,"Ordnance",JB_H,"FFG",JB_RC,"ALT"))/(SUMIFS(JB_26BV,JB_B,1,JB_EX,"P-5c",JB_H,"FFG",JB_RC,"ALT")),0)</f>
        <v/>
      </c>
      <c r="H255" s="31">
        <f>IFERROR(H$249*(SUMIFS(JB_26BV,JB_B,1,JB_EX,"P-5c",JB_CC,"Ordnance",JB_H,"T-ATS",JB_RC,"ALT"))/(SUMIFS(JB_26BV,JB_B,1,JB_EX,"P-5c",JB_H,"T-ATS",JB_RC,"ALT")),0)</f>
        <v/>
      </c>
      <c r="I255" s="45">
        <f>SUM(B255:H255)</f>
        <v/>
      </c>
    </row>
    <row r="256" ht="10" customHeight="1">
      <c r="A256" s="30" t="inlineStr">
        <is>
          <t>Other Cost</t>
        </is>
      </c>
      <c r="B256" s="45">
        <f>IFERROR(B$249*(SUMIFS(JB_26BV,JB_B,1,JB_EX,"P-5c",JB_CC,"Other Cost",JB_H,"DDG",JB_RC,"ALT"))/(SUMIFS(JB_26BV,JB_B,1,JB_EX,"P-5c",JB_H,"DDG",JB_RC,"ALT")),0)</f>
        <v/>
      </c>
      <c r="C256" s="31">
        <f>IFERROR(C$249*(SUMIFS(JB_26BV,JB_B,1,JB_EX,"P-5c",JB_CC,"Other Cost",JB_H,"T-AO",JB_RC,"ALT"))/(SUMIFS(JB_26BV,JB_B,1,JB_EX,"P-5c",JB_H,"T-AO",JB_RC,"ALT")),0)</f>
        <v/>
      </c>
      <c r="D256" s="31">
        <f>IFERROR(D$249*(SUMIFS(JB_26BV,JB_B,1,JB_EX,"P-5c",JB_CC,"Other Cost",JB_H,"LPD",JB_RC,"ALT"))/(SUMIFS(JB_26BV,JB_B,1,JB_EX,"P-5c",JB_H,"LPD",JB_RC,"ALT")),0)</f>
        <v/>
      </c>
      <c r="E256" s="31">
        <f>IFERROR(E$249*(SUMIFS(JB_26BV,JB_B,1,JB_EX,"P-5c",JB_CC,"Other Cost",JB_H,"LHA",JB_RC,"ALT"))/(SUMIFS(JB_26BV,JB_B,1,JB_EX,"P-5c",JB_H,"LHA",JB_RC,"ALT")),0)</f>
        <v/>
      </c>
      <c r="F256" s="31">
        <f>IFERROR(F$249*(SUMIFS(JB_26BV,JB_B,1,JB_EX,"P-5c",JB_CC,"Other Cost",JB_H,"T-AGOS",JB_RC,"ALT"))/(SUMIFS(JB_26BV,JB_B,1,JB_EX,"P-5c",JB_H,"T-AGOS",JB_RC,"ALT")),0)</f>
        <v/>
      </c>
      <c r="G256" s="31">
        <f>IFERROR(G$249*(SUMIFS(JB_26BV,JB_B,1,JB_EX,"P-5c",JB_CC,"Other Cost",JB_H,"FFG",JB_RC,"ALT"))/(SUMIFS(JB_26BV,JB_B,1,JB_EX,"P-5c",JB_H,"FFG",JB_RC,"ALT")),0)</f>
        <v/>
      </c>
      <c r="H256" s="31">
        <f>IFERROR(H$249*(SUMIFS(JB_26BV,JB_B,1,JB_EX,"P-5c",JB_CC,"Other Cost",JB_H,"T-ATS",JB_RC,"ALT"))/(SUMIFS(JB_26BV,JB_B,1,JB_EX,"P-5c",JB_H,"T-ATS",JB_RC,"ALT")),0)</f>
        <v/>
      </c>
      <c r="I256" s="45">
        <f>SUM(B256:H256)</f>
        <v/>
      </c>
    </row>
    <row r="257" ht="10" customHeight="1">
      <c r="A257" s="32" t="inlineStr">
        <is>
          <t>Newbuild SAM ($K)</t>
        </is>
      </c>
      <c r="B257" s="44">
        <f>SUM(B250:B256)</f>
        <v/>
      </c>
      <c r="C257" s="33">
        <f>SUM(C250:C256)</f>
        <v/>
      </c>
      <c r="D257" s="33">
        <f>SUM(D250:D256)</f>
        <v/>
      </c>
      <c r="E257" s="33">
        <f>SUM(E250:E256)</f>
        <v/>
      </c>
      <c r="F257" s="33">
        <f>SUM(F250:F256)</f>
        <v/>
      </c>
      <c r="G257" s="33">
        <f>SUM(G250:G256)</f>
        <v/>
      </c>
      <c r="H257" s="33">
        <f>SUM(H250:H256)</f>
        <v/>
      </c>
      <c r="I257" s="44">
        <f>SUM(I250:I256)</f>
        <v/>
      </c>
    </row>
    <row r="258" ht="10" customHeight="1"/>
    <row r="259" ht="10" customHeight="1"/>
    <row r="260" ht="10" customHeight="1">
      <c r="A260" s="27" t="inlineStr">
        <is>
          <t>(F) Newbuild SAM — Cost Category Mix by Hull (Mekko)</t>
        </is>
      </c>
      <c r="B260" s="28" t="n"/>
      <c r="C260" s="28" t="n"/>
      <c r="D260" s="28" t="n"/>
      <c r="E260" s="28" t="n"/>
      <c r="F260" s="28" t="n"/>
      <c r="G260" s="28" t="n"/>
      <c r="H260" s="28" t="n"/>
      <c r="I260" s="28" t="n"/>
    </row>
    <row r="261" ht="10" customHeight="1">
      <c r="A261" s="39" t="n"/>
      <c r="B261" s="40" t="inlineStr">
        <is>
          <t>USN</t>
        </is>
      </c>
      <c r="C261" s="39" t="n"/>
      <c r="D261" s="39" t="n"/>
      <c r="E261" s="39" t="n"/>
      <c r="F261" s="39" t="n"/>
      <c r="G261" s="39" t="n"/>
      <c r="H261" s="39" t="n"/>
      <c r="I261" s="41" t="n"/>
    </row>
    <row r="262" ht="10" customHeight="1">
      <c r="A262" s="29" t="inlineStr">
        <is>
          <t>Cost Category</t>
        </is>
      </c>
      <c r="B262" s="42" t="inlineStr">
        <is>
          <t>DDG</t>
        </is>
      </c>
      <c r="C262" s="29" t="inlineStr">
        <is>
          <t>T-AO</t>
        </is>
      </c>
      <c r="D262" s="29" t="inlineStr">
        <is>
          <t>LPD</t>
        </is>
      </c>
      <c r="E262" s="29" t="inlineStr">
        <is>
          <t>LHA</t>
        </is>
      </c>
      <c r="F262" s="29" t="inlineStr">
        <is>
          <t>T-AGOS</t>
        </is>
      </c>
      <c r="G262" s="29" t="inlineStr">
        <is>
          <t>FFG</t>
        </is>
      </c>
      <c r="H262" s="29" t="inlineStr">
        <is>
          <t>T-ATS</t>
        </is>
      </c>
      <c r="I262" s="42" t="inlineStr">
        <is>
          <t>Total</t>
        </is>
      </c>
    </row>
    <row r="263" ht="10" customHeight="1">
      <c r="A263" s="30" t="inlineStr">
        <is>
          <t>Plan Costs</t>
        </is>
      </c>
      <c r="B263" s="43">
        <f>IFERROR((SUMIFS(JB_26BV,JB_B,1,JB_EX,"P-5c",JB_CC,"Plan Costs",JB_H,"DDG",JB_RC,"ALT"))/(SUMIFS(JB_26BV,JB_B,1,JB_EX,"P-5c",JB_H,"DDG",JB_RC,"ALT")),0)</f>
        <v/>
      </c>
      <c r="C263" s="37">
        <f>IFERROR((SUMIFS(JB_26BV,JB_B,1,JB_EX,"P-5c",JB_CC,"Plan Costs",JB_H,"T-AO",JB_RC,"ALT"))/(SUMIFS(JB_26BV,JB_B,1,JB_EX,"P-5c",JB_H,"T-AO",JB_RC,"ALT")),0)</f>
        <v/>
      </c>
      <c r="D263" s="37">
        <f>IFERROR((SUMIFS(JB_26BV,JB_B,1,JB_EX,"P-5c",JB_CC,"Plan Costs",JB_H,"LPD",JB_RC,"ALT"))/(SUMIFS(JB_26BV,JB_B,1,JB_EX,"P-5c",JB_H,"LPD",JB_RC,"ALT")),0)</f>
        <v/>
      </c>
      <c r="E263" s="37">
        <f>IFERROR((SUMIFS(JB_26BV,JB_B,1,JB_EX,"P-5c",JB_CC,"Plan Costs",JB_H,"LHA",JB_RC,"ALT"))/(SUMIFS(JB_26BV,JB_B,1,JB_EX,"P-5c",JB_H,"LHA",JB_RC,"ALT")),0)</f>
        <v/>
      </c>
      <c r="F263" s="37">
        <f>IFERROR((SUMIFS(JB_26BV,JB_B,1,JB_EX,"P-5c",JB_CC,"Plan Costs",JB_H,"T-AGOS",JB_RC,"ALT"))/(SUMIFS(JB_26BV,JB_B,1,JB_EX,"P-5c",JB_H,"T-AGOS",JB_RC,"ALT")),0)</f>
        <v/>
      </c>
      <c r="G263" s="37">
        <f>IFERROR((SUMIFS(JB_26BV,JB_B,1,JB_EX,"P-5c",JB_CC,"Plan Costs",JB_H,"FFG",JB_RC,"ALT"))/(SUMIFS(JB_26BV,JB_B,1,JB_EX,"P-5c",JB_H,"FFG",JB_RC,"ALT")),0)</f>
        <v/>
      </c>
      <c r="H263" s="37">
        <f>IFERROR((SUMIFS(JB_26BV,JB_B,1,JB_EX,"P-5c",JB_CC,"Plan Costs",JB_H,"T-ATS",JB_RC,"ALT"))/(SUMIFS(JB_26BV,JB_B,1,JB_EX,"P-5c",JB_H,"T-ATS",JB_RC,"ALT")),0)</f>
        <v/>
      </c>
      <c r="I263" s="43">
        <f>IFERROR(SUMPRODUCT(B263:H263,B$270:H$270)/I$270,0)</f>
        <v/>
      </c>
    </row>
    <row r="264" ht="10" customHeight="1">
      <c r="A264" s="30" t="inlineStr">
        <is>
          <t>Basic Construction</t>
        </is>
      </c>
      <c r="B264" s="43">
        <f>IFERROR((SUMIFS(JB_26BV,JB_B,1,JB_EX,"P-5c",JB_CC,"Basic Construction",JB_H,"DDG",JB_RC,"ALT"))/(SUMIFS(JB_26BV,JB_B,1,JB_EX,"P-5c",JB_H,"DDG",JB_RC,"ALT")),0)</f>
        <v/>
      </c>
      <c r="C264" s="37">
        <f>IFERROR((SUMIFS(JB_26BV,JB_B,1,JB_EX,"P-5c",JB_CC,"Basic Construction",JB_H,"T-AO",JB_RC,"ALT"))/(SUMIFS(JB_26BV,JB_B,1,JB_EX,"P-5c",JB_H,"T-AO",JB_RC,"ALT")),0)</f>
        <v/>
      </c>
      <c r="D264" s="37">
        <f>IFERROR((SUMIFS(JB_26BV,JB_B,1,JB_EX,"P-5c",JB_CC,"Basic Construction",JB_H,"LPD",JB_RC,"ALT"))/(SUMIFS(JB_26BV,JB_B,1,JB_EX,"P-5c",JB_H,"LPD",JB_RC,"ALT")),0)</f>
        <v/>
      </c>
      <c r="E264" s="37">
        <f>IFERROR((SUMIFS(JB_26BV,JB_B,1,JB_EX,"P-5c",JB_CC,"Basic Construction",JB_H,"LHA",JB_RC,"ALT"))/(SUMIFS(JB_26BV,JB_B,1,JB_EX,"P-5c",JB_H,"LHA",JB_RC,"ALT")),0)</f>
        <v/>
      </c>
      <c r="F264" s="37">
        <f>IFERROR((SUMIFS(JB_26BV,JB_B,1,JB_EX,"P-5c",JB_CC,"Basic Construction",JB_H,"T-AGOS",JB_RC,"ALT"))/(SUMIFS(JB_26BV,JB_B,1,JB_EX,"P-5c",JB_H,"T-AGOS",JB_RC,"ALT")),0)</f>
        <v/>
      </c>
      <c r="G264" s="37">
        <f>IFERROR((SUMIFS(JB_26BV,JB_B,1,JB_EX,"P-5c",JB_CC,"Basic Construction",JB_H,"FFG",JB_RC,"ALT"))/(SUMIFS(JB_26BV,JB_B,1,JB_EX,"P-5c",JB_H,"FFG",JB_RC,"ALT")),0)</f>
        <v/>
      </c>
      <c r="H264" s="37">
        <f>IFERROR((SUMIFS(JB_26BV,JB_B,1,JB_EX,"P-5c",JB_CC,"Basic Construction",JB_H,"T-ATS",JB_RC,"ALT"))/(SUMIFS(JB_26BV,JB_B,1,JB_EX,"P-5c",JB_H,"T-ATS",JB_RC,"ALT")),0)</f>
        <v/>
      </c>
      <c r="I264" s="43">
        <f>IFERROR(SUMPRODUCT(B264:H264,B$270:H$270)/I$270,0)</f>
        <v/>
      </c>
    </row>
    <row r="265" ht="10" customHeight="1">
      <c r="A265" s="30" t="inlineStr">
        <is>
          <t>Change Orders</t>
        </is>
      </c>
      <c r="B265" s="43">
        <f>IFERROR((SUMIFS(JB_26BV,JB_B,1,JB_EX,"P-5c",JB_CC,"Change Orders",JB_H,"DDG",JB_RC,"ALT"))/(SUMIFS(JB_26BV,JB_B,1,JB_EX,"P-5c",JB_H,"DDG",JB_RC,"ALT")),0)</f>
        <v/>
      </c>
      <c r="C265" s="37">
        <f>IFERROR((SUMIFS(JB_26BV,JB_B,1,JB_EX,"P-5c",JB_CC,"Change Orders",JB_H,"T-AO",JB_RC,"ALT"))/(SUMIFS(JB_26BV,JB_B,1,JB_EX,"P-5c",JB_H,"T-AO",JB_RC,"ALT")),0)</f>
        <v/>
      </c>
      <c r="D265" s="37">
        <f>IFERROR((SUMIFS(JB_26BV,JB_B,1,JB_EX,"P-5c",JB_CC,"Change Orders",JB_H,"LPD",JB_RC,"ALT"))/(SUMIFS(JB_26BV,JB_B,1,JB_EX,"P-5c",JB_H,"LPD",JB_RC,"ALT")),0)</f>
        <v/>
      </c>
      <c r="E265" s="37">
        <f>IFERROR((SUMIFS(JB_26BV,JB_B,1,JB_EX,"P-5c",JB_CC,"Change Orders",JB_H,"LHA",JB_RC,"ALT"))/(SUMIFS(JB_26BV,JB_B,1,JB_EX,"P-5c",JB_H,"LHA",JB_RC,"ALT")),0)</f>
        <v/>
      </c>
      <c r="F265" s="37">
        <f>IFERROR((SUMIFS(JB_26BV,JB_B,1,JB_EX,"P-5c",JB_CC,"Change Orders",JB_H,"T-AGOS",JB_RC,"ALT"))/(SUMIFS(JB_26BV,JB_B,1,JB_EX,"P-5c",JB_H,"T-AGOS",JB_RC,"ALT")),0)</f>
        <v/>
      </c>
      <c r="G265" s="37">
        <f>IFERROR((SUMIFS(JB_26BV,JB_B,1,JB_EX,"P-5c",JB_CC,"Change Orders",JB_H,"FFG",JB_RC,"ALT"))/(SUMIFS(JB_26BV,JB_B,1,JB_EX,"P-5c",JB_H,"FFG",JB_RC,"ALT")),0)</f>
        <v/>
      </c>
      <c r="H265" s="37">
        <f>IFERROR((SUMIFS(JB_26BV,JB_B,1,JB_EX,"P-5c",JB_CC,"Change Orders",JB_H,"T-ATS",JB_RC,"ALT"))/(SUMIFS(JB_26BV,JB_B,1,JB_EX,"P-5c",JB_H,"T-ATS",JB_RC,"ALT")),0)</f>
        <v/>
      </c>
      <c r="I265" s="43">
        <f>IFERROR(SUMPRODUCT(B265:H265,B$270:H$270)/I$270,0)</f>
        <v/>
      </c>
    </row>
    <row r="266" ht="10" customHeight="1">
      <c r="A266" s="30" t="inlineStr">
        <is>
          <t>Electronics</t>
        </is>
      </c>
      <c r="B266" s="43">
        <f>IFERROR((SUMIFS(JB_26BV,JB_B,1,JB_EX,"P-5c",JB_CC,"Electronics",JB_H,"DDG",JB_RC,"ALT"))/(SUMIFS(JB_26BV,JB_B,1,JB_EX,"P-5c",JB_H,"DDG",JB_RC,"ALT")),0)</f>
        <v/>
      </c>
      <c r="C266" s="37">
        <f>IFERROR((SUMIFS(JB_26BV,JB_B,1,JB_EX,"P-5c",JB_CC,"Electronics",JB_H,"T-AO",JB_RC,"ALT"))/(SUMIFS(JB_26BV,JB_B,1,JB_EX,"P-5c",JB_H,"T-AO",JB_RC,"ALT")),0)</f>
        <v/>
      </c>
      <c r="D266" s="37">
        <f>IFERROR((SUMIFS(JB_26BV,JB_B,1,JB_EX,"P-5c",JB_CC,"Electronics",JB_H,"LPD",JB_RC,"ALT"))/(SUMIFS(JB_26BV,JB_B,1,JB_EX,"P-5c",JB_H,"LPD",JB_RC,"ALT")),0)</f>
        <v/>
      </c>
      <c r="E266" s="37">
        <f>IFERROR((SUMIFS(JB_26BV,JB_B,1,JB_EX,"P-5c",JB_CC,"Electronics",JB_H,"LHA",JB_RC,"ALT"))/(SUMIFS(JB_26BV,JB_B,1,JB_EX,"P-5c",JB_H,"LHA",JB_RC,"ALT")),0)</f>
        <v/>
      </c>
      <c r="F266" s="37">
        <f>IFERROR((SUMIFS(JB_26BV,JB_B,1,JB_EX,"P-5c",JB_CC,"Electronics",JB_H,"T-AGOS",JB_RC,"ALT"))/(SUMIFS(JB_26BV,JB_B,1,JB_EX,"P-5c",JB_H,"T-AGOS",JB_RC,"ALT")),0)</f>
        <v/>
      </c>
      <c r="G266" s="37">
        <f>IFERROR((SUMIFS(JB_26BV,JB_B,1,JB_EX,"P-5c",JB_CC,"Electronics",JB_H,"FFG",JB_RC,"ALT"))/(SUMIFS(JB_26BV,JB_B,1,JB_EX,"P-5c",JB_H,"FFG",JB_RC,"ALT")),0)</f>
        <v/>
      </c>
      <c r="H266" s="37">
        <f>IFERROR((SUMIFS(JB_26BV,JB_B,1,JB_EX,"P-5c",JB_CC,"Electronics",JB_H,"T-ATS",JB_RC,"ALT"))/(SUMIFS(JB_26BV,JB_B,1,JB_EX,"P-5c",JB_H,"T-ATS",JB_RC,"ALT")),0)</f>
        <v/>
      </c>
      <c r="I266" s="43">
        <f>IFERROR(SUMPRODUCT(B266:H266,B$270:H$270)/I$270,0)</f>
        <v/>
      </c>
    </row>
    <row r="267" ht="10" customHeight="1">
      <c r="A267" s="30" t="inlineStr">
        <is>
          <t>Hull, Mechanical, and Electrical</t>
        </is>
      </c>
      <c r="B267" s="43">
        <f>IFERROR((SUMIFS(JB_26BV,JB_B,1,JB_EX,"P-5c",JB_CC,"Hull, Mechanical, and Electrical",JB_H,"DDG",JB_RC,"ALT"))/(SUMIFS(JB_26BV,JB_B,1,JB_EX,"P-5c",JB_H,"DDG",JB_RC,"ALT")),0)</f>
        <v/>
      </c>
      <c r="C267" s="37">
        <f>IFERROR((SUMIFS(JB_26BV,JB_B,1,JB_EX,"P-5c",JB_CC,"Hull, Mechanical, and Electrical",JB_H,"T-AO",JB_RC,"ALT"))/(SUMIFS(JB_26BV,JB_B,1,JB_EX,"P-5c",JB_H,"T-AO",JB_RC,"ALT")),0)</f>
        <v/>
      </c>
      <c r="D267" s="37">
        <f>IFERROR((SUMIFS(JB_26BV,JB_B,1,JB_EX,"P-5c",JB_CC,"Hull, Mechanical, and Electrical",JB_H,"LPD",JB_RC,"ALT"))/(SUMIFS(JB_26BV,JB_B,1,JB_EX,"P-5c",JB_H,"LPD",JB_RC,"ALT")),0)</f>
        <v/>
      </c>
      <c r="E267" s="37">
        <f>IFERROR((SUMIFS(JB_26BV,JB_B,1,JB_EX,"P-5c",JB_CC,"Hull, Mechanical, and Electrical",JB_H,"LHA",JB_RC,"ALT"))/(SUMIFS(JB_26BV,JB_B,1,JB_EX,"P-5c",JB_H,"LHA",JB_RC,"ALT")),0)</f>
        <v/>
      </c>
      <c r="F267" s="37">
        <f>IFERROR((SUMIFS(JB_26BV,JB_B,1,JB_EX,"P-5c",JB_CC,"Hull, Mechanical, and Electrical",JB_H,"T-AGOS",JB_RC,"ALT"))/(SUMIFS(JB_26BV,JB_B,1,JB_EX,"P-5c",JB_H,"T-AGOS",JB_RC,"ALT")),0)</f>
        <v/>
      </c>
      <c r="G267" s="37">
        <f>IFERROR((SUMIFS(JB_26BV,JB_B,1,JB_EX,"P-5c",JB_CC,"Hull, Mechanical, and Electrical",JB_H,"FFG",JB_RC,"ALT"))/(SUMIFS(JB_26BV,JB_B,1,JB_EX,"P-5c",JB_H,"FFG",JB_RC,"ALT")),0)</f>
        <v/>
      </c>
      <c r="H267" s="37">
        <f>IFERROR((SUMIFS(JB_26BV,JB_B,1,JB_EX,"P-5c",JB_CC,"Hull, Mechanical, and Electrical",JB_H,"T-ATS",JB_RC,"ALT"))/(SUMIFS(JB_26BV,JB_B,1,JB_EX,"P-5c",JB_H,"T-ATS",JB_RC,"ALT")),0)</f>
        <v/>
      </c>
      <c r="I267" s="43">
        <f>IFERROR(SUMPRODUCT(B267:H267,B$270:H$270)/I$270,0)</f>
        <v/>
      </c>
    </row>
    <row r="268" ht="10" customHeight="1">
      <c r="A268" s="30" t="inlineStr">
        <is>
          <t>Ordnance</t>
        </is>
      </c>
      <c r="B268" s="43">
        <f>IFERROR((SUMIFS(JB_26BV,JB_B,1,JB_EX,"P-5c",JB_CC,"Ordnance",JB_H,"DDG",JB_RC,"ALT"))/(SUMIFS(JB_26BV,JB_B,1,JB_EX,"P-5c",JB_H,"DDG",JB_RC,"ALT")),0)</f>
        <v/>
      </c>
      <c r="C268" s="37">
        <f>IFERROR((SUMIFS(JB_26BV,JB_B,1,JB_EX,"P-5c",JB_CC,"Ordnance",JB_H,"T-AO",JB_RC,"ALT"))/(SUMIFS(JB_26BV,JB_B,1,JB_EX,"P-5c",JB_H,"T-AO",JB_RC,"ALT")),0)</f>
        <v/>
      </c>
      <c r="D268" s="37">
        <f>IFERROR((SUMIFS(JB_26BV,JB_B,1,JB_EX,"P-5c",JB_CC,"Ordnance",JB_H,"LPD",JB_RC,"ALT"))/(SUMIFS(JB_26BV,JB_B,1,JB_EX,"P-5c",JB_H,"LPD",JB_RC,"ALT")),0)</f>
        <v/>
      </c>
      <c r="E268" s="37">
        <f>IFERROR((SUMIFS(JB_26BV,JB_B,1,JB_EX,"P-5c",JB_CC,"Ordnance",JB_H,"LHA",JB_RC,"ALT"))/(SUMIFS(JB_26BV,JB_B,1,JB_EX,"P-5c",JB_H,"LHA",JB_RC,"ALT")),0)</f>
        <v/>
      </c>
      <c r="F268" s="37">
        <f>IFERROR((SUMIFS(JB_26BV,JB_B,1,JB_EX,"P-5c",JB_CC,"Ordnance",JB_H,"T-AGOS",JB_RC,"ALT"))/(SUMIFS(JB_26BV,JB_B,1,JB_EX,"P-5c",JB_H,"T-AGOS",JB_RC,"ALT")),0)</f>
        <v/>
      </c>
      <c r="G268" s="37">
        <f>IFERROR((SUMIFS(JB_26BV,JB_B,1,JB_EX,"P-5c",JB_CC,"Ordnance",JB_H,"FFG",JB_RC,"ALT"))/(SUMIFS(JB_26BV,JB_B,1,JB_EX,"P-5c",JB_H,"FFG",JB_RC,"ALT")),0)</f>
        <v/>
      </c>
      <c r="H268" s="37">
        <f>IFERROR((SUMIFS(JB_26BV,JB_B,1,JB_EX,"P-5c",JB_CC,"Ordnance",JB_H,"T-ATS",JB_RC,"ALT"))/(SUMIFS(JB_26BV,JB_B,1,JB_EX,"P-5c",JB_H,"T-ATS",JB_RC,"ALT")),0)</f>
        <v/>
      </c>
      <c r="I268" s="43">
        <f>IFERROR(SUMPRODUCT(B268:H268,B$270:H$270)/I$270,0)</f>
        <v/>
      </c>
    </row>
    <row r="269" ht="10" customHeight="1">
      <c r="A269" s="30" t="inlineStr">
        <is>
          <t>Other Cost</t>
        </is>
      </c>
      <c r="B269" s="43">
        <f>IFERROR((SUMIFS(JB_26BV,JB_B,1,JB_EX,"P-5c",JB_CC,"Other Cost",JB_H,"DDG",JB_RC,"ALT"))/(SUMIFS(JB_26BV,JB_B,1,JB_EX,"P-5c",JB_H,"DDG",JB_RC,"ALT")),0)</f>
        <v/>
      </c>
      <c r="C269" s="37">
        <f>IFERROR((SUMIFS(JB_26BV,JB_B,1,JB_EX,"P-5c",JB_CC,"Other Cost",JB_H,"T-AO",JB_RC,"ALT"))/(SUMIFS(JB_26BV,JB_B,1,JB_EX,"P-5c",JB_H,"T-AO",JB_RC,"ALT")),0)</f>
        <v/>
      </c>
      <c r="D269" s="37">
        <f>IFERROR((SUMIFS(JB_26BV,JB_B,1,JB_EX,"P-5c",JB_CC,"Other Cost",JB_H,"LPD",JB_RC,"ALT"))/(SUMIFS(JB_26BV,JB_B,1,JB_EX,"P-5c",JB_H,"LPD",JB_RC,"ALT")),0)</f>
        <v/>
      </c>
      <c r="E269" s="37">
        <f>IFERROR((SUMIFS(JB_26BV,JB_B,1,JB_EX,"P-5c",JB_CC,"Other Cost",JB_H,"LHA",JB_RC,"ALT"))/(SUMIFS(JB_26BV,JB_B,1,JB_EX,"P-5c",JB_H,"LHA",JB_RC,"ALT")),0)</f>
        <v/>
      </c>
      <c r="F269" s="37">
        <f>IFERROR((SUMIFS(JB_26BV,JB_B,1,JB_EX,"P-5c",JB_CC,"Other Cost",JB_H,"T-AGOS",JB_RC,"ALT"))/(SUMIFS(JB_26BV,JB_B,1,JB_EX,"P-5c",JB_H,"T-AGOS",JB_RC,"ALT")),0)</f>
        <v/>
      </c>
      <c r="G269" s="37">
        <f>IFERROR((SUMIFS(JB_26BV,JB_B,1,JB_EX,"P-5c",JB_CC,"Other Cost",JB_H,"FFG",JB_RC,"ALT"))/(SUMIFS(JB_26BV,JB_B,1,JB_EX,"P-5c",JB_H,"FFG",JB_RC,"ALT")),0)</f>
        <v/>
      </c>
      <c r="H269" s="37">
        <f>IFERROR((SUMIFS(JB_26BV,JB_B,1,JB_EX,"P-5c",JB_CC,"Other Cost",JB_H,"T-ATS",JB_RC,"ALT"))/(SUMIFS(JB_26BV,JB_B,1,JB_EX,"P-5c",JB_H,"T-ATS",JB_RC,"ALT")),0)</f>
        <v/>
      </c>
      <c r="I269" s="43">
        <f>IFERROR(SUMPRODUCT(B269:H269,B$270:H$270)/I$270,0)</f>
        <v/>
      </c>
    </row>
    <row r="270" ht="10" customHeight="1">
      <c r="A270" s="32" t="inlineStr">
        <is>
          <t>Total ($K)</t>
        </is>
      </c>
      <c r="B270" s="44">
        <f>SUMIFS(JB_26BV,JB_B,1,JB_H,"DDG",JB_RC,"ADD")</f>
        <v/>
      </c>
      <c r="C270" s="33">
        <f>SUMIFS(JB_26BV,JB_B,1,JB_H,"T-AO",JB_RC,"ADD")</f>
        <v/>
      </c>
      <c r="D270" s="33">
        <f>SUMIFS(JB_26BV,JB_B,1,JB_H,"LPD",JB_RC,"ADD")</f>
        <v/>
      </c>
      <c r="E270" s="33">
        <f>SUMIFS(JB_26BV,JB_B,1,JB_H,"LHA",JB_RC,"ADD")</f>
        <v/>
      </c>
      <c r="F270" s="33">
        <f>SUMIFS(JB_26BV,JB_B,1,JB_H,"T-AGOS",JB_RC,"ADD")</f>
        <v/>
      </c>
      <c r="G270" s="33">
        <f>SUMIFS(JB_26BV,JB_B,1,JB_H,"FFG",JB_RC,"ADD")</f>
        <v/>
      </c>
      <c r="H270" s="33">
        <f>SUMIFS(JB_26BV,JB_B,1,JB_H,"T-ATS",JB_RC,"ADD")</f>
        <v/>
      </c>
      <c r="I270" s="44">
        <f>SUM(B270:H270)</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Combat Logistics Ships</t>
        </is>
      </c>
      <c r="B35" s="30" t="inlineStr">
        <is>
          <t>MSC</t>
        </is>
      </c>
      <c r="C35"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5" s="37">
        <f>IFERROR(C35/C$55,0)</f>
        <v/>
      </c>
    </row>
    <row r="36" ht="10" customHeight="1">
      <c r="A36" s="30" t="inlineStr">
        <is>
          <t>Unmanned Undersea Vehicles</t>
        </is>
      </c>
      <c r="B36" s="30" t="inlineStr">
        <is>
          <t>USN</t>
        </is>
      </c>
      <c r="C36"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36" s="37">
        <f>IFERROR(C36/C$55,0)</f>
        <v/>
      </c>
    </row>
    <row r="37" ht="10" customHeight="1">
      <c r="A37" s="30" t="inlineStr">
        <is>
          <t>Unmanned Surface Vehicles</t>
        </is>
      </c>
      <c r="B37" s="30" t="inlineStr">
        <is>
          <t>USN</t>
        </is>
      </c>
      <c r="C37"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37" s="37">
        <f>IFERROR(C37/C$55,0)</f>
        <v/>
      </c>
    </row>
    <row r="38" ht="10" customHeight="1">
      <c r="A38" s="30" t="inlineStr">
        <is>
          <t>Crane Ship</t>
        </is>
      </c>
      <c r="B38" s="30" t="inlineStr">
        <is>
          <t>USN</t>
        </is>
      </c>
      <c r="C38" s="31">
        <f>SUMIFS(JB_26BV,JB_B,2,JB_W,"Crane Ship",JB_RC,"ADD")+SUMIFS(JB_26BV,JB_B,3,JB_W,"Crane Ship",JB_RC,"ADD")+SUMIFS(JB_26BV,JB_B,4,JB_W,"Crane Ship",JB_RC,"ADD")+SUMIFS(JB_26BV,JB_B,5,JB_W,"Crane Ship",JB_RC,"ADD")+SUMIFS(JB_26BV,JB_B,6,JB_W,"Crane Ship",JB_RC,"ADD")+SUMIFS(JB_26BV,JB_B,7,JB_W,"Crane Ship",JB_RC,"ADD")</f>
        <v/>
      </c>
      <c r="D38" s="37">
        <f>IFERROR(C38/C$55,0)</f>
        <v/>
      </c>
    </row>
    <row r="39" ht="10" customHeight="1">
      <c r="A39" s="30" t="inlineStr">
        <is>
          <t>Research, Survey &amp; Instrumentation Ships</t>
        </is>
      </c>
      <c r="B39" s="30" t="inlineStr">
        <is>
          <t>MSC</t>
        </is>
      </c>
      <c r="C39"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39" s="37">
        <f>IFERROR(C39/C$55,0)</f>
        <v/>
      </c>
    </row>
    <row r="40" ht="10" customHeight="1">
      <c r="A40" s="30" t="inlineStr">
        <is>
          <t>Submarine Escort Ship</t>
        </is>
      </c>
      <c r="B40" s="30" t="inlineStr">
        <is>
          <t>USN</t>
        </is>
      </c>
      <c r="C40"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40" s="37">
        <f>IFERROR(C40/C$55,0)</f>
        <v/>
      </c>
    </row>
    <row r="41" ht="10" customHeight="1">
      <c r="A41" s="30" t="inlineStr">
        <is>
          <t>Aviation Logistics Support Ship</t>
        </is>
      </c>
      <c r="B41" s="30" t="inlineStr">
        <is>
          <t>USN</t>
        </is>
      </c>
      <c r="C41"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41" s="37">
        <f>IFERROR(C41/C$55,0)</f>
        <v/>
      </c>
    </row>
    <row r="42" ht="10" customHeight="1">
      <c r="A42" s="30" t="inlineStr">
        <is>
          <t>General Auxiliary</t>
        </is>
      </c>
      <c r="B42" s="30" t="inlineStr">
        <is>
          <t>USN</t>
        </is>
      </c>
      <c r="C42"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2" s="37">
        <f>IFERROR(C42/C$55,0)</f>
        <v/>
      </c>
    </row>
    <row r="43" ht="10" customHeight="1">
      <c r="A43" s="30" t="inlineStr">
        <is>
          <t>Salvage Ships &amp; Fleet Ocean Tugs</t>
        </is>
      </c>
      <c r="B43" s="30" t="inlineStr">
        <is>
          <t>MSC</t>
        </is>
      </c>
      <c r="C43"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3" s="37">
        <f>IFERROR(C43/C$55,0)</f>
        <v/>
      </c>
    </row>
    <row r="44" ht="10" customHeight="1">
      <c r="A44" s="30" t="inlineStr">
        <is>
          <t>High Speed Transport</t>
        </is>
      </c>
      <c r="B44" s="30" t="inlineStr">
        <is>
          <t>USN</t>
        </is>
      </c>
      <c r="C44"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4" s="37">
        <f>IFERROR(C44/C$55,0)</f>
        <v/>
      </c>
    </row>
    <row r="45" ht="10" customHeight="1">
      <c r="A45" s="30" t="inlineStr">
        <is>
          <t>Cargo &amp; Vehicle Cargo Ships</t>
        </is>
      </c>
      <c r="B45" s="30" t="inlineStr">
        <is>
          <t>USN</t>
        </is>
      </c>
      <c r="C45"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45" s="37">
        <f>IFERROR(C45/C$55,0)</f>
        <v/>
      </c>
    </row>
    <row r="46" ht="10" customHeight="1">
      <c r="A46" s="30" t="inlineStr">
        <is>
          <t>Hospital Ship</t>
        </is>
      </c>
      <c r="B46" s="30" t="inlineStr">
        <is>
          <t>MSC</t>
        </is>
      </c>
      <c r="C46" s="31">
        <f>SUMIFS(JB_26BV,JB_B,2,JB_W,"Hospital Ship",JB_RC,"ADD")+SUMIFS(JB_26BV,JB_B,3,JB_W,"Hospital Ship",JB_RC,"ADD")+SUMIFS(JB_26BV,JB_B,4,JB_W,"Hospital Ship",JB_RC,"ADD")+SUMIFS(JB_26BV,JB_B,5,JB_W,"Hospital Ship",JB_RC,"ADD")+SUMIFS(JB_26BV,JB_B,6,JB_W,"Hospital Ship",JB_RC,"ADD")+SUMIFS(JB_26BV,JB_B,7,JB_W,"Hospital Ship",JB_RC,"ADD")</f>
        <v/>
      </c>
      <c r="D46" s="37">
        <f>IFERROR(C46/C$55,0)</f>
        <v/>
      </c>
    </row>
    <row r="47" ht="10" customHeight="1">
      <c r="A47" s="30" t="inlineStr">
        <is>
          <t>Material Support Ships</t>
        </is>
      </c>
      <c r="B47" s="30" t="inlineStr">
        <is>
          <t>USN</t>
        </is>
      </c>
      <c r="C47"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Waterways Commerce Cutters</t>
        </is>
      </c>
      <c r="B49" s="30" t="inlineStr">
        <is>
          <t>USCG</t>
        </is>
      </c>
      <c r="C49"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49" s="37">
        <f>IFERROR(C49/C$55,0)</f>
        <v/>
      </c>
    </row>
    <row r="50" ht="10" customHeight="1">
      <c r="A50" s="30" t="inlineStr">
        <is>
          <t>Icebreakers, Great Lakes</t>
        </is>
      </c>
      <c r="B50" s="30" t="inlineStr">
        <is>
          <t>USCG</t>
        </is>
      </c>
      <c r="C50"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0" s="37">
        <f>IFERROR(C50/C$55,0)</f>
        <v/>
      </c>
    </row>
    <row r="51" ht="10" customHeight="1">
      <c r="A51" s="30" t="inlineStr">
        <is>
          <t>Coastal Buoy Tenders</t>
        </is>
      </c>
      <c r="B51" s="30" t="inlineStr">
        <is>
          <t>USCG</t>
        </is>
      </c>
      <c r="C51"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1" s="37">
        <f>IFERROR(C51/C$55,0)</f>
        <v/>
      </c>
    </row>
    <row r="52" ht="10" customHeight="1">
      <c r="A52" s="30" t="inlineStr">
        <is>
          <t>Offshore Patrol Cutter</t>
        </is>
      </c>
      <c r="B52" s="30" t="inlineStr">
        <is>
          <t>USCG</t>
        </is>
      </c>
      <c r="C52"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2" s="37">
        <f>IFERROR(C52/C$55,0)</f>
        <v/>
      </c>
    </row>
    <row r="53" ht="10" customHeight="1">
      <c r="A53" s="30" t="inlineStr">
        <is>
          <t>Fast Response Cutters</t>
        </is>
      </c>
      <c r="B53" s="30" t="inlineStr">
        <is>
          <t>USCG</t>
        </is>
      </c>
      <c r="C53"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3" s="37">
        <f>IFERROR(C53/C$55,0)</f>
        <v/>
      </c>
    </row>
    <row r="54" ht="10" customHeight="1">
      <c r="A54" s="30" t="inlineStr">
        <is>
          <t>Icebreakers, Oceangoing</t>
        </is>
      </c>
      <c r="B54" s="30" t="inlineStr">
        <is>
          <t>USCG</t>
        </is>
      </c>
      <c r="C54"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O123"/>
  <sheetViews>
    <sheetView showGridLines="0"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2" customWidth="1" min="13" max="13"/>
    <col width="12"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48">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6, 7)</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Platforms",JB_RC,"ADD")+SUMIFS(JB_26BV,JB_B,3,JB_V,"Auxiliary Ships",JB_RC,"ADD")+SUMIFS(JB_26BV,JB_B,3,JB_V,"Combatant Ships",JB_RC,"ADD")+SUMIFS(JB_26BV,JB_B,3,JB_V,"Cutters",JB_RC,"ADD")+SUMIFS(JB_26BV,JB_B,3,JB_V,"Unmanned Maritime Platforms",JB_RC,"ADD")+SUMIFS(JB_26BV,JB_B,4,JB_V,"Auxiliary Ships",JB_RC,"ADD")+SUMIFS(JB_26BV,JB_B,4,JB_V,"Combatant Ships",JB_RC,"ADD")+SUMIFS(JB_26BV,JB_B,4,JB_V,"Cutters",JB_RC,"ADD")+SUMIFS(JB_26BV,JB_B,4,JB_V,"Unmanned Maritime Platforms",JB_RC,"ADD")+SUMIFS(JB_26BV,JB_B,5,JB_V,"Auxiliary Ships",JB_RC,"ADD")+SUMIFS(JB_26BV,JB_B,5,JB_V,"Combatant Ships",JB_RC,"ADD")+SUMIFS(JB_26BV,JB_B,5,JB_V,"Cutters",JB_RC,"ADD")+SUMIFS(JB_26BV,JB_B,5,JB_V,"Unmanned Maritime Platforms",JB_RC,"ADD")-(SUMIFS(JB_26BV,JB_B,2,JB_W,"Submarines",JB_RC,"ADD"))+-(SUMIFS(JB_26BV,JB_B,2,JB_W,"Aircraft Carriers",JB_RC,"ADD"))+-(SUMIFS(JB_26BV,JB_B,2,JB_W,"Unmanned Undersea Vehicles",JB_RC,"ADD"))+-(SUMIFS(JB_26BV,JB_B,3,JB_W,"Submarines",JB_RC,"ADD"))+-(SUMIFS(JB_26BV,JB_B,3,JB_W,"Aircraft Carriers",JB_RC,"ADD"))+-(SUMIFS(JB_26BV,JB_B,3,JB_W,"Unmanned Undersea Vehicles",JB_RC,"ADD"))+-(SUMIFS(JB_26BV,JB_B,4,JB_W,"Submarines",JB_RC,"ADD"))+-(SUMIFS(JB_26BV,JB_B,4,JB_W,"Aircraft Carriers",JB_RC,"ADD"))+-(SUMIFS(JB_26BV,JB_B,4,JB_W,"Unmanned Undersea Vehicles",JB_RC,"ADD"))+-(SUMIFS(JB_26BV,JB_B,5,JB_W,"Submarines",JB_RC,"ADD"))+-(SUMIFS(JB_26BV,JB_B,5,JB_W,"Aircraft Carriers",JB_RC,"ADD"))+-(SUMIFS(JB_26BV,JB_B,5,JB_W,"Unmanned Undersea Vehicles",JB_RC,"ADD"))</f>
        <v/>
      </c>
    </row>
    <row r="11" ht="10" customHeight="1"/>
    <row r="12" ht="10" customHeight="1"/>
    <row r="13" ht="10" customHeight="1">
      <c r="A13" s="27" t="inlineStr">
        <is>
          <t>(B) MRO SAM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SUMIFS(JB_26BV,JB_B,2,JB_W,"Surface Combatants",JB_RC,"ADD")</f>
        <v/>
      </c>
      <c r="D15" s="31">
        <f>SUMIFS(JB_26BV,JB_B,3,JB_W,"Surface Combatants",JB_RC,"ADD")</f>
        <v/>
      </c>
      <c r="E15" s="31">
        <f>SUMIFS(JB_26BV,JB_B,4,JB_W,"Surface Combatants",JB_RC,"ADD")</f>
        <v/>
      </c>
      <c r="F15" s="31">
        <f>SUMIFS(JB_26BV,JB_B,5,JB_W,"Surface Combatants",JB_RC,"ADD")</f>
        <v/>
      </c>
      <c r="G15" s="31">
        <f>SUM(C15:F15)</f>
        <v/>
      </c>
      <c r="H15" s="37">
        <f>IFERROR(G15/G$40,0)</f>
        <v/>
      </c>
    </row>
    <row r="16" ht="10" customHeight="1">
      <c r="A16" s="30" t="inlineStr">
        <is>
          <t>Amphibious Warfare Ships</t>
        </is>
      </c>
      <c r="B16" s="30" t="inlineStr">
        <is>
          <t>USN</t>
        </is>
      </c>
      <c r="C16" s="31">
        <f>SUMIFS(JB_26BV,JB_B,2,JB_W,"Amphibious Warfare Ships",JB_RC,"ADD")</f>
        <v/>
      </c>
      <c r="D16" s="31">
        <f>SUMIFS(JB_26BV,JB_B,3,JB_W,"Amphibious Warfare Ships",JB_RC,"ADD")</f>
        <v/>
      </c>
      <c r="E16" s="31">
        <f>SUMIFS(JB_26BV,JB_B,4,JB_W,"Amphibious Warfare Ships",JB_RC,"ADD")</f>
        <v/>
      </c>
      <c r="F16" s="31">
        <f>SUMIFS(JB_26BV,JB_B,5,JB_W,"Amphibious Warfare Ships",JB_RC,"ADD")</f>
        <v/>
      </c>
      <c r="G16" s="31">
        <f>SUM(C16:F16)</f>
        <v/>
      </c>
      <c r="H16" s="37">
        <f>IFERROR(G16/G$40,0)</f>
        <v/>
      </c>
    </row>
    <row r="17" ht="10" customHeight="1">
      <c r="A17" s="30" t="inlineStr">
        <is>
          <t>Command Ships</t>
        </is>
      </c>
      <c r="B17" s="30" t="inlineStr">
        <is>
          <t>USN</t>
        </is>
      </c>
      <c r="C17" s="31">
        <f>SUMIFS(JB_26BV,JB_B,2,JB_W,"Command Ships",JB_RC,"ADD")</f>
        <v/>
      </c>
      <c r="D17" s="31">
        <f>SUMIFS(JB_26BV,JB_B,3,JB_W,"Command Ships",JB_RC,"ADD")</f>
        <v/>
      </c>
      <c r="E17" s="31">
        <f>SUMIFS(JB_26BV,JB_B,4,JB_W,"Command Ships",JB_RC,"ADD")</f>
        <v/>
      </c>
      <c r="F17" s="31">
        <f>SUMIFS(JB_26BV,JB_B,5,JB_W,"Command Ships",JB_RC,"ADD")</f>
        <v/>
      </c>
      <c r="G17" s="31">
        <f>SUM(C17:F17)</f>
        <v/>
      </c>
      <c r="H17" s="37">
        <f>IFERROR(G17/G$40,0)</f>
        <v/>
      </c>
    </row>
    <row r="18" ht="10" customHeight="1">
      <c r="A18" s="30" t="inlineStr">
        <is>
          <t>Surveillance Ships</t>
        </is>
      </c>
      <c r="B18" s="30" t="inlineStr">
        <is>
          <t>USN</t>
        </is>
      </c>
      <c r="C18" s="31">
        <f>SUMIFS(JB_26BV,JB_B,2,JB_W,"Surveillance Ships",JB_RC,"ADD")</f>
        <v/>
      </c>
      <c r="D18" s="31">
        <f>SUMIFS(JB_26BV,JB_B,3,JB_W,"Surveillance Ships",JB_RC,"ADD")</f>
        <v/>
      </c>
      <c r="E18" s="31">
        <f>SUMIFS(JB_26BV,JB_B,4,JB_W,"Surveillance Ships",JB_RC,"ADD")</f>
        <v/>
      </c>
      <c r="F18" s="31">
        <f>SUMIFS(JB_26BV,JB_B,5,JB_W,"Surveillance Ships",JB_RC,"ADD")</f>
        <v/>
      </c>
      <c r="G18" s="31">
        <f>SUM(C18:F18)</f>
        <v/>
      </c>
      <c r="H18" s="37">
        <f>IFERROR(G18/G$40,0)</f>
        <v/>
      </c>
    </row>
    <row r="19" ht="10" customHeight="1">
      <c r="A19" s="30" t="inlineStr">
        <is>
          <t>Mine Warfare</t>
        </is>
      </c>
      <c r="B19" s="30" t="inlineStr">
        <is>
          <t>USN</t>
        </is>
      </c>
      <c r="C19" s="31">
        <f>SUMIFS(JB_26BV,JB_B,2,JB_W,"Mine Warfare",JB_RC,"ADD")</f>
        <v/>
      </c>
      <c r="D19" s="31">
        <f>SUMIFS(JB_26BV,JB_B,3,JB_W,"Mine Warfare",JB_RC,"ADD")</f>
        <v/>
      </c>
      <c r="E19" s="31">
        <f>SUMIFS(JB_26BV,JB_B,4,JB_W,"Mine Warfare",JB_RC,"ADD")</f>
        <v/>
      </c>
      <c r="F19" s="31">
        <f>SUMIFS(JB_26BV,JB_B,5,JB_W,"Mine Warfare",JB_RC,"ADD")</f>
        <v/>
      </c>
      <c r="G19" s="31">
        <f>SUM(C19:F19)</f>
        <v/>
      </c>
      <c r="H19" s="37">
        <f>IFERROR(G19/G$40,0)</f>
        <v/>
      </c>
    </row>
    <row r="20" ht="10" customHeight="1">
      <c r="A20" s="30" t="inlineStr">
        <is>
          <t>Expeditionary &amp; Seabasing Ships</t>
        </is>
      </c>
      <c r="B20" s="30" t="inlineStr">
        <is>
          <t>USN</t>
        </is>
      </c>
      <c r="C20" s="31">
        <f>SUMIFS(JB_26BV,JB_B,2,JB_W,"Expeditionary &amp; Seabasing Ships",JB_RC,"ADD")</f>
        <v/>
      </c>
      <c r="D20" s="31">
        <f>SUMIFS(JB_26BV,JB_B,3,JB_W,"Expeditionary &amp; Seabasing Ships",JB_RC,"ADD")</f>
        <v/>
      </c>
      <c r="E20" s="31">
        <f>SUMIFS(JB_26BV,JB_B,4,JB_W,"Expeditionary &amp; Seabasing Ships",JB_RC,"ADD")</f>
        <v/>
      </c>
      <c r="F20" s="31">
        <f>SUMIFS(JB_26BV,JB_B,5,JB_W,"Expeditionary &amp; Seabasing Ships",JB_RC,"ADD")</f>
        <v/>
      </c>
      <c r="G20" s="31">
        <f>SUM(C20:F20)</f>
        <v/>
      </c>
      <c r="H20" s="37">
        <f>IFERROR(G20/G$40,0)</f>
        <v/>
      </c>
    </row>
    <row r="21" ht="10" customHeight="1">
      <c r="A21" s="30" t="inlineStr">
        <is>
          <t>Submarine Escort Ship</t>
        </is>
      </c>
      <c r="B21" s="30" t="inlineStr">
        <is>
          <t>USN</t>
        </is>
      </c>
      <c r="C21" s="31">
        <f>SUMIFS(JB_26BV,JB_B,2,JB_W,"Submarine Escort Ship",JB_RC,"ADD")</f>
        <v/>
      </c>
      <c r="D21" s="31">
        <f>SUMIFS(JB_26BV,JB_B,3,JB_W,"Submarine Escort Ship",JB_RC,"ADD")</f>
        <v/>
      </c>
      <c r="E21" s="31">
        <f>SUMIFS(JB_26BV,JB_B,4,JB_W,"Submarine Escort Ship",JB_RC,"ADD")</f>
        <v/>
      </c>
      <c r="F21" s="31">
        <f>SUMIFS(JB_26BV,JB_B,5,JB_W,"Submarine Escort Ship",JB_RC,"ADD")</f>
        <v/>
      </c>
      <c r="G21" s="31">
        <f>SUM(C21:F21)</f>
        <v/>
      </c>
      <c r="H21" s="37">
        <f>IFERROR(G21/G$40,0)</f>
        <v/>
      </c>
    </row>
    <row r="22" ht="10" customHeight="1">
      <c r="A22" s="30" t="inlineStr">
        <is>
          <t>Combat Logistics Ships</t>
        </is>
      </c>
      <c r="B22" s="30" t="inlineStr">
        <is>
          <t>MSC</t>
        </is>
      </c>
      <c r="C22" s="31">
        <f>SUMIFS(JB_26BV,JB_B,2,JB_W,"Combat Logistics Ships",JB_RC,"ADD")</f>
        <v/>
      </c>
      <c r="D22" s="31">
        <f>SUMIFS(JB_26BV,JB_B,3,JB_W,"Combat Logistics Ships",JB_RC,"ADD")</f>
        <v/>
      </c>
      <c r="E22" s="31">
        <f>SUMIFS(JB_26BV,JB_B,4,JB_W,"Combat Logistics Ships",JB_RC,"ADD")</f>
        <v/>
      </c>
      <c r="F22" s="31">
        <f>SUMIFS(JB_26BV,JB_B,5,JB_W,"Combat Logistics Ships",JB_RC,"ADD")</f>
        <v/>
      </c>
      <c r="G22" s="31">
        <f>SUM(C22:F22)</f>
        <v/>
      </c>
      <c r="H22" s="37">
        <f>IFERROR(G22/G$40,0)</f>
        <v/>
      </c>
    </row>
    <row r="23" ht="10" customHeight="1">
      <c r="A23" s="30" t="inlineStr">
        <is>
          <t>Aviation Logistics Support Ship</t>
        </is>
      </c>
      <c r="B23" s="30" t="inlineStr">
        <is>
          <t>USN</t>
        </is>
      </c>
      <c r="C23" s="31">
        <f>SUMIFS(JB_26BV,JB_B,2,JB_W,"Aviation Logistics Support Ship",JB_RC,"ADD")</f>
        <v/>
      </c>
      <c r="D23" s="31">
        <f>SUMIFS(JB_26BV,JB_B,3,JB_W,"Aviation Logistics Support Ship",JB_RC,"ADD")</f>
        <v/>
      </c>
      <c r="E23" s="31">
        <f>SUMIFS(JB_26BV,JB_B,4,JB_W,"Aviation Logistics Support Ship",JB_RC,"ADD")</f>
        <v/>
      </c>
      <c r="F23" s="31">
        <f>SUMIFS(JB_26BV,JB_B,5,JB_W,"Aviation Logistics Support Ship",JB_RC,"ADD")</f>
        <v/>
      </c>
      <c r="G23" s="31">
        <f>SUM(C23:F23)</f>
        <v/>
      </c>
      <c r="H23" s="37">
        <f>IFERROR(G23/G$40,0)</f>
        <v/>
      </c>
    </row>
    <row r="24" ht="10" customHeight="1">
      <c r="A24" s="30" t="inlineStr">
        <is>
          <t>Unmanned Surface Vehicles</t>
        </is>
      </c>
      <c r="B24" s="30" t="inlineStr">
        <is>
          <t>USN</t>
        </is>
      </c>
      <c r="C24" s="31">
        <f>SUMIFS(JB_26BV,JB_B,2,JB_W,"Unmanned Surface Vehicles",JB_RC,"ADD")</f>
        <v/>
      </c>
      <c r="D24" s="31">
        <f>SUMIFS(JB_26BV,JB_B,3,JB_W,"Unmanned Surface Vehicles",JB_RC,"ADD")</f>
        <v/>
      </c>
      <c r="E24" s="31">
        <f>SUMIFS(JB_26BV,JB_B,4,JB_W,"Unmanned Surface Vehicles",JB_RC,"ADD")</f>
        <v/>
      </c>
      <c r="F24" s="31">
        <f>SUMIFS(JB_26BV,JB_B,5,JB_W,"Unmanned Surface Vehicles",JB_RC,"ADD")</f>
        <v/>
      </c>
      <c r="G24" s="31">
        <f>SUM(C24:F24)</f>
        <v/>
      </c>
      <c r="H24" s="37">
        <f>IFERROR(G24/G$40,0)</f>
        <v/>
      </c>
    </row>
    <row r="25" ht="10" customHeight="1">
      <c r="A25" s="30" t="inlineStr">
        <is>
          <t>General Auxiliary</t>
        </is>
      </c>
      <c r="B25" s="30" t="inlineStr">
        <is>
          <t>USN</t>
        </is>
      </c>
      <c r="C25" s="31">
        <f>SUMIFS(JB_26BV,JB_B,2,JB_W,"General Auxiliary",JB_RC,"ADD")</f>
        <v/>
      </c>
      <c r="D25" s="31">
        <f>SUMIFS(JB_26BV,JB_B,3,JB_W,"General Auxiliary",JB_RC,"ADD")</f>
        <v/>
      </c>
      <c r="E25" s="31">
        <f>SUMIFS(JB_26BV,JB_B,4,JB_W,"General Auxiliary",JB_RC,"ADD")</f>
        <v/>
      </c>
      <c r="F25" s="31">
        <f>SUMIFS(JB_26BV,JB_B,5,JB_W,"General Auxiliary",JB_RC,"ADD")</f>
        <v/>
      </c>
      <c r="G25" s="31">
        <f>SUM(C25:F25)</f>
        <v/>
      </c>
      <c r="H25" s="37">
        <f>IFERROR(G25/G$40,0)</f>
        <v/>
      </c>
    </row>
    <row r="26" ht="10" customHeight="1">
      <c r="A26" s="30" t="inlineStr">
        <is>
          <t>Salvage Ships &amp; Fleet Ocean Tugs</t>
        </is>
      </c>
      <c r="B26" s="30" t="inlineStr">
        <is>
          <t>MSC</t>
        </is>
      </c>
      <c r="C26" s="31">
        <f>SUMIFS(JB_26BV,JB_B,2,JB_W,"Salvage Ships &amp; Fleet Ocean Tugs",JB_RC,"ADD")</f>
        <v/>
      </c>
      <c r="D26" s="31">
        <f>SUMIFS(JB_26BV,JB_B,3,JB_W,"Salvage Ships &amp; Fleet Ocean Tugs",JB_RC,"ADD")</f>
        <v/>
      </c>
      <c r="E26" s="31">
        <f>SUMIFS(JB_26BV,JB_B,4,JB_W,"Salvage Ships &amp; Fleet Ocean Tugs",JB_RC,"ADD")</f>
        <v/>
      </c>
      <c r="F26" s="31">
        <f>SUMIFS(JB_26BV,JB_B,5,JB_W,"Salvage Ships &amp; Fleet Ocean Tugs",JB_RC,"ADD")</f>
        <v/>
      </c>
      <c r="G26" s="31">
        <f>SUM(C26:F26)</f>
        <v/>
      </c>
      <c r="H26" s="37">
        <f>IFERROR(G26/G$40,0)</f>
        <v/>
      </c>
    </row>
    <row r="27" ht="10" customHeight="1">
      <c r="A27" s="30" t="inlineStr">
        <is>
          <t>Crane Ship</t>
        </is>
      </c>
      <c r="B27" s="30" t="inlineStr">
        <is>
          <t>USN</t>
        </is>
      </c>
      <c r="C27" s="31">
        <f>SUMIFS(JB_26BV,JB_B,2,JB_W,"Crane Ship",JB_RC,"ADD")</f>
        <v/>
      </c>
      <c r="D27" s="31">
        <f>SUMIFS(JB_26BV,JB_B,3,JB_W,"Crane Ship",JB_RC,"ADD")</f>
        <v/>
      </c>
      <c r="E27" s="31">
        <f>SUMIFS(JB_26BV,JB_B,4,JB_W,"Crane Ship",JB_RC,"ADD")</f>
        <v/>
      </c>
      <c r="F27" s="31">
        <f>SUMIFS(JB_26BV,JB_B,5,JB_W,"Crane Ship",JB_RC,"ADD")</f>
        <v/>
      </c>
      <c r="G27" s="31">
        <f>SUM(C27:F27)</f>
        <v/>
      </c>
      <c r="H27" s="37">
        <f>IFERROR(G27/G$40,0)</f>
        <v/>
      </c>
    </row>
    <row r="28" ht="10" customHeight="1">
      <c r="A28" s="30" t="inlineStr">
        <is>
          <t>High Speed Transport</t>
        </is>
      </c>
      <c r="B28" s="30" t="inlineStr">
        <is>
          <t>USN</t>
        </is>
      </c>
      <c r="C28" s="31">
        <f>SUMIFS(JB_26BV,JB_B,2,JB_W,"High Speed Transport",JB_RC,"ADD")</f>
        <v/>
      </c>
      <c r="D28" s="31">
        <f>SUMIFS(JB_26BV,JB_B,3,JB_W,"High Speed Transport",JB_RC,"ADD")</f>
        <v/>
      </c>
      <c r="E28" s="31">
        <f>SUMIFS(JB_26BV,JB_B,4,JB_W,"High Speed Transport",JB_RC,"ADD")</f>
        <v/>
      </c>
      <c r="F28" s="31">
        <f>SUMIFS(JB_26BV,JB_B,5,JB_W,"High Speed Transport",JB_RC,"ADD")</f>
        <v/>
      </c>
      <c r="G28" s="31">
        <f>SUM(C28:F28)</f>
        <v/>
      </c>
      <c r="H28" s="37">
        <f>IFERROR(G28/G$40,0)</f>
        <v/>
      </c>
    </row>
    <row r="29" ht="10" customHeight="1">
      <c r="A29" s="30" t="inlineStr">
        <is>
          <t>Cargo &amp; Vehicle Cargo Ships</t>
        </is>
      </c>
      <c r="B29" s="30" t="inlineStr">
        <is>
          <t>USN</t>
        </is>
      </c>
      <c r="C29" s="31">
        <f>SUMIFS(JB_26BV,JB_B,2,JB_W,"Cargo &amp; Vehicle Cargo Ships",JB_RC,"ADD")</f>
        <v/>
      </c>
      <c r="D29" s="31">
        <f>SUMIFS(JB_26BV,JB_B,3,JB_W,"Cargo &amp; Vehicle Cargo Ships",JB_RC,"ADD")</f>
        <v/>
      </c>
      <c r="E29" s="31">
        <f>SUMIFS(JB_26BV,JB_B,4,JB_W,"Cargo &amp; Vehicle Cargo Ships",JB_RC,"ADD")</f>
        <v/>
      </c>
      <c r="F29" s="31">
        <f>SUMIFS(JB_26BV,JB_B,5,JB_W,"Cargo &amp; Vehicle Cargo Ships",JB_RC,"ADD")</f>
        <v/>
      </c>
      <c r="G29" s="31">
        <f>SUM(C29:F29)</f>
        <v/>
      </c>
      <c r="H29" s="37">
        <f>IFERROR(G29/G$40,0)</f>
        <v/>
      </c>
    </row>
    <row r="30" ht="10" customHeight="1">
      <c r="A30" s="30" t="inlineStr">
        <is>
          <t>Hospital Ship</t>
        </is>
      </c>
      <c r="B30" s="30" t="inlineStr">
        <is>
          <t>MSC</t>
        </is>
      </c>
      <c r="C30" s="31">
        <f>SUMIFS(JB_26BV,JB_B,2,JB_W,"Hospital Ship",JB_RC,"ADD")</f>
        <v/>
      </c>
      <c r="D30" s="31">
        <f>SUMIFS(JB_26BV,JB_B,3,JB_W,"Hospital Ship",JB_RC,"ADD")</f>
        <v/>
      </c>
      <c r="E30" s="31">
        <f>SUMIFS(JB_26BV,JB_B,4,JB_W,"Hospital Ship",JB_RC,"ADD")</f>
        <v/>
      </c>
      <c r="F30" s="31">
        <f>SUMIFS(JB_26BV,JB_B,5,JB_W,"Hospital Ship",JB_RC,"ADD")</f>
        <v/>
      </c>
      <c r="G30" s="31">
        <f>SUM(C30:F30)</f>
        <v/>
      </c>
      <c r="H30" s="37">
        <f>IFERROR(G30/G$40,0)</f>
        <v/>
      </c>
    </row>
    <row r="31" ht="10" customHeight="1">
      <c r="A31" s="30" t="inlineStr">
        <is>
          <t>Research, Survey &amp; Instrumentation Ships</t>
        </is>
      </c>
      <c r="B31" s="30" t="inlineStr">
        <is>
          <t>MSC</t>
        </is>
      </c>
      <c r="C31" s="31">
        <f>SUMIFS(JB_26BV,JB_B,2,JB_W,"Research, Survey &amp; Instrumentation Ships",JB_RC,"ADD")</f>
        <v/>
      </c>
      <c r="D31" s="31">
        <f>SUMIFS(JB_26BV,JB_B,3,JB_W,"Research, Survey &amp; Instrumentation Ships",JB_RC,"ADD")</f>
        <v/>
      </c>
      <c r="E31" s="31">
        <f>SUMIFS(JB_26BV,JB_B,4,JB_W,"Research, Survey &amp; Instrumentation Ships",JB_RC,"ADD")</f>
        <v/>
      </c>
      <c r="F31" s="31">
        <f>SUMIFS(JB_26BV,JB_B,5,JB_W,"Research, Survey &amp; Instrumentation Ships",JB_RC,"ADD")</f>
        <v/>
      </c>
      <c r="G31" s="31">
        <f>SUM(C31:F31)</f>
        <v/>
      </c>
      <c r="H31" s="37">
        <f>IFERROR(G31/G$40,0)</f>
        <v/>
      </c>
    </row>
    <row r="32" ht="10" customHeight="1">
      <c r="A32" s="30" t="inlineStr">
        <is>
          <t>Material Support Ships</t>
        </is>
      </c>
      <c r="B32" s="30" t="inlineStr">
        <is>
          <t>USN</t>
        </is>
      </c>
      <c r="C32" s="31">
        <f>SUMIFS(JB_26BV,JB_B,2,JB_W,"Material Support Ships",JB_RC,"ADD")</f>
        <v/>
      </c>
      <c r="D32" s="31">
        <f>SUMIFS(JB_26BV,JB_B,3,JB_W,"Material Support Ships",JB_RC,"ADD")</f>
        <v/>
      </c>
      <c r="E32" s="31">
        <f>SUMIFS(JB_26BV,JB_B,4,JB_W,"Material Support Ships",JB_RC,"ADD")</f>
        <v/>
      </c>
      <c r="F32" s="31">
        <f>SUMIFS(JB_26BV,JB_B,5,JB_W,"Material Support Ships",JB_RC,"ADD")</f>
        <v/>
      </c>
      <c r="G32" s="31">
        <f>SUM(C32:F32)</f>
        <v/>
      </c>
      <c r="H32" s="37">
        <f>IFERROR(G32/G$40,0)</f>
        <v/>
      </c>
    </row>
    <row r="33" ht="10" customHeight="1">
      <c r="A33" s="30" t="inlineStr">
        <is>
          <t>National Security Cutters</t>
        </is>
      </c>
      <c r="B33" s="30" t="inlineStr">
        <is>
          <t>USCG</t>
        </is>
      </c>
      <c r="C33" s="31">
        <f>SUMIFS(JB_26BV,JB_B,2,JB_W,"National Security Cutters",JB_RC,"ADD")</f>
        <v/>
      </c>
      <c r="D33" s="31">
        <f>SUMIFS(JB_26BV,JB_B,3,JB_W,"National Security Cutters",JB_RC,"ADD")</f>
        <v/>
      </c>
      <c r="E33" s="31">
        <f>SUMIFS(JB_26BV,JB_B,4,JB_W,"National Security Cutters",JB_RC,"ADD")</f>
        <v/>
      </c>
      <c r="F33" s="31">
        <f>SUMIFS(JB_26BV,JB_B,5,JB_W,"National Security Cutters",JB_RC,"ADD")</f>
        <v/>
      </c>
      <c r="G33" s="31">
        <f>SUM(C33:F33)</f>
        <v/>
      </c>
      <c r="H33" s="37">
        <f>IFERROR(G33/G$40,0)</f>
        <v/>
      </c>
    </row>
    <row r="34" ht="10" customHeight="1">
      <c r="A34" s="30" t="inlineStr">
        <is>
          <t>Waterways Commerce Cutters</t>
        </is>
      </c>
      <c r="B34" s="30" t="inlineStr">
        <is>
          <t>USCG</t>
        </is>
      </c>
      <c r="C34" s="31">
        <f>SUMIFS(JB_26BV,JB_B,2,JB_W,"Waterways Commerce Cutters",JB_RC,"ADD")</f>
        <v/>
      </c>
      <c r="D34" s="31">
        <f>SUMIFS(JB_26BV,JB_B,3,JB_W,"Waterways Commerce Cutters",JB_RC,"ADD")</f>
        <v/>
      </c>
      <c r="E34" s="31">
        <f>SUMIFS(JB_26BV,JB_B,4,JB_W,"Waterways Commerce Cutters",JB_RC,"ADD")</f>
        <v/>
      </c>
      <c r="F34" s="31">
        <f>SUMIFS(JB_26BV,JB_B,5,JB_W,"Waterways Commerce Cutters",JB_RC,"ADD")</f>
        <v/>
      </c>
      <c r="G34" s="31">
        <f>SUM(C34:F34)</f>
        <v/>
      </c>
      <c r="H34" s="37">
        <f>IFERROR(G34/G$40,0)</f>
        <v/>
      </c>
    </row>
    <row r="35" ht="10" customHeight="1">
      <c r="A35" s="30" t="inlineStr">
        <is>
          <t>Icebreakers, Great Lakes</t>
        </is>
      </c>
      <c r="B35" s="30" t="inlineStr">
        <is>
          <t>USCG</t>
        </is>
      </c>
      <c r="C35" s="31">
        <f>SUMIFS(JB_26BV,JB_B,2,JB_W,"Icebreakers, Great Lakes",JB_RC,"ADD")</f>
        <v/>
      </c>
      <c r="D35" s="31">
        <f>SUMIFS(JB_26BV,JB_B,3,JB_W,"Icebreakers, Great Lakes",JB_RC,"ADD")</f>
        <v/>
      </c>
      <c r="E35" s="31">
        <f>SUMIFS(JB_26BV,JB_B,4,JB_W,"Icebreakers, Great Lakes",JB_RC,"ADD")</f>
        <v/>
      </c>
      <c r="F35" s="31">
        <f>SUMIFS(JB_26BV,JB_B,5,JB_W,"Icebreakers, Great Lakes",JB_RC,"ADD")</f>
        <v/>
      </c>
      <c r="G35" s="31">
        <f>SUM(C35:F35)</f>
        <v/>
      </c>
      <c r="H35" s="37">
        <f>IFERROR(G35/G$40,0)</f>
        <v/>
      </c>
    </row>
    <row r="36" ht="10" customHeight="1">
      <c r="A36" s="30" t="inlineStr">
        <is>
          <t>Coastal Buoy Tenders</t>
        </is>
      </c>
      <c r="B36" s="30" t="inlineStr">
        <is>
          <t>USCG</t>
        </is>
      </c>
      <c r="C36" s="31">
        <f>SUMIFS(JB_26BV,JB_B,2,JB_W,"Coastal Buoy Tenders",JB_RC,"ADD")</f>
        <v/>
      </c>
      <c r="D36" s="31">
        <f>SUMIFS(JB_26BV,JB_B,3,JB_W,"Coastal Buoy Tenders",JB_RC,"ADD")</f>
        <v/>
      </c>
      <c r="E36" s="31">
        <f>SUMIFS(JB_26BV,JB_B,4,JB_W,"Coastal Buoy Tenders",JB_RC,"ADD")</f>
        <v/>
      </c>
      <c r="F36" s="31">
        <f>SUMIFS(JB_26BV,JB_B,5,JB_W,"Coastal Buoy Tenders",JB_RC,"ADD")</f>
        <v/>
      </c>
      <c r="G36" s="31">
        <f>SUM(C36:F36)</f>
        <v/>
      </c>
      <c r="H36" s="37">
        <f>IFERROR(G36/G$40,0)</f>
        <v/>
      </c>
    </row>
    <row r="37" ht="10" customHeight="1">
      <c r="A37" s="30" t="inlineStr">
        <is>
          <t>Offshore Patrol Cutter</t>
        </is>
      </c>
      <c r="B37" s="30" t="inlineStr">
        <is>
          <t>USCG</t>
        </is>
      </c>
      <c r="C37" s="31">
        <f>SUMIFS(JB_26BV,JB_B,2,JB_W,"Offshore Patrol Cutter",JB_RC,"ADD")</f>
        <v/>
      </c>
      <c r="D37" s="31">
        <f>SUMIFS(JB_26BV,JB_B,3,JB_W,"Offshore Patrol Cutter",JB_RC,"ADD")</f>
        <v/>
      </c>
      <c r="E37" s="31">
        <f>SUMIFS(JB_26BV,JB_B,4,JB_W,"Offshore Patrol Cutter",JB_RC,"ADD")</f>
        <v/>
      </c>
      <c r="F37" s="31">
        <f>SUMIFS(JB_26BV,JB_B,5,JB_W,"Offshore Patrol Cutter",JB_RC,"ADD")</f>
        <v/>
      </c>
      <c r="G37" s="31">
        <f>SUM(C37:F37)</f>
        <v/>
      </c>
      <c r="H37" s="37">
        <f>IFERROR(G37/G$40,0)</f>
        <v/>
      </c>
    </row>
    <row r="38" ht="10" customHeight="1">
      <c r="A38" s="30" t="inlineStr">
        <is>
          <t>Fast Response Cutters</t>
        </is>
      </c>
      <c r="B38" s="30" t="inlineStr">
        <is>
          <t>USCG</t>
        </is>
      </c>
      <c r="C38" s="31">
        <f>SUMIFS(JB_26BV,JB_B,2,JB_W,"Fast Response Cutters",JB_RC,"ADD")</f>
        <v/>
      </c>
      <c r="D38" s="31">
        <f>SUMIFS(JB_26BV,JB_B,3,JB_W,"Fast Response Cutters",JB_RC,"ADD")</f>
        <v/>
      </c>
      <c r="E38" s="31">
        <f>SUMIFS(JB_26BV,JB_B,4,JB_W,"Fast Response Cutters",JB_RC,"ADD")</f>
        <v/>
      </c>
      <c r="F38" s="31">
        <f>SUMIFS(JB_26BV,JB_B,5,JB_W,"Fast Response Cutters",JB_RC,"ADD")</f>
        <v/>
      </c>
      <c r="G38" s="31">
        <f>SUM(C38:F38)</f>
        <v/>
      </c>
      <c r="H38" s="37">
        <f>IFERROR(G38/G$40,0)</f>
        <v/>
      </c>
    </row>
    <row r="39" ht="10" customHeight="1">
      <c r="A39" s="30" t="inlineStr">
        <is>
          <t>Icebreakers, Oceangoing</t>
        </is>
      </c>
      <c r="B39" s="30" t="inlineStr">
        <is>
          <t>USCG</t>
        </is>
      </c>
      <c r="C39" s="31">
        <f>SUMIFS(JB_26BV,JB_B,2,JB_W,"Icebreakers, Oceangoing",JB_RC,"ADD")</f>
        <v/>
      </c>
      <c r="D39" s="31">
        <f>SUMIFS(JB_26BV,JB_B,3,JB_W,"Icebreakers, Oceangoing",JB_RC,"ADD")</f>
        <v/>
      </c>
      <c r="E39" s="31">
        <f>SUMIFS(JB_26BV,JB_B,4,JB_W,"Icebreakers, Oceangoing",JB_RC,"ADD")</f>
        <v/>
      </c>
      <c r="F39" s="31">
        <f>SUMIFS(JB_26BV,JB_B,5,JB_W,"Icebreakers, Oceangoing",JB_RC,"ADD")</f>
        <v/>
      </c>
      <c r="G39" s="31">
        <f>SUM(C39:F39)</f>
        <v/>
      </c>
      <c r="H39" s="37">
        <f>IFERROR(G39/G$40,0)</f>
        <v/>
      </c>
    </row>
    <row r="40" ht="10" customHeight="1">
      <c r="A40" s="32" t="inlineStr">
        <is>
          <t>MRO SAM</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c r="J43" s="28" t="n"/>
      <c r="K43" s="28" t="n"/>
      <c r="L43" s="28" t="n"/>
      <c r="M43" s="28" t="n"/>
      <c r="N43" s="28" t="n"/>
    </row>
    <row r="44" ht="10" customHeight="1">
      <c r="A44" s="39" t="n"/>
      <c r="B44" s="40" t="inlineStr">
        <is>
          <t>USN</t>
        </is>
      </c>
      <c r="C44" s="39" t="n"/>
      <c r="D44" s="39" t="n"/>
      <c r="E44" s="39" t="n"/>
      <c r="F44" s="39" t="n"/>
      <c r="G44" s="39" t="n"/>
      <c r="H44" s="39" t="n"/>
      <c r="I44" s="39" t="n"/>
      <c r="J44" s="39" t="n"/>
      <c r="K44" s="39" t="n"/>
      <c r="L44" s="39" t="n"/>
      <c r="M44" s="40" t="inlineStr">
        <is>
          <t>USCG</t>
        </is>
      </c>
      <c r="N44" s="41" t="n"/>
    </row>
    <row r="45" ht="10" customHeight="1">
      <c r="A45" s="29" t="inlineStr">
        <is>
          <t>Work Type</t>
        </is>
      </c>
      <c r="B45" s="42" t="inlineStr">
        <is>
          <t>DDG</t>
        </is>
      </c>
      <c r="C45" s="29" t="inlineStr">
        <is>
          <t>LCS</t>
        </is>
      </c>
      <c r="D45" s="29" t="inlineStr">
        <is>
          <t>LHD</t>
        </is>
      </c>
      <c r="E45" s="29" t="inlineStr">
        <is>
          <t>LPD</t>
        </is>
      </c>
      <c r="F45" s="29" t="inlineStr">
        <is>
          <t>CG</t>
        </is>
      </c>
      <c r="G45" s="29" t="inlineStr">
        <is>
          <t>LSD</t>
        </is>
      </c>
      <c r="H45" s="29" t="inlineStr">
        <is>
          <t>LHA</t>
        </is>
      </c>
      <c r="I45" s="29" t="inlineStr">
        <is>
          <t>LCC</t>
        </is>
      </c>
      <c r="J45" s="29" t="inlineStr">
        <is>
          <t>T-AGOS</t>
        </is>
      </c>
      <c r="K45" s="29" t="inlineStr">
        <is>
          <t>MCM</t>
        </is>
      </c>
      <c r="L45" s="29" t="inlineStr">
        <is>
          <t>ESB</t>
        </is>
      </c>
      <c r="M45" s="42" t="inlineStr">
        <is>
          <t>WMSL</t>
        </is>
      </c>
      <c r="N45" s="42" t="inlineStr">
        <is>
          <t>Total</t>
        </is>
      </c>
    </row>
    <row r="46" ht="10" customHeight="1">
      <c r="A46" s="30" t="inlineStr">
        <is>
          <t>Scheduled Depot Maintenance</t>
        </is>
      </c>
      <c r="B46" s="43">
        <f>IFERROR((SUMIFS(JB_26BV,JB_B,2,JB_H,"DDG",JB_RC,"ADD"))/B$50,0)</f>
        <v/>
      </c>
      <c r="C46" s="37">
        <f>IFERROR((SUMIFS(JB_26BV,JB_B,2,JB_H,"LCS",JB_RC,"ADD"))/C$50,0)</f>
        <v/>
      </c>
      <c r="D46" s="37">
        <f>IFERROR((SUMIFS(JB_26BV,JB_B,2,JB_H,"LHD",JB_RC,"ADD"))/D$50,0)</f>
        <v/>
      </c>
      <c r="E46" s="37">
        <f>IFERROR((SUMIFS(JB_26BV,JB_B,2,JB_H,"LPD",JB_RC,"ADD"))/E$50,0)</f>
        <v/>
      </c>
      <c r="F46" s="37">
        <f>IFERROR((SUMIFS(JB_26BV,JB_B,2,JB_H,"CG",JB_RC,"ADD"))/F$50,0)</f>
        <v/>
      </c>
      <c r="G46" s="37">
        <f>IFERROR((SUMIFS(JB_26BV,JB_B,2,JB_H,"LSD",JB_RC,"ADD"))/G$50,0)</f>
        <v/>
      </c>
      <c r="H46" s="37">
        <f>IFERROR((SUMIFS(JB_26BV,JB_B,2,JB_H,"LHA",JB_RC,"ADD"))/H$50,0)</f>
        <v/>
      </c>
      <c r="I46" s="37">
        <f>IFERROR((SUMIFS(JB_26BV,JB_B,2,JB_H,"LCC",JB_RC,"ADD"))/I$50,0)</f>
        <v/>
      </c>
      <c r="J46" s="37">
        <f>IFERROR((SUMIFS(JB_26BV,JB_B,2,JB_H,"T-AGOS",JB_RC,"ADD"))/J$50,0)</f>
        <v/>
      </c>
      <c r="K46" s="37">
        <f>IFERROR((SUMIFS(JB_26BV,JB_B,2,JB_H,"MCM",JB_RC,"ADD"))/K$50,0)</f>
        <v/>
      </c>
      <c r="L46" s="37">
        <f>IFERROR((SUMIFS(JB_26BV,JB_B,2,JB_H,"ESB",JB_RC,"ADD"))/L$50,0)</f>
        <v/>
      </c>
      <c r="M46" s="43">
        <f>IFERROR((SUMIFS(JB_26BV,JB_B,2,JB_H,"WMSL",JB_RC,"ADD"))/M$50,0)</f>
        <v/>
      </c>
      <c r="N46" s="43">
        <f>IFERROR((SUMIFS(JB_26BV,JB_B,2,JB_H,"DDG",JB_RC,"ADD")+SUMIFS(JB_26BV,JB_B,2,JB_H,"LCS",JB_RC,"ADD")+SUMIFS(JB_26BV,JB_B,2,JB_H,"LHD",JB_RC,"ADD")+SUMIFS(JB_26BV,JB_B,2,JB_H,"LPD",JB_RC,"ADD")+SUMIFS(JB_26BV,JB_B,2,JB_H,"CG",JB_RC,"ADD")+SUMIFS(JB_26BV,JB_B,2,JB_H,"LSD",JB_RC,"ADD")+SUMIFS(JB_26BV,JB_B,2,JB_H,"LHA",JB_RC,"ADD")+SUMIFS(JB_26BV,JB_B,2,JB_H,"LCC",JB_RC,"ADD")+SUMIFS(JB_26BV,JB_B,2,JB_H,"T-AGOS",JB_RC,"ADD")+SUMIFS(JB_26BV,JB_B,2,JB_H,"MCM",JB_RC,"ADD")+SUMIFS(JB_26BV,JB_B,2,JB_H,"ESB",JB_RC,"ADD")+SUMIFS(JB_26BV,JB_B,2,JB_H,"WMSL",JB_RC,"ADD"))/N$50,0)</f>
        <v/>
      </c>
    </row>
    <row r="47" ht="10" customHeight="1">
      <c r="A47" s="30" t="inlineStr">
        <is>
          <t>Continuous / Emergent Maintenance</t>
        </is>
      </c>
      <c r="B47" s="43">
        <f>IFERROR((SUMIFS(JB_26BV,JB_B,3,JB_H,"DDG",JB_RC,"ADD"))/B$50,0)</f>
        <v/>
      </c>
      <c r="C47" s="37">
        <f>IFERROR((SUMIFS(JB_26BV,JB_B,3,JB_H,"LCS",JB_RC,"ADD"))/C$50,0)</f>
        <v/>
      </c>
      <c r="D47" s="37">
        <f>IFERROR((SUMIFS(JB_26BV,JB_B,3,JB_H,"LHD",JB_RC,"ADD"))/D$50,0)</f>
        <v/>
      </c>
      <c r="E47" s="37">
        <f>IFERROR((SUMIFS(JB_26BV,JB_B,3,JB_H,"LPD",JB_RC,"ADD"))/E$50,0)</f>
        <v/>
      </c>
      <c r="F47" s="37">
        <f>IFERROR((SUMIFS(JB_26BV,JB_B,3,JB_H,"CG",JB_RC,"ADD"))/F$50,0)</f>
        <v/>
      </c>
      <c r="G47" s="37">
        <f>IFERROR((SUMIFS(JB_26BV,JB_B,3,JB_H,"LSD",JB_RC,"ADD"))/G$50,0)</f>
        <v/>
      </c>
      <c r="H47" s="37">
        <f>IFERROR((SUMIFS(JB_26BV,JB_B,3,JB_H,"LHA",JB_RC,"ADD"))/H$50,0)</f>
        <v/>
      </c>
      <c r="I47" s="37">
        <f>IFERROR((SUMIFS(JB_26BV,JB_B,3,JB_H,"LCC",JB_RC,"ADD"))/I$50,0)</f>
        <v/>
      </c>
      <c r="J47" s="37">
        <f>IFERROR((SUMIFS(JB_26BV,JB_B,3,JB_H,"T-AGOS",JB_RC,"ADD"))/J$50,0)</f>
        <v/>
      </c>
      <c r="K47" s="37">
        <f>IFERROR((SUMIFS(JB_26BV,JB_B,3,JB_H,"MCM",JB_RC,"ADD"))/K$50,0)</f>
        <v/>
      </c>
      <c r="L47" s="37">
        <f>IFERROR((SUMIFS(JB_26BV,JB_B,3,JB_H,"ESB",JB_RC,"ADD"))/L$50,0)</f>
        <v/>
      </c>
      <c r="M47" s="43">
        <f>IFERROR((SUMIFS(JB_26BV,JB_B,3,JB_H,"WMSL",JB_RC,"ADD"))/M$50,0)</f>
        <v/>
      </c>
      <c r="N47" s="43">
        <f>IFERROR((SUMIFS(JB_26BV,JB_B,3,JB_H,"DDG",JB_RC,"ADD")+SUMIFS(JB_26BV,JB_B,3,JB_H,"LCS",JB_RC,"ADD")+SUMIFS(JB_26BV,JB_B,3,JB_H,"LHD",JB_RC,"ADD")+SUMIFS(JB_26BV,JB_B,3,JB_H,"LPD",JB_RC,"ADD")+SUMIFS(JB_26BV,JB_B,3,JB_H,"CG",JB_RC,"ADD")+SUMIFS(JB_26BV,JB_B,3,JB_H,"LSD",JB_RC,"ADD")+SUMIFS(JB_26BV,JB_B,3,JB_H,"LHA",JB_RC,"ADD")+SUMIFS(JB_26BV,JB_B,3,JB_H,"LCC",JB_RC,"ADD")+SUMIFS(JB_26BV,JB_B,3,JB_H,"T-AGOS",JB_RC,"ADD")+SUMIFS(JB_26BV,JB_B,3,JB_H,"MCM",JB_RC,"ADD")+SUMIFS(JB_26BV,JB_B,3,JB_H,"ESB",JB_RC,"ADD")+SUMIFS(JB_26BV,JB_B,3,JB_H,"WMSL",JB_RC,"ADD"))/N$50,0)</f>
        <v/>
      </c>
    </row>
    <row r="48" ht="10" customHeight="1">
      <c r="A48" s="27" t="inlineStr">
        <is>
          <t>(D) MRO SAM by Hull Program — FY2026 ($K)</t>
        </is>
      </c>
      <c r="B48" s="52">
        <f>IFERROR((SUMIFS(JB_26BV,JB_B,4,JB_H,"DDG",JB_RC,"ADD"))/B$50,0)</f>
        <v/>
      </c>
      <c r="C48" s="53">
        <f>IFERROR((SUMIFS(JB_26BV,JB_B,4,JB_H,"LCS",JB_RC,"ADD"))/C$50,0)</f>
        <v/>
      </c>
      <c r="D48" s="53">
        <f>IFERROR((SUMIFS(JB_26BV,JB_B,4,JB_H,"LHD",JB_RC,"ADD"))/D$50,0)</f>
        <v/>
      </c>
      <c r="E48" s="53">
        <f>IFERROR((SUMIFS(JB_26BV,JB_B,4,JB_H,"LPD",JB_RC,"ADD"))/E$50,0)</f>
        <v/>
      </c>
      <c r="F48" s="53">
        <f>IFERROR((SUMIFS(JB_26BV,JB_B,4,JB_H,"CG",JB_RC,"ADD"))/F$50,0)</f>
        <v/>
      </c>
      <c r="G48" s="53">
        <f>IFERROR((SUMIFS(JB_26BV,JB_B,4,JB_H,"LSD",JB_RC,"ADD"))/G$50,0)</f>
        <v/>
      </c>
      <c r="H48" s="53">
        <f>IFERROR((SUMIFS(JB_26BV,JB_B,4,JB_H,"LHA",JB_RC,"ADD"))/H$50,0)</f>
        <v/>
      </c>
      <c r="I48" s="53">
        <f>IFERROR((SUMIFS(JB_26BV,JB_B,4,JB_H,"LCC",JB_RC,"ADD"))/I$50,0)</f>
        <v/>
      </c>
      <c r="J48" s="37">
        <f>IFERROR((SUMIFS(JB_26BV,JB_B,4,JB_H,"T-AGOS",JB_RC,"ADD"))/J$50,0)</f>
        <v/>
      </c>
      <c r="K48" s="37">
        <f>IFERROR((SUMIFS(JB_26BV,JB_B,4,JB_H,"MCM",JB_RC,"ADD"))/K$50,0)</f>
        <v/>
      </c>
      <c r="L48" s="37">
        <f>IFERROR((SUMIFS(JB_26BV,JB_B,4,JB_H,"ESB",JB_RC,"ADD"))/L$50,0)</f>
        <v/>
      </c>
      <c r="M48" s="43">
        <f>IFERROR((SUMIFS(JB_26BV,JB_B,4,JB_H,"WMSL",JB_RC,"ADD"))/M$50,0)</f>
        <v/>
      </c>
      <c r="N48" s="43">
        <f>IFERROR((SUMIFS(JB_26BV,JB_B,4,JB_H,"DDG",JB_RC,"ADD")+SUMIFS(JB_26BV,JB_B,4,JB_H,"LCS",JB_RC,"ADD")+SUMIFS(JB_26BV,JB_B,4,JB_H,"LHD",JB_RC,"ADD")+SUMIFS(JB_26BV,JB_B,4,JB_H,"LPD",JB_RC,"ADD")+SUMIFS(JB_26BV,JB_B,4,JB_H,"CG",JB_RC,"ADD")+SUMIFS(JB_26BV,JB_B,4,JB_H,"LSD",JB_RC,"ADD")+SUMIFS(JB_26BV,JB_B,4,JB_H,"LHA",JB_RC,"ADD")+SUMIFS(JB_26BV,JB_B,4,JB_H,"LCC",JB_RC,"ADD")+SUMIFS(JB_26BV,JB_B,4,JB_H,"T-AGOS",JB_RC,"ADD")+SUMIFS(JB_26BV,JB_B,4,JB_H,"MCM",JB_RC,"ADD")+SUMIFS(JB_26BV,JB_B,4,JB_H,"ESB",JB_RC,"ADD")+SUMIFS(JB_26BV,JB_B,4,JB_H,"WMSL",JB_RC,"ADD"))/N$50,0)</f>
        <v/>
      </c>
    </row>
    <row r="49" ht="10" customHeight="1">
      <c r="A49" s="26" t="inlineStr">
        <is>
          <t>Same funding as (B) broken down to individual hull programs — the level at which depot maintenance, modernization, and life-cycle line items are traceable.</t>
        </is>
      </c>
      <c r="B49" s="43">
        <f>IFERROR((SUMIFS(JB_26BV,JB_B,5,JB_H,"DDG",JB_RC,"ADD"))/B$50,0)</f>
        <v/>
      </c>
      <c r="C49" s="37">
        <f>IFERROR((SUMIFS(JB_26BV,JB_B,5,JB_H,"LCS",JB_RC,"ADD"))/C$50,0)</f>
        <v/>
      </c>
      <c r="D49" s="37">
        <f>IFERROR((SUMIFS(JB_26BV,JB_B,5,JB_H,"LHD",JB_RC,"ADD"))/D$50,0)</f>
        <v/>
      </c>
      <c r="E49" s="37">
        <f>IFERROR((SUMIFS(JB_26BV,JB_B,5,JB_H,"LPD",JB_RC,"ADD"))/E$50,0)</f>
        <v/>
      </c>
      <c r="F49" s="37">
        <f>IFERROR((SUMIFS(JB_26BV,JB_B,5,JB_H,"CG",JB_RC,"ADD"))/F$50,0)</f>
        <v/>
      </c>
      <c r="G49" s="37">
        <f>IFERROR((SUMIFS(JB_26BV,JB_B,5,JB_H,"LSD",JB_RC,"ADD"))/G$50,0)</f>
        <v/>
      </c>
      <c r="H49" s="37">
        <f>IFERROR((SUMIFS(JB_26BV,JB_B,5,JB_H,"LHA",JB_RC,"ADD"))/H$50,0)</f>
        <v/>
      </c>
      <c r="I49" s="37">
        <f>IFERROR((SUMIFS(JB_26BV,JB_B,5,JB_H,"LCC",JB_RC,"ADD"))/I$50,0)</f>
        <v/>
      </c>
      <c r="J49" s="37">
        <f>IFERROR((SUMIFS(JB_26BV,JB_B,5,JB_H,"T-AGOS",JB_RC,"ADD"))/J$50,0)</f>
        <v/>
      </c>
      <c r="K49" s="37">
        <f>IFERROR((SUMIFS(JB_26BV,JB_B,5,JB_H,"MCM",JB_RC,"ADD"))/K$50,0)</f>
        <v/>
      </c>
      <c r="L49" s="37">
        <f>IFERROR((SUMIFS(JB_26BV,JB_B,5,JB_H,"ESB",JB_RC,"ADD"))/L$50,0)</f>
        <v/>
      </c>
      <c r="M49" s="43">
        <f>IFERROR((SUMIFS(JB_26BV,JB_B,5,JB_H,"WMSL",JB_RC,"ADD"))/M$50,0)</f>
        <v/>
      </c>
      <c r="N49" s="43">
        <f>IFERROR((SUMIFS(JB_26BV,JB_B,5,JB_H,"DDG",JB_RC,"ADD")+SUMIFS(JB_26BV,JB_B,5,JB_H,"LCS",JB_RC,"ADD")+SUMIFS(JB_26BV,JB_B,5,JB_H,"LHD",JB_RC,"ADD")+SUMIFS(JB_26BV,JB_B,5,JB_H,"LPD",JB_RC,"ADD")+SUMIFS(JB_26BV,JB_B,5,JB_H,"CG",JB_RC,"ADD")+SUMIFS(JB_26BV,JB_B,5,JB_H,"LSD",JB_RC,"ADD")+SUMIFS(JB_26BV,JB_B,5,JB_H,"LHA",JB_RC,"ADD")+SUMIFS(JB_26BV,JB_B,5,JB_H,"LCC",JB_RC,"ADD")+SUMIFS(JB_26BV,JB_B,5,JB_H,"T-AGOS",JB_RC,"ADD")+SUMIFS(JB_26BV,JB_B,5,JB_H,"MCM",JB_RC,"ADD")+SUMIFS(JB_26BV,JB_B,5,JB_H,"ESB",JB_RC,"ADD")+SUMIFS(JB_26BV,JB_B,5,JB_H,"WMSL",JB_RC,"ADD"))/N$50,0)</f>
        <v/>
      </c>
    </row>
    <row r="50" ht="10" customHeight="1">
      <c r="A50" s="29" t="inlineStr">
        <is>
          <t>Hull Program</t>
        </is>
      </c>
      <c r="B50" s="54" t="inlineStr">
        <is>
          <t>Vessel Type</t>
        </is>
      </c>
      <c r="C50" s="54" t="inlineStr">
        <is>
          <t>Service</t>
        </is>
      </c>
      <c r="D50" s="54" t="inlineStr">
        <is>
          <t>SDM ($K)</t>
        </is>
      </c>
      <c r="E50" s="54" t="inlineStr">
        <is>
          <t>Cont/Emerg ($K)</t>
        </is>
      </c>
      <c r="F50" s="54" t="inlineStr">
        <is>
          <t>Mod ($K)</t>
        </is>
      </c>
      <c r="G50" s="54" t="inlineStr">
        <is>
          <t>Major LC ($K)</t>
        </is>
      </c>
      <c r="H50" s="54" t="inlineStr">
        <is>
          <t>Total ($K)</t>
        </is>
      </c>
      <c r="I50" s="54" t="inlineStr">
        <is>
          <t>% of Total</t>
        </is>
      </c>
      <c r="J50" s="33">
        <f>SUMIFS(JB_26BV,JB_B,2,JB_H,"T-AGOS",JB_RC,"ADD")+SUMIFS(JB_26BV,JB_B,3,JB_H,"T-AGOS",JB_RC,"ADD")+SUMIFS(JB_26BV,JB_B,4,JB_H,"T-AGOS",JB_RC,"ADD")+SUMIFS(JB_26BV,JB_B,5,JB_H,"T-AGOS",JB_RC,"ADD")</f>
        <v/>
      </c>
      <c r="K50" s="33">
        <f>SUMIFS(JB_26BV,JB_B,2,JB_H,"MCM",JB_RC,"ADD")+SUMIFS(JB_26BV,JB_B,3,JB_H,"MCM",JB_RC,"ADD")+SUMIFS(JB_26BV,JB_B,4,JB_H,"MCM",JB_RC,"ADD")+SUMIFS(JB_26BV,JB_B,5,JB_H,"MCM",JB_RC,"ADD")</f>
        <v/>
      </c>
      <c r="L50" s="33">
        <f>SUMIFS(JB_26BV,JB_B,2,JB_H,"ESB",JB_RC,"ADD")+SUMIFS(JB_26BV,JB_B,3,JB_H,"ESB",JB_RC,"ADD")+SUMIFS(JB_26BV,JB_B,4,JB_H,"ESB",JB_RC,"ADD")+SUMIFS(JB_26BV,JB_B,5,JB_H,"ESB",JB_RC,"ADD")</f>
        <v/>
      </c>
      <c r="M50" s="44">
        <f>SUMIFS(JB_26BV,JB_B,2,JB_H,"WMSL",JB_RC,"ADD")+SUMIFS(JB_26BV,JB_B,3,JB_H,"WMSL",JB_RC,"ADD")+SUMIFS(JB_26BV,JB_B,4,JB_H,"WMSL",JB_RC,"ADD")+SUMIFS(JB_26BV,JB_B,5,JB_H,"WMSL",JB_RC,"ADD")</f>
        <v/>
      </c>
      <c r="N50" s="44">
        <f>SUM(B50:M50)</f>
        <v/>
      </c>
    </row>
    <row r="51" ht="10" customHeight="1">
      <c r="A51" s="30" t="inlineStr">
        <is>
          <t>DDG</t>
        </is>
      </c>
      <c r="B51" s="30" t="inlineStr">
        <is>
          <t>Surface Combatants</t>
        </is>
      </c>
      <c r="C51" s="30" t="inlineStr">
        <is>
          <t>USN</t>
        </is>
      </c>
      <c r="D51" s="31">
        <f>SUMIFS(JB_26BV,JB_B,2,JB_H,"DDG",JB_RC,"ADD")</f>
        <v/>
      </c>
      <c r="E51" s="31">
        <f>SUMIFS(JB_26BV,JB_B,3,JB_H,"DDG",JB_RC,"ADD")</f>
        <v/>
      </c>
      <c r="F51" s="31">
        <f>SUMIFS(JB_26BV,JB_B,4,JB_H,"DDG",JB_RC,"ADD")</f>
        <v/>
      </c>
      <c r="G51" s="31">
        <f>SUMIFS(JB_26BV,JB_B,5,JB_H,"DDG",JB_RC,"ADD")</f>
        <v/>
      </c>
      <c r="H51" s="31">
        <f>SUM(D51:G51)</f>
        <v/>
      </c>
      <c r="I51" s="37">
        <f>IFERROR(H51/H$63,0)</f>
        <v/>
      </c>
    </row>
    <row r="52" ht="10" customHeight="1">
      <c r="A52" s="30" t="inlineStr">
        <is>
          <t>LCS</t>
        </is>
      </c>
      <c r="B52" s="30" t="inlineStr">
        <is>
          <t>Surface Combatants</t>
        </is>
      </c>
      <c r="C52" s="30" t="inlineStr">
        <is>
          <t>USN</t>
        </is>
      </c>
      <c r="D52" s="31">
        <f>SUMIFS(JB_26BV,JB_B,2,JB_H,"LCS",JB_RC,"ADD")</f>
        <v/>
      </c>
      <c r="E52" s="31">
        <f>SUMIFS(JB_26BV,JB_B,3,JB_H,"LCS",JB_RC,"ADD")</f>
        <v/>
      </c>
      <c r="F52" s="31">
        <f>SUMIFS(JB_26BV,JB_B,4,JB_H,"LCS",JB_RC,"ADD")</f>
        <v/>
      </c>
      <c r="G52" s="31">
        <f>SUMIFS(JB_26BV,JB_B,5,JB_H,"LCS",JB_RC,"ADD")</f>
        <v/>
      </c>
      <c r="H52" s="31">
        <f>SUM(D52:G52)</f>
        <v/>
      </c>
      <c r="I52" s="37">
        <f>IFERROR(H52/H$63,0)</f>
        <v/>
      </c>
    </row>
    <row r="53" ht="10" customHeight="1">
      <c r="A53" s="30" t="inlineStr">
        <is>
          <t>LHD</t>
        </is>
      </c>
      <c r="B53" s="30" t="inlineStr">
        <is>
          <t>Amphibious Warfare Ships</t>
        </is>
      </c>
      <c r="C53" s="30" t="inlineStr">
        <is>
          <t>USN</t>
        </is>
      </c>
      <c r="D53" s="31">
        <f>SUMIFS(JB_26BV,JB_B,2,JB_H,"LHD",JB_RC,"ADD")</f>
        <v/>
      </c>
      <c r="E53" s="31">
        <f>SUMIFS(JB_26BV,JB_B,3,JB_H,"LHD",JB_RC,"ADD")</f>
        <v/>
      </c>
      <c r="F53" s="31">
        <f>SUMIFS(JB_26BV,JB_B,4,JB_H,"LHD",JB_RC,"ADD")</f>
        <v/>
      </c>
      <c r="G53" s="31">
        <f>SUMIFS(JB_26BV,JB_B,5,JB_H,"LHD",JB_RC,"ADD")</f>
        <v/>
      </c>
      <c r="H53" s="31">
        <f>SUM(D53:G53)</f>
        <v/>
      </c>
      <c r="I53" s="37">
        <f>IFERROR(H53/H$63,0)</f>
        <v/>
      </c>
    </row>
    <row r="54" ht="10" customHeight="1">
      <c r="A54" s="30" t="inlineStr">
        <is>
          <t>LPD</t>
        </is>
      </c>
      <c r="B54" s="30" t="inlineStr">
        <is>
          <t>Amphibious Warfare Ships</t>
        </is>
      </c>
      <c r="C54" s="30" t="inlineStr">
        <is>
          <t>USN</t>
        </is>
      </c>
      <c r="D54" s="31">
        <f>SUMIFS(JB_26BV,JB_B,2,JB_H,"LPD",JB_RC,"ADD")</f>
        <v/>
      </c>
      <c r="E54" s="31">
        <f>SUMIFS(JB_26BV,JB_B,3,JB_H,"LPD",JB_RC,"ADD")</f>
        <v/>
      </c>
      <c r="F54" s="31">
        <f>SUMIFS(JB_26BV,JB_B,4,JB_H,"LPD",JB_RC,"ADD")</f>
        <v/>
      </c>
      <c r="G54" s="31">
        <f>SUMIFS(JB_26BV,JB_B,5,JB_H,"LPD",JB_RC,"ADD")</f>
        <v/>
      </c>
      <c r="H54" s="31">
        <f>SUM(D54:G54)</f>
        <v/>
      </c>
      <c r="I54" s="37">
        <f>IFERROR(H54/H$63,0)</f>
        <v/>
      </c>
    </row>
    <row r="55" ht="10" customHeight="1">
      <c r="A55" s="30" t="inlineStr">
        <is>
          <t>CG</t>
        </is>
      </c>
      <c r="B55" s="30" t="inlineStr">
        <is>
          <t>Surface Combatants</t>
        </is>
      </c>
      <c r="C55" s="30" t="inlineStr">
        <is>
          <t>USN</t>
        </is>
      </c>
      <c r="D55" s="31">
        <f>SUMIFS(JB_26BV,JB_B,2,JB_H,"CG",JB_RC,"ADD")</f>
        <v/>
      </c>
      <c r="E55" s="31">
        <f>SUMIFS(JB_26BV,JB_B,3,JB_H,"CG",JB_RC,"ADD")</f>
        <v/>
      </c>
      <c r="F55" s="31">
        <f>SUMIFS(JB_26BV,JB_B,4,JB_H,"CG",JB_RC,"ADD")</f>
        <v/>
      </c>
      <c r="G55" s="31">
        <f>SUMIFS(JB_26BV,JB_B,5,JB_H,"CG",JB_RC,"ADD")</f>
        <v/>
      </c>
      <c r="H55" s="31">
        <f>SUM(D55:G55)</f>
        <v/>
      </c>
      <c r="I55" s="37">
        <f>IFERROR(H55/H$63,0)</f>
        <v/>
      </c>
    </row>
    <row r="56" ht="10" customHeight="1">
      <c r="A56" s="30" t="inlineStr">
        <is>
          <t>LSD</t>
        </is>
      </c>
      <c r="B56" s="30" t="inlineStr">
        <is>
          <t>Amphibious Warfare Ships</t>
        </is>
      </c>
      <c r="C56" s="30" t="inlineStr">
        <is>
          <t>USN</t>
        </is>
      </c>
      <c r="D56" s="31">
        <f>SUMIFS(JB_26BV,JB_B,2,JB_H,"LSD",JB_RC,"ADD")</f>
        <v/>
      </c>
      <c r="E56" s="31">
        <f>SUMIFS(JB_26BV,JB_B,3,JB_H,"LSD",JB_RC,"ADD")</f>
        <v/>
      </c>
      <c r="F56" s="31">
        <f>SUMIFS(JB_26BV,JB_B,4,JB_H,"LSD",JB_RC,"ADD")</f>
        <v/>
      </c>
      <c r="G56" s="31">
        <f>SUMIFS(JB_26BV,JB_B,5,JB_H,"LSD",JB_RC,"ADD")</f>
        <v/>
      </c>
      <c r="H56" s="31">
        <f>SUM(D56:G56)</f>
        <v/>
      </c>
      <c r="I56" s="37">
        <f>IFERROR(H56/H$63,0)</f>
        <v/>
      </c>
    </row>
    <row r="57" ht="10" customHeight="1">
      <c r="A57" s="30" t="inlineStr">
        <is>
          <t>LHA</t>
        </is>
      </c>
      <c r="B57" s="30" t="inlineStr">
        <is>
          <t>Amphibious Warfare Ships</t>
        </is>
      </c>
      <c r="C57" s="30" t="inlineStr">
        <is>
          <t>USN</t>
        </is>
      </c>
      <c r="D57" s="31">
        <f>SUMIFS(JB_26BV,JB_B,2,JB_H,"LHA",JB_RC,"ADD")</f>
        <v/>
      </c>
      <c r="E57" s="31">
        <f>SUMIFS(JB_26BV,JB_B,3,JB_H,"LHA",JB_RC,"ADD")</f>
        <v/>
      </c>
      <c r="F57" s="31">
        <f>SUMIFS(JB_26BV,JB_B,4,JB_H,"LHA",JB_RC,"ADD")</f>
        <v/>
      </c>
      <c r="G57" s="31">
        <f>SUMIFS(JB_26BV,JB_B,5,JB_H,"LHA",JB_RC,"ADD")</f>
        <v/>
      </c>
      <c r="H57" s="31">
        <f>SUM(D57:G57)</f>
        <v/>
      </c>
      <c r="I57" s="37">
        <f>IFERROR(H57/H$63,0)</f>
        <v/>
      </c>
    </row>
    <row r="58" ht="10" customHeight="1">
      <c r="A58" s="30" t="inlineStr">
        <is>
          <t>LCC</t>
        </is>
      </c>
      <c r="B58" s="30" t="inlineStr">
        <is>
          <t>Command Ships</t>
        </is>
      </c>
      <c r="C58" s="30" t="inlineStr">
        <is>
          <t>USN</t>
        </is>
      </c>
      <c r="D58" s="31">
        <f>SUMIFS(JB_26BV,JB_B,2,JB_H,"LCC",JB_RC,"ADD")</f>
        <v/>
      </c>
      <c r="E58" s="31">
        <f>SUMIFS(JB_26BV,JB_B,3,JB_H,"LCC",JB_RC,"ADD")</f>
        <v/>
      </c>
      <c r="F58" s="31">
        <f>SUMIFS(JB_26BV,JB_B,4,JB_H,"LCC",JB_RC,"ADD")</f>
        <v/>
      </c>
      <c r="G58" s="31">
        <f>SUMIFS(JB_26BV,JB_B,5,JB_H,"LCC",JB_RC,"ADD")</f>
        <v/>
      </c>
      <c r="H58" s="31">
        <f>SUM(D58:G58)</f>
        <v/>
      </c>
      <c r="I58" s="37">
        <f>IFERROR(H58/H$63,0)</f>
        <v/>
      </c>
    </row>
    <row r="59" ht="10" customHeight="1">
      <c r="A59" s="30" t="inlineStr">
        <is>
          <t>T-AGOS</t>
        </is>
      </c>
      <c r="B59" s="30" t="inlineStr">
        <is>
          <t>Surveillance Ships</t>
        </is>
      </c>
      <c r="C59" s="30" t="inlineStr">
        <is>
          <t>MSC</t>
        </is>
      </c>
      <c r="D59" s="31">
        <f>SUMIFS(JB_26BV,JB_B,2,JB_H,"T-AGOS",JB_RC,"ADD")</f>
        <v/>
      </c>
      <c r="E59" s="31">
        <f>SUMIFS(JB_26BV,JB_B,3,JB_H,"T-AGOS",JB_RC,"ADD")</f>
        <v/>
      </c>
      <c r="F59" s="31">
        <f>SUMIFS(JB_26BV,JB_B,4,JB_H,"T-AGOS",JB_RC,"ADD")</f>
        <v/>
      </c>
      <c r="G59" s="31">
        <f>SUMIFS(JB_26BV,JB_B,5,JB_H,"T-AGOS",JB_RC,"ADD")</f>
        <v/>
      </c>
      <c r="H59" s="31">
        <f>SUM(D59:G59)</f>
        <v/>
      </c>
      <c r="I59" s="37">
        <f>IFERROR(H59/H$63,0)</f>
        <v/>
      </c>
    </row>
    <row r="60" ht="10" customHeight="1">
      <c r="A60" s="30" t="inlineStr">
        <is>
          <t>MCM</t>
        </is>
      </c>
      <c r="B60" s="30" t="inlineStr">
        <is>
          <t>Mine Warfare</t>
        </is>
      </c>
      <c r="C60" s="30" t="inlineStr">
        <is>
          <t>USN</t>
        </is>
      </c>
      <c r="D60" s="31">
        <f>SUMIFS(JB_26BV,JB_B,2,JB_H,"MCM",JB_RC,"ADD")</f>
        <v/>
      </c>
      <c r="E60" s="31">
        <f>SUMIFS(JB_26BV,JB_B,3,JB_H,"MCM",JB_RC,"ADD")</f>
        <v/>
      </c>
      <c r="F60" s="31">
        <f>SUMIFS(JB_26BV,JB_B,4,JB_H,"MCM",JB_RC,"ADD")</f>
        <v/>
      </c>
      <c r="G60" s="31">
        <f>SUMIFS(JB_26BV,JB_B,5,JB_H,"MCM",JB_RC,"ADD")</f>
        <v/>
      </c>
      <c r="H60" s="31">
        <f>SUM(D60:G60)</f>
        <v/>
      </c>
      <c r="I60" s="37">
        <f>IFERROR(H60/H$63,0)</f>
        <v/>
      </c>
    </row>
    <row r="61" ht="10" customHeight="1">
      <c r="A61" s="30" t="inlineStr">
        <is>
          <t>ESB</t>
        </is>
      </c>
      <c r="B61" s="30" t="inlineStr">
        <is>
          <t>Expeditionary &amp; Seabasing Ships</t>
        </is>
      </c>
      <c r="C61" s="30" t="inlineStr">
        <is>
          <t>USN</t>
        </is>
      </c>
      <c r="D61" s="31">
        <f>SUMIFS(JB_26BV,JB_B,2,JB_H,"ESB",JB_RC,"ADD")</f>
        <v/>
      </c>
      <c r="E61" s="31">
        <f>SUMIFS(JB_26BV,JB_B,3,JB_H,"ESB",JB_RC,"ADD")</f>
        <v/>
      </c>
      <c r="F61" s="31">
        <f>SUMIFS(JB_26BV,JB_B,4,JB_H,"ESB",JB_RC,"ADD")</f>
        <v/>
      </c>
      <c r="G61" s="31">
        <f>SUMIFS(JB_26BV,JB_B,5,JB_H,"ESB",JB_RC,"ADD")</f>
        <v/>
      </c>
      <c r="H61" s="31">
        <f>SUM(D61:G61)</f>
        <v/>
      </c>
      <c r="I61" s="37">
        <f>IFERROR(H61/H$63,0)</f>
        <v/>
      </c>
    </row>
    <row r="62" ht="10" customHeight="1">
      <c r="A62" s="30" t="inlineStr">
        <is>
          <t>WMSL</t>
        </is>
      </c>
      <c r="B62" s="30" t="inlineStr">
        <is>
          <t>National Security Cutters</t>
        </is>
      </c>
      <c r="C62" s="30" t="inlineStr">
        <is>
          <t>USCG</t>
        </is>
      </c>
      <c r="D62" s="31">
        <f>SUMIFS(JB_26BV,JB_B,2,JB_H,"WMSL",JB_RC,"ADD")</f>
        <v/>
      </c>
      <c r="E62" s="31">
        <f>SUMIFS(JB_26BV,JB_B,3,JB_H,"WMSL",JB_RC,"ADD")</f>
        <v/>
      </c>
      <c r="F62" s="31">
        <f>SUMIFS(JB_26BV,JB_B,4,JB_H,"WMSL",JB_RC,"ADD")</f>
        <v/>
      </c>
      <c r="G62" s="31">
        <f>SUMIFS(JB_26BV,JB_B,5,JB_H,"WMSL",JB_RC,"ADD")</f>
        <v/>
      </c>
      <c r="H62" s="31">
        <f>SUM(D62:G62)</f>
        <v/>
      </c>
      <c r="I62" s="37">
        <f>IFERROR(H62/H$63,0)</f>
        <v/>
      </c>
    </row>
    <row r="63" ht="10" customHeight="1">
      <c r="A63" s="32" t="inlineStr">
        <is>
          <t>MRO SAM (all programs)</t>
        </is>
      </c>
      <c r="B63" s="32" t="inlineStr"/>
      <c r="C63" s="32" t="inlineStr"/>
      <c r="D63" s="33">
        <f>SUM(D51:D62)</f>
        <v/>
      </c>
      <c r="E63" s="33">
        <f>SUM(E51:E62)</f>
        <v/>
      </c>
      <c r="F63" s="33">
        <f>SUM(F51:F62)</f>
        <v/>
      </c>
      <c r="G63" s="33">
        <f>SUM(G51:G62)</f>
        <v/>
      </c>
      <c r="H63" s="33">
        <f>SUM(H51:H62)</f>
        <v/>
      </c>
      <c r="I63" s="38" t="n">
        <v>1</v>
      </c>
    </row>
    <row r="64" ht="10" customHeight="1"/>
    <row r="65" ht="10" customHeight="1"/>
    <row r="66" ht="10" customHeight="1">
      <c r="A66" s="27" t="inlineStr">
        <is>
          <t>(E) Aggregate SDM Cost Breakdown</t>
        </is>
      </c>
      <c r="B66" s="28" t="n"/>
      <c r="C66" s="28" t="n"/>
    </row>
    <row r="67" ht="10" customHeight="1">
      <c r="A67" s="26" t="inlineStr">
        <is>
          <t>Aggregate cost breakdown of OMN Ship Maintenance (Bucket 2) spending by cost type. Titles are verbatim from OMN justification book sub-components — not hull-specific. Used in section (F) to estimate cost-element coverage per hull program.</t>
        </is>
      </c>
    </row>
    <row r="68" ht="10" customHeight="1">
      <c r="A68" s="29" t="inlineStr">
        <is>
          <t>OMN Sub-Component</t>
        </is>
      </c>
      <c r="B68" s="29" t="inlineStr">
        <is>
          <t>$K</t>
        </is>
      </c>
      <c r="C68" s="29" t="inlineStr">
        <is>
          <t>% of SDM</t>
        </is>
      </c>
    </row>
    <row r="69" ht="10" customHeight="1">
      <c r="A69" s="30" t="inlineStr">
        <is>
          <t>Ship Maintenance By Contract</t>
        </is>
      </c>
      <c r="B69" s="31" t="n">
        <v>3984423</v>
      </c>
      <c r="C69" s="37">
        <f>IFERROR(B69/B92,0)</f>
        <v/>
      </c>
    </row>
    <row r="70" ht="10" customHeight="1">
      <c r="A70" s="30" t="inlineStr">
        <is>
          <t>Executive, General and Special Schedules</t>
        </is>
      </c>
      <c r="B70" s="31" t="n">
        <v>3057102</v>
      </c>
      <c r="C70" s="37">
        <f>IFERROR(B70/B92,0)</f>
        <v/>
      </c>
    </row>
    <row r="71" ht="10" customHeight="1">
      <c r="A71" s="30" t="inlineStr">
        <is>
          <t>Wage Board</t>
        </is>
      </c>
      <c r="B71" s="31" t="n">
        <v>2713903</v>
      </c>
      <c r="C71" s="37">
        <f>IFERROR(B71/B92,0)</f>
        <v/>
      </c>
    </row>
    <row r="72" ht="10" customHeight="1">
      <c r="A72" s="30" t="inlineStr">
        <is>
          <t>Navy Managed Supplies &amp; Materials</t>
        </is>
      </c>
      <c r="B72" s="31" t="n">
        <v>814422</v>
      </c>
      <c r="C72" s="37">
        <f>IFERROR(B72/B92,0)</f>
        <v/>
      </c>
    </row>
    <row r="73" ht="10" customHeight="1">
      <c r="A73" s="30" t="inlineStr">
        <is>
          <t>DLA Material Supply Chain - Weapon Systems</t>
        </is>
      </c>
      <c r="B73" s="31" t="n">
        <v>696056</v>
      </c>
      <c r="C73" s="37">
        <f>IFERROR(B73/B92,0)</f>
        <v/>
      </c>
    </row>
    <row r="74" ht="10" customHeight="1">
      <c r="A74" s="30" t="inlineStr">
        <is>
          <t>MSC Regular Overhaul (ROH)</t>
        </is>
      </c>
      <c r="B74" s="31" t="n">
        <v>666329</v>
      </c>
      <c r="C74" s="37">
        <f>IFERROR(B74/B92,0)</f>
        <v/>
      </c>
    </row>
    <row r="75" ht="10" customHeight="1">
      <c r="A75" s="30" t="inlineStr">
        <is>
          <t>MSC Other Maintenance and Repair</t>
        </is>
      </c>
      <c r="B75" s="31" t="n">
        <v>575746</v>
      </c>
      <c r="C75" s="37">
        <f>IFERROR(B75/B92,0)</f>
        <v/>
      </c>
    </row>
    <row r="76" ht="10" customHeight="1">
      <c r="A76" s="30" t="inlineStr">
        <is>
          <t>Equipment Maintenance By Contract</t>
        </is>
      </c>
      <c r="B76" s="31" t="n">
        <v>502290</v>
      </c>
      <c r="C76" s="37">
        <f>IFERROR(B76/B92,0)</f>
        <v/>
      </c>
    </row>
    <row r="77" ht="10" customHeight="1">
      <c r="A77" s="30" t="inlineStr">
        <is>
          <t>Other Depot Maintenance Non-Fund</t>
        </is>
      </c>
      <c r="B77" s="31" t="n">
        <v>447544</v>
      </c>
      <c r="C77" s="37">
        <f>IFERROR(B77/B92,0)</f>
        <v/>
      </c>
    </row>
    <row r="78" ht="10" customHeight="1">
      <c r="A78" s="30" t="inlineStr">
        <is>
          <t>MSC Mid-Term Availability (MTA)</t>
        </is>
      </c>
      <c r="B78" s="31" t="n">
        <v>341925</v>
      </c>
      <c r="C78" s="37">
        <f>IFERROR(B78/B92,0)</f>
        <v/>
      </c>
    </row>
    <row r="79" ht="10" customHeight="1">
      <c r="A79" s="30" t="inlineStr">
        <is>
          <t>Other Intra-Government Purchases</t>
        </is>
      </c>
      <c r="B79" s="31" t="n">
        <v>236115</v>
      </c>
      <c r="C79" s="37">
        <f>IFERROR(B79/B92,0)</f>
        <v/>
      </c>
    </row>
    <row r="80" ht="10" customHeight="1">
      <c r="A80" s="30" t="inlineStr">
        <is>
          <t>Tomahawk Systems (All-Up Round and TTWCS)</t>
        </is>
      </c>
      <c r="B80" s="31" t="n">
        <v>129051</v>
      </c>
      <c r="C80" s="37">
        <f>IFERROR(B80/B92,0)</f>
        <v/>
      </c>
    </row>
    <row r="81" ht="10" customHeight="1">
      <c r="A81" s="30" t="inlineStr">
        <is>
          <t>Standard Missile Depot Maintenance (SM-2/SM-6)</t>
        </is>
      </c>
      <c r="B81" s="31" t="n">
        <v>88674</v>
      </c>
      <c r="C81" s="37">
        <f>IFERROR(B81/B92,0)</f>
        <v/>
      </c>
    </row>
    <row r="82" ht="10" customHeight="1">
      <c r="A82" s="30" t="inlineStr">
        <is>
          <t>Close-In Weapons System (CIWS)</t>
        </is>
      </c>
      <c r="B82" s="31" t="n">
        <v>82544</v>
      </c>
      <c r="C82" s="37">
        <f>IFERROR(B82/B92,0)</f>
        <v/>
      </c>
    </row>
    <row r="83" ht="10" customHeight="1">
      <c r="A83" s="30" t="inlineStr">
        <is>
          <t>Submarine Torpedo Systems</t>
        </is>
      </c>
      <c r="B83" s="31" t="n">
        <v>71804</v>
      </c>
      <c r="C83" s="37">
        <f>IFERROR(B83/B92,0)</f>
        <v/>
      </c>
    </row>
    <row r="84" ht="10" customHeight="1">
      <c r="A84" s="30" t="inlineStr">
        <is>
          <t>NATO Seasparrow (RIM-7)</t>
        </is>
      </c>
      <c r="B84" s="31" t="n">
        <v>41235</v>
      </c>
      <c r="C84" s="37">
        <f>IFERROR(B84/B92,0)</f>
        <v/>
      </c>
    </row>
    <row r="85" ht="10" customHeight="1">
      <c r="A85" s="30" t="inlineStr">
        <is>
          <t>Surface Undersea Warfare (USW)</t>
        </is>
      </c>
      <c r="B85" s="31" t="n">
        <v>40897</v>
      </c>
      <c r="C85" s="37">
        <f>IFERROR(B85/B92,0)</f>
        <v/>
      </c>
    </row>
    <row r="86" ht="10" customHeight="1">
      <c r="A86" s="30" t="inlineStr">
        <is>
          <t>Inactive Ship Maintenance Facility &amp; Operations</t>
        </is>
      </c>
      <c r="B86" s="31" t="n">
        <v>30836</v>
      </c>
      <c r="C86" s="37">
        <f>IFERROR(B86/B92,0)</f>
        <v/>
      </c>
    </row>
    <row r="87" ht="10" customHeight="1">
      <c r="A87" s="30" t="inlineStr">
        <is>
          <t>Rolling Air Frame (RAM) Maintenance</t>
        </is>
      </c>
      <c r="B87" s="31" t="n">
        <v>18784</v>
      </c>
      <c r="C87" s="37">
        <f>IFERROR(B87/B92,0)</f>
        <v/>
      </c>
    </row>
    <row r="88" ht="10" customHeight="1">
      <c r="A88" s="30" t="inlineStr">
        <is>
          <t>Submarine Acoustics / In-Service Combat Systems</t>
        </is>
      </c>
      <c r="B88" s="31" t="n">
        <v>17384</v>
      </c>
      <c r="C88" s="37">
        <f>IFERROR(B88/B92,0)</f>
        <v/>
      </c>
    </row>
    <row r="89" ht="10" customHeight="1">
      <c r="A89" s="30" t="inlineStr">
        <is>
          <t>Surface Ship Torpedo Defense (SSTD) Depot Repair</t>
        </is>
      </c>
      <c r="B89" s="31" t="n">
        <v>2179</v>
      </c>
      <c r="C89" s="37">
        <f>IFERROR(B89/B92,0)</f>
        <v/>
      </c>
    </row>
    <row r="90" ht="10" customHeight="1">
      <c r="A90" s="30" t="inlineStr">
        <is>
          <t>Efficiency - Contract Services Reduction</t>
        </is>
      </c>
      <c r="B90" s="31" t="n">
        <v>-76395</v>
      </c>
      <c r="C90" s="37">
        <f>IFERROR(B90/B92,0)</f>
        <v/>
      </c>
    </row>
    <row r="91" ht="10" customHeight="1">
      <c r="A91" s="30" t="inlineStr">
        <is>
          <t>Efficiency - Workforce Optimization (Public Shipyards)</t>
        </is>
      </c>
      <c r="B91" s="31" t="n">
        <v>-207734</v>
      </c>
      <c r="C91" s="37">
        <f>IFERROR(B91/B92,0)</f>
        <v/>
      </c>
    </row>
    <row r="92" ht="10" customHeight="1">
      <c r="A92" s="32" t="inlineStr">
        <is>
          <t>Total</t>
        </is>
      </c>
      <c r="B92" s="33">
        <f>SUM(B69:B91)</f>
        <v/>
      </c>
      <c r="C92" s="38" t="n">
        <v>1</v>
      </c>
    </row>
    <row r="93" ht="10" customHeight="1"/>
    <row r="94" ht="10" customHeight="1"/>
    <row r="95" ht="10" customHeight="1">
      <c r="A95" s="27" t="inlineStr">
        <is>
          <t>(F) MRO SAM (SDM cost-element estimate) — FY2026 ($K)</t>
        </is>
      </c>
      <c r="B95" s="28" t="n"/>
      <c r="C95" s="28" t="n"/>
      <c r="D95" s="28" t="n"/>
      <c r="E95" s="28" t="n"/>
      <c r="F95" s="28" t="n"/>
      <c r="G95" s="28" t="n"/>
      <c r="H95" s="28" t="n"/>
      <c r="I95" s="28" t="n"/>
      <c r="J95" s="28" t="n"/>
      <c r="K95" s="28" t="n"/>
      <c r="L95" s="28" t="n"/>
    </row>
    <row r="96" ht="10" customHeight="1">
      <c r="A96" s="26" t="inlineStr">
        <is>
          <t>Estimated SDM cost breakdown by hull program. Applies the aggregate OMN cost mix from section (E) to each hull’s SDM funding. This is an approximation — actual cost mix varies by hull class. Analogous to Newbuild SAM section (E) which applies P-5c cost mix to net budget authority.</t>
        </is>
      </c>
    </row>
    <row r="97" ht="10" customHeight="1">
      <c r="A97" s="39" t="n"/>
      <c r="B97" s="40" t="inlineStr">
        <is>
          <t>USN</t>
        </is>
      </c>
      <c r="C97" s="39" t="n"/>
      <c r="D97" s="39" t="n"/>
      <c r="E97" s="39" t="n"/>
      <c r="F97" s="39" t="n"/>
      <c r="G97" s="39" t="n"/>
      <c r="H97" s="39" t="n"/>
      <c r="I97" s="39" t="n"/>
      <c r="J97" s="39" t="n"/>
      <c r="K97" s="39" t="n"/>
      <c r="L97" s="41" t="n"/>
    </row>
    <row r="98" ht="10" customHeight="1">
      <c r="A98" s="29" t="inlineStr">
        <is>
          <t>OMN Sub-Component</t>
        </is>
      </c>
      <c r="B98" s="42" t="inlineStr">
        <is>
          <t>DDG</t>
        </is>
      </c>
      <c r="C98" s="29" t="inlineStr">
        <is>
          <t>LCS</t>
        </is>
      </c>
      <c r="D98" s="29" t="inlineStr">
        <is>
          <t>LHD</t>
        </is>
      </c>
      <c r="E98" s="29" t="inlineStr">
        <is>
          <t>LPD</t>
        </is>
      </c>
      <c r="F98" s="29" t="inlineStr">
        <is>
          <t>CG</t>
        </is>
      </c>
      <c r="G98" s="29" t="inlineStr">
        <is>
          <t>LSD</t>
        </is>
      </c>
      <c r="H98" s="29" t="inlineStr">
        <is>
          <t>LHA</t>
        </is>
      </c>
      <c r="I98" s="29" t="inlineStr">
        <is>
          <t>ESB</t>
        </is>
      </c>
      <c r="J98" s="29" t="inlineStr">
        <is>
          <t>MCM</t>
        </is>
      </c>
      <c r="K98" s="29" t="inlineStr">
        <is>
          <t>LCC</t>
        </is>
      </c>
      <c r="L98" s="42" t="inlineStr">
        <is>
          <t>Total</t>
        </is>
      </c>
    </row>
    <row r="99" ht="10" customHeight="1">
      <c r="A99" s="35" t="inlineStr">
        <is>
          <t>SAM SDM Total ($K)</t>
        </is>
      </c>
      <c r="B99" s="51">
        <f>D51</f>
        <v/>
      </c>
      <c r="C99" s="36">
        <f>D52</f>
        <v/>
      </c>
      <c r="D99" s="36">
        <f>D53</f>
        <v/>
      </c>
      <c r="E99" s="36">
        <f>D54</f>
        <v/>
      </c>
      <c r="F99" s="36">
        <f>D55</f>
        <v/>
      </c>
      <c r="G99" s="36">
        <f>D56</f>
        <v/>
      </c>
      <c r="H99" s="36">
        <f>D57</f>
        <v/>
      </c>
      <c r="I99" s="36">
        <f>D61</f>
        <v/>
      </c>
      <c r="J99" s="36">
        <f>D60</f>
        <v/>
      </c>
      <c r="K99" s="36">
        <f>D58</f>
        <v/>
      </c>
      <c r="L99" s="51">
        <f>SUM(B99:K99)</f>
        <v/>
      </c>
    </row>
    <row r="100" ht="10" customHeight="1">
      <c r="A100" s="30" t="inlineStr">
        <is>
          <t>Ship Maintenance By Contract</t>
        </is>
      </c>
      <c r="B100" s="45">
        <f>IFERROR(B$99*B69/B92,0)</f>
        <v/>
      </c>
      <c r="C100" s="31">
        <f>IFERROR(C$99*B69/B92,0)</f>
        <v/>
      </c>
      <c r="D100" s="31">
        <f>IFERROR(D$99*B69/B92,0)</f>
        <v/>
      </c>
      <c r="E100" s="31">
        <f>IFERROR(E$99*B69/B92,0)</f>
        <v/>
      </c>
      <c r="F100" s="31">
        <f>IFERROR(F$99*B69/B92,0)</f>
        <v/>
      </c>
      <c r="G100" s="31">
        <f>IFERROR(G$99*B69/B92,0)</f>
        <v/>
      </c>
      <c r="H100" s="31">
        <f>IFERROR(H$99*B69/B92,0)</f>
        <v/>
      </c>
      <c r="I100" s="31">
        <f>IFERROR(I$99*B69/B92,0)</f>
        <v/>
      </c>
      <c r="J100" s="31">
        <f>IFERROR(J$99*B69/B92,0)</f>
        <v/>
      </c>
      <c r="K100" s="31">
        <f>IFERROR(K$99*B69/B92,0)</f>
        <v/>
      </c>
      <c r="L100" s="45">
        <f>SUM(B100:K100)</f>
        <v/>
      </c>
    </row>
    <row r="101" ht="10" customHeight="1">
      <c r="A101" s="30" t="inlineStr">
        <is>
          <t>Executive, General and Special Schedules</t>
        </is>
      </c>
      <c r="B101" s="45">
        <f>IFERROR(B$99*B70/B92,0)</f>
        <v/>
      </c>
      <c r="C101" s="31">
        <f>IFERROR(C$99*B70/B92,0)</f>
        <v/>
      </c>
      <c r="D101" s="31">
        <f>IFERROR(D$99*B70/B92,0)</f>
        <v/>
      </c>
      <c r="E101" s="31">
        <f>IFERROR(E$99*B70/B92,0)</f>
        <v/>
      </c>
      <c r="F101" s="31">
        <f>IFERROR(F$99*B70/B92,0)</f>
        <v/>
      </c>
      <c r="G101" s="31">
        <f>IFERROR(G$99*B70/B92,0)</f>
        <v/>
      </c>
      <c r="H101" s="31">
        <f>IFERROR(H$99*B70/B92,0)</f>
        <v/>
      </c>
      <c r="I101" s="31">
        <f>IFERROR(I$99*B70/B92,0)</f>
        <v/>
      </c>
      <c r="J101" s="31">
        <f>IFERROR(J$99*B70/B92,0)</f>
        <v/>
      </c>
      <c r="K101" s="31">
        <f>IFERROR(K$99*B70/B92,0)</f>
        <v/>
      </c>
      <c r="L101" s="45">
        <f>SUM(B101:K101)</f>
        <v/>
      </c>
    </row>
    <row r="102" ht="10" customHeight="1">
      <c r="A102" s="30" t="inlineStr">
        <is>
          <t>Wage Board</t>
        </is>
      </c>
      <c r="B102" s="45">
        <f>IFERROR(B$99*B71/B92,0)</f>
        <v/>
      </c>
      <c r="C102" s="31">
        <f>IFERROR(C$99*B71/B92,0)</f>
        <v/>
      </c>
      <c r="D102" s="31">
        <f>IFERROR(D$99*B71/B92,0)</f>
        <v/>
      </c>
      <c r="E102" s="31">
        <f>IFERROR(E$99*B71/B92,0)</f>
        <v/>
      </c>
      <c r="F102" s="31">
        <f>IFERROR(F$99*B71/B92,0)</f>
        <v/>
      </c>
      <c r="G102" s="31">
        <f>IFERROR(G$99*B71/B92,0)</f>
        <v/>
      </c>
      <c r="H102" s="31">
        <f>IFERROR(H$99*B71/B92,0)</f>
        <v/>
      </c>
      <c r="I102" s="31">
        <f>IFERROR(I$99*B71/B92,0)</f>
        <v/>
      </c>
      <c r="J102" s="31">
        <f>IFERROR(J$99*B71/B92,0)</f>
        <v/>
      </c>
      <c r="K102" s="31">
        <f>IFERROR(K$99*B71/B92,0)</f>
        <v/>
      </c>
      <c r="L102" s="45">
        <f>SUM(B102:K102)</f>
        <v/>
      </c>
    </row>
    <row r="103" ht="10" customHeight="1">
      <c r="A103" s="30" t="inlineStr">
        <is>
          <t>Navy Managed Supplies &amp; Materials</t>
        </is>
      </c>
      <c r="B103" s="45">
        <f>IFERROR(B$99*B72/B92,0)</f>
        <v/>
      </c>
      <c r="C103" s="31">
        <f>IFERROR(C$99*B72/B92,0)</f>
        <v/>
      </c>
      <c r="D103" s="31">
        <f>IFERROR(D$99*B72/B92,0)</f>
        <v/>
      </c>
      <c r="E103" s="31">
        <f>IFERROR(E$99*B72/B92,0)</f>
        <v/>
      </c>
      <c r="F103" s="31">
        <f>IFERROR(F$99*B72/B92,0)</f>
        <v/>
      </c>
      <c r="G103" s="31">
        <f>IFERROR(G$99*B72/B92,0)</f>
        <v/>
      </c>
      <c r="H103" s="31">
        <f>IFERROR(H$99*B72/B92,0)</f>
        <v/>
      </c>
      <c r="I103" s="31">
        <f>IFERROR(I$99*B72/B92,0)</f>
        <v/>
      </c>
      <c r="J103" s="31">
        <f>IFERROR(J$99*B72/B92,0)</f>
        <v/>
      </c>
      <c r="K103" s="31">
        <f>IFERROR(K$99*B72/B92,0)</f>
        <v/>
      </c>
      <c r="L103" s="45">
        <f>SUM(B103:K103)</f>
        <v/>
      </c>
    </row>
    <row r="104" ht="10" customHeight="1">
      <c r="A104" s="30" t="inlineStr">
        <is>
          <t>DLA Material Supply Chain - Weapon Systems</t>
        </is>
      </c>
      <c r="B104" s="45">
        <f>IFERROR(B$99*B73/B92,0)</f>
        <v/>
      </c>
      <c r="C104" s="31">
        <f>IFERROR(C$99*B73/B92,0)</f>
        <v/>
      </c>
      <c r="D104" s="31">
        <f>IFERROR(D$99*B73/B92,0)</f>
        <v/>
      </c>
      <c r="E104" s="31">
        <f>IFERROR(E$99*B73/B92,0)</f>
        <v/>
      </c>
      <c r="F104" s="31">
        <f>IFERROR(F$99*B73/B92,0)</f>
        <v/>
      </c>
      <c r="G104" s="31">
        <f>IFERROR(G$99*B73/B92,0)</f>
        <v/>
      </c>
      <c r="H104" s="31">
        <f>IFERROR(H$99*B73/B92,0)</f>
        <v/>
      </c>
      <c r="I104" s="31">
        <f>IFERROR(I$99*B73/B92,0)</f>
        <v/>
      </c>
      <c r="J104" s="31">
        <f>IFERROR(J$99*B73/B92,0)</f>
        <v/>
      </c>
      <c r="K104" s="31">
        <f>IFERROR(K$99*B73/B92,0)</f>
        <v/>
      </c>
      <c r="L104" s="45">
        <f>SUM(B104:K104)</f>
        <v/>
      </c>
    </row>
    <row r="105" ht="10" customHeight="1">
      <c r="A105" s="30" t="inlineStr">
        <is>
          <t>MSC Regular Overhaul (ROH)</t>
        </is>
      </c>
      <c r="B105" s="45">
        <f>IFERROR(B$99*B74/B92,0)</f>
        <v/>
      </c>
      <c r="C105" s="31">
        <f>IFERROR(C$99*B74/B92,0)</f>
        <v/>
      </c>
      <c r="D105" s="31">
        <f>IFERROR(D$99*B74/B92,0)</f>
        <v/>
      </c>
      <c r="E105" s="31">
        <f>IFERROR(E$99*B74/B92,0)</f>
        <v/>
      </c>
      <c r="F105" s="31">
        <f>IFERROR(F$99*B74/B92,0)</f>
        <v/>
      </c>
      <c r="G105" s="31">
        <f>IFERROR(G$99*B74/B92,0)</f>
        <v/>
      </c>
      <c r="H105" s="31">
        <f>IFERROR(H$99*B74/B92,0)</f>
        <v/>
      </c>
      <c r="I105" s="31">
        <f>IFERROR(I$99*B74/B92,0)</f>
        <v/>
      </c>
      <c r="J105" s="31">
        <f>IFERROR(J$99*B74/B92,0)</f>
        <v/>
      </c>
      <c r="K105" s="31">
        <f>IFERROR(K$99*B74/B92,0)</f>
        <v/>
      </c>
      <c r="L105" s="45">
        <f>SUM(B105:K105)</f>
        <v/>
      </c>
    </row>
    <row r="106" ht="10" customHeight="1">
      <c r="A106" s="30" t="inlineStr">
        <is>
          <t>MSC Other Maintenance and Repair</t>
        </is>
      </c>
      <c r="B106" s="45">
        <f>IFERROR(B$99*B75/B92,0)</f>
        <v/>
      </c>
      <c r="C106" s="31">
        <f>IFERROR(C$99*B75/B92,0)</f>
        <v/>
      </c>
      <c r="D106" s="31">
        <f>IFERROR(D$99*B75/B92,0)</f>
        <v/>
      </c>
      <c r="E106" s="31">
        <f>IFERROR(E$99*B75/B92,0)</f>
        <v/>
      </c>
      <c r="F106" s="31">
        <f>IFERROR(F$99*B75/B92,0)</f>
        <v/>
      </c>
      <c r="G106" s="31">
        <f>IFERROR(G$99*B75/B92,0)</f>
        <v/>
      </c>
      <c r="H106" s="31">
        <f>IFERROR(H$99*B75/B92,0)</f>
        <v/>
      </c>
      <c r="I106" s="31">
        <f>IFERROR(I$99*B75/B92,0)</f>
        <v/>
      </c>
      <c r="J106" s="31">
        <f>IFERROR(J$99*B75/B92,0)</f>
        <v/>
      </c>
      <c r="K106" s="31">
        <f>IFERROR(K$99*B75/B92,0)</f>
        <v/>
      </c>
      <c r="L106" s="45">
        <f>SUM(B106:K106)</f>
        <v/>
      </c>
    </row>
    <row r="107" ht="10" customHeight="1">
      <c r="A107" s="30" t="inlineStr">
        <is>
          <t>Equipment Maintenance By Contract</t>
        </is>
      </c>
      <c r="B107" s="45">
        <f>IFERROR(B$99*B76/B92,0)</f>
        <v/>
      </c>
      <c r="C107" s="31">
        <f>IFERROR(C$99*B76/B92,0)</f>
        <v/>
      </c>
      <c r="D107" s="31">
        <f>IFERROR(D$99*B76/B92,0)</f>
        <v/>
      </c>
      <c r="E107" s="31">
        <f>IFERROR(E$99*B76/B92,0)</f>
        <v/>
      </c>
      <c r="F107" s="31">
        <f>IFERROR(F$99*B76/B92,0)</f>
        <v/>
      </c>
      <c r="G107" s="31">
        <f>IFERROR(G$99*B76/B92,0)</f>
        <v/>
      </c>
      <c r="H107" s="31">
        <f>IFERROR(H$99*B76/B92,0)</f>
        <v/>
      </c>
      <c r="I107" s="31">
        <f>IFERROR(I$99*B76/B92,0)</f>
        <v/>
      </c>
      <c r="J107" s="31">
        <f>IFERROR(J$99*B76/B92,0)</f>
        <v/>
      </c>
      <c r="K107" s="31">
        <f>IFERROR(K$99*B76/B92,0)</f>
        <v/>
      </c>
      <c r="L107" s="45">
        <f>SUM(B107:K107)</f>
        <v/>
      </c>
    </row>
    <row r="108" ht="10" customHeight="1">
      <c r="A108" s="30" t="inlineStr">
        <is>
          <t>Other Depot Maintenance Non-Fund</t>
        </is>
      </c>
      <c r="B108" s="45">
        <f>IFERROR(B$99*B77/B92,0)</f>
        <v/>
      </c>
      <c r="C108" s="31">
        <f>IFERROR(C$99*B77/B92,0)</f>
        <v/>
      </c>
      <c r="D108" s="31">
        <f>IFERROR(D$99*B77/B92,0)</f>
        <v/>
      </c>
      <c r="E108" s="31">
        <f>IFERROR(E$99*B77/B92,0)</f>
        <v/>
      </c>
      <c r="F108" s="31">
        <f>IFERROR(F$99*B77/B92,0)</f>
        <v/>
      </c>
      <c r="G108" s="31">
        <f>IFERROR(G$99*B77/B92,0)</f>
        <v/>
      </c>
      <c r="H108" s="31">
        <f>IFERROR(H$99*B77/B92,0)</f>
        <v/>
      </c>
      <c r="I108" s="31">
        <f>IFERROR(I$99*B77/B92,0)</f>
        <v/>
      </c>
      <c r="J108" s="31">
        <f>IFERROR(J$99*B77/B92,0)</f>
        <v/>
      </c>
      <c r="K108" s="31">
        <f>IFERROR(K$99*B77/B92,0)</f>
        <v/>
      </c>
      <c r="L108" s="45">
        <f>SUM(B108:K108)</f>
        <v/>
      </c>
    </row>
    <row r="109" ht="10" customHeight="1">
      <c r="A109" s="30" t="inlineStr">
        <is>
          <t>MSC Mid-Term Availability (MTA)</t>
        </is>
      </c>
      <c r="B109" s="45">
        <f>IFERROR(B$99*B78/B92,0)</f>
        <v/>
      </c>
      <c r="C109" s="31">
        <f>IFERROR(C$99*B78/B92,0)</f>
        <v/>
      </c>
      <c r="D109" s="31">
        <f>IFERROR(D$99*B78/B92,0)</f>
        <v/>
      </c>
      <c r="E109" s="31">
        <f>IFERROR(E$99*B78/B92,0)</f>
        <v/>
      </c>
      <c r="F109" s="31">
        <f>IFERROR(F$99*B78/B92,0)</f>
        <v/>
      </c>
      <c r="G109" s="31">
        <f>IFERROR(G$99*B78/B92,0)</f>
        <v/>
      </c>
      <c r="H109" s="31">
        <f>IFERROR(H$99*B78/B92,0)</f>
        <v/>
      </c>
      <c r="I109" s="31">
        <f>IFERROR(I$99*B78/B92,0)</f>
        <v/>
      </c>
      <c r="J109" s="31">
        <f>IFERROR(J$99*B78/B92,0)</f>
        <v/>
      </c>
      <c r="K109" s="31">
        <f>IFERROR(K$99*B78/B92,0)</f>
        <v/>
      </c>
      <c r="L109" s="45">
        <f>SUM(B109:K109)</f>
        <v/>
      </c>
    </row>
    <row r="110" ht="10" customHeight="1">
      <c r="A110" s="30" t="inlineStr">
        <is>
          <t>Other Intra-Government Purchases</t>
        </is>
      </c>
      <c r="B110" s="45">
        <f>IFERROR(B$99*B79/B92,0)</f>
        <v/>
      </c>
      <c r="C110" s="31">
        <f>IFERROR(C$99*B79/B92,0)</f>
        <v/>
      </c>
      <c r="D110" s="31">
        <f>IFERROR(D$99*B79/B92,0)</f>
        <v/>
      </c>
      <c r="E110" s="31">
        <f>IFERROR(E$99*B79/B92,0)</f>
        <v/>
      </c>
      <c r="F110" s="31">
        <f>IFERROR(F$99*B79/B92,0)</f>
        <v/>
      </c>
      <c r="G110" s="31">
        <f>IFERROR(G$99*B79/B92,0)</f>
        <v/>
      </c>
      <c r="H110" s="31">
        <f>IFERROR(H$99*B79/B92,0)</f>
        <v/>
      </c>
      <c r="I110" s="31">
        <f>IFERROR(I$99*B79/B92,0)</f>
        <v/>
      </c>
      <c r="J110" s="31">
        <f>IFERROR(J$99*B79/B92,0)</f>
        <v/>
      </c>
      <c r="K110" s="31">
        <f>IFERROR(K$99*B79/B92,0)</f>
        <v/>
      </c>
      <c r="L110" s="45">
        <f>SUM(B110:K110)</f>
        <v/>
      </c>
    </row>
    <row r="111" ht="10" customHeight="1">
      <c r="A111" s="30" t="inlineStr">
        <is>
          <t>Tomahawk Systems (All-Up Round and TTWCS)</t>
        </is>
      </c>
      <c r="B111" s="45">
        <f>IFERROR(B$99*B80/B92,0)</f>
        <v/>
      </c>
      <c r="C111" s="31">
        <f>IFERROR(C$99*B80/B92,0)</f>
        <v/>
      </c>
      <c r="D111" s="31">
        <f>IFERROR(D$99*B80/B92,0)</f>
        <v/>
      </c>
      <c r="E111" s="31">
        <f>IFERROR(E$99*B80/B92,0)</f>
        <v/>
      </c>
      <c r="F111" s="31">
        <f>IFERROR(F$99*B80/B92,0)</f>
        <v/>
      </c>
      <c r="G111" s="31">
        <f>IFERROR(G$99*B80/B92,0)</f>
        <v/>
      </c>
      <c r="H111" s="31">
        <f>IFERROR(H$99*B80/B92,0)</f>
        <v/>
      </c>
      <c r="I111" s="31">
        <f>IFERROR(I$99*B80/B92,0)</f>
        <v/>
      </c>
      <c r="J111" s="31">
        <f>IFERROR(J$99*B80/B92,0)</f>
        <v/>
      </c>
      <c r="K111" s="31">
        <f>IFERROR(K$99*B80/B92,0)</f>
        <v/>
      </c>
      <c r="L111" s="45">
        <f>SUM(B111:K111)</f>
        <v/>
      </c>
    </row>
    <row r="112" ht="10" customHeight="1">
      <c r="A112" s="30" t="inlineStr">
        <is>
          <t>Standard Missile Depot Maintenance (SM-2/SM-6)</t>
        </is>
      </c>
      <c r="B112" s="45">
        <f>IFERROR(B$99*B81/B92,0)</f>
        <v/>
      </c>
      <c r="C112" s="31">
        <f>IFERROR(C$99*B81/B92,0)</f>
        <v/>
      </c>
      <c r="D112" s="31">
        <f>IFERROR(D$99*B81/B92,0)</f>
        <v/>
      </c>
      <c r="E112" s="31">
        <f>IFERROR(E$99*B81/B92,0)</f>
        <v/>
      </c>
      <c r="F112" s="31">
        <f>IFERROR(F$99*B81/B92,0)</f>
        <v/>
      </c>
      <c r="G112" s="31">
        <f>IFERROR(G$99*B81/B92,0)</f>
        <v/>
      </c>
      <c r="H112" s="31">
        <f>IFERROR(H$99*B81/B92,0)</f>
        <v/>
      </c>
      <c r="I112" s="31">
        <f>IFERROR(I$99*B81/B92,0)</f>
        <v/>
      </c>
      <c r="J112" s="31">
        <f>IFERROR(J$99*B81/B92,0)</f>
        <v/>
      </c>
      <c r="K112" s="31">
        <f>IFERROR(K$99*B81/B92,0)</f>
        <v/>
      </c>
      <c r="L112" s="45">
        <f>SUM(B112:K112)</f>
        <v/>
      </c>
    </row>
    <row r="113" ht="10" customHeight="1">
      <c r="A113" s="30" t="inlineStr">
        <is>
          <t>Close-In Weapons System (CIWS)</t>
        </is>
      </c>
      <c r="B113" s="45">
        <f>IFERROR(B$99*B82/B92,0)</f>
        <v/>
      </c>
      <c r="C113" s="31">
        <f>IFERROR(C$99*B82/B92,0)</f>
        <v/>
      </c>
      <c r="D113" s="31">
        <f>IFERROR(D$99*B82/B92,0)</f>
        <v/>
      </c>
      <c r="E113" s="31">
        <f>IFERROR(E$99*B82/B92,0)</f>
        <v/>
      </c>
      <c r="F113" s="31">
        <f>IFERROR(F$99*B82/B92,0)</f>
        <v/>
      </c>
      <c r="G113" s="31">
        <f>IFERROR(G$99*B82/B92,0)</f>
        <v/>
      </c>
      <c r="H113" s="31">
        <f>IFERROR(H$99*B82/B92,0)</f>
        <v/>
      </c>
      <c r="I113" s="31">
        <f>IFERROR(I$99*B82/B92,0)</f>
        <v/>
      </c>
      <c r="J113" s="31">
        <f>IFERROR(J$99*B82/B92,0)</f>
        <v/>
      </c>
      <c r="K113" s="31">
        <f>IFERROR(K$99*B82/B92,0)</f>
        <v/>
      </c>
      <c r="L113" s="45">
        <f>SUM(B113:K113)</f>
        <v/>
      </c>
    </row>
    <row r="114" ht="10" customHeight="1">
      <c r="A114" s="30" t="inlineStr">
        <is>
          <t>Submarine Torpedo Systems</t>
        </is>
      </c>
      <c r="B114" s="45">
        <f>IFERROR(B$99*B83/B92,0)</f>
        <v/>
      </c>
      <c r="C114" s="31">
        <f>IFERROR(C$99*B83/B92,0)</f>
        <v/>
      </c>
      <c r="D114" s="31">
        <f>IFERROR(D$99*B83/B92,0)</f>
        <v/>
      </c>
      <c r="E114" s="31">
        <f>IFERROR(E$99*B83/B92,0)</f>
        <v/>
      </c>
      <c r="F114" s="31">
        <f>IFERROR(F$99*B83/B92,0)</f>
        <v/>
      </c>
      <c r="G114" s="31">
        <f>IFERROR(G$99*B83/B92,0)</f>
        <v/>
      </c>
      <c r="H114" s="31">
        <f>IFERROR(H$99*B83/B92,0)</f>
        <v/>
      </c>
      <c r="I114" s="31">
        <f>IFERROR(I$99*B83/B92,0)</f>
        <v/>
      </c>
      <c r="J114" s="31">
        <f>IFERROR(J$99*B83/B92,0)</f>
        <v/>
      </c>
      <c r="K114" s="31">
        <f>IFERROR(K$99*B83/B92,0)</f>
        <v/>
      </c>
      <c r="L114" s="45">
        <f>SUM(B114:K114)</f>
        <v/>
      </c>
    </row>
    <row r="115" ht="10" customHeight="1">
      <c r="A115" s="30" t="inlineStr">
        <is>
          <t>NATO Seasparrow (RIM-7)</t>
        </is>
      </c>
      <c r="B115" s="45">
        <f>IFERROR(B$99*B84/B92,0)</f>
        <v/>
      </c>
      <c r="C115" s="31">
        <f>IFERROR(C$99*B84/B92,0)</f>
        <v/>
      </c>
      <c r="D115" s="31">
        <f>IFERROR(D$99*B84/B92,0)</f>
        <v/>
      </c>
      <c r="E115" s="31">
        <f>IFERROR(E$99*B84/B92,0)</f>
        <v/>
      </c>
      <c r="F115" s="31">
        <f>IFERROR(F$99*B84/B92,0)</f>
        <v/>
      </c>
      <c r="G115" s="31">
        <f>IFERROR(G$99*B84/B92,0)</f>
        <v/>
      </c>
      <c r="H115" s="31">
        <f>IFERROR(H$99*B84/B92,0)</f>
        <v/>
      </c>
      <c r="I115" s="31">
        <f>IFERROR(I$99*B84/B92,0)</f>
        <v/>
      </c>
      <c r="J115" s="31">
        <f>IFERROR(J$99*B84/B92,0)</f>
        <v/>
      </c>
      <c r="K115" s="31">
        <f>IFERROR(K$99*B84/B92,0)</f>
        <v/>
      </c>
      <c r="L115" s="45">
        <f>SUM(B115:K115)</f>
        <v/>
      </c>
    </row>
    <row r="116" ht="10" customHeight="1">
      <c r="A116" s="30" t="inlineStr">
        <is>
          <t>Surface Undersea Warfare (USW)</t>
        </is>
      </c>
      <c r="B116" s="45">
        <f>IFERROR(B$99*B85/B92,0)</f>
        <v/>
      </c>
      <c r="C116" s="31">
        <f>IFERROR(C$99*B85/B92,0)</f>
        <v/>
      </c>
      <c r="D116" s="31">
        <f>IFERROR(D$99*B85/B92,0)</f>
        <v/>
      </c>
      <c r="E116" s="31">
        <f>IFERROR(E$99*B85/B92,0)</f>
        <v/>
      </c>
      <c r="F116" s="31">
        <f>IFERROR(F$99*B85/B92,0)</f>
        <v/>
      </c>
      <c r="G116" s="31">
        <f>IFERROR(G$99*B85/B92,0)</f>
        <v/>
      </c>
      <c r="H116" s="31">
        <f>IFERROR(H$99*B85/B92,0)</f>
        <v/>
      </c>
      <c r="I116" s="31">
        <f>IFERROR(I$99*B85/B92,0)</f>
        <v/>
      </c>
      <c r="J116" s="31">
        <f>IFERROR(J$99*B85/B92,0)</f>
        <v/>
      </c>
      <c r="K116" s="31">
        <f>IFERROR(K$99*B85/B92,0)</f>
        <v/>
      </c>
      <c r="L116" s="45">
        <f>SUM(B116:K116)</f>
        <v/>
      </c>
    </row>
    <row r="117" ht="10" customHeight="1">
      <c r="A117" s="30" t="inlineStr">
        <is>
          <t>Inactive Ship Maintenance Facility &amp; Operations</t>
        </is>
      </c>
      <c r="B117" s="45">
        <f>IFERROR(B$99*B86/B92,0)</f>
        <v/>
      </c>
      <c r="C117" s="31">
        <f>IFERROR(C$99*B86/B92,0)</f>
        <v/>
      </c>
      <c r="D117" s="31">
        <f>IFERROR(D$99*B86/B92,0)</f>
        <v/>
      </c>
      <c r="E117" s="31">
        <f>IFERROR(E$99*B86/B92,0)</f>
        <v/>
      </c>
      <c r="F117" s="31">
        <f>IFERROR(F$99*B86/B92,0)</f>
        <v/>
      </c>
      <c r="G117" s="31">
        <f>IFERROR(G$99*B86/B92,0)</f>
        <v/>
      </c>
      <c r="H117" s="31">
        <f>IFERROR(H$99*B86/B92,0)</f>
        <v/>
      </c>
      <c r="I117" s="31">
        <f>IFERROR(I$99*B86/B92,0)</f>
        <v/>
      </c>
      <c r="J117" s="31">
        <f>IFERROR(J$99*B86/B92,0)</f>
        <v/>
      </c>
      <c r="K117" s="31">
        <f>IFERROR(K$99*B86/B92,0)</f>
        <v/>
      </c>
      <c r="L117" s="45">
        <f>SUM(B117:K117)</f>
        <v/>
      </c>
    </row>
    <row r="118" ht="10" customHeight="1">
      <c r="A118" s="30" t="inlineStr">
        <is>
          <t>Rolling Air Frame (RAM) Maintenance</t>
        </is>
      </c>
      <c r="B118" s="45">
        <f>IFERROR(B$99*B87/B92,0)</f>
        <v/>
      </c>
      <c r="C118" s="31">
        <f>IFERROR(C$99*B87/B92,0)</f>
        <v/>
      </c>
      <c r="D118" s="31">
        <f>IFERROR(D$99*B87/B92,0)</f>
        <v/>
      </c>
      <c r="E118" s="31">
        <f>IFERROR(E$99*B87/B92,0)</f>
        <v/>
      </c>
      <c r="F118" s="31">
        <f>IFERROR(F$99*B87/B92,0)</f>
        <v/>
      </c>
      <c r="G118" s="31">
        <f>IFERROR(G$99*B87/B92,0)</f>
        <v/>
      </c>
      <c r="H118" s="31">
        <f>IFERROR(H$99*B87/B92,0)</f>
        <v/>
      </c>
      <c r="I118" s="31">
        <f>IFERROR(I$99*B87/B92,0)</f>
        <v/>
      </c>
      <c r="J118" s="31">
        <f>IFERROR(J$99*B87/B92,0)</f>
        <v/>
      </c>
      <c r="K118" s="31">
        <f>IFERROR(K$99*B87/B92,0)</f>
        <v/>
      </c>
      <c r="L118" s="45">
        <f>SUM(B118:K118)</f>
        <v/>
      </c>
    </row>
    <row r="119" ht="10" customHeight="1">
      <c r="A119" s="30" t="inlineStr">
        <is>
          <t>Submarine Acoustics / In-Service Combat Systems</t>
        </is>
      </c>
      <c r="B119" s="45">
        <f>IFERROR(B$99*B88/B92,0)</f>
        <v/>
      </c>
      <c r="C119" s="31">
        <f>IFERROR(C$99*B88/B92,0)</f>
        <v/>
      </c>
      <c r="D119" s="31">
        <f>IFERROR(D$99*B88/B92,0)</f>
        <v/>
      </c>
      <c r="E119" s="31">
        <f>IFERROR(E$99*B88/B92,0)</f>
        <v/>
      </c>
      <c r="F119" s="31">
        <f>IFERROR(F$99*B88/B92,0)</f>
        <v/>
      </c>
      <c r="G119" s="31">
        <f>IFERROR(G$99*B88/B92,0)</f>
        <v/>
      </c>
      <c r="H119" s="31">
        <f>IFERROR(H$99*B88/B92,0)</f>
        <v/>
      </c>
      <c r="I119" s="31">
        <f>IFERROR(I$99*B88/B92,0)</f>
        <v/>
      </c>
      <c r="J119" s="31">
        <f>IFERROR(J$99*B88/B92,0)</f>
        <v/>
      </c>
      <c r="K119" s="31">
        <f>IFERROR(K$99*B88/B92,0)</f>
        <v/>
      </c>
      <c r="L119" s="45">
        <f>SUM(B119:K119)</f>
        <v/>
      </c>
    </row>
    <row r="120" ht="10" customHeight="1">
      <c r="A120" s="30" t="inlineStr">
        <is>
          <t>Surface Ship Torpedo Defense (SSTD) Depot Repair</t>
        </is>
      </c>
      <c r="B120" s="45">
        <f>IFERROR(B$99*B89/B92,0)</f>
        <v/>
      </c>
      <c r="C120" s="31">
        <f>IFERROR(C$99*B89/B92,0)</f>
        <v/>
      </c>
      <c r="D120" s="31">
        <f>IFERROR(D$99*B89/B92,0)</f>
        <v/>
      </c>
      <c r="E120" s="31">
        <f>IFERROR(E$99*B89/B92,0)</f>
        <v/>
      </c>
      <c r="F120" s="31">
        <f>IFERROR(F$99*B89/B92,0)</f>
        <v/>
      </c>
      <c r="G120" s="31">
        <f>IFERROR(G$99*B89/B92,0)</f>
        <v/>
      </c>
      <c r="H120" s="31">
        <f>IFERROR(H$99*B89/B92,0)</f>
        <v/>
      </c>
      <c r="I120" s="31">
        <f>IFERROR(I$99*B89/B92,0)</f>
        <v/>
      </c>
      <c r="J120" s="31">
        <f>IFERROR(J$99*B89/B92,0)</f>
        <v/>
      </c>
      <c r="K120" s="31">
        <f>IFERROR(K$99*B89/B92,0)</f>
        <v/>
      </c>
      <c r="L120" s="45">
        <f>SUM(B120:K120)</f>
        <v/>
      </c>
    </row>
    <row r="121" ht="10" customHeight="1">
      <c r="A121" s="30" t="inlineStr">
        <is>
          <t>Efficiency - Contract Services Reduction</t>
        </is>
      </c>
      <c r="B121" s="45">
        <f>IFERROR(B$99*B90/B92,0)</f>
        <v/>
      </c>
      <c r="C121" s="31">
        <f>IFERROR(C$99*B90/B92,0)</f>
        <v/>
      </c>
      <c r="D121" s="31">
        <f>IFERROR(D$99*B90/B92,0)</f>
        <v/>
      </c>
      <c r="E121" s="31">
        <f>IFERROR(E$99*B90/B92,0)</f>
        <v/>
      </c>
      <c r="F121" s="31">
        <f>IFERROR(F$99*B90/B92,0)</f>
        <v/>
      </c>
      <c r="G121" s="31">
        <f>IFERROR(G$99*B90/B92,0)</f>
        <v/>
      </c>
      <c r="H121" s="31">
        <f>IFERROR(H$99*B90/B92,0)</f>
        <v/>
      </c>
      <c r="I121" s="31">
        <f>IFERROR(I$99*B90/B92,0)</f>
        <v/>
      </c>
      <c r="J121" s="31">
        <f>IFERROR(J$99*B90/B92,0)</f>
        <v/>
      </c>
      <c r="K121" s="31">
        <f>IFERROR(K$99*B90/B92,0)</f>
        <v/>
      </c>
      <c r="L121" s="45">
        <f>SUM(B121:K121)</f>
        <v/>
      </c>
    </row>
    <row r="122" ht="10" customHeight="1">
      <c r="A122" s="30" t="inlineStr">
        <is>
          <t>Efficiency - Workforce Optimization (Public Shipyards)</t>
        </is>
      </c>
      <c r="B122" s="45">
        <f>IFERROR(B$99*B91/B92,0)</f>
        <v/>
      </c>
      <c r="C122" s="31">
        <f>IFERROR(C$99*B91/B92,0)</f>
        <v/>
      </c>
      <c r="D122" s="31">
        <f>IFERROR(D$99*B91/B92,0)</f>
        <v/>
      </c>
      <c r="E122" s="31">
        <f>IFERROR(E$99*B91/B92,0)</f>
        <v/>
      </c>
      <c r="F122" s="31">
        <f>IFERROR(F$99*B91/B92,0)</f>
        <v/>
      </c>
      <c r="G122" s="31">
        <f>IFERROR(G$99*B91/B92,0)</f>
        <v/>
      </c>
      <c r="H122" s="31">
        <f>IFERROR(H$99*B91/B92,0)</f>
        <v/>
      </c>
      <c r="I122" s="31">
        <f>IFERROR(I$99*B91/B92,0)</f>
        <v/>
      </c>
      <c r="J122" s="31">
        <f>IFERROR(J$99*B91/B92,0)</f>
        <v/>
      </c>
      <c r="K122" s="31">
        <f>IFERROR(K$99*B91/B92,0)</f>
        <v/>
      </c>
      <c r="L122" s="45">
        <f>SUM(B122:K122)</f>
        <v/>
      </c>
    </row>
    <row r="123" ht="10" customHeight="1">
      <c r="A123" s="32" t="inlineStr">
        <is>
          <t>Estimated SDM Total ($K)</t>
        </is>
      </c>
      <c r="B123" s="44">
        <f>SUM(B100:B122)</f>
        <v/>
      </c>
      <c r="C123" s="33">
        <f>SUM(C100:C122)</f>
        <v/>
      </c>
      <c r="D123" s="33">
        <f>SUM(D100:D122)</f>
        <v/>
      </c>
      <c r="E123" s="33">
        <f>SUM(E100:E122)</f>
        <v/>
      </c>
      <c r="F123" s="33">
        <f>SUM(F100:F122)</f>
        <v/>
      </c>
      <c r="G123" s="33">
        <f>SUM(G100:G122)</f>
        <v/>
      </c>
      <c r="H123" s="33">
        <f>SUM(H100:H122)</f>
        <v/>
      </c>
      <c r="I123" s="33">
        <f>SUM(I100:I122)</f>
        <v/>
      </c>
      <c r="J123" s="33">
        <f>SUM(J100:J122)</f>
        <v/>
      </c>
      <c r="K123" s="33">
        <f>SUM(K100:K122)</f>
        <v/>
      </c>
      <c r="L123" s="44">
        <f>SUM(L100:L122)</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Crane Ship</t>
        </is>
      </c>
      <c r="B28" s="30" t="inlineStr">
        <is>
          <t>USN</t>
        </is>
      </c>
      <c r="C28" s="31">
        <f>SUMIFS(JB_27BV,JB_B,1,JB_W,"Crane Ship",JB_RC,"ADD")</f>
        <v/>
      </c>
      <c r="D28" s="37">
        <f>IFERROR(C28/C$44,0)</f>
        <v/>
      </c>
    </row>
    <row r="29" ht="10" customHeight="1">
      <c r="A29" s="30" t="inlineStr">
        <is>
          <t>Command Ships</t>
        </is>
      </c>
      <c r="B29" s="30" t="inlineStr">
        <is>
          <t>USN</t>
        </is>
      </c>
      <c r="C29" s="31">
        <f>SUMIFS(JB_27BV,JB_B,1,JB_W,"Command Ships",JB_RC,"ADD")</f>
        <v/>
      </c>
      <c r="D29" s="37">
        <f>IFERROR(C29/C$44,0)</f>
        <v/>
      </c>
    </row>
    <row r="30" ht="10" customHeight="1">
      <c r="A30" s="30" t="inlineStr">
        <is>
          <t>Research, Survey &amp; Instrumentation Ships</t>
        </is>
      </c>
      <c r="B30" s="30" t="inlineStr">
        <is>
          <t>MSC</t>
        </is>
      </c>
      <c r="C30" s="31">
        <f>SUMIFS(JB_27BV,JB_B,1,JB_W,"Research, Survey &amp; Instrumentation Ships",JB_RC,"ADD")</f>
        <v/>
      </c>
      <c r="D30" s="37">
        <f>IFERROR(C30/C$44,0)</f>
        <v/>
      </c>
    </row>
    <row r="31" ht="10" customHeight="1">
      <c r="A31" s="30" t="inlineStr">
        <is>
          <t>Submarine Escort Ship</t>
        </is>
      </c>
      <c r="B31" s="30" t="inlineStr">
        <is>
          <t>USN</t>
        </is>
      </c>
      <c r="C31" s="31">
        <f>SUMIFS(JB_27BV,JB_B,1,JB_W,"Submarine Escort Ship",JB_RC,"ADD")</f>
        <v/>
      </c>
      <c r="D31" s="37">
        <f>IFERROR(C31/C$44,0)</f>
        <v/>
      </c>
    </row>
    <row r="32" ht="10" customHeight="1">
      <c r="A32" s="30" t="inlineStr">
        <is>
          <t>Aviation Logistics Support Ship</t>
        </is>
      </c>
      <c r="B32" s="30" t="inlineStr">
        <is>
          <t>USN</t>
        </is>
      </c>
      <c r="C32" s="31">
        <f>SUMIFS(JB_27BV,JB_B,1,JB_W,"Aviation Logistics Support Ship",JB_RC,"ADD")</f>
        <v/>
      </c>
      <c r="D32" s="37">
        <f>IFERROR(C32/C$44,0)</f>
        <v/>
      </c>
    </row>
    <row r="33" ht="10" customHeight="1">
      <c r="A33" s="30" t="inlineStr">
        <is>
          <t>General Auxiliary</t>
        </is>
      </c>
      <c r="B33" s="30" t="inlineStr">
        <is>
          <t>USN</t>
        </is>
      </c>
      <c r="C33" s="31">
        <f>SUMIFS(JB_27BV,JB_B,1,JB_W,"General Auxiliary",JB_RC,"ADD")</f>
        <v/>
      </c>
      <c r="D33" s="37">
        <f>IFERROR(C33/C$44,0)</f>
        <v/>
      </c>
    </row>
    <row r="34" ht="10" customHeight="1">
      <c r="A34" s="30" t="inlineStr">
        <is>
          <t>Salvage Ships &amp; Fleet Ocean Tugs</t>
        </is>
      </c>
      <c r="B34" s="30" t="inlineStr">
        <is>
          <t>MSC</t>
        </is>
      </c>
      <c r="C34" s="31">
        <f>SUMIFS(JB_27BV,JB_B,1,JB_W,"Salvage Ships &amp; Fleet Ocean Tugs",JB_RC,"ADD")</f>
        <v/>
      </c>
      <c r="D34" s="37">
        <f>IFERROR(C34/C$44,0)</f>
        <v/>
      </c>
    </row>
    <row r="35" ht="10" customHeight="1">
      <c r="A35" s="30" t="inlineStr">
        <is>
          <t>High Speed Transport</t>
        </is>
      </c>
      <c r="B35" s="30" t="inlineStr">
        <is>
          <t>USN</t>
        </is>
      </c>
      <c r="C35" s="31">
        <f>SUMIFS(JB_27BV,JB_B,1,JB_W,"High Speed Transport",JB_RC,"ADD")</f>
        <v/>
      </c>
      <c r="D35" s="37">
        <f>IFERROR(C35/C$44,0)</f>
        <v/>
      </c>
    </row>
    <row r="36" ht="10" customHeight="1">
      <c r="A36" s="30" t="inlineStr">
        <is>
          <t>Mine Warfare</t>
        </is>
      </c>
      <c r="B36" s="30" t="inlineStr">
        <is>
          <t>USN</t>
        </is>
      </c>
      <c r="C36" s="31">
        <f>SUMIFS(JB_27BV,JB_B,1,JB_W,"Mine Warfare",JB_RC,"ADD")</f>
        <v/>
      </c>
      <c r="D36" s="37">
        <f>IFERROR(C36/C$44,0)</f>
        <v/>
      </c>
    </row>
    <row r="37" ht="10" customHeight="1">
      <c r="A37" s="30" t="inlineStr">
        <is>
          <t>Waterways Commerce Cutters</t>
        </is>
      </c>
      <c r="B37" s="30" t="inlineStr">
        <is>
          <t>USCG</t>
        </is>
      </c>
      <c r="C37" s="31">
        <f>SUMIFS(JB_27BV,JB_B,1,JB_W,"Waterways Commerce Cutters",JB_RC,"ADD")</f>
        <v/>
      </c>
      <c r="D37" s="37">
        <f>IFERROR(C37/C$44,0)</f>
        <v/>
      </c>
    </row>
    <row r="38" ht="10" customHeight="1">
      <c r="A38" s="30" t="inlineStr">
        <is>
          <t>Icebreakers, Great Lakes</t>
        </is>
      </c>
      <c r="B38" s="30" t="inlineStr">
        <is>
          <t>USCG</t>
        </is>
      </c>
      <c r="C38" s="31">
        <f>SUMIFS(JB_27BV,JB_B,1,JB_W,"Icebreakers, Great Lakes",JB_RC,"ADD")</f>
        <v/>
      </c>
      <c r="D38" s="37">
        <f>IFERROR(C38/C$44,0)</f>
        <v/>
      </c>
    </row>
    <row r="39" ht="10" customHeight="1">
      <c r="A39" s="30" t="inlineStr">
        <is>
          <t>Coastal Buoy Tenders</t>
        </is>
      </c>
      <c r="B39" s="30" t="inlineStr">
        <is>
          <t>USCG</t>
        </is>
      </c>
      <c r="C39" s="31">
        <f>SUMIFS(JB_27BV,JB_B,1,JB_W,"Coastal Buoy Tenders",JB_RC,"ADD")</f>
        <v/>
      </c>
      <c r="D39" s="37">
        <f>IFERROR(C39/C$44,0)</f>
        <v/>
      </c>
    </row>
    <row r="40" ht="10" customHeight="1">
      <c r="A40" s="30" t="inlineStr">
        <is>
          <t>Offshore Patrol Cutter</t>
        </is>
      </c>
      <c r="B40" s="30" t="inlineStr">
        <is>
          <t>USCG</t>
        </is>
      </c>
      <c r="C40" s="31">
        <f>SUMIFS(JB_27BV,JB_B,1,JB_W,"Offshore Patrol Cutter",JB_RC,"ADD")</f>
        <v/>
      </c>
      <c r="D40" s="37">
        <f>IFERROR(C40/C$44,0)</f>
        <v/>
      </c>
    </row>
    <row r="41" ht="10" customHeight="1">
      <c r="A41" s="30" t="inlineStr">
        <is>
          <t>National Security Cutters</t>
        </is>
      </c>
      <c r="B41" s="30" t="inlineStr">
        <is>
          <t>USCG</t>
        </is>
      </c>
      <c r="C41" s="31">
        <f>SUMIFS(JB_27BV,JB_B,1,JB_W,"National Security Cutters",JB_RC,"ADD")</f>
        <v/>
      </c>
      <c r="D41" s="37">
        <f>IFERROR(C41/C$44,0)</f>
        <v/>
      </c>
    </row>
    <row r="42" ht="10" customHeight="1">
      <c r="A42" s="30" t="inlineStr">
        <is>
          <t>Fast Response Cutters</t>
        </is>
      </c>
      <c r="B42" s="30" t="inlineStr">
        <is>
          <t>USCG</t>
        </is>
      </c>
      <c r="C42" s="31">
        <f>SUMIFS(JB_27BV,JB_B,1,JB_W,"Fast Response Cutters",JB_RC,"ADD")</f>
        <v/>
      </c>
      <c r="D42" s="37">
        <f>IFERROR(C42/C$44,0)</f>
        <v/>
      </c>
    </row>
    <row r="43" ht="10" customHeight="1">
      <c r="A43" s="30" t="inlineStr">
        <is>
          <t>Icebreakers, Oceangoing</t>
        </is>
      </c>
      <c r="B43" s="30" t="inlineStr">
        <is>
          <t>USCG</t>
        </is>
      </c>
      <c r="C43" s="31">
        <f>SUMIFS(JB_27BV,JB_B,1,JB_W,"Icebreakers, Oceangoing",JB_RC,"ADD")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Combat Logistics Ships</t>
        </is>
      </c>
      <c r="B32" s="30" t="inlineStr">
        <is>
          <t>MSC</t>
        </is>
      </c>
      <c r="C32"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2" s="37">
        <f>IFERROR(C32/C$53,0)</f>
        <v/>
      </c>
    </row>
    <row r="33" ht="10" customHeight="1">
      <c r="A33" s="30" t="inlineStr">
        <is>
          <t>Unmanned Undersea Vehicles</t>
        </is>
      </c>
      <c r="B33" s="30" t="inlineStr">
        <is>
          <t>USN</t>
        </is>
      </c>
      <c r="C33"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33" s="37">
        <f>IFERROR(C33/C$53,0)</f>
        <v/>
      </c>
    </row>
    <row r="34" ht="10" customHeight="1">
      <c r="A34" s="30" t="inlineStr">
        <is>
          <t>Unmanned Surface Vehicles</t>
        </is>
      </c>
      <c r="B34" s="30" t="inlineStr">
        <is>
          <t>USN</t>
        </is>
      </c>
      <c r="C34"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4" s="37">
        <f>IFERROR(C34/C$53,0)</f>
        <v/>
      </c>
    </row>
    <row r="35" ht="10" customHeight="1">
      <c r="A35" s="30" t="inlineStr">
        <is>
          <t>Crane Ship</t>
        </is>
      </c>
      <c r="B35" s="30" t="inlineStr">
        <is>
          <t>USN</t>
        </is>
      </c>
      <c r="C35" s="31">
        <f>SUMIFS(JB_27BV,JB_B,2,JB_W,"Crane Ship",JB_RC,"ADD")+SUMIFS(JB_27BV,JB_B,3,JB_W,"Crane Ship",JB_RC,"ADD")+SUMIFS(JB_27BV,JB_B,4,JB_W,"Crane Ship",JB_RC,"ADD")+SUMIFS(JB_27BV,JB_B,5,JB_W,"Crane Ship",JB_RC,"ADD")+SUMIFS(JB_27BV,JB_B,6,JB_W,"Crane Ship",JB_RC,"ADD")+SUMIFS(JB_27BV,JB_B,7,JB_W,"Crane Ship",JB_RC,"ADD")</f>
        <v/>
      </c>
      <c r="D35" s="37">
        <f>IFERROR(C35/C$53,0)</f>
        <v/>
      </c>
    </row>
    <row r="36" ht="10" customHeight="1">
      <c r="A36" s="30" t="inlineStr">
        <is>
          <t>Research, Survey &amp; Instrumentation Ships</t>
        </is>
      </c>
      <c r="B36" s="30" t="inlineStr">
        <is>
          <t>MSC</t>
        </is>
      </c>
      <c r="C36"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6" s="37">
        <f>IFERROR(C36/C$53,0)</f>
        <v/>
      </c>
    </row>
    <row r="37" ht="10" customHeight="1">
      <c r="A37" s="30" t="inlineStr">
        <is>
          <t>Submarine Escort Ship</t>
        </is>
      </c>
      <c r="B37" s="30" t="inlineStr">
        <is>
          <t>USN</t>
        </is>
      </c>
      <c r="C37"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7" s="37">
        <f>IFERROR(C37/C$53,0)</f>
        <v/>
      </c>
    </row>
    <row r="38" ht="10" customHeight="1">
      <c r="A38" s="30" t="inlineStr">
        <is>
          <t>Aviation Logistics Support Ship</t>
        </is>
      </c>
      <c r="B38" s="30" t="inlineStr">
        <is>
          <t>USN</t>
        </is>
      </c>
      <c r="C38"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8" s="37">
        <f>IFERROR(C38/C$53,0)</f>
        <v/>
      </c>
    </row>
    <row r="39" ht="10" customHeight="1">
      <c r="A39" s="30" t="inlineStr">
        <is>
          <t>General Auxiliary</t>
        </is>
      </c>
      <c r="B39" s="30" t="inlineStr">
        <is>
          <t>USN</t>
        </is>
      </c>
      <c r="C39"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39" s="37">
        <f>IFERROR(C39/C$53,0)</f>
        <v/>
      </c>
    </row>
    <row r="40" ht="10" customHeight="1">
      <c r="A40" s="30" t="inlineStr">
        <is>
          <t>Salvage Ships &amp; Fleet Ocean Tugs</t>
        </is>
      </c>
      <c r="B40" s="30" t="inlineStr">
        <is>
          <t>MSC</t>
        </is>
      </c>
      <c r="C40"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40" s="37">
        <f>IFERROR(C40/C$53,0)</f>
        <v/>
      </c>
    </row>
    <row r="41" ht="10" customHeight="1">
      <c r="A41" s="30" t="inlineStr">
        <is>
          <t>High Speed Transport</t>
        </is>
      </c>
      <c r="B41" s="30" t="inlineStr">
        <is>
          <t>USN</t>
        </is>
      </c>
      <c r="C41"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41" s="37">
        <f>IFERROR(C41/C$53,0)</f>
        <v/>
      </c>
    </row>
    <row r="42" ht="10" customHeight="1">
      <c r="A42" s="30" t="inlineStr">
        <is>
          <t>Cargo &amp; Vehicle Cargo Ships</t>
        </is>
      </c>
      <c r="B42" s="30" t="inlineStr">
        <is>
          <t>USN</t>
        </is>
      </c>
      <c r="C42"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42" s="37">
        <f>IFERROR(C42/C$53,0)</f>
        <v/>
      </c>
    </row>
    <row r="43" ht="10" customHeight="1">
      <c r="A43" s="30" t="inlineStr">
        <is>
          <t>Hospital Ship</t>
        </is>
      </c>
      <c r="B43" s="30" t="inlineStr">
        <is>
          <t>MSC</t>
        </is>
      </c>
      <c r="C43" s="31">
        <f>SUMIFS(JB_27BV,JB_B,2,JB_W,"Hospital Ship",JB_RC,"ADD")+SUMIFS(JB_27BV,JB_B,3,JB_W,"Hospital Ship",JB_RC,"ADD")+SUMIFS(JB_27BV,JB_B,4,JB_W,"Hospital Ship",JB_RC,"ADD")+SUMIFS(JB_27BV,JB_B,5,JB_W,"Hospital Ship",JB_RC,"ADD")+SUMIFS(JB_27BV,JB_B,6,JB_W,"Hospital Ship",JB_RC,"ADD")+SUMIFS(JB_27BV,JB_B,7,JB_W,"Hospital Ship",JB_RC,"ADD")</f>
        <v/>
      </c>
      <c r="D43" s="37">
        <f>IFERROR(C43/C$53,0)</f>
        <v/>
      </c>
    </row>
    <row r="44" ht="10" customHeight="1">
      <c r="A44" s="30" t="inlineStr">
        <is>
          <t>Material Support Ships</t>
        </is>
      </c>
      <c r="B44" s="30" t="inlineStr">
        <is>
          <t>USN</t>
        </is>
      </c>
      <c r="C44"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4" s="37">
        <f>IFERROR(C44/C$53,0)</f>
        <v/>
      </c>
    </row>
    <row r="45" ht="10" customHeight="1">
      <c r="A45" s="30" t="inlineStr">
        <is>
          <t>Mine Warfare</t>
        </is>
      </c>
      <c r="B45" s="30" t="inlineStr">
        <is>
          <t>USN</t>
        </is>
      </c>
      <c r="C45" s="31">
        <f>SUMIFS(JB_27BV,JB_B,2,JB_W,"Mine Warfare",JB_RC,"ADD")+SUMIFS(JB_27BV,JB_B,3,JB_W,"Mine Warfare",JB_RC,"ADD")+SUMIFS(JB_27BV,JB_B,4,JB_W,"Mine Warfare",JB_RC,"ADD")+SUMIFS(JB_27BV,JB_B,5,JB_W,"Mine Warfare",JB_RC,"ADD")+SUMIFS(JB_27BV,JB_B,6,JB_W,"Mine Warfare",JB_RC,"ADD")+SUMIFS(JB_27BV,JB_B,7,JB_W,"Mine Warfare",JB_RC,"ADD")</f>
        <v/>
      </c>
      <c r="D45" s="37">
        <f>IFERROR(C45/C$53,0)</f>
        <v/>
      </c>
    </row>
    <row r="46" ht="10" customHeight="1">
      <c r="A46" s="30" t="inlineStr">
        <is>
          <t>Waterways Commerce Cutters</t>
        </is>
      </c>
      <c r="B46" s="30" t="inlineStr">
        <is>
          <t>USCG</t>
        </is>
      </c>
      <c r="C46"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6" s="37">
        <f>IFERROR(C46/C$53,0)</f>
        <v/>
      </c>
    </row>
    <row r="47" ht="10" customHeight="1">
      <c r="A47" s="30" t="inlineStr">
        <is>
          <t>Icebreakers, Great Lakes</t>
        </is>
      </c>
      <c r="B47" s="30" t="inlineStr">
        <is>
          <t>USCG</t>
        </is>
      </c>
      <c r="C47"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7" s="37">
        <f>IFERROR(C47/C$53,0)</f>
        <v/>
      </c>
    </row>
    <row r="48" ht="10" customHeight="1">
      <c r="A48" s="30" t="inlineStr">
        <is>
          <t>Coastal Buoy Tenders</t>
        </is>
      </c>
      <c r="B48" s="30" t="inlineStr">
        <is>
          <t>USCG</t>
        </is>
      </c>
      <c r="C48"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8" s="37">
        <f>IFERROR(C48/C$53,0)</f>
        <v/>
      </c>
    </row>
    <row r="49" ht="10" customHeight="1">
      <c r="A49" s="30" t="inlineStr">
        <is>
          <t>Offshore Patrol Cutter</t>
        </is>
      </c>
      <c r="B49" s="30" t="inlineStr">
        <is>
          <t>USCG</t>
        </is>
      </c>
      <c r="C49"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9" s="37">
        <f>IFERROR(C49/C$53,0)</f>
        <v/>
      </c>
    </row>
    <row r="50" ht="10" customHeight="1">
      <c r="A50" s="30" t="inlineStr">
        <is>
          <t>National Security Cutters</t>
        </is>
      </c>
      <c r="B50" s="30" t="inlineStr">
        <is>
          <t>USCG</t>
        </is>
      </c>
      <c r="C50"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50" s="37">
        <f>IFERROR(C50/C$53,0)</f>
        <v/>
      </c>
    </row>
    <row r="51" ht="10" customHeight="1">
      <c r="A51" s="30" t="inlineStr">
        <is>
          <t>Fast Response Cutters</t>
        </is>
      </c>
      <c r="B51" s="30" t="inlineStr">
        <is>
          <t>USCG</t>
        </is>
      </c>
      <c r="C51"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51" s="37">
        <f>IFERROR(C51/C$53,0)</f>
        <v/>
      </c>
    </row>
    <row r="52" ht="10" customHeight="1">
      <c r="A52" s="30" t="inlineStr">
        <is>
          <t>Icebreakers, Oceangoing</t>
        </is>
      </c>
      <c r="B52" s="30" t="inlineStr">
        <is>
          <t>USCG</t>
        </is>
      </c>
      <c r="C52"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58"/>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MRO SAM — FY2027 ($K)</t>
        </is>
      </c>
      <c r="B1" s="25" t="n"/>
      <c r="C1" s="25" t="n"/>
      <c r="D1" s="25" t="n"/>
      <c r="E1" s="25" t="n"/>
      <c r="F1" s="25" t="n"/>
      <c r="G1" s="25" t="n"/>
      <c r="H1" s="25" t="n"/>
      <c r="I1" s="25" t="n"/>
      <c r="J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48">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6, 7)</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Platforms",JB_RC,"ADD")+SUMIFS(JB_27BV,JB_B,3,JB_V,"Auxiliary Ships",JB_RC,"ADD")+SUMIFS(JB_27BV,JB_B,3,JB_V,"Combatant Ships",JB_RC,"ADD")+SUMIFS(JB_27BV,JB_B,3,JB_V,"Cutters",JB_RC,"ADD")+SUMIFS(JB_27BV,JB_B,3,JB_V,"Unmanned Maritime Platforms",JB_RC,"ADD")+SUMIFS(JB_27BV,JB_B,4,JB_V,"Auxiliary Ships",JB_RC,"ADD")+SUMIFS(JB_27BV,JB_B,4,JB_V,"Combatant Ships",JB_RC,"ADD")+SUMIFS(JB_27BV,JB_B,4,JB_V,"Cutters",JB_RC,"ADD")+SUMIFS(JB_27BV,JB_B,4,JB_V,"Unmanned Maritime Platforms",JB_RC,"ADD")+SUMIFS(JB_27BV,JB_B,5,JB_V,"Auxiliary Ships",JB_RC,"ADD")+SUMIFS(JB_27BV,JB_B,5,JB_V,"Combatant Ships",JB_RC,"ADD")+SUMIFS(JB_27BV,JB_B,5,JB_V,"Cutters",JB_RC,"ADD")+SUMIFS(JB_27BV,JB_B,5,JB_V,"Unmanned Maritime Platforms",JB_RC,"ADD")-(SUMIFS(JB_27BV,JB_B,2,JB_W,"Submarines",JB_RC,"ADD"))+-(SUMIFS(JB_27BV,JB_B,2,JB_W,"Aircraft Carriers",JB_RC,"ADD"))+-(SUMIFS(JB_27BV,JB_B,2,JB_W,"Unmanned Undersea Vehicles",JB_RC,"ADD"))+-(SUMIFS(JB_27BV,JB_B,3,JB_W,"Submarines",JB_RC,"ADD"))+-(SUMIFS(JB_27BV,JB_B,3,JB_W,"Aircraft Carriers",JB_RC,"ADD"))+-(SUMIFS(JB_27BV,JB_B,3,JB_W,"Unmanned Undersea Vehicles",JB_RC,"ADD"))+-(SUMIFS(JB_27BV,JB_B,4,JB_W,"Submarines",JB_RC,"ADD"))+-(SUMIFS(JB_27BV,JB_B,4,JB_W,"Aircraft Carriers",JB_RC,"ADD"))+-(SUMIFS(JB_27BV,JB_B,4,JB_W,"Unmanned Undersea Vehicles",JB_RC,"ADD"))+-(SUMIFS(JB_27BV,JB_B,5,JB_W,"Submarines",JB_RC,"ADD"))+-(SUMIFS(JB_27BV,JB_B,5,JB_W,"Aircraft Carriers",JB_RC,"ADD"))+-(SUMIFS(JB_27BV,JB_B,5,JB_W,"Unmanned Undersea Vehicles",JB_RC,"ADD"))</f>
        <v/>
      </c>
    </row>
    <row r="11" ht="10" customHeight="1"/>
    <row r="12" ht="10" customHeight="1"/>
    <row r="13" ht="10" customHeight="1">
      <c r="A13" s="27" t="inlineStr">
        <is>
          <t>(B) MRO SAM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SUMIFS(JB_27BV,JB_B,2,JB_W,"Surface Combatants",JB_RC,"ADD")</f>
        <v/>
      </c>
      <c r="D15" s="31">
        <f>SUMIFS(JB_27BV,JB_B,3,JB_W,"Surface Combatants",JB_RC,"ADD")</f>
        <v/>
      </c>
      <c r="E15" s="31">
        <f>SUMIFS(JB_27BV,JB_B,4,JB_W,"Surface Combatants",JB_RC,"ADD")</f>
        <v/>
      </c>
      <c r="F15" s="31">
        <f>SUMIFS(JB_27BV,JB_B,5,JB_W,"Surface Combatants",JB_RC,"ADD")</f>
        <v/>
      </c>
      <c r="G15" s="31">
        <f>SUM(C15:F15)</f>
        <v/>
      </c>
      <c r="H15" s="37">
        <f>IFERROR(G15/G$40,0)</f>
        <v/>
      </c>
    </row>
    <row r="16" ht="10" customHeight="1">
      <c r="A16" s="30" t="inlineStr">
        <is>
          <t>Amphibious Warfare Ships</t>
        </is>
      </c>
      <c r="B16" s="30" t="inlineStr">
        <is>
          <t>USN</t>
        </is>
      </c>
      <c r="C16" s="31">
        <f>SUMIFS(JB_27BV,JB_B,2,JB_W,"Amphibious Warfare Ships",JB_RC,"ADD")</f>
        <v/>
      </c>
      <c r="D16" s="31">
        <f>SUMIFS(JB_27BV,JB_B,3,JB_W,"Amphibious Warfare Ships",JB_RC,"ADD")</f>
        <v/>
      </c>
      <c r="E16" s="31">
        <f>SUMIFS(JB_27BV,JB_B,4,JB_W,"Amphibious Warfare Ships",JB_RC,"ADD")</f>
        <v/>
      </c>
      <c r="F16" s="31">
        <f>SUMIFS(JB_27BV,JB_B,5,JB_W,"Amphibious Warfare Ships",JB_RC,"ADD")</f>
        <v/>
      </c>
      <c r="G16" s="31">
        <f>SUM(C16:F16)</f>
        <v/>
      </c>
      <c r="H16" s="37">
        <f>IFERROR(G16/G$40,0)</f>
        <v/>
      </c>
    </row>
    <row r="17" ht="10" customHeight="1">
      <c r="A17" s="30" t="inlineStr">
        <is>
          <t>Surveillance Ships</t>
        </is>
      </c>
      <c r="B17" s="30" t="inlineStr">
        <is>
          <t>USN</t>
        </is>
      </c>
      <c r="C17" s="31">
        <f>SUMIFS(JB_27BV,JB_B,2,JB_W,"Surveillance Ships",JB_RC,"ADD")</f>
        <v/>
      </c>
      <c r="D17" s="31">
        <f>SUMIFS(JB_27BV,JB_B,3,JB_W,"Surveillance Ships",JB_RC,"ADD")</f>
        <v/>
      </c>
      <c r="E17" s="31">
        <f>SUMIFS(JB_27BV,JB_B,4,JB_W,"Surveillance Ships",JB_RC,"ADD")</f>
        <v/>
      </c>
      <c r="F17" s="31">
        <f>SUMIFS(JB_27BV,JB_B,5,JB_W,"Surveillance Ships",JB_RC,"ADD")</f>
        <v/>
      </c>
      <c r="G17" s="31">
        <f>SUM(C17:F17)</f>
        <v/>
      </c>
      <c r="H17" s="37">
        <f>IFERROR(G17/G$40,0)</f>
        <v/>
      </c>
    </row>
    <row r="18" ht="10" customHeight="1">
      <c r="A18" s="30" t="inlineStr">
        <is>
          <t>Command Ships</t>
        </is>
      </c>
      <c r="B18" s="30" t="inlineStr">
        <is>
          <t>USN</t>
        </is>
      </c>
      <c r="C18" s="31">
        <f>SUMIFS(JB_27BV,JB_B,2,JB_W,"Command Ships",JB_RC,"ADD")</f>
        <v/>
      </c>
      <c r="D18" s="31">
        <f>SUMIFS(JB_27BV,JB_B,3,JB_W,"Command Ships",JB_RC,"ADD")</f>
        <v/>
      </c>
      <c r="E18" s="31">
        <f>SUMIFS(JB_27BV,JB_B,4,JB_W,"Command Ships",JB_RC,"ADD")</f>
        <v/>
      </c>
      <c r="F18" s="31">
        <f>SUMIFS(JB_27BV,JB_B,5,JB_W,"Command Ships",JB_RC,"ADD")</f>
        <v/>
      </c>
      <c r="G18" s="31">
        <f>SUM(C18:F18)</f>
        <v/>
      </c>
      <c r="H18" s="37">
        <f>IFERROR(G18/G$40,0)</f>
        <v/>
      </c>
    </row>
    <row r="19" ht="10" customHeight="1">
      <c r="A19" s="30" t="inlineStr">
        <is>
          <t>Submarine Escort Ship</t>
        </is>
      </c>
      <c r="B19" s="30" t="inlineStr">
        <is>
          <t>USN</t>
        </is>
      </c>
      <c r="C19" s="31">
        <f>SUMIFS(JB_27BV,JB_B,2,JB_W,"Submarine Escort Ship",JB_RC,"ADD")</f>
        <v/>
      </c>
      <c r="D19" s="31">
        <f>SUMIFS(JB_27BV,JB_B,3,JB_W,"Submarine Escort Ship",JB_RC,"ADD")</f>
        <v/>
      </c>
      <c r="E19" s="31">
        <f>SUMIFS(JB_27BV,JB_B,4,JB_W,"Submarine Escort Ship",JB_RC,"ADD")</f>
        <v/>
      </c>
      <c r="F19" s="31">
        <f>SUMIFS(JB_27BV,JB_B,5,JB_W,"Submarine Escort Ship",JB_RC,"ADD")</f>
        <v/>
      </c>
      <c r="G19" s="31">
        <f>SUM(C19:F19)</f>
        <v/>
      </c>
      <c r="H19" s="37">
        <f>IFERROR(G19/G$40,0)</f>
        <v/>
      </c>
    </row>
    <row r="20" ht="10" customHeight="1">
      <c r="A20" s="30" t="inlineStr">
        <is>
          <t>Expeditionary &amp; Seabasing Ships</t>
        </is>
      </c>
      <c r="B20" s="30" t="inlineStr">
        <is>
          <t>USN</t>
        </is>
      </c>
      <c r="C20" s="31">
        <f>SUMIFS(JB_27BV,JB_B,2,JB_W,"Expeditionary &amp; Seabasing Ships",JB_RC,"ADD")</f>
        <v/>
      </c>
      <c r="D20" s="31">
        <f>SUMIFS(JB_27BV,JB_B,3,JB_W,"Expeditionary &amp; Seabasing Ships",JB_RC,"ADD")</f>
        <v/>
      </c>
      <c r="E20" s="31">
        <f>SUMIFS(JB_27BV,JB_B,4,JB_W,"Expeditionary &amp; Seabasing Ships",JB_RC,"ADD")</f>
        <v/>
      </c>
      <c r="F20" s="31">
        <f>SUMIFS(JB_27BV,JB_B,5,JB_W,"Expeditionary &amp; Seabasing Ships",JB_RC,"ADD")</f>
        <v/>
      </c>
      <c r="G20" s="31">
        <f>SUM(C20:F20)</f>
        <v/>
      </c>
      <c r="H20" s="37">
        <f>IFERROR(G20/G$40,0)</f>
        <v/>
      </c>
    </row>
    <row r="21" ht="10" customHeight="1">
      <c r="A21" s="30" t="inlineStr">
        <is>
          <t>Combat Logistics Ships</t>
        </is>
      </c>
      <c r="B21" s="30" t="inlineStr">
        <is>
          <t>MSC</t>
        </is>
      </c>
      <c r="C21" s="31">
        <f>SUMIFS(JB_27BV,JB_B,2,JB_W,"Combat Logistics Ships",JB_RC,"ADD")</f>
        <v/>
      </c>
      <c r="D21" s="31">
        <f>SUMIFS(JB_27BV,JB_B,3,JB_W,"Combat Logistics Ships",JB_RC,"ADD")</f>
        <v/>
      </c>
      <c r="E21" s="31">
        <f>SUMIFS(JB_27BV,JB_B,4,JB_W,"Combat Logistics Ships",JB_RC,"ADD")</f>
        <v/>
      </c>
      <c r="F21" s="31">
        <f>SUMIFS(JB_27BV,JB_B,5,JB_W,"Combat Logistics Ships",JB_RC,"ADD")</f>
        <v/>
      </c>
      <c r="G21" s="31">
        <f>SUM(C21:F21)</f>
        <v/>
      </c>
      <c r="H21" s="37">
        <f>IFERROR(G21/G$40,0)</f>
        <v/>
      </c>
    </row>
    <row r="22" ht="10" customHeight="1">
      <c r="A22" s="30" t="inlineStr">
        <is>
          <t>Aviation Logistics Support Ship</t>
        </is>
      </c>
      <c r="B22" s="30" t="inlineStr">
        <is>
          <t>USN</t>
        </is>
      </c>
      <c r="C22" s="31">
        <f>SUMIFS(JB_27BV,JB_B,2,JB_W,"Aviation Logistics Support Ship",JB_RC,"ADD")</f>
        <v/>
      </c>
      <c r="D22" s="31">
        <f>SUMIFS(JB_27BV,JB_B,3,JB_W,"Aviation Logistics Support Ship",JB_RC,"ADD")</f>
        <v/>
      </c>
      <c r="E22" s="31">
        <f>SUMIFS(JB_27BV,JB_B,4,JB_W,"Aviation Logistics Support Ship",JB_RC,"ADD")</f>
        <v/>
      </c>
      <c r="F22" s="31">
        <f>SUMIFS(JB_27BV,JB_B,5,JB_W,"Aviation Logistics Support Ship",JB_RC,"ADD")</f>
        <v/>
      </c>
      <c r="G22" s="31">
        <f>SUM(C22:F22)</f>
        <v/>
      </c>
      <c r="H22" s="37">
        <f>IFERROR(G22/G$40,0)</f>
        <v/>
      </c>
    </row>
    <row r="23" ht="10" customHeight="1">
      <c r="A23" s="30" t="inlineStr">
        <is>
          <t>Unmanned Surface Vehicles</t>
        </is>
      </c>
      <c r="B23" s="30" t="inlineStr">
        <is>
          <t>USN</t>
        </is>
      </c>
      <c r="C23" s="31">
        <f>SUMIFS(JB_27BV,JB_B,2,JB_W,"Unmanned Surface Vehicles",JB_RC,"ADD")</f>
        <v/>
      </c>
      <c r="D23" s="31">
        <f>SUMIFS(JB_27BV,JB_B,3,JB_W,"Unmanned Surface Vehicles",JB_RC,"ADD")</f>
        <v/>
      </c>
      <c r="E23" s="31">
        <f>SUMIFS(JB_27BV,JB_B,4,JB_W,"Unmanned Surface Vehicles",JB_RC,"ADD")</f>
        <v/>
      </c>
      <c r="F23" s="31">
        <f>SUMIFS(JB_27BV,JB_B,5,JB_W,"Unmanned Surface Vehicles",JB_RC,"ADD")</f>
        <v/>
      </c>
      <c r="G23" s="31">
        <f>SUM(C23:F23)</f>
        <v/>
      </c>
      <c r="H23" s="37">
        <f>IFERROR(G23/G$40,0)</f>
        <v/>
      </c>
    </row>
    <row r="24" ht="10" customHeight="1">
      <c r="A24" s="30" t="inlineStr">
        <is>
          <t>General Auxiliary</t>
        </is>
      </c>
      <c r="B24" s="30" t="inlineStr">
        <is>
          <t>USN</t>
        </is>
      </c>
      <c r="C24" s="31">
        <f>SUMIFS(JB_27BV,JB_B,2,JB_W,"General Auxiliary",JB_RC,"ADD")</f>
        <v/>
      </c>
      <c r="D24" s="31">
        <f>SUMIFS(JB_27BV,JB_B,3,JB_W,"General Auxiliary",JB_RC,"ADD")</f>
        <v/>
      </c>
      <c r="E24" s="31">
        <f>SUMIFS(JB_27BV,JB_B,4,JB_W,"General Auxiliary",JB_RC,"ADD")</f>
        <v/>
      </c>
      <c r="F24" s="31">
        <f>SUMIFS(JB_27BV,JB_B,5,JB_W,"General Auxiliary",JB_RC,"ADD")</f>
        <v/>
      </c>
      <c r="G24" s="31">
        <f>SUM(C24:F24)</f>
        <v/>
      </c>
      <c r="H24" s="37">
        <f>IFERROR(G24/G$40,0)</f>
        <v/>
      </c>
    </row>
    <row r="25" ht="10" customHeight="1">
      <c r="A25" s="30" t="inlineStr">
        <is>
          <t>Salvage Ships &amp; Fleet Ocean Tugs</t>
        </is>
      </c>
      <c r="B25" s="30" t="inlineStr">
        <is>
          <t>MSC</t>
        </is>
      </c>
      <c r="C25" s="31">
        <f>SUMIFS(JB_27BV,JB_B,2,JB_W,"Salvage Ships &amp; Fleet Ocean Tugs",JB_RC,"ADD")</f>
        <v/>
      </c>
      <c r="D25" s="31">
        <f>SUMIFS(JB_27BV,JB_B,3,JB_W,"Salvage Ships &amp; Fleet Ocean Tugs",JB_RC,"ADD")</f>
        <v/>
      </c>
      <c r="E25" s="31">
        <f>SUMIFS(JB_27BV,JB_B,4,JB_W,"Salvage Ships &amp; Fleet Ocean Tugs",JB_RC,"ADD")</f>
        <v/>
      </c>
      <c r="F25" s="31">
        <f>SUMIFS(JB_27BV,JB_B,5,JB_W,"Salvage Ships &amp; Fleet Ocean Tugs",JB_RC,"ADD")</f>
        <v/>
      </c>
      <c r="G25" s="31">
        <f>SUM(C25:F25)</f>
        <v/>
      </c>
      <c r="H25" s="37">
        <f>IFERROR(G25/G$40,0)</f>
        <v/>
      </c>
    </row>
    <row r="26" ht="10" customHeight="1">
      <c r="A26" s="30" t="inlineStr">
        <is>
          <t>Crane Ship</t>
        </is>
      </c>
      <c r="B26" s="30" t="inlineStr">
        <is>
          <t>USN</t>
        </is>
      </c>
      <c r="C26" s="31">
        <f>SUMIFS(JB_27BV,JB_B,2,JB_W,"Crane Ship",JB_RC,"ADD")</f>
        <v/>
      </c>
      <c r="D26" s="31">
        <f>SUMIFS(JB_27BV,JB_B,3,JB_W,"Crane Ship",JB_RC,"ADD")</f>
        <v/>
      </c>
      <c r="E26" s="31">
        <f>SUMIFS(JB_27BV,JB_B,4,JB_W,"Crane Ship",JB_RC,"ADD")</f>
        <v/>
      </c>
      <c r="F26" s="31">
        <f>SUMIFS(JB_27BV,JB_B,5,JB_W,"Crane Ship",JB_RC,"ADD")</f>
        <v/>
      </c>
      <c r="G26" s="31">
        <f>SUM(C26:F26)</f>
        <v/>
      </c>
      <c r="H26" s="37">
        <f>IFERROR(G26/G$40,0)</f>
        <v/>
      </c>
    </row>
    <row r="27" ht="10" customHeight="1">
      <c r="A27" s="30" t="inlineStr">
        <is>
          <t>High Speed Transport</t>
        </is>
      </c>
      <c r="B27" s="30" t="inlineStr">
        <is>
          <t>USN</t>
        </is>
      </c>
      <c r="C27" s="31">
        <f>SUMIFS(JB_27BV,JB_B,2,JB_W,"High Speed Transport",JB_RC,"ADD")</f>
        <v/>
      </c>
      <c r="D27" s="31">
        <f>SUMIFS(JB_27BV,JB_B,3,JB_W,"High Speed Transport",JB_RC,"ADD")</f>
        <v/>
      </c>
      <c r="E27" s="31">
        <f>SUMIFS(JB_27BV,JB_B,4,JB_W,"High Speed Transport",JB_RC,"ADD")</f>
        <v/>
      </c>
      <c r="F27" s="31">
        <f>SUMIFS(JB_27BV,JB_B,5,JB_W,"High Speed Transport",JB_RC,"ADD")</f>
        <v/>
      </c>
      <c r="G27" s="31">
        <f>SUM(C27:F27)</f>
        <v/>
      </c>
      <c r="H27" s="37">
        <f>IFERROR(G27/G$40,0)</f>
        <v/>
      </c>
    </row>
    <row r="28" ht="10" customHeight="1">
      <c r="A28" s="30" t="inlineStr">
        <is>
          <t>Cargo &amp; Vehicle Cargo Ships</t>
        </is>
      </c>
      <c r="B28" s="30" t="inlineStr">
        <is>
          <t>USN</t>
        </is>
      </c>
      <c r="C28" s="31">
        <f>SUMIFS(JB_27BV,JB_B,2,JB_W,"Cargo &amp; Vehicle Cargo Ships",JB_RC,"ADD")</f>
        <v/>
      </c>
      <c r="D28" s="31">
        <f>SUMIFS(JB_27BV,JB_B,3,JB_W,"Cargo &amp; Vehicle Cargo Ships",JB_RC,"ADD")</f>
        <v/>
      </c>
      <c r="E28" s="31">
        <f>SUMIFS(JB_27BV,JB_B,4,JB_W,"Cargo &amp; Vehicle Cargo Ships",JB_RC,"ADD")</f>
        <v/>
      </c>
      <c r="F28" s="31">
        <f>SUMIFS(JB_27BV,JB_B,5,JB_W,"Cargo &amp; Vehicle Cargo Ships",JB_RC,"ADD")</f>
        <v/>
      </c>
      <c r="G28" s="31">
        <f>SUM(C28:F28)</f>
        <v/>
      </c>
      <c r="H28" s="37">
        <f>IFERROR(G28/G$40,0)</f>
        <v/>
      </c>
    </row>
    <row r="29" ht="10" customHeight="1">
      <c r="A29" s="30" t="inlineStr">
        <is>
          <t>Hospital Ship</t>
        </is>
      </c>
      <c r="B29" s="30" t="inlineStr">
        <is>
          <t>MSC</t>
        </is>
      </c>
      <c r="C29" s="31">
        <f>SUMIFS(JB_27BV,JB_B,2,JB_W,"Hospital Ship",JB_RC,"ADD")</f>
        <v/>
      </c>
      <c r="D29" s="31">
        <f>SUMIFS(JB_27BV,JB_B,3,JB_W,"Hospital Ship",JB_RC,"ADD")</f>
        <v/>
      </c>
      <c r="E29" s="31">
        <f>SUMIFS(JB_27BV,JB_B,4,JB_W,"Hospital Ship",JB_RC,"ADD")</f>
        <v/>
      </c>
      <c r="F29" s="31">
        <f>SUMIFS(JB_27BV,JB_B,5,JB_W,"Hospital Ship",JB_RC,"ADD")</f>
        <v/>
      </c>
      <c r="G29" s="31">
        <f>SUM(C29:F29)</f>
        <v/>
      </c>
      <c r="H29" s="37">
        <f>IFERROR(G29/G$40,0)</f>
        <v/>
      </c>
    </row>
    <row r="30" ht="10" customHeight="1">
      <c r="A30" s="30" t="inlineStr">
        <is>
          <t>Research, Survey &amp; Instrumentation Ships</t>
        </is>
      </c>
      <c r="B30" s="30" t="inlineStr">
        <is>
          <t>MSC</t>
        </is>
      </c>
      <c r="C30" s="31">
        <f>SUMIFS(JB_27BV,JB_B,2,JB_W,"Research, Survey &amp; Instrumentation Ships",JB_RC,"ADD")</f>
        <v/>
      </c>
      <c r="D30" s="31">
        <f>SUMIFS(JB_27BV,JB_B,3,JB_W,"Research, Survey &amp; Instrumentation Ships",JB_RC,"ADD")</f>
        <v/>
      </c>
      <c r="E30" s="31">
        <f>SUMIFS(JB_27BV,JB_B,4,JB_W,"Research, Survey &amp; Instrumentation Ships",JB_RC,"ADD")</f>
        <v/>
      </c>
      <c r="F30" s="31">
        <f>SUMIFS(JB_27BV,JB_B,5,JB_W,"Research, Survey &amp; Instrumentation Ships",JB_RC,"ADD")</f>
        <v/>
      </c>
      <c r="G30" s="31">
        <f>SUM(C30:F30)</f>
        <v/>
      </c>
      <c r="H30" s="37">
        <f>IFERROR(G30/G$40,0)</f>
        <v/>
      </c>
    </row>
    <row r="31" ht="10" customHeight="1">
      <c r="A31" s="30" t="inlineStr">
        <is>
          <t>Material Support Ships</t>
        </is>
      </c>
      <c r="B31" s="30" t="inlineStr">
        <is>
          <t>USN</t>
        </is>
      </c>
      <c r="C31" s="31">
        <f>SUMIFS(JB_27BV,JB_B,2,JB_W,"Material Support Ships",JB_RC,"ADD")</f>
        <v/>
      </c>
      <c r="D31" s="31">
        <f>SUMIFS(JB_27BV,JB_B,3,JB_W,"Material Support Ships",JB_RC,"ADD")</f>
        <v/>
      </c>
      <c r="E31" s="31">
        <f>SUMIFS(JB_27BV,JB_B,4,JB_W,"Material Support Ships",JB_RC,"ADD")</f>
        <v/>
      </c>
      <c r="F31" s="31">
        <f>SUMIFS(JB_27BV,JB_B,5,JB_W,"Material Support Ships",JB_RC,"ADD")</f>
        <v/>
      </c>
      <c r="G31" s="31">
        <f>SUM(C31:F31)</f>
        <v/>
      </c>
      <c r="H31" s="37">
        <f>IFERROR(G31/G$40,0)</f>
        <v/>
      </c>
    </row>
    <row r="32" ht="10" customHeight="1">
      <c r="A32" s="30" t="inlineStr">
        <is>
          <t>Mine Warfare</t>
        </is>
      </c>
      <c r="B32" s="30" t="inlineStr">
        <is>
          <t>USN</t>
        </is>
      </c>
      <c r="C32" s="31">
        <f>SUMIFS(JB_27BV,JB_B,2,JB_W,"Mine Warfare",JB_RC,"ADD")</f>
        <v/>
      </c>
      <c r="D32" s="31">
        <f>SUMIFS(JB_27BV,JB_B,3,JB_W,"Mine Warfare",JB_RC,"ADD")</f>
        <v/>
      </c>
      <c r="E32" s="31">
        <f>SUMIFS(JB_27BV,JB_B,4,JB_W,"Mine Warfare",JB_RC,"ADD")</f>
        <v/>
      </c>
      <c r="F32" s="31">
        <f>SUMIFS(JB_27BV,JB_B,5,JB_W,"Mine Warfare",JB_RC,"ADD")</f>
        <v/>
      </c>
      <c r="G32" s="31">
        <f>SUM(C32:F32)</f>
        <v/>
      </c>
      <c r="H32" s="37">
        <f>IFERROR(G32/G$40,0)</f>
        <v/>
      </c>
    </row>
    <row r="33" ht="10" customHeight="1">
      <c r="A33" s="30" t="inlineStr">
        <is>
          <t>Waterways Commerce Cutters</t>
        </is>
      </c>
      <c r="B33" s="30" t="inlineStr">
        <is>
          <t>USCG</t>
        </is>
      </c>
      <c r="C33" s="31">
        <f>SUMIFS(JB_27BV,JB_B,2,JB_W,"Waterways Commerce Cutters",JB_RC,"ADD")</f>
        <v/>
      </c>
      <c r="D33" s="31">
        <f>SUMIFS(JB_27BV,JB_B,3,JB_W,"Waterways Commerce Cutters",JB_RC,"ADD")</f>
        <v/>
      </c>
      <c r="E33" s="31">
        <f>SUMIFS(JB_27BV,JB_B,4,JB_W,"Waterways Commerce Cutters",JB_RC,"ADD")</f>
        <v/>
      </c>
      <c r="F33" s="31">
        <f>SUMIFS(JB_27BV,JB_B,5,JB_W,"Waterways Commerce Cutters",JB_RC,"ADD")</f>
        <v/>
      </c>
      <c r="G33" s="31">
        <f>SUM(C33:F33)</f>
        <v/>
      </c>
      <c r="H33" s="37">
        <f>IFERROR(G33/G$40,0)</f>
        <v/>
      </c>
    </row>
    <row r="34" ht="10" customHeight="1">
      <c r="A34" s="30" t="inlineStr">
        <is>
          <t>Icebreakers, Great Lakes</t>
        </is>
      </c>
      <c r="B34" s="30" t="inlineStr">
        <is>
          <t>USCG</t>
        </is>
      </c>
      <c r="C34" s="31">
        <f>SUMIFS(JB_27BV,JB_B,2,JB_W,"Icebreakers, Great Lakes",JB_RC,"ADD")</f>
        <v/>
      </c>
      <c r="D34" s="31">
        <f>SUMIFS(JB_27BV,JB_B,3,JB_W,"Icebreakers, Great Lakes",JB_RC,"ADD")</f>
        <v/>
      </c>
      <c r="E34" s="31">
        <f>SUMIFS(JB_27BV,JB_B,4,JB_W,"Icebreakers, Great Lakes",JB_RC,"ADD")</f>
        <v/>
      </c>
      <c r="F34" s="31">
        <f>SUMIFS(JB_27BV,JB_B,5,JB_W,"Icebreakers, Great Lakes",JB_RC,"ADD")</f>
        <v/>
      </c>
      <c r="G34" s="31">
        <f>SUM(C34:F34)</f>
        <v/>
      </c>
      <c r="H34" s="37">
        <f>IFERROR(G34/G$40,0)</f>
        <v/>
      </c>
    </row>
    <row r="35" ht="10" customHeight="1">
      <c r="A35" s="30" t="inlineStr">
        <is>
          <t>National Security Cutters</t>
        </is>
      </c>
      <c r="B35" s="30" t="inlineStr">
        <is>
          <t>USCG</t>
        </is>
      </c>
      <c r="C35" s="31">
        <f>SUMIFS(JB_27BV,JB_B,2,JB_W,"National Security Cutters",JB_RC,"ADD")</f>
        <v/>
      </c>
      <c r="D35" s="31">
        <f>SUMIFS(JB_27BV,JB_B,3,JB_W,"National Security Cutters",JB_RC,"ADD")</f>
        <v/>
      </c>
      <c r="E35" s="31">
        <f>SUMIFS(JB_27BV,JB_B,4,JB_W,"National Security Cutters",JB_RC,"ADD")</f>
        <v/>
      </c>
      <c r="F35" s="31">
        <f>SUMIFS(JB_27BV,JB_B,5,JB_W,"National Security Cutters",JB_RC,"ADD")</f>
        <v/>
      </c>
      <c r="G35" s="31">
        <f>SUM(C35:F35)</f>
        <v/>
      </c>
      <c r="H35" s="37">
        <f>IFERROR(G35/G$40,0)</f>
        <v/>
      </c>
    </row>
    <row r="36" ht="10" customHeight="1">
      <c r="A36" s="30" t="inlineStr">
        <is>
          <t>Coastal Buoy Tenders</t>
        </is>
      </c>
      <c r="B36" s="30" t="inlineStr">
        <is>
          <t>USCG</t>
        </is>
      </c>
      <c r="C36" s="31">
        <f>SUMIFS(JB_27BV,JB_B,2,JB_W,"Coastal Buoy Tenders",JB_RC,"ADD")</f>
        <v/>
      </c>
      <c r="D36" s="31">
        <f>SUMIFS(JB_27BV,JB_B,3,JB_W,"Coastal Buoy Tenders",JB_RC,"ADD")</f>
        <v/>
      </c>
      <c r="E36" s="31">
        <f>SUMIFS(JB_27BV,JB_B,4,JB_W,"Coastal Buoy Tenders",JB_RC,"ADD")</f>
        <v/>
      </c>
      <c r="F36" s="31">
        <f>SUMIFS(JB_27BV,JB_B,5,JB_W,"Coastal Buoy Tenders",JB_RC,"ADD")</f>
        <v/>
      </c>
      <c r="G36" s="31">
        <f>SUM(C36:F36)</f>
        <v/>
      </c>
      <c r="H36" s="37">
        <f>IFERROR(G36/G$40,0)</f>
        <v/>
      </c>
    </row>
    <row r="37" ht="10" customHeight="1">
      <c r="A37" s="30" t="inlineStr">
        <is>
          <t>Offshore Patrol Cutter</t>
        </is>
      </c>
      <c r="B37" s="30" t="inlineStr">
        <is>
          <t>USCG</t>
        </is>
      </c>
      <c r="C37" s="31">
        <f>SUMIFS(JB_27BV,JB_B,2,JB_W,"Offshore Patrol Cutter",JB_RC,"ADD")</f>
        <v/>
      </c>
      <c r="D37" s="31">
        <f>SUMIFS(JB_27BV,JB_B,3,JB_W,"Offshore Patrol Cutter",JB_RC,"ADD")</f>
        <v/>
      </c>
      <c r="E37" s="31">
        <f>SUMIFS(JB_27BV,JB_B,4,JB_W,"Offshore Patrol Cutter",JB_RC,"ADD")</f>
        <v/>
      </c>
      <c r="F37" s="31">
        <f>SUMIFS(JB_27BV,JB_B,5,JB_W,"Offshore Patrol Cutter",JB_RC,"ADD")</f>
        <v/>
      </c>
      <c r="G37" s="31">
        <f>SUM(C37:F37)</f>
        <v/>
      </c>
      <c r="H37" s="37">
        <f>IFERROR(G37/G$40,0)</f>
        <v/>
      </c>
    </row>
    <row r="38" ht="10" customHeight="1">
      <c r="A38" s="30" t="inlineStr">
        <is>
          <t>Fast Response Cutters</t>
        </is>
      </c>
      <c r="B38" s="30" t="inlineStr">
        <is>
          <t>USCG</t>
        </is>
      </c>
      <c r="C38" s="31">
        <f>SUMIFS(JB_27BV,JB_B,2,JB_W,"Fast Response Cutters",JB_RC,"ADD")</f>
        <v/>
      </c>
      <c r="D38" s="31">
        <f>SUMIFS(JB_27BV,JB_B,3,JB_W,"Fast Response Cutters",JB_RC,"ADD")</f>
        <v/>
      </c>
      <c r="E38" s="31">
        <f>SUMIFS(JB_27BV,JB_B,4,JB_W,"Fast Response Cutters",JB_RC,"ADD")</f>
        <v/>
      </c>
      <c r="F38" s="31">
        <f>SUMIFS(JB_27BV,JB_B,5,JB_W,"Fast Response Cutters",JB_RC,"ADD")</f>
        <v/>
      </c>
      <c r="G38" s="31">
        <f>SUM(C38:F38)</f>
        <v/>
      </c>
      <c r="H38" s="37">
        <f>IFERROR(G38/G$40,0)</f>
        <v/>
      </c>
    </row>
    <row r="39" ht="10" customHeight="1">
      <c r="A39" s="30" t="inlineStr">
        <is>
          <t>Icebreakers, Oceangoing</t>
        </is>
      </c>
      <c r="B39" s="30" t="inlineStr">
        <is>
          <t>USCG</t>
        </is>
      </c>
      <c r="C39" s="31">
        <f>SUMIFS(JB_27BV,JB_B,2,JB_W,"Icebreakers, Oceangoing",JB_RC,"ADD")</f>
        <v/>
      </c>
      <c r="D39" s="31">
        <f>SUMIFS(JB_27BV,JB_B,3,JB_W,"Icebreakers, Oceangoing",JB_RC,"ADD")</f>
        <v/>
      </c>
      <c r="E39" s="31">
        <f>SUMIFS(JB_27BV,JB_B,4,JB_W,"Icebreakers, Oceangoing",JB_RC,"ADD")</f>
        <v/>
      </c>
      <c r="F39" s="31">
        <f>SUMIFS(JB_27BV,JB_B,5,JB_W,"Icebreakers, Oceangoing",JB_RC,"ADD")</f>
        <v/>
      </c>
      <c r="G39" s="31">
        <f>SUM(C39:F39)</f>
        <v/>
      </c>
      <c r="H39" s="37">
        <f>IFERROR(G39/G$40,0)</f>
        <v/>
      </c>
    </row>
    <row r="40" ht="10" customHeight="1">
      <c r="A40" s="32" t="inlineStr">
        <is>
          <t>MRO SAM</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 Work Type by Hull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39" t="n"/>
      <c r="I44" s="41" t="n"/>
    </row>
    <row r="45" ht="10" customHeight="1">
      <c r="A45" s="29" t="inlineStr">
        <is>
          <t>Work Type</t>
        </is>
      </c>
      <c r="B45" s="42" t="inlineStr">
        <is>
          <t>DDG</t>
        </is>
      </c>
      <c r="C45" s="29" t="inlineStr">
        <is>
          <t>LCS</t>
        </is>
      </c>
      <c r="D45" s="29" t="inlineStr">
        <is>
          <t>LPD</t>
        </is>
      </c>
      <c r="E45" s="29" t="inlineStr">
        <is>
          <t>LHD</t>
        </is>
      </c>
      <c r="F45" s="29" t="inlineStr">
        <is>
          <t>T-AGOS</t>
        </is>
      </c>
      <c r="G45" s="29" t="inlineStr">
        <is>
          <t>LCC</t>
        </is>
      </c>
      <c r="H45" s="29" t="inlineStr">
        <is>
          <t>LSD</t>
        </is>
      </c>
      <c r="I45" s="42" t="inlineStr">
        <is>
          <t>Total</t>
        </is>
      </c>
    </row>
    <row r="46" ht="10" customHeight="1">
      <c r="A46" s="30" t="inlineStr">
        <is>
          <t>Scheduled Depot Maintenance</t>
        </is>
      </c>
      <c r="B46" s="43">
        <f>IFERROR((SUMIFS(JB_27BV,JB_B,2,JB_H,"DDG",JB_RC,"ADD"))/B$50,0)</f>
        <v/>
      </c>
      <c r="C46" s="37">
        <f>IFERROR((SUMIFS(JB_27BV,JB_B,2,JB_H,"LCS",JB_RC,"ADD"))/C$50,0)</f>
        <v/>
      </c>
      <c r="D46" s="37">
        <f>IFERROR((SUMIFS(JB_27BV,JB_B,2,JB_H,"LPD",JB_RC,"ADD"))/D$50,0)</f>
        <v/>
      </c>
      <c r="E46" s="37">
        <f>IFERROR((SUMIFS(JB_27BV,JB_B,2,JB_H,"LHD",JB_RC,"ADD"))/E$50,0)</f>
        <v/>
      </c>
      <c r="F46" s="37">
        <f>IFERROR((SUMIFS(JB_27BV,JB_B,2,JB_H,"T-AGOS",JB_RC,"ADD"))/F$50,0)</f>
        <v/>
      </c>
      <c r="G46" s="37">
        <f>IFERROR((SUMIFS(JB_27BV,JB_B,2,JB_H,"LCC",JB_RC,"ADD"))/G$50,0)</f>
        <v/>
      </c>
      <c r="H46" s="37">
        <f>IFERROR((SUMIFS(JB_27BV,JB_B,2,JB_H,"LSD",JB_RC,"ADD"))/H$50,0)</f>
        <v/>
      </c>
      <c r="I46" s="43">
        <f>IFERROR((SUMIFS(JB_27BV,JB_B,2,JB_H,"DDG",JB_RC,"ADD")+SUMIFS(JB_27BV,JB_B,2,JB_H,"LCS",JB_RC,"ADD")+SUMIFS(JB_27BV,JB_B,2,JB_H,"LPD",JB_RC,"ADD")+SUMIFS(JB_27BV,JB_B,2,JB_H,"LHD",JB_RC,"ADD")+SUMIFS(JB_27BV,JB_B,2,JB_H,"T-AGOS",JB_RC,"ADD")+SUMIFS(JB_27BV,JB_B,2,JB_H,"LCC",JB_RC,"ADD")+SUMIFS(JB_27BV,JB_B,2,JB_H,"LSD",JB_RC,"ADD"))/I$50,0)</f>
        <v/>
      </c>
    </row>
    <row r="47" ht="10" customHeight="1">
      <c r="A47" s="30" t="inlineStr">
        <is>
          <t>Continuous / Emergent Maintenance</t>
        </is>
      </c>
      <c r="B47" s="43">
        <f>IFERROR((SUMIFS(JB_27BV,JB_B,3,JB_H,"DDG",JB_RC,"ADD"))/B$50,0)</f>
        <v/>
      </c>
      <c r="C47" s="37">
        <f>IFERROR((SUMIFS(JB_27BV,JB_B,3,JB_H,"LCS",JB_RC,"ADD"))/C$50,0)</f>
        <v/>
      </c>
      <c r="D47" s="37">
        <f>IFERROR((SUMIFS(JB_27BV,JB_B,3,JB_H,"LPD",JB_RC,"ADD"))/D$50,0)</f>
        <v/>
      </c>
      <c r="E47" s="37">
        <f>IFERROR((SUMIFS(JB_27BV,JB_B,3,JB_H,"LHD",JB_RC,"ADD"))/E$50,0)</f>
        <v/>
      </c>
      <c r="F47" s="37">
        <f>IFERROR((SUMIFS(JB_27BV,JB_B,3,JB_H,"T-AGOS",JB_RC,"ADD"))/F$50,0)</f>
        <v/>
      </c>
      <c r="G47" s="37">
        <f>IFERROR((SUMIFS(JB_27BV,JB_B,3,JB_H,"LCC",JB_RC,"ADD"))/G$50,0)</f>
        <v/>
      </c>
      <c r="H47" s="37">
        <f>IFERROR((SUMIFS(JB_27BV,JB_B,3,JB_H,"LSD",JB_RC,"ADD"))/H$50,0)</f>
        <v/>
      </c>
      <c r="I47" s="43">
        <f>IFERROR((SUMIFS(JB_27BV,JB_B,3,JB_H,"DDG",JB_RC,"ADD")+SUMIFS(JB_27BV,JB_B,3,JB_H,"LCS",JB_RC,"ADD")+SUMIFS(JB_27BV,JB_B,3,JB_H,"LPD",JB_RC,"ADD")+SUMIFS(JB_27BV,JB_B,3,JB_H,"LHD",JB_RC,"ADD")+SUMIFS(JB_27BV,JB_B,3,JB_H,"T-AGOS",JB_RC,"ADD")+SUMIFS(JB_27BV,JB_B,3,JB_H,"LCC",JB_RC,"ADD")+SUMIFS(JB_27BV,JB_B,3,JB_H,"LSD",JB_RC,"ADD"))/I$50,0)</f>
        <v/>
      </c>
    </row>
    <row r="48" ht="10" customHeight="1">
      <c r="A48" s="27" t="inlineStr">
        <is>
          <t>(D) MRO SAM by Hull Program — FY2027 ($K)</t>
        </is>
      </c>
      <c r="B48" s="52">
        <f>IFERROR((SUMIFS(JB_27BV,JB_B,4,JB_H,"DDG",JB_RC,"ADD"))/B$50,0)</f>
        <v/>
      </c>
      <c r="C48" s="53">
        <f>IFERROR((SUMIFS(JB_27BV,JB_B,4,JB_H,"LCS",JB_RC,"ADD"))/C$50,0)</f>
        <v/>
      </c>
      <c r="D48" s="53">
        <f>IFERROR((SUMIFS(JB_27BV,JB_B,4,JB_H,"LPD",JB_RC,"ADD"))/D$50,0)</f>
        <v/>
      </c>
      <c r="E48" s="53">
        <f>IFERROR((SUMIFS(JB_27BV,JB_B,4,JB_H,"LHD",JB_RC,"ADD"))/E$50,0)</f>
        <v/>
      </c>
      <c r="F48" s="53">
        <f>IFERROR((SUMIFS(JB_27BV,JB_B,4,JB_H,"T-AGOS",JB_RC,"ADD"))/F$50,0)</f>
        <v/>
      </c>
      <c r="G48" s="53">
        <f>IFERROR((SUMIFS(JB_27BV,JB_B,4,JB_H,"LCC",JB_RC,"ADD"))/G$50,0)</f>
        <v/>
      </c>
      <c r="H48" s="53">
        <f>IFERROR((SUMIFS(JB_27BV,JB_B,4,JB_H,"LSD",JB_RC,"ADD"))/H$50,0)</f>
        <v/>
      </c>
      <c r="I48" s="52">
        <f>IFERROR((SUMIFS(JB_27BV,JB_B,4,JB_H,"DDG",JB_RC,"ADD")+SUMIFS(JB_27BV,JB_B,4,JB_H,"LCS",JB_RC,"ADD")+SUMIFS(JB_27BV,JB_B,4,JB_H,"LPD",JB_RC,"ADD")+SUMIFS(JB_27BV,JB_B,4,JB_H,"LHD",JB_RC,"ADD")+SUMIFS(JB_27BV,JB_B,4,JB_H,"T-AGOS",JB_RC,"ADD")+SUMIFS(JB_27BV,JB_B,4,JB_H,"LCC",JB_RC,"ADD")+SUMIFS(JB_27BV,JB_B,4,JB_H,"LSD",JB_RC,"ADD"))/I$50,0)</f>
        <v/>
      </c>
    </row>
    <row r="49" ht="10" customHeight="1">
      <c r="A49" s="26" t="inlineStr">
        <is>
          <t>Same funding as (B) broken down to individual hull programs — the level at which depot maintenance, modernization, and life-cycle line items are traceable.</t>
        </is>
      </c>
      <c r="B49" s="43">
        <f>IFERROR((SUMIFS(JB_27BV,JB_B,5,JB_H,"DDG",JB_RC,"ADD"))/B$50,0)</f>
        <v/>
      </c>
      <c r="C49" s="37">
        <f>IFERROR((SUMIFS(JB_27BV,JB_B,5,JB_H,"LCS",JB_RC,"ADD"))/C$50,0)</f>
        <v/>
      </c>
      <c r="D49" s="37">
        <f>IFERROR((SUMIFS(JB_27BV,JB_B,5,JB_H,"LPD",JB_RC,"ADD"))/D$50,0)</f>
        <v/>
      </c>
      <c r="E49" s="37">
        <f>IFERROR((SUMIFS(JB_27BV,JB_B,5,JB_H,"LHD",JB_RC,"ADD"))/E$50,0)</f>
        <v/>
      </c>
      <c r="F49" s="37">
        <f>IFERROR((SUMIFS(JB_27BV,JB_B,5,JB_H,"T-AGOS",JB_RC,"ADD"))/F$50,0)</f>
        <v/>
      </c>
      <c r="G49" s="37">
        <f>IFERROR((SUMIFS(JB_27BV,JB_B,5,JB_H,"LCC",JB_RC,"ADD"))/G$50,0)</f>
        <v/>
      </c>
      <c r="H49" s="37">
        <f>IFERROR((SUMIFS(JB_27BV,JB_B,5,JB_H,"LSD",JB_RC,"ADD"))/H$50,0)</f>
        <v/>
      </c>
      <c r="I49" s="43">
        <f>IFERROR((SUMIFS(JB_27BV,JB_B,5,JB_H,"DDG",JB_RC,"ADD")+SUMIFS(JB_27BV,JB_B,5,JB_H,"LCS",JB_RC,"ADD")+SUMIFS(JB_27BV,JB_B,5,JB_H,"LPD",JB_RC,"ADD")+SUMIFS(JB_27BV,JB_B,5,JB_H,"LHD",JB_RC,"ADD")+SUMIFS(JB_27BV,JB_B,5,JB_H,"T-AGOS",JB_RC,"ADD")+SUMIFS(JB_27BV,JB_B,5,JB_H,"LCC",JB_RC,"ADD")+SUMIFS(JB_27BV,JB_B,5,JB_H,"LSD",JB_RC,"ADD"))/I$50,0)</f>
        <v/>
      </c>
    </row>
    <row r="50" ht="10" customHeight="1">
      <c r="A50" s="29" t="inlineStr">
        <is>
          <t>Hull Program</t>
        </is>
      </c>
      <c r="B50" s="54" t="inlineStr">
        <is>
          <t>Vessel Type</t>
        </is>
      </c>
      <c r="C50" s="54" t="inlineStr">
        <is>
          <t>Service</t>
        </is>
      </c>
      <c r="D50" s="54" t="inlineStr">
        <is>
          <t>SDM ($K)</t>
        </is>
      </c>
      <c r="E50" s="54" t="inlineStr">
        <is>
          <t>Cont/Emerg ($K)</t>
        </is>
      </c>
      <c r="F50" s="54" t="inlineStr">
        <is>
          <t>Mod ($K)</t>
        </is>
      </c>
      <c r="G50" s="54" t="inlineStr">
        <is>
          <t>Major LC ($K)</t>
        </is>
      </c>
      <c r="H50" s="54" t="inlineStr">
        <is>
          <t>Total ($K)</t>
        </is>
      </c>
      <c r="I50" s="54" t="inlineStr">
        <is>
          <t>% of Total</t>
        </is>
      </c>
    </row>
    <row r="51" ht="10" customHeight="1">
      <c r="A51" s="30" t="inlineStr">
        <is>
          <t>DDG</t>
        </is>
      </c>
      <c r="B51" s="30" t="inlineStr">
        <is>
          <t>Surface Combatants</t>
        </is>
      </c>
      <c r="C51" s="30" t="inlineStr">
        <is>
          <t>USN</t>
        </is>
      </c>
      <c r="D51" s="31">
        <f>SUMIFS(JB_27BV,JB_B,2,JB_H,"DDG",JB_RC,"ADD")</f>
        <v/>
      </c>
      <c r="E51" s="31">
        <f>SUMIFS(JB_27BV,JB_B,3,JB_H,"DDG",JB_RC,"ADD")</f>
        <v/>
      </c>
      <c r="F51" s="31">
        <f>SUMIFS(JB_27BV,JB_B,4,JB_H,"DDG",JB_RC,"ADD")</f>
        <v/>
      </c>
      <c r="G51" s="31">
        <f>SUMIFS(JB_27BV,JB_B,5,JB_H,"DDG",JB_RC,"ADD")</f>
        <v/>
      </c>
      <c r="H51" s="31">
        <f>SUM(D51:G51)</f>
        <v/>
      </c>
      <c r="I51" s="37">
        <f>IFERROR(H51/H$58,0)</f>
        <v/>
      </c>
    </row>
    <row r="52" ht="10" customHeight="1">
      <c r="A52" s="30" t="inlineStr">
        <is>
          <t>LCS</t>
        </is>
      </c>
      <c r="B52" s="30" t="inlineStr">
        <is>
          <t>Surface Combatants</t>
        </is>
      </c>
      <c r="C52" s="30" t="inlineStr">
        <is>
          <t>USN</t>
        </is>
      </c>
      <c r="D52" s="31">
        <f>SUMIFS(JB_27BV,JB_B,2,JB_H,"LCS",JB_RC,"ADD")</f>
        <v/>
      </c>
      <c r="E52" s="31">
        <f>SUMIFS(JB_27BV,JB_B,3,JB_H,"LCS",JB_RC,"ADD")</f>
        <v/>
      </c>
      <c r="F52" s="31">
        <f>SUMIFS(JB_27BV,JB_B,4,JB_H,"LCS",JB_RC,"ADD")</f>
        <v/>
      </c>
      <c r="G52" s="31">
        <f>SUMIFS(JB_27BV,JB_B,5,JB_H,"LCS",JB_RC,"ADD")</f>
        <v/>
      </c>
      <c r="H52" s="31">
        <f>SUM(D52:G52)</f>
        <v/>
      </c>
      <c r="I52" s="37">
        <f>IFERROR(H52/H$58,0)</f>
        <v/>
      </c>
    </row>
    <row r="53" ht="10" customHeight="1">
      <c r="A53" s="30" t="inlineStr">
        <is>
          <t>LPD</t>
        </is>
      </c>
      <c r="B53" s="30" t="inlineStr">
        <is>
          <t>Amphibious Warfare Ships</t>
        </is>
      </c>
      <c r="C53" s="30" t="inlineStr">
        <is>
          <t>USN</t>
        </is>
      </c>
      <c r="D53" s="31">
        <f>SUMIFS(JB_27BV,JB_B,2,JB_H,"LPD",JB_RC,"ADD")</f>
        <v/>
      </c>
      <c r="E53" s="31">
        <f>SUMIFS(JB_27BV,JB_B,3,JB_H,"LPD",JB_RC,"ADD")</f>
        <v/>
      </c>
      <c r="F53" s="31">
        <f>SUMIFS(JB_27BV,JB_B,4,JB_H,"LPD",JB_RC,"ADD")</f>
        <v/>
      </c>
      <c r="G53" s="31">
        <f>SUMIFS(JB_27BV,JB_B,5,JB_H,"LPD",JB_RC,"ADD")</f>
        <v/>
      </c>
      <c r="H53" s="31">
        <f>SUM(D53:G53)</f>
        <v/>
      </c>
      <c r="I53" s="37">
        <f>IFERROR(H53/H$58,0)</f>
        <v/>
      </c>
    </row>
    <row r="54" ht="10" customHeight="1">
      <c r="A54" s="30" t="inlineStr">
        <is>
          <t>LHD</t>
        </is>
      </c>
      <c r="B54" s="30" t="inlineStr">
        <is>
          <t>Amphibious Warfare Ships</t>
        </is>
      </c>
      <c r="C54" s="30" t="inlineStr">
        <is>
          <t>USN</t>
        </is>
      </c>
      <c r="D54" s="31">
        <f>SUMIFS(JB_27BV,JB_B,2,JB_H,"LHD",JB_RC,"ADD")</f>
        <v/>
      </c>
      <c r="E54" s="31">
        <f>SUMIFS(JB_27BV,JB_B,3,JB_H,"LHD",JB_RC,"ADD")</f>
        <v/>
      </c>
      <c r="F54" s="31">
        <f>SUMIFS(JB_27BV,JB_B,4,JB_H,"LHD",JB_RC,"ADD")</f>
        <v/>
      </c>
      <c r="G54" s="31">
        <f>SUMIFS(JB_27BV,JB_B,5,JB_H,"LHD",JB_RC,"ADD")</f>
        <v/>
      </c>
      <c r="H54" s="31">
        <f>SUM(D54:G54)</f>
        <v/>
      </c>
      <c r="I54" s="37">
        <f>IFERROR(H54/H$58,0)</f>
        <v/>
      </c>
    </row>
    <row r="55" ht="10" customHeight="1">
      <c r="A55" s="30" t="inlineStr">
        <is>
          <t>T-AGOS</t>
        </is>
      </c>
      <c r="B55" s="30" t="inlineStr">
        <is>
          <t>Surveillance Ships</t>
        </is>
      </c>
      <c r="C55" s="30" t="inlineStr">
        <is>
          <t>MSC</t>
        </is>
      </c>
      <c r="D55" s="31">
        <f>SUMIFS(JB_27BV,JB_B,2,JB_H,"T-AGOS",JB_RC,"ADD")</f>
        <v/>
      </c>
      <c r="E55" s="31">
        <f>SUMIFS(JB_27BV,JB_B,3,JB_H,"T-AGOS",JB_RC,"ADD")</f>
        <v/>
      </c>
      <c r="F55" s="31">
        <f>SUMIFS(JB_27BV,JB_B,4,JB_H,"T-AGOS",JB_RC,"ADD")</f>
        <v/>
      </c>
      <c r="G55" s="31">
        <f>SUMIFS(JB_27BV,JB_B,5,JB_H,"T-AGOS",JB_RC,"ADD")</f>
        <v/>
      </c>
      <c r="H55" s="31">
        <f>SUM(D55:G55)</f>
        <v/>
      </c>
      <c r="I55" s="37">
        <f>IFERROR(H55/H$58,0)</f>
        <v/>
      </c>
    </row>
    <row r="56" ht="10" customHeight="1">
      <c r="A56" s="30" t="inlineStr">
        <is>
          <t>LCC</t>
        </is>
      </c>
      <c r="B56" s="30" t="inlineStr">
        <is>
          <t>Command Ships</t>
        </is>
      </c>
      <c r="C56" s="30" t="inlineStr">
        <is>
          <t>USN</t>
        </is>
      </c>
      <c r="D56" s="31">
        <f>SUMIFS(JB_27BV,JB_B,2,JB_H,"LCC",JB_RC,"ADD")</f>
        <v/>
      </c>
      <c r="E56" s="31">
        <f>SUMIFS(JB_27BV,JB_B,3,JB_H,"LCC",JB_RC,"ADD")</f>
        <v/>
      </c>
      <c r="F56" s="31">
        <f>SUMIFS(JB_27BV,JB_B,4,JB_H,"LCC",JB_RC,"ADD")</f>
        <v/>
      </c>
      <c r="G56" s="31">
        <f>SUMIFS(JB_27BV,JB_B,5,JB_H,"LCC",JB_RC,"ADD")</f>
        <v/>
      </c>
      <c r="H56" s="31">
        <f>SUM(D56:G56)</f>
        <v/>
      </c>
      <c r="I56" s="37">
        <f>IFERROR(H56/H$58,0)</f>
        <v/>
      </c>
    </row>
    <row r="57" ht="10" customHeight="1">
      <c r="A57" s="30" t="inlineStr">
        <is>
          <t>LSD</t>
        </is>
      </c>
      <c r="B57" s="30" t="inlineStr">
        <is>
          <t>Amphibious Warfare Ships</t>
        </is>
      </c>
      <c r="C57" s="30" t="inlineStr">
        <is>
          <t>USN</t>
        </is>
      </c>
      <c r="D57" s="31">
        <f>SUMIFS(JB_27BV,JB_B,2,JB_H,"LSD",JB_RC,"ADD")</f>
        <v/>
      </c>
      <c r="E57" s="31">
        <f>SUMIFS(JB_27BV,JB_B,3,JB_H,"LSD",JB_RC,"ADD")</f>
        <v/>
      </c>
      <c r="F57" s="31">
        <f>SUMIFS(JB_27BV,JB_B,4,JB_H,"LSD",JB_RC,"ADD")</f>
        <v/>
      </c>
      <c r="G57" s="31">
        <f>SUMIFS(JB_27BV,JB_B,5,JB_H,"LSD",JB_RC,"ADD")</f>
        <v/>
      </c>
      <c r="H57" s="31">
        <f>SUM(D57:G57)</f>
        <v/>
      </c>
      <c r="I57" s="37">
        <f>IFERROR(H57/H$58,0)</f>
        <v/>
      </c>
    </row>
    <row r="58" ht="10" customHeight="1">
      <c r="A58" s="32" t="inlineStr">
        <is>
          <t>MRO SAM (all programs)</t>
        </is>
      </c>
      <c r="B58" s="32" t="inlineStr"/>
      <c r="C58" s="32" t="inlineStr"/>
      <c r="D58" s="33">
        <f>SUM(D51:D57)</f>
        <v/>
      </c>
      <c r="E58" s="33">
        <f>SUM(E51:E57)</f>
        <v/>
      </c>
      <c r="F58" s="33">
        <f>SUM(F51:F57)</f>
        <v/>
      </c>
      <c r="G58" s="33">
        <f>SUM(G51:G57)</f>
        <v/>
      </c>
      <c r="H58" s="33">
        <f>SUM(H51:H57)</f>
        <v/>
      </c>
      <c r="I58" s="38" t="n">
        <v>1</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5" t="n">
        <v>22000000</v>
      </c>
      <c r="D6" s="26" t="inlineStr">
        <is>
          <t>DDG-51 $11.4B, LPD $4.7B, LHA $4.5B, DDG-1000 $0.3B, depot</t>
        </is>
      </c>
    </row>
    <row r="7" ht="10" customHeight="1">
      <c r="A7" s="30" t="inlineStr">
        <is>
          <t>Raytheon / RTX</t>
        </is>
      </c>
      <c r="B7" s="26" t="inlineStr">
        <is>
          <t>RTX Corp</t>
        </is>
      </c>
      <c r="C7" s="55" t="n">
        <v>13700000</v>
      </c>
      <c r="D7" s="26" t="inlineStr">
        <is>
          <t>Standard Missile $5.7B, SPY-6 $3.5B, CIWS/RAM $2.0B, DDG-1000 $0.9B, CEC $0.6B</t>
        </is>
      </c>
    </row>
    <row r="8" ht="10" customHeight="1">
      <c r="A8" s="30" t="inlineStr">
        <is>
          <t>Bath Iron Works</t>
        </is>
      </c>
      <c r="B8" s="26" t="inlineStr">
        <is>
          <t>General Dynamics</t>
        </is>
      </c>
      <c r="C8" s="55" t="n">
        <v>8800000</v>
      </c>
      <c r="D8" s="26" t="inlineStr">
        <is>
          <t>DDG-51 FY23-27 $5.0B, FY18-22 $3.3B, FY13-17 $0.5B, DDG-1000 $0.2B</t>
        </is>
      </c>
    </row>
    <row r="9" ht="10" customHeight="1">
      <c r="A9" s="30" t="inlineStr">
        <is>
          <t>BAE Systems</t>
        </is>
      </c>
      <c r="B9" s="26" t="inlineStr">
        <is>
          <t>BAE Systems plc</t>
        </is>
      </c>
      <c r="C9" s="55" t="n">
        <v>5000000</v>
      </c>
      <c r="D9" s="26" t="inlineStr">
        <is>
          <t>DDG/LHD/LPD/LSD/CG depot maintenance — Norfolk, San Diego, Jacksonville, Hawaii</t>
        </is>
      </c>
    </row>
    <row r="10" ht="10" customHeight="1">
      <c r="A10" s="30" t="inlineStr">
        <is>
          <t>Lockheed Martin</t>
        </is>
      </c>
      <c r="B10" s="26" t="inlineStr">
        <is>
          <t>LM</t>
        </is>
      </c>
      <c r="C10" s="55" t="n">
        <v>1500000</v>
      </c>
      <c r="D10" s="26" t="inlineStr">
        <is>
          <t>SLQ-32(V)6 $0.8B, SSDS $0.4B, HELIOS $0.1B, LCS Freedom $0.3B</t>
        </is>
      </c>
    </row>
    <row r="11" ht="10" customHeight="1">
      <c r="A11" s="30" t="inlineStr">
        <is>
          <t>Metro Machine Corp</t>
        </is>
      </c>
      <c r="B11" s="26" t="inlineStr">
        <is>
          <t>--</t>
        </is>
      </c>
      <c r="C11" s="55" t="n">
        <v>700000</v>
      </c>
      <c r="D11" s="26" t="inlineStr">
        <is>
          <t>LHD/DDG/LSD depot maintenance — Norfolk</t>
        </is>
      </c>
    </row>
    <row r="12" ht="10" customHeight="1">
      <c r="A12" s="30" t="inlineStr">
        <is>
          <t>NASSCO</t>
        </is>
      </c>
      <c r="B12" s="26" t="inlineStr">
        <is>
          <t>General Dynamics</t>
        </is>
      </c>
      <c r="C12" s="55" t="n">
        <v>600000</v>
      </c>
      <c r="D12" s="26" t="inlineStr">
        <is>
          <t>LHA/LHD/LSD/DDG/CG depot maintenance — San Diego</t>
        </is>
      </c>
    </row>
    <row r="13" ht="10" customHeight="1">
      <c r="A13" s="30" t="inlineStr">
        <is>
          <t>Vigor Marine LLC</t>
        </is>
      </c>
      <c r="B13" s="26" t="inlineStr">
        <is>
          <t>--</t>
        </is>
      </c>
      <c r="C13" s="55" t="n">
        <v>500000</v>
      </c>
      <c r="D13" s="26" t="inlineStr">
        <is>
          <t>DDG/CG depot maintenance — Portland, OR</t>
        </is>
      </c>
    </row>
    <row r="14" ht="10" customHeight="1">
      <c r="A14" s="30" t="inlineStr">
        <is>
          <t>Northrop Grumman Systems</t>
        </is>
      </c>
      <c r="B14" s="26" t="inlineStr">
        <is>
          <t>NG</t>
        </is>
      </c>
      <c r="C14" s="55" t="n">
        <v>487000</v>
      </c>
      <c r="D14" s="26" t="inlineStr">
        <is>
          <t>Knifefish/LCS $0.35B, SEWIP Block 3 $0.14B, ALMDS $0.07B</t>
        </is>
      </c>
    </row>
    <row r="15" ht="10" customHeight="1">
      <c r="A15" s="30" t="inlineStr">
        <is>
          <t>QED Systems</t>
        </is>
      </c>
      <c r="B15" s="26" t="inlineStr">
        <is>
          <t>--</t>
        </is>
      </c>
      <c r="C15" s="55" t="n">
        <v>300000</v>
      </c>
      <c r="D15" s="26" t="inlineStr">
        <is>
          <t>Third-party planning DDG/CG/LPD/LHD</t>
        </is>
      </c>
    </row>
    <row r="16" ht="10" customHeight="1">
      <c r="A16" s="30" t="inlineStr">
        <is>
          <t>Continental Maritime</t>
        </is>
      </c>
      <c r="B16" s="26" t="inlineStr">
        <is>
          <t>--</t>
        </is>
      </c>
      <c r="C16" s="55" t="n">
        <v>300000</v>
      </c>
      <c r="D16" s="26" t="inlineStr">
        <is>
          <t>DDG depot — San Diego</t>
        </is>
      </c>
    </row>
    <row r="17" ht="10" customHeight="1">
      <c r="A17" s="30" t="inlineStr">
        <is>
          <t>Textron Systems</t>
        </is>
      </c>
      <c r="B17" s="26" t="inlineStr">
        <is>
          <t>Textron</t>
        </is>
      </c>
      <c r="C17" s="55" t="n">
        <v>242000</v>
      </c>
      <c r="D17" s="26" t="inlineStr">
        <is>
          <t>UISS $0.24B</t>
        </is>
      </c>
    </row>
    <row r="18" ht="10" customHeight="1">
      <c r="A18" s="30" t="inlineStr">
        <is>
          <t>Advanced Technology International</t>
        </is>
      </c>
      <c r="B18" s="26" t="inlineStr">
        <is>
          <t>--</t>
        </is>
      </c>
      <c r="C18" s="55" t="n">
        <v>235000</v>
      </c>
      <c r="D18" s="26" t="inlineStr">
        <is>
          <t>OTA consortium: MK-54 MOD 2, SPY-6 prototype, HEL, LHD midlife</t>
        </is>
      </c>
    </row>
    <row r="19" ht="10" customHeight="1">
      <c r="A19" s="30" t="inlineStr">
        <is>
          <t>General Dynamics Mission Systems</t>
        </is>
      </c>
      <c r="B19" s="26" t="inlineStr">
        <is>
          <t>General Dynamics</t>
        </is>
      </c>
      <c r="C19" s="55" t="n">
        <v>210000</v>
      </c>
      <c r="D19" s="26" t="inlineStr">
        <is>
          <t>MK-54 MOD 1 $0.12B, Knifefish Block 1 $0.08B</t>
        </is>
      </c>
    </row>
    <row r="20" ht="10" customHeight="1">
      <c r="A20" s="30" t="inlineStr">
        <is>
          <t>SAIC</t>
        </is>
      </c>
      <c r="B20" s="26" t="inlineStr">
        <is>
          <t>SAIC</t>
        </is>
      </c>
      <c r="C20" s="55" t="n">
        <v>200000</v>
      </c>
      <c r="D20" s="26" t="inlineStr">
        <is>
          <t>DDG-1000 engineering, SSTD Nixie, torpedo defense</t>
        </is>
      </c>
    </row>
    <row r="21" ht="10" customHeight="1">
      <c r="A21" s="30" t="inlineStr">
        <is>
          <t>Marine Hydraulics International</t>
        </is>
      </c>
      <c r="B21" s="26" t="inlineStr">
        <is>
          <t>--</t>
        </is>
      </c>
      <c r="C21" s="55" t="n">
        <v>200000</v>
      </c>
      <c r="D21" s="26" t="inlineStr">
        <is>
          <t>DDG/LSD depot + sub-prime on LHD primes</t>
        </is>
      </c>
    </row>
    <row r="22" ht="10" customHeight="1">
      <c r="A22" s="30" t="inlineStr">
        <is>
          <t>Bollinger Shipyards</t>
        </is>
      </c>
      <c r="B22" s="26" t="inlineStr">
        <is>
          <t>Bollinger</t>
        </is>
      </c>
      <c r="C22" s="55" t="n">
        <v>116000</v>
      </c>
      <c r="D22" s="26" t="inlineStr">
        <is>
          <t>MCM USV production</t>
        </is>
      </c>
    </row>
    <row r="23" ht="10" customHeight="1">
      <c r="A23" s="30" t="inlineStr">
        <is>
          <t>Ultra Electronics Ocean Systems</t>
        </is>
      </c>
      <c r="B23" s="26" t="inlineStr">
        <is>
          <t>Ultra</t>
        </is>
      </c>
      <c r="C23" s="55" t="n">
        <v>68000</v>
      </c>
      <c r="D23" s="26" t="inlineStr">
        <is>
          <t>MK 54 MOD 0 array kits + Nixie production</t>
        </is>
      </c>
    </row>
    <row r="24" ht="10" customHeight="1">
      <c r="A24" s="30" t="inlineStr">
        <is>
          <t>Penn State Applied Research Lab</t>
        </is>
      </c>
      <c r="B24" s="26" t="inlineStr">
        <is>
          <t>Penn State</t>
        </is>
      </c>
      <c r="C24" s="55"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5" t="n">
        <v>2487000</v>
      </c>
      <c r="C30" s="55" t="n">
        <v>2</v>
      </c>
      <c r="D30" s="55" t="n">
        <v>1</v>
      </c>
      <c r="E30" s="26" t="inlineStr">
        <is>
          <t>LCS Freedom hull builder — actual constructor under LM prime</t>
        </is>
      </c>
    </row>
    <row r="31" ht="10" customHeight="1">
      <c r="A31" s="30" t="inlineStr">
        <is>
          <t>Timken Gears &amp; Services</t>
        </is>
      </c>
      <c r="B31" s="55" t="n">
        <v>516000</v>
      </c>
      <c r="C31" s="55" t="n">
        <v>22</v>
      </c>
      <c r="D31" s="55" t="n">
        <v>20</v>
      </c>
      <c r="E31" s="26" t="inlineStr">
        <is>
          <t>DDG/LHD/CG propulsion gearing</t>
        </is>
      </c>
    </row>
    <row r="32" ht="10" customHeight="1">
      <c r="A32" s="30" t="inlineStr">
        <is>
          <t>General Dynamics (rolled up)</t>
        </is>
      </c>
      <c r="B32" s="55" t="n">
        <v>432000</v>
      </c>
      <c r="C32" s="55" t="n">
        <v>23</v>
      </c>
      <c r="D32" s="55" t="n">
        <v>14</v>
      </c>
      <c r="E32" s="26" t="inlineStr">
        <is>
          <t>GD Mission Systems $359M on SPY-6, GD-OTS, GDIT</t>
        </is>
      </c>
    </row>
    <row r="33" ht="10" customHeight="1">
      <c r="A33" s="30" t="inlineStr">
        <is>
          <t>L3Harris (Aerojet Rocketdyne)</t>
        </is>
      </c>
      <c r="B33" s="55" t="n">
        <v>378000</v>
      </c>
      <c r="C33" s="55" t="n">
        <v>4</v>
      </c>
      <c r="D33" s="55" t="n">
        <v>4</v>
      </c>
      <c r="E33" s="26" t="inlineStr">
        <is>
          <t>Solid rocket motors for Standard Missile family</t>
        </is>
      </c>
    </row>
    <row r="34" ht="10" customHeight="1">
      <c r="A34" s="30" t="inlineStr">
        <is>
          <t>Rolls-Royce</t>
        </is>
      </c>
      <c r="B34" s="55" t="n">
        <v>313000</v>
      </c>
      <c r="C34" s="55" t="n">
        <v>25</v>
      </c>
      <c r="D34" s="55" t="n">
        <v>25</v>
      </c>
      <c r="E34" s="26" t="inlineStr">
        <is>
          <t>Gas turbines, waterjets, gearing — DDG/LCS/LPD/LHA + depot</t>
        </is>
      </c>
    </row>
    <row r="35" ht="10" customHeight="1">
      <c r="A35" s="30" t="inlineStr">
        <is>
          <t>CAES (Cobham)</t>
        </is>
      </c>
      <c r="B35" s="55" t="n">
        <v>217000</v>
      </c>
      <c r="C35" s="55" t="n">
        <v>10</v>
      </c>
      <c r="D35" s="55" t="n">
        <v>8</v>
      </c>
      <c r="E35" s="26" t="inlineStr">
        <is>
          <t>RF assemblies on SPY-6 $170M, SEWIP $110M, SLQ-32 $95M</t>
        </is>
      </c>
    </row>
    <row r="36" ht="10" customHeight="1">
      <c r="A36" s="30" t="inlineStr">
        <is>
          <t>Northrop Grumman (as sub)</t>
        </is>
      </c>
      <c r="B36" s="55" t="n">
        <v>215000</v>
      </c>
      <c r="C36" s="55" t="n">
        <v>10</v>
      </c>
      <c r="D36" s="55" t="n">
        <v>9</v>
      </c>
      <c r="E36" s="26" t="inlineStr">
        <is>
          <t>SPY-6 RF $114M, CIWS, LPD/LHA construction</t>
        </is>
      </c>
    </row>
    <row r="37" ht="10" customHeight="1">
      <c r="A37" s="30" t="inlineStr">
        <is>
          <t>IMIA</t>
        </is>
      </c>
      <c r="B37" s="55" t="n">
        <v>204000</v>
      </c>
      <c r="C37" s="55" t="n">
        <v>28</v>
      </c>
      <c r="D37" s="55" t="n">
        <v>28</v>
      </c>
      <c r="E37" s="26" t="inlineStr">
        <is>
          <t>Hull coatings / paint across 28 depot availabilities</t>
        </is>
      </c>
    </row>
    <row r="38" ht="10" customHeight="1">
      <c r="A38" s="30" t="inlineStr">
        <is>
          <t>L3Harris (excl. Aerojet)</t>
        </is>
      </c>
      <c r="B38" s="55" t="n">
        <v>203000</v>
      </c>
      <c r="C38" s="55" t="n">
        <v>53</v>
      </c>
      <c r="D38" s="55" t="n">
        <v>45</v>
      </c>
      <c r="E38" s="26" t="inlineStr">
        <is>
          <t>Maritime Power, Cincinnati Electronics, Fuzing — broadest footprint</t>
        </is>
      </c>
    </row>
    <row r="39" ht="10" customHeight="1">
      <c r="A39" s="30" t="inlineStr">
        <is>
          <t>Johnson Controls (incl. York)</t>
        </is>
      </c>
      <c r="B39" s="55" t="n">
        <v>172000</v>
      </c>
      <c r="C39" s="55" t="n">
        <v>31</v>
      </c>
      <c r="D39" s="55" t="n">
        <v>24</v>
      </c>
      <c r="E39" s="26" t="inlineStr">
        <is>
          <t>HVAC / chilled water on DDG/LPD/LHA + depot</t>
        </is>
      </c>
    </row>
    <row r="40" ht="10" customHeight="1">
      <c r="A40" s="30" t="inlineStr">
        <is>
          <t>GE Aerospace</t>
        </is>
      </c>
      <c r="B40" s="55" t="n">
        <v>166000</v>
      </c>
      <c r="C40" s="55" t="n">
        <v>16</v>
      </c>
      <c r="D40" s="55" t="n">
        <v>14</v>
      </c>
      <c r="E40" s="26" t="inlineStr">
        <is>
          <t>LM2500 gas turbines on DDG-51 + GE Power Conversion LHA 9</t>
        </is>
      </c>
    </row>
    <row r="41" ht="10" customHeight="1">
      <c r="A41" s="30" t="inlineStr">
        <is>
          <t>Fairbanks Morse Defense</t>
        </is>
      </c>
      <c r="B41" s="55" t="n">
        <v>161000</v>
      </c>
      <c r="C41" s="55" t="n">
        <v>25</v>
      </c>
      <c r="D41" s="55" t="n">
        <v>18</v>
      </c>
      <c r="E41" s="26" t="inlineStr">
        <is>
          <t>Diesel generators / propulsion on LPD/LHA + depot rebuilds</t>
        </is>
      </c>
    </row>
    <row r="42" ht="10" customHeight="1">
      <c r="A42" s="30" t="inlineStr">
        <is>
          <t>Leonardo DRS</t>
        </is>
      </c>
      <c r="B42" s="55" t="n">
        <v>134000</v>
      </c>
      <c r="C42" s="55" t="n">
        <v>18</v>
      </c>
      <c r="D42" s="55" t="n">
        <v>15</v>
      </c>
      <c r="E42" s="26" t="inlineStr">
        <is>
          <t>Naval Power Systems, Network &amp; Imaging, Laurel Technologies</t>
        </is>
      </c>
    </row>
    <row r="43" ht="10" customHeight="1">
      <c r="A43" s="30" t="inlineStr">
        <is>
          <t>Sparton DeLeon Springs</t>
        </is>
      </c>
      <c r="B43" s="55" t="n">
        <v>108000</v>
      </c>
      <c r="C43" s="55" t="n">
        <v>2</v>
      </c>
      <c r="D43" s="55" t="n">
        <v>2</v>
      </c>
      <c r="E43" s="26" t="inlineStr">
        <is>
          <t>ASW sensors / payload on Raytheon Barracuda</t>
        </is>
      </c>
    </row>
    <row r="44" ht="10" customHeight="1">
      <c r="A44" s="30" t="inlineStr">
        <is>
          <t>RAM-System GmbH</t>
        </is>
      </c>
      <c r="B44" s="55" t="n">
        <v>98000</v>
      </c>
      <c r="C44" s="55" t="n">
        <v>1</v>
      </c>
      <c r="D44" s="55" t="n">
        <v>1</v>
      </c>
      <c r="E44" s="26" t="inlineStr">
        <is>
          <t>RAM missile co-development with Raytheon (Germany)</t>
        </is>
      </c>
    </row>
    <row r="45" ht="10" customHeight="1">
      <c r="A45" s="30" t="inlineStr">
        <is>
          <t>Bay Metals &amp; Fabrication</t>
        </is>
      </c>
      <c r="B45" s="55" t="n">
        <v>93000</v>
      </c>
      <c r="C45" s="55" t="n">
        <v>9</v>
      </c>
      <c r="D45" s="55" t="n">
        <v>9</v>
      </c>
      <c r="E45" s="26" t="inlineStr">
        <is>
          <t>Norfolk metal fab serving 9 depot availabilities</t>
        </is>
      </c>
    </row>
    <row r="46" ht="10" customHeight="1">
      <c r="A46" s="30" t="inlineStr">
        <is>
          <t>US Joiner LLC</t>
        </is>
      </c>
      <c r="B46" s="55" t="n">
        <v>88000</v>
      </c>
      <c r="C46" s="55" t="n">
        <v>12</v>
      </c>
      <c r="D46" s="55" t="n">
        <v>12</v>
      </c>
      <c r="E46" s="26" t="inlineStr">
        <is>
          <t>Interior outfitting — LPD construction + depot</t>
        </is>
      </c>
    </row>
    <row r="47" ht="10" customHeight="1">
      <c r="A47" s="30" t="inlineStr">
        <is>
          <t>United Rentals</t>
        </is>
      </c>
      <c r="B47" s="55" t="n">
        <v>77000</v>
      </c>
      <c r="C47" s="55" t="n">
        <v>29</v>
      </c>
      <c r="D47" s="55" t="n">
        <v>29</v>
      </c>
      <c r="E47" s="26" t="inlineStr">
        <is>
          <t>Equipment rental across 29 depot availabilities</t>
        </is>
      </c>
    </row>
    <row r="48" ht="10" customHeight="1">
      <c r="A48" s="30" t="inlineStr">
        <is>
          <t>Honeywell</t>
        </is>
      </c>
      <c r="B48" s="55" t="n">
        <v>71000</v>
      </c>
      <c r="C48" s="55" t="n">
        <v>12</v>
      </c>
      <c r="D48" s="55" t="n">
        <v>12</v>
      </c>
      <c r="E48" s="26" t="inlineStr">
        <is>
          <t>IMUs / IRUs on Standard Missile + CIWS</t>
        </is>
      </c>
    </row>
    <row r="49" ht="10" customHeight="1">
      <c r="A49" s="30" t="inlineStr">
        <is>
          <t>Anaren</t>
        </is>
      </c>
      <c r="B49" s="55" t="n">
        <v>64000</v>
      </c>
      <c r="C49" s="55" t="n">
        <v>7</v>
      </c>
      <c r="D49" s="55"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5" t="n">
        <v>530000</v>
      </c>
      <c r="C55" s="26" t="inlineStr">
        <is>
          <t>GE Aerospace $88M</t>
        </is>
      </c>
      <c r="D55" s="26" t="inlineStr">
        <is>
          <t>Johnson Controls $76M</t>
        </is>
      </c>
      <c r="E55" s="26" t="inlineStr">
        <is>
          <t>Timken Gears $41M</t>
        </is>
      </c>
    </row>
    <row r="56" ht="10" customHeight="1">
      <c r="A56" s="30" t="inlineStr">
        <is>
          <t>DDG Mod — SPY-6</t>
        </is>
      </c>
      <c r="B56" s="55" t="n">
        <v>1220000</v>
      </c>
      <c r="C56" s="26" t="inlineStr">
        <is>
          <t>GD Mission Systems $359M</t>
        </is>
      </c>
      <c r="D56" s="26" t="inlineStr">
        <is>
          <t>CAES $170M</t>
        </is>
      </c>
      <c r="E56" s="26" t="inlineStr">
        <is>
          <t>Northrop Grumman $114M</t>
        </is>
      </c>
    </row>
    <row r="57" ht="10" customHeight="1">
      <c r="A57" s="30" t="inlineStr">
        <is>
          <t>DDG Mod — CIWS/RAM/SeaRAM</t>
        </is>
      </c>
      <c r="B57" s="55" t="n">
        <v>560000</v>
      </c>
      <c r="C57" s="26" t="inlineStr">
        <is>
          <t>RAM-System GmbH $98M</t>
        </is>
      </c>
      <c r="D57" s="26" t="inlineStr">
        <is>
          <t>L3Harris $39M</t>
        </is>
      </c>
      <c r="E57" s="26" t="inlineStr">
        <is>
          <t>GD $35M</t>
        </is>
      </c>
    </row>
    <row r="58" ht="10" customHeight="1">
      <c r="A58" s="30" t="inlineStr">
        <is>
          <t>LCS Freedom Construction</t>
        </is>
      </c>
      <c r="B58" s="55" t="n">
        <v>2910000</v>
      </c>
      <c r="C58" s="26" t="inlineStr">
        <is>
          <t>Marinette Marine $2,487M</t>
        </is>
      </c>
      <c r="D58" s="26" t="inlineStr">
        <is>
          <t>Rolls-Royce $196M</t>
        </is>
      </c>
      <c r="E58" s="26" t="inlineStr">
        <is>
          <t>Airbus US $56M</t>
        </is>
      </c>
    </row>
    <row r="59" ht="10" customHeight="1">
      <c r="A59" s="30" t="inlineStr">
        <is>
          <t>LCS MCM Mission Modules</t>
        </is>
      </c>
      <c r="B59" s="55" t="n">
        <v>1230000</v>
      </c>
      <c r="C59" s="26" t="inlineStr">
        <is>
          <t>Trident Sensors $215M</t>
        </is>
      </c>
      <c r="D59" s="26" t="inlineStr">
        <is>
          <t>Teledyne $55M</t>
        </is>
      </c>
      <c r="E59" s="26" t="inlineStr">
        <is>
          <t>GD $13M</t>
        </is>
      </c>
    </row>
    <row r="60" ht="10" customHeight="1">
      <c r="A60" s="30" t="inlineStr">
        <is>
          <t>LHA New Construction</t>
        </is>
      </c>
      <c r="B60" s="55" t="n">
        <v>340000</v>
      </c>
      <c r="C60" s="26" t="inlineStr">
        <is>
          <t>Fairbanks Morse $40M</t>
        </is>
      </c>
      <c r="D60" s="26" t="inlineStr">
        <is>
          <t>L3Harris $39M</t>
        </is>
      </c>
      <c r="E60" s="26" t="inlineStr">
        <is>
          <t>Leonardo DRS $34M</t>
        </is>
      </c>
    </row>
    <row r="61" ht="10" customHeight="1">
      <c r="A61" s="30" t="inlineStr">
        <is>
          <t>LPD Flight II New Construction</t>
        </is>
      </c>
      <c r="B61" s="55" t="n">
        <v>340000</v>
      </c>
      <c r="C61" s="26" t="inlineStr">
        <is>
          <t>Fairbanks Morse $65M</t>
        </is>
      </c>
      <c r="D61" s="26" t="inlineStr">
        <is>
          <t>US Joiner $36M</t>
        </is>
      </c>
      <c r="E61" s="26" t="inlineStr">
        <is>
          <t>Caterpillar $20M</t>
        </is>
      </c>
    </row>
    <row r="62" ht="10" customHeight="1">
      <c r="A62" s="30" t="inlineStr">
        <is>
          <t>Standard Missile Family</t>
        </is>
      </c>
      <c r="B62" s="55" t="n">
        <v>930000</v>
      </c>
      <c r="C62" s="26" t="inlineStr">
        <is>
          <t>L3Harris (Aerojet) $390M</t>
        </is>
      </c>
      <c r="D62" s="26" t="inlineStr">
        <is>
          <t>Honeywell $43M</t>
        </is>
      </c>
      <c r="E62" s="26" t="inlineStr">
        <is>
          <t>Goodrich $32M</t>
        </is>
      </c>
    </row>
    <row r="63" ht="10" customHeight="1">
      <c r="A63" s="30" t="inlineStr">
        <is>
          <t>DDG-1000</t>
        </is>
      </c>
      <c r="B63" s="55" t="n">
        <v>130000</v>
      </c>
      <c r="C63" s="26" t="inlineStr">
        <is>
          <t>Red River Technology $61M</t>
        </is>
      </c>
      <c r="D63" s="26" t="inlineStr">
        <is>
          <t>Air Masters $6M</t>
        </is>
      </c>
      <c r="E63" s="26" t="inlineStr">
        <is>
          <t>--</t>
        </is>
      </c>
    </row>
    <row r="64" ht="10" customHeight="1">
      <c r="A64" s="30" t="inlineStr">
        <is>
          <t>DDG Mod — CEC</t>
        </is>
      </c>
      <c r="B64" s="55" t="n">
        <v>30000</v>
      </c>
      <c r="C64" s="26" t="inlineStr">
        <is>
          <t>Sechan Electronics $7M</t>
        </is>
      </c>
      <c r="D64" s="26" t="inlineStr">
        <is>
          <t>Action Electronics $5M</t>
        </is>
      </c>
      <c r="E64" s="26" t="inlineStr">
        <is>
          <t>--</t>
        </is>
      </c>
    </row>
    <row r="65" ht="10" customHeight="1">
      <c r="A65" s="30" t="inlineStr">
        <is>
          <t>DDG Mod — SSDS</t>
        </is>
      </c>
      <c r="B65" s="55" t="n">
        <v>40000</v>
      </c>
      <c r="C65" s="26" t="inlineStr">
        <is>
          <t>Mission Solutions $14M</t>
        </is>
      </c>
      <c r="D65" s="26" t="inlineStr">
        <is>
          <t>PMAT $6M</t>
        </is>
      </c>
      <c r="E65" s="26" t="inlineStr">
        <is>
          <t>--</t>
        </is>
      </c>
    </row>
    <row r="66" ht="10" customHeight="1">
      <c r="A66" s="30" t="inlineStr">
        <is>
          <t>DDG Mod — HELIOS</t>
        </is>
      </c>
      <c r="B66" s="55" t="n">
        <v>60000</v>
      </c>
      <c r="C66" s="26" t="inlineStr">
        <is>
          <t>MZA Associates $25M</t>
        </is>
      </c>
      <c r="D66" s="26" t="inlineStr">
        <is>
          <t>L3 Technologies $22M</t>
        </is>
      </c>
      <c r="E66" s="26" t="inlineStr">
        <is>
          <t>--</t>
        </is>
      </c>
    </row>
    <row r="67" ht="10" customHeight="1">
      <c r="A67" s="30" t="inlineStr">
        <is>
          <t>Airborne MCM</t>
        </is>
      </c>
      <c r="B67" s="55" t="n">
        <v>150000</v>
      </c>
      <c r="C67" s="26" t="inlineStr">
        <is>
          <t>Sparton $108M</t>
        </is>
      </c>
      <c r="D67" s="26" t="inlineStr">
        <is>
          <t>Teledyne $17M</t>
        </is>
      </c>
      <c r="E67" s="26" t="inlineStr">
        <is>
          <t>--</t>
        </is>
      </c>
    </row>
    <row r="68" ht="10" customHeight="1">
      <c r="A68" s="30" t="inlineStr">
        <is>
          <t>MK-54 Torpedo</t>
        </is>
      </c>
      <c r="B68" s="55" t="n">
        <v>30000</v>
      </c>
      <c r="C68" s="26" t="inlineStr">
        <is>
          <t>L3Harris (Aerojet) $25M</t>
        </is>
      </c>
      <c r="D68" s="26" t="inlineStr">
        <is>
          <t>J&amp;E Precision Tool $3M</t>
        </is>
      </c>
      <c r="E68" s="26" t="inlineStr">
        <is>
          <t>--</t>
        </is>
      </c>
    </row>
    <row r="69" ht="10" customHeight="1">
      <c r="A69" s="30" t="inlineStr">
        <is>
          <t>Depot Maintenance</t>
        </is>
      </c>
      <c r="B69" s="55"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9"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5" t="n">
        <v>346443</v>
      </c>
      <c r="C77" s="26" t="inlineStr">
        <is>
          <t>BAE Norfolk/SD, Metro Machine, NASSCO</t>
        </is>
      </c>
    </row>
    <row r="78" ht="10" customHeight="1">
      <c r="A78" s="30" t="inlineStr">
        <is>
          <t>OMN_Vol2 LHD/AMPHIBS modernization</t>
        </is>
      </c>
      <c r="B78" s="55" t="n">
        <v>631859</v>
      </c>
      <c r="C78" s="26" t="inlineStr">
        <is>
          <t>BAE Norfolk/SD, Metro Machine</t>
        </is>
      </c>
    </row>
    <row r="79" ht="10" customHeight="1">
      <c r="A79" s="30" t="inlineStr">
        <is>
          <t>OPN BA1 Line 8 LHA/LHD Midlife</t>
        </is>
      </c>
      <c r="B79" s="55" t="n">
        <v>123384</v>
      </c>
      <c r="C79" s="26" t="inlineStr">
        <is>
          <t>BAE / Metro / Gibbs &amp; Cox</t>
        </is>
      </c>
    </row>
    <row r="80" ht="10" customHeight="1">
      <c r="A80" s="32" t="inlineStr">
        <is>
          <t>LHD Total</t>
        </is>
      </c>
      <c r="B80" s="33">
        <f>SUM(B77:B79)</f>
        <v/>
      </c>
      <c r="C80" s="34" t="n"/>
    </row>
    <row r="81" ht="10" customHeight="1"/>
    <row r="82" ht="10" customHeight="1">
      <c r="A82" s="49"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5" t="n">
        <v>835037</v>
      </c>
      <c r="C84" s="26" t="inlineStr">
        <is>
          <t>HII — N0002424C2473 ($5.80B ceiling)</t>
        </is>
      </c>
    </row>
    <row r="85" ht="10" customHeight="1">
      <c r="A85" s="30" t="inlineStr">
        <is>
          <t>SCN 3010 LPD Flight II AP</t>
        </is>
      </c>
      <c r="B85" s="55" t="n">
        <v>275000</v>
      </c>
      <c r="C85" s="26" t="inlineStr">
        <is>
          <t>HII — N0002424C2473 AP scope</t>
        </is>
      </c>
    </row>
    <row r="86" ht="10" customHeight="1">
      <c r="A86" s="30" t="inlineStr">
        <is>
          <t>OMN_Vol2 LPD depot</t>
        </is>
      </c>
      <c r="B86" s="55" t="n">
        <v>149595</v>
      </c>
      <c r="C86" s="26" t="inlineStr">
        <is>
          <t>BAE Norfolk/SD</t>
        </is>
      </c>
    </row>
    <row r="87" ht="10" customHeight="1">
      <c r="A87" s="30" t="inlineStr">
        <is>
          <t>OPN BA1 Line 15 LPD Class Support</t>
        </is>
      </c>
      <c r="B87" s="55" t="n">
        <v>125542</v>
      </c>
      <c r="C87" s="26" t="inlineStr">
        <is>
          <t>HII Class Eng ($225M) + Raytheon LCE&amp;S ($485M)</t>
        </is>
      </c>
    </row>
    <row r="88" ht="10" customHeight="1">
      <c r="A88" s="32" t="inlineStr">
        <is>
          <t>LPD Total</t>
        </is>
      </c>
      <c r="B88" s="33">
        <f>SUM(B84:B87)</f>
        <v/>
      </c>
      <c r="C88" s="34" t="n"/>
    </row>
    <row r="89" ht="10" customHeight="1"/>
    <row r="90" ht="10" customHeight="1">
      <c r="A90" s="49"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5" t="n">
        <v>94421</v>
      </c>
      <c r="C92" s="26" t="inlineStr">
        <is>
          <t>NASSCO, BAE, Metro Machine</t>
        </is>
      </c>
    </row>
    <row r="93" ht="10" customHeight="1">
      <c r="A93" s="30" t="inlineStr">
        <is>
          <t>OMN_Vol2 LSD modernization</t>
        </is>
      </c>
      <c r="B93" s="55" t="n">
        <v>25931</v>
      </c>
      <c r="C93" s="26" t="inlineStr">
        <is>
          <t>Alteration installation (small)</t>
        </is>
      </c>
    </row>
    <row r="94" ht="10" customHeight="1">
      <c r="A94" s="32" t="inlineStr">
        <is>
          <t>LSD Total</t>
        </is>
      </c>
      <c r="B94" s="33">
        <f>SUM(B92:B93)</f>
        <v/>
      </c>
      <c r="C94" s="34" t="n"/>
    </row>
    <row r="95" ht="10" customHeight="1"/>
    <row r="96" ht="10" customHeight="1">
      <c r="A96" s="49"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5" t="n">
        <v>634963</v>
      </c>
      <c r="C98" s="26" t="inlineStr">
        <is>
          <t>HII — N0002420C2437 LHA 9 ($3.14B ceiling)</t>
        </is>
      </c>
    </row>
    <row r="99" ht="10" customHeight="1">
      <c r="A99" s="30" t="inlineStr">
        <is>
          <t>OMN_Vol2 LHA depot</t>
        </is>
      </c>
      <c r="B99" s="55" t="n">
        <v>45012</v>
      </c>
      <c r="C99" s="26" t="inlineStr">
        <is>
          <t>NASSCO — LHA 6 DSRA ($198M ceiling)</t>
        </is>
      </c>
    </row>
    <row r="100" ht="10" customHeight="1">
      <c r="A100" s="32" t="inlineStr">
        <is>
          <t>LHA Total</t>
        </is>
      </c>
      <c r="B100" s="33">
        <f>SUM(B98:B99)</f>
        <v/>
      </c>
      <c r="C100" s="34" t="n"/>
    </row>
    <row r="101" ht="10" customHeight="1"/>
    <row r="102" ht="10" customHeight="1">
      <c r="A102" s="49"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5" t="n">
        <v>5410773</v>
      </c>
      <c r="C104" s="26" t="inlineStr">
        <is>
          <t>HII FY23-27 MYP + BIW FY23-27 MYP</t>
        </is>
      </c>
    </row>
    <row r="105" ht="10" customHeight="1">
      <c r="A105" s="30" t="inlineStr">
        <is>
          <t>SCN 2122 DDG-51 AP</t>
        </is>
      </c>
      <c r="B105" s="55" t="n">
        <v>1750000</v>
      </c>
      <c r="C105" s="26" t="inlineStr">
        <is>
          <t>HII + BIW — AP against FY23-27 MYPs</t>
        </is>
      </c>
    </row>
    <row r="106" ht="10" customHeight="1">
      <c r="A106" s="30" t="inlineStr">
        <is>
          <t>SCN 2119 DDG-1000</t>
        </is>
      </c>
      <c r="B106" s="55" t="n">
        <v>52358</v>
      </c>
      <c r="C106" s="26" t="inlineStr">
        <is>
          <t>HII Mod Planning + BIW Planning Yard</t>
        </is>
      </c>
    </row>
    <row r="107" ht="10" customHeight="1">
      <c r="A107" s="30" t="inlineStr">
        <is>
          <t>OMN_Vol2 DDG depot</t>
        </is>
      </c>
      <c r="B107" s="55" t="n">
        <v>952000</v>
      </c>
      <c r="C107" s="26" t="inlineStr">
        <is>
          <t>BAE / NASSCO / Continental / Vigor / MHI / Metro</t>
        </is>
      </c>
    </row>
    <row r="108" ht="10" customHeight="1">
      <c r="A108" s="30" t="inlineStr">
        <is>
          <t>OMN_Vol2 DDG modernization</t>
        </is>
      </c>
      <c r="B108" s="55" t="n">
        <v>1282612</v>
      </c>
      <c r="C108" s="26" t="inlineStr">
        <is>
          <t>Cross-vehicle alteration installation</t>
        </is>
      </c>
    </row>
    <row r="109" ht="10" customHeight="1">
      <c r="A109" s="30" t="inlineStr">
        <is>
          <t>WPN 2234 Standard Missile</t>
        </is>
      </c>
      <c r="B109" s="55" t="n">
        <v>1008875</v>
      </c>
      <c r="C109" s="26" t="inlineStr">
        <is>
          <t>Raytheon SM production vehicles</t>
        </is>
      </c>
    </row>
    <row r="110" ht="10" customHeight="1">
      <c r="A110" s="30" t="inlineStr">
        <is>
          <t>OPN BA1 Line 5 DDG Mod</t>
        </is>
      </c>
      <c r="B110" s="55" t="n">
        <v>878787</v>
      </c>
      <c r="C110" s="26" t="inlineStr">
        <is>
          <t>SPY-6, SEWIP, SSDS, CEC, CIWS, HELIOS, Aegis kits</t>
        </is>
      </c>
    </row>
    <row r="111" ht="10" customHeight="1">
      <c r="A111" s="30" t="inlineStr">
        <is>
          <t>WPN 3215 MK-54 Torpedo Mods</t>
        </is>
      </c>
      <c r="B111" s="55" t="n">
        <v>128513</v>
      </c>
      <c r="C111" s="26" t="inlineStr">
        <is>
          <t>GDMS MK 54 MOD 1 + Ultra MK 54 MOD 0 + ATI OTAs</t>
        </is>
      </c>
    </row>
    <row r="112" ht="10" customHeight="1">
      <c r="A112" s="30" t="inlineStr">
        <is>
          <t>OPN BA1 Line 16 DDG-1000 Support</t>
        </is>
      </c>
      <c r="B112" s="55"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9"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5" t="n">
        <v>576389</v>
      </c>
      <c r="C117" s="26" t="inlineStr">
        <is>
          <t>LM Freedom ISEA + GDMS Independence ISEA + avails</t>
        </is>
      </c>
    </row>
    <row r="118" ht="10" customHeight="1">
      <c r="A118" s="30" t="inlineStr">
        <is>
          <t>OMN_Vol2 LCS modernization</t>
        </is>
      </c>
      <c r="B118" s="55" t="n">
        <v>383361</v>
      </c>
      <c r="C118" s="26" t="inlineStr">
        <is>
          <t>LM + GDMS combat system ISEA + ITT-2A</t>
        </is>
      </c>
    </row>
    <row r="119" ht="10" customHeight="1">
      <c r="A119" s="30" t="inlineStr">
        <is>
          <t>OPN BA1 Line 37 LCS In-Service Mod</t>
        </is>
      </c>
      <c r="B119" s="55" t="n">
        <v>189458</v>
      </c>
      <c r="C119" s="26" t="inlineStr">
        <is>
          <t>LM, GDMS, Textron, BAH PEO LCS support</t>
        </is>
      </c>
    </row>
    <row r="120" ht="10" customHeight="1">
      <c r="A120" s="30" t="inlineStr">
        <is>
          <t>OPN BA1 Line 34 LCS MCM Modules</t>
        </is>
      </c>
      <c r="B120" s="55" t="n">
        <v>91372</v>
      </c>
      <c r="C120" s="26" t="inlineStr">
        <is>
          <t>UISS (Textron), Knifefish (GDMS/NG), MCM USV (Bollinger)</t>
        </is>
      </c>
    </row>
    <row r="121" ht="10" customHeight="1">
      <c r="A121" s="30" t="inlineStr">
        <is>
          <t>WPN 2292 Naval Strike Missile</t>
        </is>
      </c>
      <c r="B121" s="55"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9"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5" t="n">
        <v>115501</v>
      </c>
      <c r="C126" s="26" t="inlineStr">
        <is>
          <t>Vigor, BAE Norfolk, NASSCO, HII CG planning</t>
        </is>
      </c>
    </row>
    <row r="127" ht="10" customHeight="1">
      <c r="A127" s="30" t="inlineStr">
        <is>
          <t>OMN_Vol2 CG modernization</t>
        </is>
      </c>
      <c r="B127" s="55"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68"/>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9"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9"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9"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9"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9" t="inlineStr">
        <is>
          <t>MRO SAM</t>
        </is>
      </c>
      <c r="B29" s="39" t="n"/>
      <c r="C29" s="39" t="n"/>
    </row>
    <row r="30" ht="10" customHeight="1">
      <c r="A30" s="30" t="inlineStr">
        <is>
          <t>MRO TAM narrowed to outsourceable work types (scheduled depot maintenance, continuous/emergent maintenance, modernization/alteration installation, and major life-cycle events) and outsourceable vessel types (excludes Submarines, Aircraft Carriers &amp; UUVs). Sized at hull-program level. Includes aggregate SDM cost-element estimation derived from OMN Ship Maintenance sub-component data — applies a single aggregate cost mix (government labor, contract, materials, etc.) to per-hull SDM totals as a directional approximation.</t>
        </is>
      </c>
    </row>
    <row r="31" ht="10" customHeight="1"/>
    <row r="32" ht="10" customHeight="1">
      <c r="A32" s="49"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9" t="inlineStr">
        <is>
          <t>Outsourceable Work Types (SAM-eligible)</t>
        </is>
      </c>
      <c r="B39" s="39" t="n"/>
      <c r="C39" s="39" t="n"/>
    </row>
    <row r="40" ht="10" customHeight="1">
      <c r="A40" s="26" t="inlineStr">
        <is>
          <t>Work types a non-incumbent shipyard could compete for — these define SAM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Continuous / Emergent Maintenance</t>
        </is>
      </c>
      <c r="B44" s="30" t="inlineStr">
        <is>
          <t>Intermediate-level and emergent repair, continuous maintenance</t>
        </is>
      </c>
      <c r="C44" s="26" t="inlineStr">
        <is>
          <t>Bucket 3</t>
        </is>
      </c>
    </row>
    <row r="45" ht="10" customHeight="1">
      <c r="A45" s="30" t="inlineStr">
        <is>
          <t>Modernization &amp; Alteration</t>
        </is>
      </c>
      <c r="B45" s="30" t="inlineStr">
        <is>
          <t>Combat system upgrades, hull/mech/elec modernization</t>
        </is>
      </c>
      <c r="C45" s="26" t="inlineStr">
        <is>
          <t>Bucket 4</t>
        </is>
      </c>
    </row>
    <row r="46" ht="10" customHeight="1">
      <c r="A46" s="30" t="inlineStr">
        <is>
          <t>Major Life-Cycle Events</t>
        </is>
      </c>
      <c r="B46" s="30" t="inlineStr">
        <is>
          <t>SLEP, MMA, RCOH — major overhauls extending service life</t>
        </is>
      </c>
      <c r="C46" s="26" t="inlineStr">
        <is>
          <t>Bucket 5</t>
        </is>
      </c>
    </row>
    <row r="47" ht="10" customHeight="1">
      <c r="A47" s="26" t="inlineStr">
        <is>
          <t>Excluded: Sustainment Engineering (6), Availability Support (7)</t>
        </is>
      </c>
    </row>
    <row r="48" ht="10" customHeight="1"/>
    <row r="49" ht="10" customHeight="1">
      <c r="A49" s="49" t="inlineStr">
        <is>
          <t>TAM Vessel Category Scope</t>
        </is>
      </c>
      <c r="B49" s="39" t="n"/>
      <c r="C49" s="39" t="n"/>
    </row>
    <row r="50" ht="10" customHeight="1">
      <c r="A50" s="29" t="inlineStr">
        <is>
          <t>Category</t>
        </is>
      </c>
      <c r="B50" s="29" t="inlineStr">
        <is>
          <t>TAM Scope</t>
        </is>
      </c>
      <c r="C50" s="29" t="inlineStr">
        <is>
          <t>Notes</t>
        </is>
      </c>
    </row>
    <row r="51" ht="10" customHeight="1">
      <c r="A51" s="30" t="inlineStr">
        <is>
          <t>Combatant Ships</t>
        </is>
      </c>
      <c r="B51" s="30" t="inlineStr">
        <is>
          <t>YES → TAM</t>
        </is>
      </c>
    </row>
    <row r="52" ht="10" customHeight="1">
      <c r="A52" s="30" t="inlineStr">
        <is>
          <t>Auxiliary Ships</t>
        </is>
      </c>
      <c r="B52" s="30" t="inlineStr">
        <is>
          <t>YES → TAM</t>
        </is>
      </c>
    </row>
    <row r="53" ht="10" customHeight="1">
      <c r="A53" s="30" t="inlineStr">
        <is>
          <t>Cutters</t>
        </is>
      </c>
      <c r="B53" s="30" t="inlineStr">
        <is>
          <t>YES → TAM</t>
        </is>
      </c>
      <c r="C53" s="26" t="inlineStr">
        <is>
          <t>USCG</t>
        </is>
      </c>
    </row>
    <row r="54" ht="10" customHeight="1">
      <c r="A54" s="30" t="inlineStr">
        <is>
          <t>Unmanned Maritime Platforms</t>
        </is>
      </c>
      <c r="B54" s="30" t="inlineStr">
        <is>
          <t>YES → TAM</t>
        </is>
      </c>
    </row>
    <row r="55" ht="10" customHeight="1">
      <c r="A55" s="30" t="inlineStr">
        <is>
          <t>Combatant Crafts</t>
        </is>
      </c>
      <c r="B55" s="30" t="inlineStr">
        <is>
          <t>No — small craft</t>
        </is>
      </c>
      <c r="C55" s="26" t="inlineStr">
        <is>
          <t>Excluded</t>
        </is>
      </c>
    </row>
    <row r="56" ht="10" customHeight="1">
      <c r="A56" s="30" t="inlineStr">
        <is>
          <t>Support Crafts</t>
        </is>
      </c>
      <c r="B56" s="30" t="inlineStr">
        <is>
          <t>No — non-oceangoing</t>
        </is>
      </c>
      <c r="C56" s="26" t="inlineStr">
        <is>
          <t>Excluded</t>
        </is>
      </c>
    </row>
    <row r="57" ht="10" customHeight="1">
      <c r="A57" s="30" t="inlineStr">
        <is>
          <t>Boats</t>
        </is>
      </c>
      <c r="B57" s="30" t="inlineStr">
        <is>
          <t>No — under 65 ft</t>
        </is>
      </c>
      <c r="C57" s="26" t="inlineStr">
        <is>
          <t>USCG — excluded</t>
        </is>
      </c>
    </row>
    <row r="58" ht="10" customHeight="1"/>
    <row r="59" ht="10" customHeight="1">
      <c r="A59" s="49" t="inlineStr">
        <is>
          <t>SAM Vessel Type Exclusions</t>
        </is>
      </c>
      <c r="B59" s="39" t="n"/>
      <c r="C59" s="39" t="n"/>
    </row>
    <row r="60" ht="10" customHeight="1">
      <c r="A60" s="29" t="inlineStr">
        <is>
          <t>Vessel Type</t>
        </is>
      </c>
      <c r="B60" s="29" t="inlineStr">
        <is>
          <t>Reason</t>
        </is>
      </c>
      <c r="C60" s="29" t="inlineStr">
        <is>
          <t>Notes</t>
        </is>
      </c>
    </row>
    <row r="61" ht="10" customHeight="1">
      <c r="A61" s="30" t="inlineStr">
        <is>
          <t>Submarines</t>
        </is>
      </c>
      <c r="B61" s="30" t="inlineStr">
        <is>
          <t>Nuclear-only yards — only two US facilities can build nuclear submarines</t>
        </is>
      </c>
      <c r="C61" s="26" t="inlineStr">
        <is>
          <t>Electric Boat (CT) and Newport News (VA)</t>
        </is>
      </c>
    </row>
    <row r="62" ht="10" customHeight="1">
      <c r="A62" s="30" t="inlineStr">
        <is>
          <t>Aircraft Carriers</t>
        </is>
      </c>
      <c r="B62" s="30" t="inlineStr">
        <is>
          <t>Newport News monopoly — single-source production</t>
        </is>
      </c>
      <c r="C62" s="26" t="inlineStr">
        <is>
          <t>Huntington Ingalls Industries</t>
        </is>
      </c>
    </row>
    <row r="63" ht="10" customHeight="1">
      <c r="A63" s="30" t="inlineStr">
        <is>
          <t>Unmanned Undersea Vehicles</t>
        </is>
      </c>
      <c r="B63" s="30" t="inlineStr">
        <is>
          <t>Specialized programs with limited competition</t>
        </is>
      </c>
    </row>
    <row r="64" ht="10" customHeight="1"/>
    <row r="65" ht="10" customHeight="1">
      <c r="A65" s="27" t="inlineStr">
        <is>
          <t>Work Type Buckets (1–7)</t>
        </is>
      </c>
      <c r="B65" s="28" t="n"/>
      <c r="C65" s="28" t="n"/>
    </row>
    <row r="66" ht="10" customHeight="1">
      <c r="A66" s="26" t="inlineStr">
        <is>
          <t>Seven-bucket taxonomy classifying all types of work performed on vessels, from new construction through end-of-life support</t>
        </is>
      </c>
    </row>
    <row r="67" ht="10" customHeight="1">
      <c r="A67" s="29" t="inlineStr">
        <is>
          <t>Bucket</t>
        </is>
      </c>
      <c r="B67" s="29" t="inlineStr">
        <is>
          <t>Description</t>
        </is>
      </c>
      <c r="C67" s="29" t="inlineStr">
        <is>
          <t>Budget Anchors / Keywords</t>
        </is>
      </c>
    </row>
    <row r="68" ht="10" customHeight="1">
      <c r="A68" s="30" t="inlineStr">
        <is>
          <t>1 — New Construction</t>
        </is>
      </c>
      <c r="B68" s="30" t="inlineStr">
        <is>
          <t>Design, construction, and delivery of new vessels from detail design through sea trials.</t>
        </is>
      </c>
      <c r="C68" s="26" t="inlineStr">
        <is>
          <t>SCN (Navy), PC&amp;I (USCG). Keywords: DD&amp;C, LLTM, advance procurement.</t>
        </is>
      </c>
    </row>
    <row r="69" ht="10" customHeight="1">
      <c r="A69" s="30" t="inlineStr">
        <is>
          <t>2 — Scheduled Depot Maintenance &amp; Repair</t>
        </is>
      </c>
      <c r="B69" s="30" t="inlineStr">
        <is>
          <t>Planned depot-level work to restore/sustain material condition during CNO-scheduled availabilities.</t>
        </is>
      </c>
      <c r="C69" s="26" t="inlineStr">
        <is>
          <t>O&amp;M,N SAG 1B4B Ship Depot Maintenance. Keywords: DSRA, SRA, DPMA, PMA, PIA, ROH, drydock.</t>
        </is>
      </c>
    </row>
    <row r="70" ht="10" customHeight="1">
      <c r="A70" s="30" t="inlineStr">
        <is>
          <t>3 — Continuous / Intermediate / Emergent Maintenance</t>
        </is>
      </c>
      <c r="B70" s="30" t="inlineStr">
        <is>
          <t>Shorter-duration, intermediate-level, continuous, and emergent/casualty work outside the depot event.</t>
        </is>
      </c>
      <c r="C70" s="26" t="inlineStr">
        <is>
          <t>Keywords: CMAV, WOO, EM, emergent, casualty repair, voyage repair, dockside.</t>
        </is>
      </c>
    </row>
    <row r="71" ht="10" customHeight="1">
      <c r="A71" s="30" t="inlineStr">
        <is>
          <t>4 — Modernization &amp; Alteration Installation</t>
        </is>
      </c>
      <c r="B71" s="30" t="inlineStr">
        <is>
          <t>Work that changes configuration or adds capability beyond restore-only repair. Funded primarily through procurement.</t>
        </is>
      </c>
      <c r="C71" s="26" t="inlineStr">
        <is>
          <t>OPN P-40 line items (DDG Mod, CG Mod, LCS Mod). Keywords: SHIPALT, ORDALT, tech refresh, backfit.</t>
        </is>
      </c>
    </row>
    <row r="72" ht="10" customHeight="1">
      <c r="A72" s="30" t="inlineStr">
        <is>
          <t>5 — Major Life-Cycle Events / SLEP / MMA / RCOH</t>
        </is>
      </c>
      <c r="B72" s="30" t="inlineStr">
        <is>
          <t>Multi-year platform- or class-scale recapitalization that gets its own budget line.</t>
        </is>
      </c>
      <c r="C72" s="26" t="inlineStr">
        <is>
          <t>Keywords: RCOH, EOH, SLEP, MMA, midlife. Separate from routine depot maintenance (Bucket 2).</t>
        </is>
      </c>
    </row>
    <row r="73" ht="10" customHeight="1">
      <c r="A73" s="30" t="inlineStr">
        <is>
          <t>6 — Sustainment Engineering / Planning / Obsolescence</t>
        </is>
      </c>
      <c r="B73" s="30" t="inlineStr">
        <is>
          <t>Engineering, planning, DMSMS/obsolescence, and program support for in-service vessels.</t>
        </is>
      </c>
      <c r="C73" s="26" t="inlineStr">
        <is>
          <t>O&amp;M,N SAG 1B5B Ship Depot Ops Support; OPN spares (BA08). Keywords: SETA, DMSMS, survey &amp; design.</t>
        </is>
      </c>
    </row>
    <row r="74" ht="10" customHeight="1">
      <c r="A74" s="30" t="inlineStr">
        <is>
          <t>7 — Availability Support / Husbanding / Port Services</t>
        </is>
      </c>
      <c r="B74" s="30" t="inlineStr">
        <is>
          <t>Services that enable repair/modernization but are not themselves repair or upgrade work.</t>
        </is>
      </c>
      <c r="C74" s="26" t="inlineStr">
        <is>
          <t>Keywords: husbanding, pilot, tug, berthing, crane, shore power, scaffolding, environmental.</t>
        </is>
      </c>
    </row>
    <row r="75" ht="10" customHeight="1"/>
    <row r="76" ht="10" customHeight="1">
      <c r="A76" s="49" t="inlineStr">
        <is>
          <t>Bucket 1 Sub-Categories</t>
        </is>
      </c>
      <c r="B76" s="39" t="n"/>
      <c r="C76" s="39" t="n"/>
    </row>
    <row r="77" ht="10" customHeight="1">
      <c r="A77" s="29" t="inlineStr">
        <is>
          <t>Sub-Category</t>
        </is>
      </c>
      <c r="B77" s="29" t="inlineStr">
        <is>
          <t>Description</t>
        </is>
      </c>
      <c r="C77" s="29" t="inlineStr">
        <is>
          <t>Examples</t>
        </is>
      </c>
    </row>
    <row r="78" ht="10" customHeight="1">
      <c r="A78" s="30" t="inlineStr">
        <is>
          <t>Full ship DD&amp;C</t>
        </is>
      </c>
      <c r="B78" s="30" t="inlineStr">
        <is>
          <t>Detail design and construction of a complete vessel.</t>
        </is>
      </c>
      <c r="C78" s="26" t="inlineStr">
        <is>
          <t>DDG-51, FFG-62, CVN-79, LPD, LHA, T-AO, OPC, FRC, PSC</t>
        </is>
      </c>
    </row>
    <row r="79" ht="10" customHeight="1">
      <c r="A79" s="30" t="inlineStr">
        <is>
          <t>Advance procurement / LLTM</t>
        </is>
      </c>
      <c r="B79" s="30" t="inlineStr">
        <is>
          <t>Long-lead time material and advance procurement funded 1–2 years ahead of DD&amp;C.</t>
        </is>
      </c>
      <c r="C79" s="26" t="inlineStr">
        <is>
          <t>Reactor components, propulsion equipment, combat system long-lead items</t>
        </is>
      </c>
    </row>
    <row r="80" ht="10" customHeight="1">
      <c r="A80" s="30" t="inlineStr">
        <is>
          <t>Construction engineering / planning yard</t>
        </is>
      </c>
      <c r="B80" s="30" t="inlineStr">
        <is>
          <t>Lead yard support, planning yard services, and design completion work.</t>
        </is>
      </c>
      <c r="C80" s="26" t="inlineStr">
        <is>
          <t>EB submarine planning yard, Columbia design completion</t>
        </is>
      </c>
    </row>
    <row r="81" ht="10" customHeight="1">
      <c r="A81" s="30" t="inlineStr">
        <is>
          <t>GFE / combat systems for newbuild</t>
        </is>
      </c>
      <c r="B81" s="30" t="inlineStr">
        <is>
          <t>Government-furnished equipment / combat systems procured separately from hull construction (via OPN or RDT&amp;E).</t>
        </is>
      </c>
      <c r="C81" s="26" t="inlineStr">
        <is>
          <t>Funded through OPN, not SCN — but supports new construction</t>
        </is>
      </c>
    </row>
    <row r="82" ht="10" customHeight="1"/>
    <row r="83" ht="10" customHeight="1">
      <c r="A83" s="49" t="inlineStr">
        <is>
          <t>Bucket 2–7 Sub-Categories</t>
        </is>
      </c>
      <c r="B83" s="39" t="n"/>
      <c r="C83" s="39" t="n"/>
    </row>
    <row r="84" ht="10" customHeight="1">
      <c r="A84" s="29" t="inlineStr">
        <is>
          <t>Sub-Category</t>
        </is>
      </c>
      <c r="B84" s="29" t="inlineStr">
        <is>
          <t>Description</t>
        </is>
      </c>
      <c r="C84" s="29" t="inlineStr">
        <is>
          <t>Coverage</t>
        </is>
      </c>
    </row>
    <row r="85" ht="10" customHeight="1">
      <c r="A85" s="30" t="inlineStr">
        <is>
          <t>Bkt 2: Scheduled Depot Maintenance</t>
        </is>
      </c>
      <c r="B85" s="30" t="inlineStr">
        <is>
          <t>CNO-scheduled depot-level maintenance availabilities.</t>
        </is>
      </c>
      <c r="C85" s="26" t="inlineStr">
        <is>
          <t>113 rows</t>
        </is>
      </c>
    </row>
    <row r="86" ht="10" customHeight="1">
      <c r="A86" s="30" t="inlineStr">
        <is>
          <t>Bkt 2: Ship Availability</t>
        </is>
      </c>
      <c r="B86" s="30" t="inlineStr">
        <is>
          <t>Ship availability periods for maintenance and repair work.</t>
        </is>
      </c>
      <c r="C86" s="26" t="inlineStr">
        <is>
          <t>105 rows</t>
        </is>
      </c>
    </row>
    <row r="87" ht="10" customHeight="1">
      <c r="A87" s="30" t="inlineStr">
        <is>
          <t>Bkt 4: GFE / combat systems</t>
        </is>
      </c>
      <c r="B87" s="30" t="inlineStr">
        <is>
          <t>Government-furnished equipment and combat system modernization.</t>
        </is>
      </c>
      <c r="C87" s="26" t="inlineStr">
        <is>
          <t>Shared with Bucket 1</t>
        </is>
      </c>
    </row>
    <row r="88" ht="10" customHeight="1">
      <c r="A88" s="30" t="inlineStr">
        <is>
          <t>Bkt 5: RCOH</t>
        </is>
      </c>
      <c r="B88" s="30" t="inlineStr">
        <is>
          <t>Refueling Complex Overhaul — multi-year nuclear carrier recapitalization.</t>
        </is>
      </c>
      <c r="C88" s="26" t="inlineStr">
        <is>
          <t>187 rows</t>
        </is>
      </c>
    </row>
    <row r="89" ht="10" customHeight="1">
      <c r="A89" s="30" t="inlineStr">
        <is>
          <t>Bkt 5: SLEP</t>
        </is>
      </c>
      <c r="B89" s="30" t="inlineStr">
        <is>
          <t>Service Life Extension Program — extends platform beyond original design life.</t>
        </is>
      </c>
      <c r="C89" s="26" t="inlineStr">
        <is>
          <t>6 rows</t>
        </is>
      </c>
    </row>
    <row r="90" ht="10" customHeight="1">
      <c r="A90" s="30" t="inlineStr">
        <is>
          <t>Bkt 6: Sustainment Eng. — spares</t>
        </is>
      </c>
      <c r="B90" s="30" t="inlineStr">
        <is>
          <t>Spare parts procurement for sustainment engineering and obsolescence (OPN BA08).</t>
        </is>
      </c>
      <c r="C90" s="26" t="inlineStr">
        <is>
          <t>14 rows</t>
        </is>
      </c>
    </row>
    <row r="91" ht="10" customHeight="1">
      <c r="A91" s="30" t="inlineStr">
        <is>
          <t>Bkt 7: Availability Support</t>
        </is>
      </c>
      <c r="B91" s="30" t="inlineStr">
        <is>
          <t>Services enabling repair/mod — husbanding, port services, crane, scaffolding.</t>
        </is>
      </c>
      <c r="C91" s="26" t="inlineStr">
        <is>
          <t>76 rows</t>
        </is>
      </c>
    </row>
    <row r="92" ht="10" customHeight="1">
      <c r="A92" s="30" t="inlineStr">
        <is>
          <t>Other: Full vessel procurement</t>
        </is>
      </c>
      <c r="B92" s="30" t="inlineStr">
        <is>
          <t>USCG full vessel procurement — equivalent to Full ship DD&amp;C for Coast Guard.</t>
        </is>
      </c>
      <c r="C92" s="26" t="inlineStr">
        <is>
          <t>6 rows</t>
        </is>
      </c>
    </row>
    <row r="93" ht="10" customHeight="1">
      <c r="A93" s="30" t="inlineStr">
        <is>
          <t>Other: Full ship DD&amp;C / LLTM</t>
        </is>
      </c>
      <c r="B93" s="30" t="inlineStr">
        <is>
          <t>Combined full ship construction and long-lead time material in a single line item.</t>
        </is>
      </c>
      <c r="C93" s="26" t="inlineStr">
        <is>
          <t>3 rows</t>
        </is>
      </c>
    </row>
    <row r="94" ht="10" customHeight="1"/>
    <row r="95" ht="10" customHeight="1">
      <c r="A95" s="49" t="inlineStr">
        <is>
          <t>Composite Bucket Values</t>
        </is>
      </c>
      <c r="B95" s="39" t="n"/>
      <c r="C95" s="39" t="n"/>
    </row>
    <row r="96" ht="10" customHeight="1">
      <c r="A96" s="30" t="inlineStr">
        <is>
          <t>Multi-bucket line items</t>
        </is>
      </c>
      <c r="B96" s="30" t="inlineStr">
        <is>
          <t>Some line items span multiple work types. Bucket value uses a delimiter (pipe, comma, or slash): 2|3, 2,3, 2/4, 4/6, 1,4,5.</t>
        </is>
      </c>
      <c r="C96" s="26" t="inlineStr">
        <is>
          <t>Correctly excluded from per-bucket TAM sums (SUMPRODUCT checks fail on composite strings).</t>
        </is>
      </c>
    </row>
    <row r="97" ht="10" customHeight="1">
      <c r="A97" s="30" t="inlineStr">
        <is>
          <t>TAM impact</t>
        </is>
      </c>
      <c r="B97" s="30" t="inlineStr">
        <is>
          <t>Composite-bucket rows excluded from TAM-by-work-type pivot because SUMPRODUCT checks D=1, D=2, etc. — a string like "2|3" fails all single-integer tests.</t>
        </is>
      </c>
      <c r="C97" s="26" t="inlineStr">
        <is>
          <t>To capture, filter Bucket for non-integer values.</t>
        </is>
      </c>
    </row>
    <row r="98" ht="10" customHeight="1"/>
    <row r="99" ht="10" customHeight="1">
      <c r="A99" s="27" t="inlineStr">
        <is>
          <t>Vessel Taxonomy</t>
        </is>
      </c>
      <c r="B99" s="28" t="n"/>
      <c r="C99" s="28" t="n"/>
    </row>
    <row r="100" ht="10" customHeight="1">
      <c r="A100" s="26" t="inlineStr">
        <is>
          <t>Four-column hierarchy: Vessel Service → Category → Type → Hull. Each column progressively more specific. All 4 may be populated or only broader levels.</t>
        </is>
      </c>
    </row>
    <row r="101" ht="10" customHeight="1"/>
    <row r="102" ht="10" customHeight="1">
      <c r="A102" s="49" t="inlineStr">
        <is>
          <t>USN — United States Navy</t>
        </is>
      </c>
      <c r="B102" s="39" t="n"/>
      <c r="C102" s="39" t="n"/>
    </row>
    <row r="103" ht="10" customHeight="1">
      <c r="A103" s="26" t="inlineStr">
        <is>
          <t>Commissioned warships and support craft with Navy crews.</t>
        </is>
      </c>
    </row>
    <row r="104" ht="10" customHeight="1"/>
    <row r="105" ht="10" customHeight="1">
      <c r="A105" s="49" t="inlineStr">
        <is>
          <t>Combatant Ships (TAM scope)</t>
        </is>
      </c>
      <c r="B105" s="39" t="n"/>
      <c r="C105" s="39" t="n"/>
    </row>
    <row r="106" ht="10" customHeight="1">
      <c r="A106" s="26" t="inlineStr">
        <is>
          <t>Warships and other combatant vessels — the core fighting and logistics fleet.</t>
        </is>
      </c>
    </row>
    <row r="107" ht="10" customHeight="1">
      <c r="A107" s="29" t="inlineStr">
        <is>
          <t>Type</t>
        </is>
      </c>
      <c r="B107" s="29" t="inlineStr">
        <is>
          <t>Description</t>
        </is>
      </c>
      <c r="C107" s="29" t="inlineStr">
        <is>
          <t>Hull Designators</t>
        </is>
      </c>
    </row>
    <row r="108" ht="10" customHeight="1">
      <c r="A108" s="30" t="inlineStr">
        <is>
          <t>Aircraft Carriers</t>
        </is>
      </c>
      <c r="B108" s="30" t="inlineStr">
        <is>
          <t>Nuclear-powered aircraft carriers</t>
        </is>
      </c>
      <c r="C108" s="26" t="inlineStr">
        <is>
          <t>CVN</t>
        </is>
      </c>
    </row>
    <row r="109" ht="10" customHeight="1">
      <c r="A109" s="30" t="inlineStr">
        <is>
          <t>Surface Combatants</t>
        </is>
      </c>
      <c r="B109" s="30" t="inlineStr">
        <is>
          <t>Guided-missile cruisers, destroyers, frigates, littoral combat ships</t>
        </is>
      </c>
      <c r="C109" s="26" t="inlineStr">
        <is>
          <t>CG, DDG, FFG, LCS</t>
        </is>
      </c>
    </row>
    <row r="110" ht="10" customHeight="1">
      <c r="A110" s="30" t="inlineStr">
        <is>
          <t>Submarines</t>
        </is>
      </c>
      <c r="B110" s="30" t="inlineStr">
        <is>
          <t>Attack submarines, ballistic missile submarines, guided-missile submarines</t>
        </is>
      </c>
      <c r="C110" s="26" t="inlineStr">
        <is>
          <t>SSN, SSBN, SSGN</t>
        </is>
      </c>
    </row>
    <row r="111" ht="10" customHeight="1">
      <c r="A111" s="30" t="inlineStr">
        <is>
          <t>Amphibious Warfare Ships</t>
        </is>
      </c>
      <c r="B111" s="30" t="inlineStr">
        <is>
          <t>Amphibious assault ships and transport docks</t>
        </is>
      </c>
      <c r="C111" s="26" t="inlineStr">
        <is>
          <t>LHA, LHD, LPD, LSD</t>
        </is>
      </c>
    </row>
    <row r="112" ht="10" customHeight="1">
      <c r="A112" s="30" t="inlineStr">
        <is>
          <t>Mine Warfare</t>
        </is>
      </c>
      <c r="B112" s="30" t="inlineStr">
        <is>
          <t>Mine countermeasure ships</t>
        </is>
      </c>
      <c r="C112" s="26" t="inlineStr">
        <is>
          <t>MCM</t>
        </is>
      </c>
    </row>
    <row r="113" ht="10" customHeight="1">
      <c r="A113" s="30" t="inlineStr">
        <is>
          <t>Combat Logistics Ships</t>
        </is>
      </c>
      <c r="B113" s="30" t="inlineStr">
        <is>
          <t>Oilers, ammunition ships, dry cargo/ammunition ships</t>
        </is>
      </c>
      <c r="C113" s="26" t="inlineStr">
        <is>
          <t>AO, AOE, AOL, AKE</t>
        </is>
      </c>
    </row>
    <row r="114" ht="10" customHeight="1">
      <c r="A114" s="30" t="inlineStr">
        <is>
          <t>Command Ships</t>
        </is>
      </c>
      <c r="B114" s="30" t="inlineStr">
        <is>
          <t>Afloat command and control platforms</t>
        </is>
      </c>
      <c r="C114" s="26" t="inlineStr">
        <is>
          <t>LCC</t>
        </is>
      </c>
    </row>
    <row r="115" ht="10" customHeight="1">
      <c r="A115" s="30" t="inlineStr">
        <is>
          <t>Material Support Ships</t>
        </is>
      </c>
      <c r="B115" s="30" t="inlineStr">
        <is>
          <t>Submarine tenders</t>
        </is>
      </c>
      <c r="C115" s="26" t="inlineStr">
        <is>
          <t>AS</t>
        </is>
      </c>
    </row>
    <row r="116" ht="10" customHeight="1">
      <c r="A116" s="30" t="inlineStr">
        <is>
          <t>Surveillance Ships</t>
        </is>
      </c>
      <c r="B116" s="30" t="inlineStr">
        <is>
          <t>Ocean surveillance ships</t>
        </is>
      </c>
      <c r="C116" s="26" t="inlineStr">
        <is>
          <t>AGOS</t>
        </is>
      </c>
    </row>
    <row r="117" ht="10" customHeight="1">
      <c r="A117" s="30" t="inlineStr">
        <is>
          <t>Salvage Ships &amp; Fleet Ocean Tugs</t>
        </is>
      </c>
      <c r="B117" s="30" t="inlineStr">
        <is>
          <t>Rescue/salvage ships and fleet tugs</t>
        </is>
      </c>
      <c r="C117" s="26" t="inlineStr">
        <is>
          <t>ARS, ATF, ATS</t>
        </is>
      </c>
    </row>
    <row r="118" ht="10" customHeight="1">
      <c r="A118" s="30" t="inlineStr">
        <is>
          <t>Expeditionary &amp; Seabasing Ships</t>
        </is>
      </c>
      <c r="B118" s="30" t="inlineStr">
        <is>
          <t>Expeditionary fast transports, sea bases, medium landing ships</t>
        </is>
      </c>
      <c r="C118" s="26" t="inlineStr">
        <is>
          <t>EPF, ESB, ESD, LSM</t>
        </is>
      </c>
    </row>
    <row r="119" ht="10" customHeight="1"/>
    <row r="120" ht="10" customHeight="1">
      <c r="A120" s="49" t="inlineStr">
        <is>
          <t>Auxiliary Ships (TAM scope)</t>
        </is>
      </c>
      <c r="B120" s="39" t="n"/>
      <c r="C120" s="39" t="n"/>
    </row>
    <row r="121" ht="10" customHeight="1">
      <c r="A121" s="26" t="inlineStr">
        <is>
          <t>Non-combatant support vessels — research, cargo, hospital, special-purpose.</t>
        </is>
      </c>
    </row>
    <row r="122" ht="10" customHeight="1">
      <c r="A122" s="29" t="inlineStr">
        <is>
          <t>Type</t>
        </is>
      </c>
      <c r="B122" s="29" t="inlineStr">
        <is>
          <t>Description</t>
        </is>
      </c>
      <c r="C122" s="29" t="inlineStr">
        <is>
          <t>Hull Designators</t>
        </is>
      </c>
    </row>
    <row r="123" ht="10" customHeight="1">
      <c r="A123" s="30" t="inlineStr">
        <is>
          <t>Crane Ship</t>
        </is>
      </c>
      <c r="B123" s="30" t="inlineStr">
        <is>
          <t>Floating crane ship</t>
        </is>
      </c>
      <c r="C123" s="26" t="inlineStr">
        <is>
          <t>ACS</t>
        </is>
      </c>
    </row>
    <row r="124" ht="10" customHeight="1">
      <c r="A124" s="30" t="inlineStr">
        <is>
          <t>General Auxiliary</t>
        </is>
      </c>
      <c r="B124" s="30" t="inlineStr">
        <is>
          <t>Multi-purpose auxiliary vessels</t>
        </is>
      </c>
      <c r="C124" s="26" t="inlineStr">
        <is>
          <t>AG</t>
        </is>
      </c>
    </row>
    <row r="125" ht="10" customHeight="1">
      <c r="A125" s="30" t="inlineStr">
        <is>
          <t>Research, Survey &amp; Instrumentation Ships</t>
        </is>
      </c>
      <c r="B125" s="30" t="inlineStr">
        <is>
          <t>Oceanographic and survey ships</t>
        </is>
      </c>
      <c r="C125" s="26" t="inlineStr">
        <is>
          <t>AGM, AGOR, AGS</t>
        </is>
      </c>
    </row>
    <row r="126" ht="10" customHeight="1">
      <c r="A126" s="30" t="inlineStr">
        <is>
          <t>Hospital Ship</t>
        </is>
      </c>
      <c r="B126" s="30" t="inlineStr">
        <is>
          <t>Hospital ships</t>
        </is>
      </c>
      <c r="C126" s="26" t="inlineStr">
        <is>
          <t>AH</t>
        </is>
      </c>
    </row>
    <row r="127" ht="10" customHeight="1">
      <c r="A127" s="30" t="inlineStr">
        <is>
          <t>Cargo &amp; Vehicle Cargo Ships</t>
        </is>
      </c>
      <c r="B127" s="30" t="inlineStr">
        <is>
          <t>Cargo and vehicle transport ships</t>
        </is>
      </c>
      <c r="C127" s="26" t="inlineStr">
        <is>
          <t>AK, AKR</t>
        </is>
      </c>
    </row>
    <row r="128" ht="10" customHeight="1">
      <c r="A128" s="30" t="inlineStr">
        <is>
          <t>Transport Oiler</t>
        </is>
      </c>
      <c r="B128" s="30" t="inlineStr">
        <is>
          <t>Transport oilers</t>
        </is>
      </c>
      <c r="C128" s="26" t="inlineStr">
        <is>
          <t>AOT</t>
        </is>
      </c>
    </row>
    <row r="129" ht="10" customHeight="1">
      <c r="A129" s="30" t="inlineStr">
        <is>
          <t>Cable Repairing Ship</t>
        </is>
      </c>
      <c r="B129" s="30" t="inlineStr">
        <is>
          <t>Submarine cable repair ships</t>
        </is>
      </c>
      <c r="C129" s="26" t="inlineStr">
        <is>
          <t>ARC</t>
        </is>
      </c>
    </row>
    <row r="130" ht="10" customHeight="1">
      <c r="A130" s="30" t="inlineStr">
        <is>
          <t>Aviation Logistics Support Ship</t>
        </is>
      </c>
      <c r="B130" s="30" t="inlineStr">
        <is>
          <t>Aviation support ships</t>
        </is>
      </c>
      <c r="C130" s="26" t="inlineStr">
        <is>
          <t>AVB</t>
        </is>
      </c>
    </row>
    <row r="131" ht="10" customHeight="1">
      <c r="A131" s="30" t="inlineStr">
        <is>
          <t>High Speed Transport</t>
        </is>
      </c>
      <c r="B131" s="30" t="inlineStr">
        <is>
          <t>High speed transports</t>
        </is>
      </c>
      <c r="C131" s="26" t="inlineStr">
        <is>
          <t>HST</t>
        </is>
      </c>
    </row>
    <row r="132" ht="10" customHeight="1">
      <c r="A132" s="30" t="inlineStr">
        <is>
          <t>Submarine Escort Ship</t>
        </is>
      </c>
      <c r="B132" s="30" t="inlineStr">
        <is>
          <t>Submarine escort/support vessels</t>
        </is>
      </c>
      <c r="C132" s="26" t="inlineStr">
        <is>
          <t>AGSE</t>
        </is>
      </c>
    </row>
    <row r="133" ht="10" customHeight="1">
      <c r="A133" s="30" t="inlineStr">
        <is>
          <t>USS Constitution</t>
        </is>
      </c>
      <c r="B133" s="30" t="inlineStr">
        <is>
          <t>Historic warship — not operationally classified</t>
        </is>
      </c>
      <c r="C133" s="26" t="inlineStr">
        <is>
          <t>—</t>
        </is>
      </c>
    </row>
    <row r="134" ht="10" customHeight="1"/>
    <row r="135" ht="10" customHeight="1">
      <c r="A135" s="49" t="inlineStr">
        <is>
          <t>Combatant Crafts (excluded from TAM)</t>
        </is>
      </c>
      <c r="B135" s="39" t="n"/>
      <c r="C135" s="39" t="n"/>
    </row>
    <row r="136" ht="10" customHeight="1">
      <c r="A136" s="26" t="inlineStr">
        <is>
          <t>Smaller combatant craft — patrol, landing, and special warfare.</t>
        </is>
      </c>
    </row>
    <row r="137" ht="10" customHeight="1">
      <c r="A137" s="29" t="inlineStr">
        <is>
          <t>Type</t>
        </is>
      </c>
      <c r="B137" s="29" t="inlineStr">
        <is>
          <t>Description</t>
        </is>
      </c>
      <c r="C137" s="29" t="inlineStr">
        <is>
          <t>Hull Designators</t>
        </is>
      </c>
    </row>
    <row r="138" ht="10" customHeight="1">
      <c r="A138" s="30" t="inlineStr">
        <is>
          <t>Patrol Combatant</t>
        </is>
      </c>
      <c r="B138" s="30" t="inlineStr">
        <is>
          <t>Coastal patrol craft</t>
        </is>
      </c>
      <c r="C138" s="26" t="inlineStr">
        <is>
          <t>PC</t>
        </is>
      </c>
    </row>
    <row r="139" ht="10" customHeight="1">
      <c r="A139" s="30" t="inlineStr">
        <is>
          <t>Amphibious Warfare Craft</t>
        </is>
      </c>
      <c r="B139" s="30" t="inlineStr">
        <is>
          <t>Landing craft — air cushion and utility</t>
        </is>
      </c>
      <c r="C139" s="26" t="inlineStr">
        <is>
          <t>LCAC, LCU</t>
        </is>
      </c>
    </row>
    <row r="140" ht="10" customHeight="1">
      <c r="A140" s="30" t="inlineStr">
        <is>
          <t>Patrol Boats</t>
        </is>
      </c>
      <c r="B140" s="30" t="inlineStr">
        <is>
          <t>Various patrol boats by length</t>
        </is>
      </c>
      <c r="C140" s="26" t="inlineStr">
        <is>
          <t>36PB, 64PB, 87PB</t>
        </is>
      </c>
    </row>
    <row r="141" ht="10" customHeight="1">
      <c r="A141" s="30" t="inlineStr">
        <is>
          <t>Special Warfare Craft</t>
        </is>
      </c>
      <c r="B141" s="30" t="inlineStr">
        <is>
          <t>Naval Special Warfare craft and swimmer delivery vehicles</t>
        </is>
      </c>
      <c r="C141" s="26" t="inlineStr">
        <is>
          <t>DSB, CCA, CCM, CCH, NSW RHIB, SDV, SWCS, SSC</t>
        </is>
      </c>
    </row>
    <row r="142" ht="10" customHeight="1"/>
    <row r="143" ht="10" customHeight="1">
      <c r="A143" s="49" t="inlineStr">
        <is>
          <t>Unmanned Maritime Platforms (TAM scope)</t>
        </is>
      </c>
      <c r="B143" s="39" t="n"/>
      <c r="C143" s="39" t="n"/>
    </row>
    <row r="144" ht="10" customHeight="1">
      <c r="A144" s="26" t="inlineStr">
        <is>
          <t>Unmanned surface and undersea vehicles.</t>
        </is>
      </c>
    </row>
    <row r="145" ht="10" customHeight="1">
      <c r="A145" s="29" t="inlineStr">
        <is>
          <t>Type</t>
        </is>
      </c>
      <c r="B145" s="29" t="inlineStr">
        <is>
          <t>Description</t>
        </is>
      </c>
      <c r="C145" s="29" t="inlineStr">
        <is>
          <t>Hull Designators</t>
        </is>
      </c>
    </row>
    <row r="146" ht="10" customHeight="1">
      <c r="A146" s="30" t="inlineStr">
        <is>
          <t>Unmanned Surface Vehicles</t>
        </is>
      </c>
      <c r="B146" s="30" t="inlineStr">
        <is>
          <t>Large, medium, small, and very small USVs</t>
        </is>
      </c>
      <c r="C146" s="26" t="inlineStr">
        <is>
          <t>LUSV, MUSV, SUSV, VSUSV</t>
        </is>
      </c>
    </row>
    <row r="147" ht="10" customHeight="1">
      <c r="A147" s="30" t="inlineStr">
        <is>
          <t>Unmanned Undersea Vehicles</t>
        </is>
      </c>
      <c r="B147" s="30" t="inlineStr">
        <is>
          <t>Extra-large, large, medium, and small UUVs</t>
        </is>
      </c>
      <c r="C147" s="26" t="inlineStr">
        <is>
          <t>XLUUV, LUUV, MUUV, SUUV</t>
        </is>
      </c>
    </row>
    <row r="148" ht="10" customHeight="1"/>
    <row r="149" ht="10" customHeight="1">
      <c r="A149" s="49" t="inlineStr">
        <is>
          <t>Support Crafts (excluded from TAM)</t>
        </is>
      </c>
      <c r="B149" s="39" t="n"/>
      <c r="C149" s="39" t="n"/>
    </row>
    <row r="150" ht="10" customHeight="1">
      <c r="A150" s="26" t="inlineStr">
        <is>
          <t>Yard craft, barges, tugs, and harbor support vessels.</t>
        </is>
      </c>
    </row>
    <row r="151" ht="10" customHeight="1">
      <c r="A151" s="29" t="inlineStr">
        <is>
          <t>Type</t>
        </is>
      </c>
      <c r="B151" s="29" t="inlineStr">
        <is>
          <t>Description</t>
        </is>
      </c>
      <c r="C151" s="29" t="inlineStr">
        <is>
          <t>Hull Designators</t>
        </is>
      </c>
    </row>
    <row r="152" ht="10" customHeight="1">
      <c r="A152" s="30" t="inlineStr">
        <is>
          <t>Dry Docks</t>
        </is>
      </c>
      <c r="B152" s="30" t="inlineStr">
        <is>
          <t>Floating dry docks</t>
        </is>
      </c>
      <c r="C152" s="26" t="inlineStr">
        <is>
          <t>AFDL, ARDM, AFDM</t>
        </is>
      </c>
    </row>
    <row r="153" ht="10" customHeight="1">
      <c r="A153" s="30" t="inlineStr">
        <is>
          <t>Harbor Tugs</t>
        </is>
      </c>
      <c r="B153" s="30" t="inlineStr">
        <is>
          <t>Yard and harbor tugboats</t>
        </is>
      </c>
      <c r="C153" s="26" t="inlineStr">
        <is>
          <t>YT, YTB, YTL</t>
        </is>
      </c>
    </row>
    <row r="154" ht="10" customHeight="1">
      <c r="A154" s="30" t="inlineStr">
        <is>
          <t>Lighters &amp; Barges</t>
        </is>
      </c>
      <c r="B154" s="30" t="inlineStr">
        <is>
          <t>Non-self-propelled barges and lighters</t>
        </is>
      </c>
      <c r="C154" s="26" t="inlineStr">
        <is>
          <t>YC, YCV, YFN, YFNX, YFNB, YON, YOS, YWN, YWO</t>
        </is>
      </c>
    </row>
    <row r="155" ht="10" customHeight="1">
      <c r="A155" s="30" t="inlineStr">
        <is>
          <t>Other Craft, Self-Propelled</t>
        </is>
      </c>
      <c r="B155" s="30" t="inlineStr">
        <is>
          <t>Misc. self-propelled yard and special craft</t>
        </is>
      </c>
      <c r="C155" s="26" t="inlineStr">
        <is>
          <t>FSF, SBX, YFB, YP, YSD, YDT, YTT</t>
        </is>
      </c>
    </row>
    <row r="156" ht="10" customHeight="1">
      <c r="A156" s="30" t="inlineStr">
        <is>
          <t>Other Craft, Non-Self-Propelled</t>
        </is>
      </c>
      <c r="B156" s="30" t="inlineStr">
        <is>
          <t>Berthing barges, floating workshops, misc. non-propelled</t>
        </is>
      </c>
      <c r="C156" s="26" t="inlineStr">
        <is>
          <t>APL, YD, YFND, YFP, YR, YRB, YRBM, YRDH, YRDM, IX</t>
        </is>
      </c>
    </row>
    <row r="157" ht="10" customHeight="1">
      <c r="A157" s="30" t="inlineStr">
        <is>
          <t>Sealift Support Craft</t>
        </is>
      </c>
      <c r="B157" s="30" t="inlineStr">
        <is>
          <t>Sealift and marine pre-positioning support craft</t>
        </is>
      </c>
      <c r="C157" s="26" t="inlineStr">
        <is>
          <t>INLS, LCM 8, LARC V, MPF UB, OPDS UB</t>
        </is>
      </c>
    </row>
    <row r="158" ht="10" customHeight="1">
      <c r="A158" s="30" t="inlineStr">
        <is>
          <t>Ships Boats</t>
        </is>
      </c>
      <c r="B158" s="30" t="inlineStr">
        <is>
          <t>Motor rescue boats carried aboard ships</t>
        </is>
      </c>
      <c r="C158" s="26" t="inlineStr">
        <is>
          <t>5MRB, 7MRB, 11MRB</t>
        </is>
      </c>
    </row>
    <row r="159" ht="10" customHeight="1">
      <c r="A159" s="30" t="inlineStr">
        <is>
          <t>Shore-Based Harbor Security Boats</t>
        </is>
      </c>
      <c r="B159" s="30" t="inlineStr">
        <is>
          <t>Harbor security patrol boats</t>
        </is>
      </c>
      <c r="C159" s="26" t="inlineStr">
        <is>
          <t>27HS, 28HS, 32HS, 33HS, 11MHS, 35HS, 36HS</t>
        </is>
      </c>
    </row>
    <row r="160" ht="10" customHeight="1"/>
    <row r="161" ht="10" customHeight="1">
      <c r="A161" s="49" t="inlineStr">
        <is>
          <t>MSC — Military Sealift Command</t>
        </is>
      </c>
      <c r="B161" s="39" t="n"/>
      <c r="C161" s="39" t="n"/>
    </row>
    <row r="162" ht="10" customHeight="1">
      <c r="A162" s="26" t="inlineStr">
        <is>
          <t>Civilian-crewed ships using T- prefix (e.g., T-AO, T-AKE, T-EPF). Shares USN categories and types. Service column = MSC when hull starts with T-.</t>
        </is>
      </c>
    </row>
    <row r="163" ht="10" customHeight="1">
      <c r="A163" s="26" t="inlineStr">
        <is>
          <t>Examples: T-AO (Combat Logistics), T-AGOS (Surveillance), T-EPF (Expeditionary &amp; Seabasing)</t>
        </is>
      </c>
    </row>
    <row r="164" ht="10" customHeight="1"/>
    <row r="165" ht="10" customHeight="1">
      <c r="A165" s="49" t="inlineStr">
        <is>
          <t>USCG — United States Coast Guard</t>
        </is>
      </c>
      <c r="B165" s="39" t="n"/>
      <c r="C165" s="39" t="n"/>
    </row>
    <row r="166" ht="10" customHeight="1">
      <c r="A166" s="26" t="inlineStr">
        <is>
          <t>Cutters and boats. Part of DHS, not DoD.</t>
        </is>
      </c>
    </row>
    <row r="167" ht="10" customHeight="1"/>
    <row r="168" ht="10" customHeight="1">
      <c r="A168" s="49" t="inlineStr">
        <is>
          <t>Cutters (TAM scope)</t>
        </is>
      </c>
      <c r="B168" s="39" t="n"/>
      <c r="C168" s="39" t="n"/>
    </row>
    <row r="169" ht="10" customHeight="1">
      <c r="A169" s="26" t="inlineStr">
        <is>
          <t>Coast Guard cutters — 65 feet and larger.</t>
        </is>
      </c>
    </row>
    <row r="170" ht="10" customHeight="1">
      <c r="A170" s="29" t="inlineStr">
        <is>
          <t>Type</t>
        </is>
      </c>
      <c r="B170" s="29" t="inlineStr">
        <is>
          <t>Description</t>
        </is>
      </c>
      <c r="C170" s="29" t="inlineStr">
        <is>
          <t>Hull Designators</t>
        </is>
      </c>
    </row>
    <row r="171" ht="10" customHeight="1">
      <c r="A171" s="30" t="inlineStr">
        <is>
          <t>Icebreakers, Oceangoing</t>
        </is>
      </c>
      <c r="B171" s="30" t="inlineStr">
        <is>
          <t>Heavy polar icebreakers</t>
        </is>
      </c>
      <c r="C171" s="26" t="inlineStr">
        <is>
          <t>WAGB</t>
        </is>
      </c>
    </row>
    <row r="172" ht="10" customHeight="1">
      <c r="A172" s="30" t="inlineStr">
        <is>
          <t>Icebreakers, Great Lakes</t>
        </is>
      </c>
      <c r="B172" s="30" t="inlineStr">
        <is>
          <t>Great Lakes icebreaking cutters</t>
        </is>
      </c>
      <c r="C172" s="26" t="inlineStr">
        <is>
          <t>WLBB</t>
        </is>
      </c>
    </row>
    <row r="173" ht="10" customHeight="1">
      <c r="A173" s="30" t="inlineStr">
        <is>
          <t>National Security Cutters</t>
        </is>
      </c>
      <c r="B173" s="30" t="inlineStr">
        <is>
          <t>Legend-class national security cutters</t>
        </is>
      </c>
      <c r="C173" s="26" t="inlineStr">
        <is>
          <t>WMSL</t>
        </is>
      </c>
    </row>
    <row r="174" ht="10" customHeight="1">
      <c r="A174" s="30" t="inlineStr">
        <is>
          <t>High Endurance Cutters</t>
        </is>
      </c>
      <c r="B174" s="30" t="inlineStr">
        <is>
          <t>Hamilton-class high endurance cutters (retiring)</t>
        </is>
      </c>
      <c r="C174" s="26" t="inlineStr">
        <is>
          <t>WHEC</t>
        </is>
      </c>
    </row>
    <row r="175" ht="10" customHeight="1">
      <c r="A175" s="30" t="inlineStr">
        <is>
          <t>Medium Endurance Cutters</t>
        </is>
      </c>
      <c r="B175" s="30" t="inlineStr">
        <is>
          <t>270-foot and 210-foot medium endurance cutters</t>
        </is>
      </c>
      <c r="C175" s="26" t="inlineStr">
        <is>
          <t>WMEC</t>
        </is>
      </c>
    </row>
    <row r="176" ht="10" customHeight="1">
      <c r="A176" s="30" t="inlineStr">
        <is>
          <t>Offshore Patrol Cutter</t>
        </is>
      </c>
      <c r="B176" s="30" t="inlineStr">
        <is>
          <t>Heritage-class offshore patrol cutters</t>
        </is>
      </c>
      <c r="C176" s="26" t="inlineStr">
        <is>
          <t>WMSM</t>
        </is>
      </c>
    </row>
    <row r="177" ht="10" customHeight="1">
      <c r="A177" s="30" t="inlineStr">
        <is>
          <t>Fast Response Cutters</t>
        </is>
      </c>
      <c r="B177" s="30" t="inlineStr">
        <is>
          <t>Sentinel-class fast response cutters</t>
        </is>
      </c>
      <c r="C177" s="26" t="inlineStr">
        <is>
          <t>WPC</t>
        </is>
      </c>
    </row>
    <row r="178" ht="10" customHeight="1">
      <c r="A178" s="30" t="inlineStr">
        <is>
          <t>Patrol Boats</t>
        </is>
      </c>
      <c r="B178" s="30" t="inlineStr">
        <is>
          <t>Marine Protector-class patrol boats</t>
        </is>
      </c>
      <c r="C178" s="26" t="inlineStr">
        <is>
          <t>WPB</t>
        </is>
      </c>
    </row>
    <row r="179" ht="10" customHeight="1">
      <c r="A179" s="30" t="inlineStr">
        <is>
          <t>Seagoing Buoy Tenders</t>
        </is>
      </c>
      <c r="B179" s="30" t="inlineStr">
        <is>
          <t>Juniper-class seagoing buoy tenders</t>
        </is>
      </c>
      <c r="C179" s="26" t="inlineStr">
        <is>
          <t>WLB</t>
        </is>
      </c>
    </row>
    <row r="180" ht="10" customHeight="1">
      <c r="A180" s="30" t="inlineStr">
        <is>
          <t>Coastal Buoy Tenders</t>
        </is>
      </c>
      <c r="B180" s="30" t="inlineStr">
        <is>
          <t>Keeper-class coastal buoy tenders</t>
        </is>
      </c>
      <c r="C180" s="26" t="inlineStr">
        <is>
          <t>WLM</t>
        </is>
      </c>
    </row>
    <row r="181" ht="10" customHeight="1">
      <c r="A181" s="30" t="inlineStr">
        <is>
          <t>Inland Construction Tenders</t>
        </is>
      </c>
      <c r="B181" s="30" t="inlineStr">
        <is>
          <t>Inland construction tenders</t>
        </is>
      </c>
      <c r="C181" s="26" t="inlineStr">
        <is>
          <t>WLIC</t>
        </is>
      </c>
    </row>
    <row r="182" ht="10" customHeight="1">
      <c r="A182" s="30" t="inlineStr">
        <is>
          <t>Ice Breaking Tugs</t>
        </is>
      </c>
      <c r="B182" s="30" t="inlineStr">
        <is>
          <t>Ice-breaking harbor tugs</t>
        </is>
      </c>
      <c r="C182" s="26" t="inlineStr">
        <is>
          <t>WTGB</t>
        </is>
      </c>
    </row>
    <row r="183" ht="10" customHeight="1">
      <c r="A183" s="30" t="inlineStr">
        <is>
          <t>River Buoy Tenders</t>
        </is>
      </c>
      <c r="B183" s="30" t="inlineStr">
        <is>
          <t>River buoy tenders</t>
        </is>
      </c>
      <c r="C183" s="26" t="inlineStr">
        <is>
          <t>WLR</t>
        </is>
      </c>
    </row>
    <row r="184" ht="10" customHeight="1">
      <c r="A184" s="30" t="inlineStr">
        <is>
          <t>Inland Buoy Tenders</t>
        </is>
      </c>
      <c r="B184" s="30" t="inlineStr">
        <is>
          <t>Inland buoy tenders</t>
        </is>
      </c>
      <c r="C184" s="26" t="inlineStr">
        <is>
          <t>WLI</t>
        </is>
      </c>
    </row>
    <row r="185" ht="10" customHeight="1">
      <c r="A185" s="30" t="inlineStr">
        <is>
          <t>Small Harbor Tugs</t>
        </is>
      </c>
      <c r="B185" s="30" t="inlineStr">
        <is>
          <t>65-foot small harbor tugs</t>
        </is>
      </c>
      <c r="C185" s="26" t="inlineStr">
        <is>
          <t>WYTL</t>
        </is>
      </c>
    </row>
    <row r="186" ht="10" customHeight="1">
      <c r="A186" s="30" t="inlineStr">
        <is>
          <t>Barque Eagle</t>
        </is>
      </c>
      <c r="B186" s="30" t="inlineStr">
        <is>
          <t>USCG training sailing vessel</t>
        </is>
      </c>
      <c r="C186" s="26" t="inlineStr">
        <is>
          <t>WIX</t>
        </is>
      </c>
    </row>
    <row r="187" ht="10" customHeight="1"/>
    <row r="188" ht="10" customHeight="1">
      <c r="A188" s="49" t="inlineStr">
        <is>
          <t>Boats (excluded from TAM)</t>
        </is>
      </c>
      <c r="B188" s="39" t="n"/>
      <c r="C188" s="39" t="n"/>
    </row>
    <row r="189" ht="10" customHeight="1">
      <c r="A189" s="26" t="inlineStr">
        <is>
          <t>Coast Guard boats — under 65 feet.</t>
        </is>
      </c>
    </row>
    <row r="190" ht="10" customHeight="1">
      <c r="A190" s="29" t="inlineStr">
        <is>
          <t>Type</t>
        </is>
      </c>
      <c r="B190" s="29" t="inlineStr">
        <is>
          <t>Description</t>
        </is>
      </c>
      <c r="C190" s="29" t="inlineStr">
        <is>
          <t>Hull Designators</t>
        </is>
      </c>
    </row>
    <row r="191" ht="10" customHeight="1">
      <c r="A191" s="30" t="inlineStr">
        <is>
          <t>Response Boats</t>
        </is>
      </c>
      <c r="B191" s="30" t="inlineStr">
        <is>
          <t>Motor lifeboats, response boats, transportable port security boats</t>
        </is>
      </c>
      <c r="C191" s="26" t="inlineStr">
        <is>
          <t>MLB, RB-M, TPSB, RB-S II, UTM, UTL</t>
        </is>
      </c>
    </row>
    <row r="192" ht="10" customHeight="1">
      <c r="A192" s="30" t="inlineStr">
        <is>
          <t>Aids to Navigation Boats</t>
        </is>
      </c>
      <c r="B192" s="30" t="inlineStr">
        <is>
          <t>Boats supporting aids to navigation mission</t>
        </is>
      </c>
      <c r="C192" s="26" t="inlineStr">
        <is>
          <t>ANB, BUSL, TANB, AB-S, AB-SKF</t>
        </is>
      </c>
    </row>
    <row r="193" ht="10" customHeight="1">
      <c r="A193" s="30" t="inlineStr">
        <is>
          <t>Cutter Boats</t>
        </is>
      </c>
      <c r="B193" s="30" t="inlineStr">
        <is>
          <t>Small boats deployed from cutters</t>
        </is>
      </c>
      <c r="C193" s="26" t="inlineStr">
        <is>
          <t>CB-LRI, CB-OTH, ASB/LC, MSB, CB-L, CB-ATON, CB-M, CB-S, UTL</t>
        </is>
      </c>
    </row>
    <row r="194" ht="10" customHeight="1">
      <c r="A194" s="30" t="inlineStr">
        <is>
          <t>Special Purpose Craft</t>
        </is>
      </c>
      <c r="B194" s="30" t="inlineStr">
        <is>
          <t>Specialized mission craft</t>
        </is>
      </c>
      <c r="C194" s="26" t="inlineStr">
        <is>
          <t>SPC-SV, SPC-TTB, SPC-TB, SPC-LE, SPC-BTD, SPC-LEO, SPC-SW, SPC-IRT, SKF-ICE, SKF</t>
        </is>
      </c>
    </row>
    <row r="195" ht="10" customHeight="1">
      <c r="A195" s="30" t="inlineStr">
        <is>
          <t>Training Craft</t>
        </is>
      </c>
      <c r="B195" s="30" t="inlineStr">
        <is>
          <t>Academy and training center craft</t>
        </is>
      </c>
      <c r="C195" s="26" t="inlineStr">
        <is>
          <t>CT-64, SB</t>
        </is>
      </c>
    </row>
    <row r="196" ht="10" customHeight="1"/>
    <row r="197" ht="10" customHeight="1">
      <c r="A197" s="27" t="inlineStr">
        <is>
          <t>Vessel Class Reference</t>
        </is>
      </c>
      <c r="B197" s="28" t="n"/>
      <c r="C197" s="28" t="n"/>
    </row>
    <row r="198" ht="10" customHeight="1">
      <c r="A198" s="26" t="inlineStr">
        <is>
          <t>Reference only — not a column in the data sheet. Provides class-level context for hull designators.</t>
        </is>
      </c>
    </row>
    <row r="199" ht="10" customHeight="1"/>
    <row r="200" ht="10" customHeight="1">
      <c r="A200" s="49" t="inlineStr">
        <is>
          <t>CVN</t>
        </is>
      </c>
      <c r="B200" s="39" t="n"/>
      <c r="C200" s="39" t="n"/>
    </row>
    <row r="201" ht="10" customHeight="1">
      <c r="A201" s="29" t="inlineStr">
        <is>
          <t>Class</t>
        </is>
      </c>
      <c r="B201" s="29" t="inlineStr">
        <is>
          <t>Description</t>
        </is>
      </c>
      <c r="C201" s="29" t="inlineStr">
        <is>
          <t>Status</t>
        </is>
      </c>
    </row>
    <row r="202" ht="10" customHeight="1">
      <c r="A202" s="30" t="inlineStr">
        <is>
          <t>Nimitz (CVN-68)</t>
        </is>
      </c>
      <c r="B202" s="30" t="inlineStr">
        <is>
          <t>Nuclear-powered carrier, 10 ships (CVN-68 through CVN-77)</t>
        </is>
      </c>
      <c r="C202" s="26" t="inlineStr">
        <is>
          <t>Active</t>
        </is>
      </c>
    </row>
    <row r="203" ht="10" customHeight="1">
      <c r="A203" s="30" t="inlineStr">
        <is>
          <t>Gerald R. Ford (CVN-78)</t>
        </is>
      </c>
      <c r="B203" s="30" t="inlineStr">
        <is>
          <t>Next-gen nuclear carrier: CVN-78, -79, -80, -81</t>
        </is>
      </c>
      <c r="C203" s="26" t="inlineStr">
        <is>
          <t>Active / under construction</t>
        </is>
      </c>
    </row>
    <row r="204" ht="10" customHeight="1"/>
    <row r="205" ht="10" customHeight="1">
      <c r="A205" s="49" t="inlineStr">
        <is>
          <t>DDG</t>
        </is>
      </c>
      <c r="B205" s="39" t="n"/>
      <c r="C205" s="39" t="n"/>
    </row>
    <row r="206" ht="10" customHeight="1">
      <c r="A206" s="29" t="inlineStr">
        <is>
          <t>Class</t>
        </is>
      </c>
      <c r="B206" s="29" t="inlineStr">
        <is>
          <t>Description</t>
        </is>
      </c>
      <c r="C206" s="29" t="inlineStr">
        <is>
          <t>Status</t>
        </is>
      </c>
    </row>
    <row r="207" ht="10" customHeight="1">
      <c r="A207" s="30" t="inlineStr">
        <is>
          <t>Arleigh Burke (DDG-51)</t>
        </is>
      </c>
      <c r="B207" s="30" t="inlineStr">
        <is>
          <t>Guided-missile destroyer — Flight I/II/IIA/III</t>
        </is>
      </c>
      <c r="C207" s="26" t="inlineStr">
        <is>
          <t>Active / under construction</t>
        </is>
      </c>
    </row>
    <row r="208" ht="10" customHeight="1">
      <c r="A208" s="30" t="inlineStr">
        <is>
          <t>Zumwalt (DDG-1000)</t>
        </is>
      </c>
      <c r="B208" s="30" t="inlineStr">
        <is>
          <t>Multi-mission stealth destroyer, 3 ships</t>
        </is>
      </c>
      <c r="C208" s="26" t="inlineStr">
        <is>
          <t>Active</t>
        </is>
      </c>
    </row>
    <row r="209" ht="10" customHeight="1"/>
    <row r="210" ht="10" customHeight="1">
      <c r="A210" s="49" t="inlineStr">
        <is>
          <t>CG</t>
        </is>
      </c>
      <c r="B210" s="39" t="n"/>
      <c r="C210" s="39" t="n"/>
    </row>
    <row r="211" ht="10" customHeight="1">
      <c r="A211" s="29" t="inlineStr">
        <is>
          <t>Class</t>
        </is>
      </c>
      <c r="B211" s="29" t="inlineStr">
        <is>
          <t>Description</t>
        </is>
      </c>
      <c r="C211" s="29" t="inlineStr">
        <is>
          <t>Status</t>
        </is>
      </c>
    </row>
    <row r="212" ht="10" customHeight="1">
      <c r="A212" s="30" t="inlineStr">
        <is>
          <t>Ticonderoga (CG-47)</t>
        </is>
      </c>
      <c r="B212" s="30" t="inlineStr">
        <is>
          <t>Guided-missile cruiser (being decommissioned)</t>
        </is>
      </c>
      <c r="C212" s="26" t="inlineStr">
        <is>
          <t>Active (retiring)</t>
        </is>
      </c>
    </row>
    <row r="213" ht="10" customHeight="1"/>
    <row r="214" ht="10" customHeight="1">
      <c r="A214" s="49" t="inlineStr">
        <is>
          <t>FFG</t>
        </is>
      </c>
      <c r="B214" s="39" t="n"/>
      <c r="C214" s="39" t="n"/>
    </row>
    <row r="215" ht="10" customHeight="1">
      <c r="A215" s="29" t="inlineStr">
        <is>
          <t>Class</t>
        </is>
      </c>
      <c r="B215" s="29" t="inlineStr">
        <is>
          <t>Description</t>
        </is>
      </c>
      <c r="C215" s="29" t="inlineStr">
        <is>
          <t>Status</t>
        </is>
      </c>
    </row>
    <row r="216" ht="10" customHeight="1">
      <c r="A216" s="30" t="inlineStr">
        <is>
          <t>Constellation (FFG-62)</t>
        </is>
      </c>
      <c r="B216" s="30" t="inlineStr">
        <is>
          <t>Next-generation guided-missile frigate</t>
        </is>
      </c>
      <c r="C216" s="26" t="inlineStr">
        <is>
          <t>Under construction</t>
        </is>
      </c>
    </row>
    <row r="217" ht="10" customHeight="1"/>
    <row r="218" ht="10" customHeight="1">
      <c r="A218" s="49" t="inlineStr">
        <is>
          <t>LCS</t>
        </is>
      </c>
      <c r="B218" s="39" t="n"/>
      <c r="C218" s="39" t="n"/>
    </row>
    <row r="219" ht="10" customHeight="1">
      <c r="A219" s="29" t="inlineStr">
        <is>
          <t>Class</t>
        </is>
      </c>
      <c r="B219" s="29" t="inlineStr">
        <is>
          <t>Description</t>
        </is>
      </c>
      <c r="C219" s="29" t="inlineStr">
        <is>
          <t>Status</t>
        </is>
      </c>
    </row>
    <row r="220" ht="10" customHeight="1">
      <c r="A220" s="30" t="inlineStr">
        <is>
          <t>Freedom (LCS-1)</t>
        </is>
      </c>
      <c r="B220" s="30" t="inlineStr">
        <is>
          <t>Littoral combat ship — Freedom variant</t>
        </is>
      </c>
      <c r="C220" s="26" t="inlineStr">
        <is>
          <t>Active</t>
        </is>
      </c>
    </row>
    <row r="221" ht="10" customHeight="1">
      <c r="A221" s="30" t="inlineStr">
        <is>
          <t>Independence (LCS-2)</t>
        </is>
      </c>
      <c r="B221" s="30" t="inlineStr">
        <is>
          <t>Littoral combat ship — Independence variant</t>
        </is>
      </c>
      <c r="C221" s="26" t="inlineStr">
        <is>
          <t>Active</t>
        </is>
      </c>
    </row>
    <row r="222" ht="10" customHeight="1"/>
    <row r="223" ht="10" customHeight="1">
      <c r="A223" s="49" t="inlineStr">
        <is>
          <t>SSN / SSBN</t>
        </is>
      </c>
      <c r="B223" s="39" t="n"/>
      <c r="C223" s="39" t="n"/>
    </row>
    <row r="224" ht="10" customHeight="1">
      <c r="A224" s="29" t="inlineStr">
        <is>
          <t>Class</t>
        </is>
      </c>
      <c r="B224" s="29" t="inlineStr">
        <is>
          <t>Description</t>
        </is>
      </c>
      <c r="C224" s="29" t="inlineStr">
        <is>
          <t>Status</t>
        </is>
      </c>
    </row>
    <row r="225" ht="10" customHeight="1">
      <c r="A225" s="30" t="inlineStr">
        <is>
          <t>Los Angeles (SSN-688)</t>
        </is>
      </c>
      <c r="B225" s="30" t="inlineStr">
        <is>
          <t>Nuclear attack submarine — largest SSN class</t>
        </is>
      </c>
      <c r="C225" s="26" t="inlineStr">
        <is>
          <t>Active (retiring)</t>
        </is>
      </c>
    </row>
    <row r="226" ht="10" customHeight="1">
      <c r="A226" s="30" t="inlineStr">
        <is>
          <t>Seawolf (SSN-21)</t>
        </is>
      </c>
      <c r="B226" s="30" t="inlineStr">
        <is>
          <t>Nuclear attack submarine, 3 ships</t>
        </is>
      </c>
      <c r="C226" s="26" t="inlineStr">
        <is>
          <t>Active</t>
        </is>
      </c>
    </row>
    <row r="227" ht="10" customHeight="1">
      <c r="A227" s="30" t="inlineStr">
        <is>
          <t>Virginia (SSN-774)</t>
        </is>
      </c>
      <c r="B227" s="30" t="inlineStr">
        <is>
          <t>Nuclear attack submarine — Block I through V</t>
        </is>
      </c>
      <c r="C227" s="26" t="inlineStr">
        <is>
          <t>Active / under construction</t>
        </is>
      </c>
    </row>
    <row r="228" ht="10" customHeight="1">
      <c r="A228" s="30" t="inlineStr">
        <is>
          <t>Ohio (SSBN-726 / SSGN-726)</t>
        </is>
      </c>
      <c r="B228" s="30" t="inlineStr">
        <is>
          <t>Fleet ballistic missile sub (SSBN) and guided-missile sub (SSGN)</t>
        </is>
      </c>
      <c r="C228" s="26" t="inlineStr">
        <is>
          <t>Active (retiring)</t>
        </is>
      </c>
    </row>
    <row r="229" ht="10" customHeight="1">
      <c r="A229" s="30" t="inlineStr">
        <is>
          <t>Columbia (SSBN-826)</t>
        </is>
      </c>
      <c r="B229" s="30" t="inlineStr">
        <is>
          <t>Next-gen ballistic missile submarine</t>
        </is>
      </c>
      <c r="C229" s="26" t="inlineStr">
        <is>
          <t>Under construction</t>
        </is>
      </c>
    </row>
    <row r="230" ht="10" customHeight="1"/>
    <row r="231" ht="10" customHeight="1">
      <c r="A231" s="49" t="inlineStr">
        <is>
          <t>LHA / LHD / LPD / LSD</t>
        </is>
      </c>
      <c r="B231" s="39" t="n"/>
      <c r="C231" s="39" t="n"/>
    </row>
    <row r="232" ht="10" customHeight="1">
      <c r="A232" s="29" t="inlineStr">
        <is>
          <t>Class</t>
        </is>
      </c>
      <c r="B232" s="29" t="inlineStr">
        <is>
          <t>Description</t>
        </is>
      </c>
      <c r="C232" s="29" t="inlineStr">
        <is>
          <t>Status</t>
        </is>
      </c>
    </row>
    <row r="233" ht="10" customHeight="1">
      <c r="A233" s="30" t="inlineStr">
        <is>
          <t>America (LHA-6)</t>
        </is>
      </c>
      <c r="B233" s="30" t="inlineStr">
        <is>
          <t>Amphibious assault ship</t>
        </is>
      </c>
      <c r="C233" s="26" t="inlineStr">
        <is>
          <t>Active / under construction</t>
        </is>
      </c>
    </row>
    <row r="234" ht="10" customHeight="1">
      <c r="A234" s="30" t="inlineStr">
        <is>
          <t>Wasp (LHD-1)</t>
        </is>
      </c>
      <c r="B234" s="30" t="inlineStr">
        <is>
          <t>Multipurpose amphibious assault ship, 8 ships</t>
        </is>
      </c>
      <c r="C234" s="26" t="inlineStr">
        <is>
          <t>Active</t>
        </is>
      </c>
    </row>
    <row r="235" ht="10" customHeight="1">
      <c r="A235" s="30" t="inlineStr">
        <is>
          <t>San Antonio (LPD-17)</t>
        </is>
      </c>
      <c r="B235" s="30" t="inlineStr">
        <is>
          <t>Amphibious transport dock — Flight I and II</t>
        </is>
      </c>
      <c r="C235" s="26" t="inlineStr">
        <is>
          <t>Active / under construction</t>
        </is>
      </c>
    </row>
    <row r="236" ht="10" customHeight="1">
      <c r="A236" s="30" t="inlineStr">
        <is>
          <t>Whidbey Island / Harpers Ferry (LSD-41/49)</t>
        </is>
      </c>
      <c r="B236" s="30" t="inlineStr">
        <is>
          <t>Dock landing ships (replaced by LPD Flight II)</t>
        </is>
      </c>
      <c r="C236" s="26" t="inlineStr">
        <is>
          <t>Active (retiring)</t>
        </is>
      </c>
    </row>
    <row r="237" ht="10" customHeight="1"/>
    <row r="238" ht="10" customHeight="1">
      <c r="A238" s="49" t="inlineStr">
        <is>
          <t>MCM</t>
        </is>
      </c>
      <c r="B238" s="39" t="n"/>
      <c r="C238" s="39" t="n"/>
    </row>
    <row r="239" ht="10" customHeight="1">
      <c r="A239" s="29" t="inlineStr">
        <is>
          <t>Class</t>
        </is>
      </c>
      <c r="B239" s="29" t="inlineStr">
        <is>
          <t>Description</t>
        </is>
      </c>
      <c r="C239" s="29" t="inlineStr">
        <is>
          <t>Status</t>
        </is>
      </c>
    </row>
    <row r="240" ht="10" customHeight="1">
      <c r="A240" s="30" t="inlineStr">
        <is>
          <t>Avenger (MCM-1)</t>
        </is>
      </c>
      <c r="B240" s="30" t="inlineStr">
        <is>
          <t>Mine countermeasures ship</t>
        </is>
      </c>
      <c r="C240" s="26" t="inlineStr">
        <is>
          <t>Active (retiring)</t>
        </is>
      </c>
    </row>
    <row r="241" ht="10" customHeight="1"/>
    <row r="242" ht="10" customHeight="1">
      <c r="A242" s="49" t="inlineStr">
        <is>
          <t>Oilers / Logistics</t>
        </is>
      </c>
      <c r="B242" s="39" t="n"/>
      <c r="C242" s="39" t="n"/>
    </row>
    <row r="243" ht="10" customHeight="1">
      <c r="A243" s="29" t="inlineStr">
        <is>
          <t>Class</t>
        </is>
      </c>
      <c r="B243" s="29" t="inlineStr">
        <is>
          <t>Description</t>
        </is>
      </c>
      <c r="C243" s="29" t="inlineStr">
        <is>
          <t>Status</t>
        </is>
      </c>
    </row>
    <row r="244" ht="10" customHeight="1">
      <c r="A244" s="30" t="inlineStr">
        <is>
          <t>Henry J. Kaiser (T-AO 187)</t>
        </is>
      </c>
      <c r="B244" s="30" t="inlineStr">
        <is>
          <t>Fleet replenishment oiler (MSC)</t>
        </is>
      </c>
      <c r="C244" s="26" t="inlineStr">
        <is>
          <t>Active</t>
        </is>
      </c>
    </row>
    <row r="245" ht="10" customHeight="1">
      <c r="A245" s="30" t="inlineStr">
        <is>
          <t>John Lewis (T-AO 205)</t>
        </is>
      </c>
      <c r="B245" s="30" t="inlineStr">
        <is>
          <t>Next-gen fleet replenishment oiler (MSC)</t>
        </is>
      </c>
      <c r="C245" s="26" t="inlineStr">
        <is>
          <t>Under construction</t>
        </is>
      </c>
    </row>
    <row r="246" ht="10" customHeight="1">
      <c r="A246" s="30" t="inlineStr">
        <is>
          <t>Lewis and Clark (T-AKE)</t>
        </is>
      </c>
      <c r="B246" s="30" t="inlineStr">
        <is>
          <t>Dry cargo/ammunition ship (MSC)</t>
        </is>
      </c>
      <c r="C246" s="26" t="inlineStr">
        <is>
          <t>Active</t>
        </is>
      </c>
    </row>
    <row r="247" ht="10" customHeight="1">
      <c r="A247" s="30" t="inlineStr">
        <is>
          <t>Supply (T-AOE 6)</t>
        </is>
      </c>
      <c r="B247" s="30" t="inlineStr">
        <is>
          <t>Fast combat support ship</t>
        </is>
      </c>
      <c r="C247" s="26" t="inlineStr">
        <is>
          <t>Inactive</t>
        </is>
      </c>
    </row>
    <row r="248" ht="10" customHeight="1"/>
    <row r="249" ht="10" customHeight="1">
      <c r="A249" s="49" t="inlineStr">
        <is>
          <t>Expeditionary / Special</t>
        </is>
      </c>
      <c r="B249" s="39" t="n"/>
      <c r="C249" s="39" t="n"/>
    </row>
    <row r="250" ht="10" customHeight="1">
      <c r="A250" s="29" t="inlineStr">
        <is>
          <t>Class</t>
        </is>
      </c>
      <c r="B250" s="29" t="inlineStr">
        <is>
          <t>Description</t>
        </is>
      </c>
      <c r="C250" s="29" t="inlineStr">
        <is>
          <t>Status</t>
        </is>
      </c>
    </row>
    <row r="251" ht="10" customHeight="1">
      <c r="A251" s="30" t="inlineStr">
        <is>
          <t>Spearhead (T-EPF)</t>
        </is>
      </c>
      <c r="B251" s="30" t="inlineStr">
        <is>
          <t>Expeditionary fast transport (MSC)</t>
        </is>
      </c>
      <c r="C251" s="26" t="inlineStr">
        <is>
          <t>Active</t>
        </is>
      </c>
    </row>
    <row r="252" ht="10" customHeight="1">
      <c r="A252" s="30" t="inlineStr">
        <is>
          <t>Lewis B. Puller (T-ESB)</t>
        </is>
      </c>
      <c r="B252" s="30" t="inlineStr">
        <is>
          <t>Expeditionary sea base (MSC)</t>
        </is>
      </c>
      <c r="C252" s="26" t="inlineStr">
        <is>
          <t>Active</t>
        </is>
      </c>
    </row>
    <row r="253" ht="10" customHeight="1">
      <c r="A253" s="30" t="inlineStr">
        <is>
          <t>Medium Landing Ship (LSM)</t>
        </is>
      </c>
      <c r="B253" s="30" t="inlineStr">
        <is>
          <t>New program — medium amphibious landing ship</t>
        </is>
      </c>
      <c r="C253" s="26" t="inlineStr">
        <is>
          <t>Under development</t>
        </is>
      </c>
    </row>
    <row r="254" ht="10" customHeight="1">
      <c r="A254" s="30" t="inlineStr">
        <is>
          <t>Ship to Shore Connector (SSC / LCAC 100)</t>
        </is>
      </c>
      <c r="B254" s="30" t="inlineStr">
        <is>
          <t>Next-gen landing craft air cushion</t>
        </is>
      </c>
      <c r="C254" s="26" t="inlineStr">
        <is>
          <t>Under construction</t>
        </is>
      </c>
    </row>
    <row r="255" ht="10" customHeight="1">
      <c r="A255" s="30" t="inlineStr">
        <is>
          <t>LCU 1700</t>
        </is>
      </c>
      <c r="B255" s="30" t="inlineStr">
        <is>
          <t>Landing craft utility — next generation</t>
        </is>
      </c>
      <c r="C255" s="26" t="inlineStr">
        <is>
          <t>Under construction</t>
        </is>
      </c>
    </row>
    <row r="256" ht="10" customHeight="1"/>
    <row r="257" ht="10" customHeight="1">
      <c r="A257" s="49" t="inlineStr">
        <is>
          <t>Command / Support</t>
        </is>
      </c>
      <c r="B257" s="39" t="n"/>
      <c r="C257" s="39" t="n"/>
    </row>
    <row r="258" ht="10" customHeight="1">
      <c r="A258" s="29" t="inlineStr">
        <is>
          <t>Class</t>
        </is>
      </c>
      <c r="B258" s="29" t="inlineStr">
        <is>
          <t>Description</t>
        </is>
      </c>
      <c r="C258" s="29" t="inlineStr">
        <is>
          <t>Status</t>
        </is>
      </c>
    </row>
    <row r="259" ht="10" customHeight="1">
      <c r="A259" s="30" t="inlineStr">
        <is>
          <t>Blue Ridge (LCC-19/20)</t>
        </is>
      </c>
      <c r="B259" s="30" t="inlineStr">
        <is>
          <t>Amphibious command ship</t>
        </is>
      </c>
      <c r="C259" s="26" t="inlineStr">
        <is>
          <t>Active</t>
        </is>
      </c>
    </row>
    <row r="260" ht="10" customHeight="1">
      <c r="A260" s="30" t="inlineStr">
        <is>
          <t>Emory S. Land (AS-39)</t>
        </is>
      </c>
      <c r="B260" s="30" t="inlineStr">
        <is>
          <t>Submarine tender</t>
        </is>
      </c>
      <c r="C260" s="26" t="inlineStr">
        <is>
          <t>Active</t>
        </is>
      </c>
    </row>
    <row r="261" ht="10" customHeight="1">
      <c r="A261" s="30" t="inlineStr">
        <is>
          <t>Victorious (T-AGOS 19)</t>
        </is>
      </c>
      <c r="B261" s="30" t="inlineStr">
        <is>
          <t>Ocean surveillance ship (MSC)</t>
        </is>
      </c>
      <c r="C261" s="26" t="inlineStr">
        <is>
          <t>Active</t>
        </is>
      </c>
    </row>
    <row r="262" ht="10" customHeight="1">
      <c r="A262" s="30" t="inlineStr">
        <is>
          <t>Pathfinder (T-AGS 60)</t>
        </is>
      </c>
      <c r="B262" s="30" t="inlineStr">
        <is>
          <t>Oceanographic survey ship (MSC)</t>
        </is>
      </c>
      <c r="C262" s="26" t="inlineStr">
        <is>
          <t>Active</t>
        </is>
      </c>
    </row>
    <row r="263" ht="10" customHeight="1">
      <c r="A263" s="30" t="inlineStr">
        <is>
          <t>Mercy (T-AH 19)</t>
        </is>
      </c>
      <c r="B263" s="30" t="inlineStr">
        <is>
          <t>Hospital ship (MSC)</t>
        </is>
      </c>
      <c r="C263" s="26" t="inlineStr">
        <is>
          <t>Active</t>
        </is>
      </c>
    </row>
    <row r="264" ht="10" customHeight="1">
      <c r="A264" s="30" t="inlineStr">
        <is>
          <t>Navajo (T-ATS)</t>
        </is>
      </c>
      <c r="B264" s="30" t="inlineStr">
        <is>
          <t>Towing/salvage/rescue ship (MSC)</t>
        </is>
      </c>
      <c r="C264" s="26" t="inlineStr">
        <is>
          <t>Under construction</t>
        </is>
      </c>
    </row>
    <row r="265" ht="10" customHeight="1">
      <c r="A265" s="30" t="inlineStr">
        <is>
          <t>Safeguard (ARS-50)</t>
        </is>
      </c>
      <c r="B265" s="30" t="inlineStr">
        <is>
          <t>Rescue and salvage ship</t>
        </is>
      </c>
      <c r="C265" s="26" t="inlineStr">
        <is>
          <t>Active</t>
        </is>
      </c>
    </row>
    <row r="266" ht="10" customHeight="1"/>
    <row r="267" ht="10" customHeight="1">
      <c r="A267" s="49" t="inlineStr">
        <is>
          <t>USCG</t>
        </is>
      </c>
      <c r="B267" s="39" t="n"/>
      <c r="C267" s="39" t="n"/>
    </row>
    <row r="268" ht="10" customHeight="1">
      <c r="A268" s="29" t="inlineStr">
        <is>
          <t>Class</t>
        </is>
      </c>
      <c r="B268" s="29" t="inlineStr">
        <is>
          <t>Description</t>
        </is>
      </c>
      <c r="C268" s="29" t="inlineStr">
        <is>
          <t>Status</t>
        </is>
      </c>
    </row>
    <row r="269" ht="10" customHeight="1">
      <c r="A269" s="30" t="inlineStr">
        <is>
          <t>Legend (WMSL-750)</t>
        </is>
      </c>
      <c r="B269" s="30" t="inlineStr">
        <is>
          <t>National Security Cutter</t>
        </is>
      </c>
      <c r="C269" s="26" t="inlineStr">
        <is>
          <t>Active</t>
        </is>
      </c>
    </row>
    <row r="270" ht="10" customHeight="1">
      <c r="A270" s="30" t="inlineStr">
        <is>
          <t>Heritage (WMSM-920)</t>
        </is>
      </c>
      <c r="B270" s="30" t="inlineStr">
        <is>
          <t>Offshore Patrol Cutter</t>
        </is>
      </c>
      <c r="C270" s="26" t="inlineStr">
        <is>
          <t>Under construction</t>
        </is>
      </c>
    </row>
    <row r="271" ht="10" customHeight="1">
      <c r="A271" s="30" t="inlineStr">
        <is>
          <t>Sentinel (WPC-1101)</t>
        </is>
      </c>
      <c r="B271" s="30" t="inlineStr">
        <is>
          <t>Fast Response Cutter</t>
        </is>
      </c>
      <c r="C271" s="26" t="inlineStr">
        <is>
          <t>Active / under construction</t>
        </is>
      </c>
    </row>
    <row r="272" ht="10" customHeight="1">
      <c r="A272" s="30" t="inlineStr">
        <is>
          <t>Famous (WMEC-270)</t>
        </is>
      </c>
      <c r="B272" s="30" t="inlineStr">
        <is>
          <t>270-foot medium endurance cutter</t>
        </is>
      </c>
      <c r="C272" s="26" t="inlineStr">
        <is>
          <t>Active</t>
        </is>
      </c>
    </row>
    <row r="273" ht="10" customHeight="1">
      <c r="A273" s="30" t="inlineStr">
        <is>
          <t>Reliance (WMEC-210)</t>
        </is>
      </c>
      <c r="B273" s="30" t="inlineStr">
        <is>
          <t>210-foot medium endurance cutter</t>
        </is>
      </c>
      <c r="C273" s="26" t="inlineStr">
        <is>
          <t>Retiring</t>
        </is>
      </c>
    </row>
    <row r="274" ht="10" customHeight="1">
      <c r="A274" s="30" t="inlineStr">
        <is>
          <t>Polar (WAGB-10)</t>
        </is>
      </c>
      <c r="B274" s="30" t="inlineStr">
        <is>
          <t>Polar-class heavy icebreaker</t>
        </is>
      </c>
      <c r="C274" s="26" t="inlineStr">
        <is>
          <t>Active (beyond service life)</t>
        </is>
      </c>
    </row>
    <row r="275" ht="10" customHeight="1">
      <c r="A275" s="30" t="inlineStr">
        <is>
          <t>Polar Security Cutter (WAGB)</t>
        </is>
      </c>
      <c r="B275" s="30" t="inlineStr">
        <is>
          <t>New heavy polar icebreaker program</t>
        </is>
      </c>
      <c r="C275" s="26" t="inlineStr">
        <is>
          <t>Under construction</t>
        </is>
      </c>
    </row>
    <row r="276" ht="10" customHeight="1">
      <c r="A276" s="30" t="inlineStr">
        <is>
          <t>Mackinaw (WLBB-30)</t>
        </is>
      </c>
      <c r="B276" s="30" t="inlineStr">
        <is>
          <t>Great Lakes icebreaker</t>
        </is>
      </c>
      <c r="C276" s="26" t="inlineStr">
        <is>
          <t>Active</t>
        </is>
      </c>
    </row>
    <row r="277" ht="10" customHeight="1">
      <c r="A277" s="30" t="inlineStr">
        <is>
          <t>Juniper (WLB-201)</t>
        </is>
      </c>
      <c r="B277" s="30" t="inlineStr">
        <is>
          <t>Seagoing buoy tender</t>
        </is>
      </c>
      <c r="C277" s="26" t="inlineStr">
        <is>
          <t>Active</t>
        </is>
      </c>
    </row>
    <row r="278" ht="10" customHeight="1">
      <c r="A278" s="30" t="inlineStr">
        <is>
          <t>Keeper (WLM-551)</t>
        </is>
      </c>
      <c r="B278" s="30" t="inlineStr">
        <is>
          <t>Coastal buoy tender</t>
        </is>
      </c>
      <c r="C278" s="26" t="inlineStr">
        <is>
          <t>Active</t>
        </is>
      </c>
    </row>
    <row r="279" ht="10" customHeight="1"/>
    <row r="280" ht="10" customHeight="1">
      <c r="A280" s="27" t="inlineStr">
        <is>
          <t>Vessel Column Standardization Rules</t>
        </is>
      </c>
      <c r="B280" s="28" t="n"/>
      <c r="C280" s="28" t="n"/>
    </row>
    <row r="281" ht="10" customHeight="1">
      <c r="A281" s="26" t="inlineStr">
        <is>
          <t>Rules governing how Vessel Service, Category, Type, and Hull columns are populated</t>
        </is>
      </c>
    </row>
    <row r="282" ht="10" customHeight="1">
      <c r="A282" s="29" t="inlineStr">
        <is>
          <t>Rule</t>
        </is>
      </c>
      <c r="B282" s="29" t="inlineStr">
        <is>
          <t>Description</t>
        </is>
      </c>
      <c r="C282" s="29" t="inlineStr">
        <is>
          <t>Notes</t>
        </is>
      </c>
    </row>
    <row r="283" ht="10" customHeight="1">
      <c r="A283" s="30" t="inlineStr">
        <is>
          <t>4-column vessel hierarchy</t>
        </is>
      </c>
      <c r="B283" s="30" t="inlineStr">
        <is>
          <t>Vessel data split into: Vessel_Service (USN/USCG/MSC), Vessel_Category, Vessel_Type, Vessel_Hull.</t>
        </is>
      </c>
      <c r="C283" s="26" t="inlineStr">
        <is>
          <t>Each column progressively more specific.</t>
        </is>
      </c>
    </row>
    <row r="284" ht="10" customHeight="1">
      <c r="A284" s="30" t="inlineStr">
        <is>
          <t>Service determined by hull and source</t>
        </is>
      </c>
      <c r="B284" s="30" t="inlineStr">
        <is>
          <t>MSC when hull starts with T-. USCG for Cutters/Boats categories or USCG source book. All others USN.</t>
        </is>
      </c>
    </row>
    <row r="285" ht="10" customHeight="1">
      <c r="A285" s="30" t="inlineStr">
        <is>
          <t>Multi-type / multi-hull rows blanked</t>
        </is>
      </c>
      <c r="B285" s="30" t="inlineStr">
        <is>
          <t>If a line item applies to multiple vessel types or hulls, all 4 vessel columns are blank.</t>
        </is>
      </c>
      <c r="C285" s="26" t="inlineStr">
        <is>
          <t>Description or Citation preserves original scope.</t>
        </is>
      </c>
    </row>
    <row r="286" ht="10" customHeight="1">
      <c r="A286" s="30" t="inlineStr">
        <is>
          <t>Vague values blanked</t>
        </is>
      </c>
      <c r="B286" s="30" t="inlineStr">
        <is>
          <t>Values like 'Multiple', 'Afloat (various)', 'N/A' that cannot map to a single canonical type are blanked.</t>
        </is>
      </c>
    </row>
    <row r="287" ht="10" customHeight="1">
      <c r="A287" s="30" t="inlineStr">
        <is>
          <t>Hull extracted from class or type</t>
        </is>
      </c>
      <c r="B287" s="30" t="inlineStr">
        <is>
          <t>Hull derived first from vessel class (Arleigh Burke → DDG). If no class but type was specific, hull extracted from type.</t>
        </is>
      </c>
    </row>
    <row r="288" ht="10" customHeight="1">
      <c r="A288" s="30" t="inlineStr">
        <is>
          <t>Type has no parentheticals</t>
        </is>
      </c>
      <c r="B288" s="30" t="inlineStr">
        <is>
          <t>Vessel_Type uses base name only (e.g., 'Surface Combatants'). Hull abbreviations belong in Vessel_Hull.</t>
        </is>
      </c>
    </row>
    <row r="289" ht="10" customHeight="1">
      <c r="A289" s="30" t="inlineStr">
        <is>
          <t>Blank stays blank</t>
        </is>
      </c>
      <c r="B289" s="30" t="inlineStr">
        <is>
          <t>If vessel info was originally blank, all 4 vessel columns remain blank.</t>
        </is>
      </c>
    </row>
    <row r="290" ht="10" customHeight="1"/>
    <row r="291" ht="10" customHeight="1">
      <c r="A291" s="27" t="inlineStr">
        <is>
          <t>Derived &amp; Helper Columns</t>
        </is>
      </c>
      <c r="B291" s="28" t="n"/>
      <c r="C291" s="28" t="n"/>
    </row>
    <row r="292" ht="10" customHeight="1">
      <c r="A292" s="26" t="inlineStr">
        <is>
          <t>Columns added by the build script for formula simplification and cost category analysis</t>
        </is>
      </c>
    </row>
    <row r="293" ht="10" customHeight="1"/>
    <row r="294" ht="10" customHeight="1">
      <c r="A294" s="49" t="inlineStr">
        <is>
          <t>Derived Columns (v4.0)</t>
        </is>
      </c>
      <c r="B294" s="39" t="n"/>
      <c r="C294" s="39" t="n"/>
    </row>
    <row r="295" ht="10" customHeight="1">
      <c r="A295" s="29" t="inlineStr">
        <is>
          <t>Column</t>
        </is>
      </c>
      <c r="B295" s="29" t="inlineStr">
        <is>
          <t>Description</t>
        </is>
      </c>
      <c r="C295" s="29" t="inlineStr">
        <is>
          <t>Details</t>
        </is>
      </c>
    </row>
    <row r="296" ht="10" customHeight="1">
      <c r="A296" s="30" t="inlineStr">
        <is>
          <t>Exhibit Level (col G)</t>
        </is>
      </c>
      <c r="B296" s="30" t="inlineStr">
        <is>
          <t>Populated for [ALT_VIEW] rows. Values: "P-5c", "P-8a", "P-35", or blank. Parsed from the Line Item Title.</t>
        </is>
      </c>
      <c r="C296" s="26" t="inlineStr">
        <is>
          <t>P-8a rows require a known cost category in the title. Blank for non-ALT_VIEW.</t>
        </is>
      </c>
    </row>
    <row r="297" ht="10" customHeight="1">
      <c r="A297" s="30" t="inlineStr">
        <is>
          <t>Cost Category (col H)</t>
        </is>
      </c>
      <c r="B297" s="30" t="inlineStr">
        <is>
          <t>Populated for [ALT_VIEW] rows. One of 9 P-5c cost categories, or blank. For P-5c: extracted from title. For P-8a: parent P-5c category.</t>
        </is>
      </c>
      <c r="C297" s="26" t="inlineStr">
        <is>
          <t>Valid: Plan Costs, Basic Construction, Change Orders, Electronics, Propulsion Equipment, Hull Mechanical and Electrical, Ordnance, Other Cost, Technology Insertion.</t>
        </is>
      </c>
    </row>
    <row r="298" ht="10" customHeight="1"/>
    <row r="299" ht="10" customHeight="1">
      <c r="A299" s="49" t="inlineStr">
        <is>
          <t>Helper Columns (v5.14)</t>
        </is>
      </c>
      <c r="B299" s="39" t="n"/>
      <c r="C299" s="39" t="n"/>
    </row>
    <row r="300" ht="10" customHeight="1">
      <c r="A300" s="29" t="inlineStr">
        <is>
          <t>Column</t>
        </is>
      </c>
      <c r="B300" s="29" t="inlineStr">
        <is>
          <t>Description</t>
        </is>
      </c>
      <c r="C300" s="29" t="inlineStr">
        <is>
          <t>Formula</t>
        </is>
      </c>
    </row>
    <row r="301" ht="10" customHeight="1">
      <c r="A301" s="30" t="inlineStr">
        <is>
          <t>Row Class (col AC)</t>
        </is>
      </c>
      <c r="B301" s="30" t="inlineStr">
        <is>
          <t>Classifies each row: "ADD" for additive (blank or [PARENT]), "ALT" for [ALT_VIEW], blank for others.</t>
        </is>
      </c>
      <c r="C301" s="26">
        <f>IF(OR(E="",E="[PARENT]"),"ADD",IF(E="[ALT_VIEW]","ALT",""))</f>
        <v/>
      </c>
    </row>
    <row r="302" ht="10" customHeight="1">
      <c r="A302" s="30" t="inlineStr">
        <is>
          <t>FY26 Best ($K) (col AD)</t>
        </is>
      </c>
      <c r="B302" s="30" t="inlineStr">
        <is>
          <t>Pre-computed FY2026 cascade. Picks first non-blank: DAA Enacted (Y), Total (U), Request (S).</t>
        </is>
      </c>
      <c r="C302" s="26">
        <f>IF(Y&lt;&gt;"",Y,IF(U&lt;&gt;"",U,S))</f>
        <v/>
      </c>
    </row>
    <row r="303" ht="10" customHeight="1">
      <c r="A303" s="30" t="inlineStr">
        <is>
          <t>FY27 Best ($K) (col AE)</t>
        </is>
      </c>
      <c r="B303" s="30" t="inlineStr">
        <is>
          <t>Pre-computed FY2027 cascade. Picks first non-blank: Total (AB), Request (Z).</t>
        </is>
      </c>
      <c r="C303" s="26">
        <f>IF(AB&lt;&gt;"",AB,Z)</f>
        <v/>
      </c>
    </row>
    <row r="304" ht="10" customHeight="1"/>
    <row r="305" ht="10" customHeight="1">
      <c r="A305" s="49" t="inlineStr">
        <is>
          <t>Formula Simplification Impact</t>
        </is>
      </c>
      <c r="B305" s="39" t="n"/>
      <c r="C305" s="39" t="n"/>
    </row>
    <row r="306" ht="10" customHeight="1">
      <c r="A306" s="30" t="inlineStr">
        <is>
          <t>Before v5.14</t>
        </is>
      </c>
      <c r="B306" s="30" t="inlineStr">
        <is>
          <t>Every SUMIFS encoded cascade inline — 2 row types × 3 value columns = 6 SUMIFS per FY26 condition.</t>
        </is>
      </c>
      <c r="C306" s="26" t="inlineStr">
        <is>
          <t>Max formula: 6,013 chars / 84 SUMIFS</t>
        </is>
      </c>
    </row>
    <row r="307" ht="10" customHeight="1">
      <c r="A307" s="30" t="inlineStr">
        <is>
          <t>After v5.14</t>
        </is>
      </c>
      <c r="B307" s="30" t="inlineStr">
        <is>
          <t>Each formula reduces to 1 SUMIFS: =SUMIFS(JB_26BV, ..., JB_RC, "ADD"). Helper columns are live formulas.</t>
        </is>
      </c>
      <c r="C307" s="26" t="inlineStr">
        <is>
          <t>Max formula: 853 chars / 14 SUMIFS (86% reduction)</t>
        </is>
      </c>
    </row>
    <row r="308" ht="10" customHeight="1"/>
    <row r="309" ht="10" customHeight="1">
      <c r="A309" s="27" t="inlineStr">
        <is>
          <t>Named Ranges</t>
        </is>
      </c>
      <c r="B309" s="28" t="n"/>
      <c r="C309" s="28" t="n"/>
    </row>
    <row r="310" ht="10" customHeight="1">
      <c r="A310" s="26" t="inlineStr">
        <is>
          <t>Named ranges defined on J Book Items Cons. for use in SUMIFS formulas across all analysis sheets</t>
        </is>
      </c>
    </row>
    <row r="311" ht="10" customHeight="1">
      <c r="A311" s="29" t="inlineStr">
        <is>
          <t>Name</t>
        </is>
      </c>
      <c r="B311" s="29" t="inlineStr">
        <is>
          <t>Column &amp; Description</t>
        </is>
      </c>
      <c r="C311" s="29" t="inlineStr">
        <is>
          <t>Range</t>
        </is>
      </c>
    </row>
    <row r="312" ht="10" customHeight="1">
      <c r="A312" s="30" t="inlineStr">
        <is>
          <t>JB_A</t>
        </is>
      </c>
      <c r="B312" s="30" t="inlineStr">
        <is>
          <t>col A — Source Book</t>
        </is>
      </c>
      <c r="C312" s="26" t="inlineStr">
        <is>
          <t>$A$6:$A$4000</t>
        </is>
      </c>
    </row>
    <row r="313" ht="10" customHeight="1">
      <c r="A313" s="30" t="inlineStr">
        <is>
          <t>JB_B</t>
        </is>
      </c>
      <c r="B313" s="30" t="inlineStr">
        <is>
          <t>col I — Bucket</t>
        </is>
      </c>
      <c r="C313" s="26" t="inlineStr">
        <is>
          <t>$I$6:$I$4000</t>
        </is>
      </c>
    </row>
    <row r="314" ht="10" customHeight="1">
      <c r="A314" s="30" t="inlineStr">
        <is>
          <t>JB_V</t>
        </is>
      </c>
      <c r="B314" s="30" t="inlineStr">
        <is>
          <t>col L — Vessel Category</t>
        </is>
      </c>
      <c r="C314" s="26" t="inlineStr">
        <is>
          <t>$L$6:$L$4000</t>
        </is>
      </c>
    </row>
    <row r="315" ht="10" customHeight="1">
      <c r="A315" s="30" t="inlineStr">
        <is>
          <t>JB_W</t>
        </is>
      </c>
      <c r="B315" s="30" t="inlineStr">
        <is>
          <t>col M — Vessel Type</t>
        </is>
      </c>
      <c r="C315" s="26" t="inlineStr">
        <is>
          <t>$M$6:$M$4000</t>
        </is>
      </c>
    </row>
    <row r="316" ht="10" customHeight="1">
      <c r="A316" s="30" t="inlineStr">
        <is>
          <t>JB_H</t>
        </is>
      </c>
      <c r="B316" s="30" t="inlineStr">
        <is>
          <t>col N — Vessel Hull</t>
        </is>
      </c>
      <c r="C316" s="26" t="inlineStr">
        <is>
          <t>$N$6:$N$4000</t>
        </is>
      </c>
    </row>
    <row r="317" ht="10" customHeight="1">
      <c r="A317" s="30" t="inlineStr">
        <is>
          <t>JB_S</t>
        </is>
      </c>
      <c r="B317" s="30" t="inlineStr">
        <is>
          <t>col E — Row Type</t>
        </is>
      </c>
      <c r="C317" s="26" t="inlineStr">
        <is>
          <t>$E$6:$E$4000</t>
        </is>
      </c>
    </row>
    <row r="318" ht="10" customHeight="1">
      <c r="A318" s="30" t="inlineStr">
        <is>
          <t>JB_F</t>
        </is>
      </c>
      <c r="B318" s="30" t="inlineStr">
        <is>
          <t>col J — Bucket Sub Category</t>
        </is>
      </c>
      <c r="C318" s="26" t="inlineStr">
        <is>
          <t>$J$6:$J$4000</t>
        </is>
      </c>
    </row>
    <row r="319" ht="10" customHeight="1">
      <c r="A319" s="30" t="inlineStr">
        <is>
          <t>JB_EX</t>
        </is>
      </c>
      <c r="B319" s="30" t="inlineStr">
        <is>
          <t>col G — Exhibit Level (derived)</t>
        </is>
      </c>
      <c r="C319" s="26" t="inlineStr">
        <is>
          <t>$G$6:$G$4000</t>
        </is>
      </c>
    </row>
    <row r="320" ht="10" customHeight="1">
      <c r="A320" s="30" t="inlineStr">
        <is>
          <t>JB_CC</t>
        </is>
      </c>
      <c r="B320" s="30" t="inlineStr">
        <is>
          <t>col H — Cost Category (derived)</t>
        </is>
      </c>
      <c r="C320" s="26" t="inlineStr">
        <is>
          <t>$H$6:$H$4000</t>
        </is>
      </c>
    </row>
    <row r="321" ht="10" customHeight="1">
      <c r="A321" s="30" t="inlineStr">
        <is>
          <t>JB_CE</t>
        </is>
      </c>
      <c r="B321" s="30" t="inlineStr">
        <is>
          <t>col AJ — Cost Element (system names for P-8a)</t>
        </is>
      </c>
      <c r="C321" s="26" t="inlineStr">
        <is>
          <t>$AJ$6:$AJ$4000</t>
        </is>
      </c>
    </row>
    <row r="322" ht="10" customHeight="1">
      <c r="A322" s="30" t="inlineStr">
        <is>
          <t>JB_RC</t>
        </is>
      </c>
      <c r="B322" s="30" t="inlineStr">
        <is>
          <t>col AC — Row Class (helper)</t>
        </is>
      </c>
      <c r="C322" s="26" t="inlineStr">
        <is>
          <t>$AC$6:$AC$4000</t>
        </is>
      </c>
    </row>
    <row r="323" ht="10" customHeight="1">
      <c r="A323" s="30" t="inlineStr">
        <is>
          <t>JB_26BV</t>
        </is>
      </c>
      <c r="B323" s="30" t="inlineStr">
        <is>
          <t>col AD — FY2026 Best Value (helper)</t>
        </is>
      </c>
      <c r="C323" s="26" t="inlineStr">
        <is>
          <t>$AD$6:$AD$4000</t>
        </is>
      </c>
    </row>
    <row r="324" ht="10" customHeight="1">
      <c r="A324" s="30" t="inlineStr">
        <is>
          <t>JB_27BV</t>
        </is>
      </c>
      <c r="B324" s="30" t="inlineStr">
        <is>
          <t>col AE — FY2027 Best Value (helper)</t>
        </is>
      </c>
      <c r="C324" s="26" t="inlineStr">
        <is>
          <t>$AE$6:$AE$4000</t>
        </is>
      </c>
    </row>
    <row r="325" ht="10" customHeight="1"/>
    <row r="326" ht="10" customHeight="1">
      <c r="A326" s="27" t="inlineStr">
        <is>
          <t>Newbuild SAM Cost Category Detail</t>
        </is>
      </c>
      <c r="B326" s="28" t="n"/>
      <c r="C326" s="28" t="n"/>
    </row>
    <row r="327" ht="10" customHeight="1">
      <c r="A327" s="26" t="inlineStr">
        <is>
          <t>Supplemental cost category analysis on the Newbuild SAM sheet (FY26 only)</t>
        </is>
      </c>
    </row>
    <row r="328" ht="10" customHeight="1">
      <c r="A328" s="29" t="inlineStr">
        <is>
          <t>Section</t>
        </is>
      </c>
      <c r="B328" s="29" t="inlineStr">
        <is>
          <t>Description</t>
        </is>
      </c>
      <c r="C328" s="29" t="inlineStr">
        <is>
          <t>Notes</t>
        </is>
      </c>
    </row>
    <row r="329" ht="10" customHeight="1">
      <c r="A329" s="30" t="inlineStr">
        <is>
          <t>SAM (D): P-5c Gross Cost Category + P-8a System Detail</t>
        </is>
      </c>
      <c r="B329" s="30" t="inlineStr">
        <is>
          <t>Decomposes new-construction budget authority into P-5c cost categories by SAM vessel type. Individual P-8a GFE systems (radars, weapons, electronics, propulsion) are indented under each cost category. Gross total-ship-estimate costs — pre-AP/SFF, will NOT match SAM net totals.</t>
        </is>
      </c>
      <c r="C329" s="26" t="inlineStr">
        <is>
          <t>P-5c rows use SUMIFS on [ALT_VIEW] with JB_EX="P-5c". P-8a detail rows (green font) use JB_EX="P-8a" with JB_CE for each system. Sorted by value descending within category.</t>
        </is>
      </c>
    </row>
    <row r="330" ht="10" customHeight="1">
      <c r="A330" s="30" t="inlineStr">
        <is>
          <t>SAM (E): Proportional Allocation</t>
        </is>
      </c>
      <c r="B330" s="30" t="inlineStr">
        <is>
          <t>P-5c percentage mix from (D) applied to SAM net budget-authority totals. Cost category decomposition reconciles to the SAM total.</t>
        </is>
      </c>
      <c r="C330" s="26" t="inlineStr">
        <is>
          <t>Allocated Total should equal SAM Net Total per vessel type.</t>
        </is>
      </c>
    </row>
    <row r="331" ht="10" customHeight="1"/>
    <row r="332" ht="10" customHeight="1">
      <c r="A332" s="26" t="inlineStr">
        <is>
          <t>FY2027 has no sections (D)/(E) — justification books (P-5c, P-8a, P-35) not yet released.</t>
        </is>
      </c>
    </row>
    <row r="333" ht="10" customHeight="1"/>
    <row r="334" ht="10" customHeight="1">
      <c r="A334" s="27" t="inlineStr">
        <is>
          <t>FY2027 Methodology &amp; Sourcing</t>
        </is>
      </c>
      <c r="B334" s="28" t="n"/>
      <c r="C334" s="28" t="n"/>
    </row>
    <row r="335" ht="10" customHeight="1">
      <c r="A335" s="26" t="inlineStr">
        <is>
          <t>How FY2027 columns were populated, sourcing, and methodological notes</t>
        </is>
      </c>
    </row>
    <row r="336" ht="10" customHeight="1">
      <c r="A336" s="29" t="inlineStr">
        <is>
          <t>Topic</t>
        </is>
      </c>
      <c r="B336" s="29" t="inlineStr">
        <is>
          <t>Description</t>
        </is>
      </c>
      <c r="C336" s="29" t="inlineStr">
        <is>
          <t>Notes</t>
        </is>
      </c>
    </row>
    <row r="337" ht="10" customHeight="1">
      <c r="A337" s="30" t="inlineStr">
        <is>
          <t>Source document</t>
        </is>
      </c>
      <c r="B337" s="30" t="inlineStr">
        <is>
          <t>FY 2027 P-1 / O-1 (April 2026). New columns: FY2027 Request ($K), FY2027 Mandatory Request ($K), FY2027 Total ($K) at cols Z/AA/AB.</t>
        </is>
      </c>
      <c r="C337" s="26" t="inlineStr">
        <is>
          <t>Status: REQUEST only, not enacted.</t>
        </is>
      </c>
    </row>
    <row r="338" ht="10" customHeight="1">
      <c r="A338" s="30" t="inlineStr">
        <is>
          <t>Discretionary vs Mandatory</t>
        </is>
      </c>
      <c r="B338" s="30" t="inlineStr">
        <is>
          <t>Two FY27 request columns: Discretionary Request (regular annual base) and Mandatory Request (a NEW reconciliation ask, separate from OBBBA, NOT enacted, NOT guaranteed).</t>
        </is>
      </c>
      <c r="C338" s="26" t="inlineStr">
        <is>
          <t>SCN FY27: Disc $60.18B + Mand $5.65B = $65.83B.</t>
        </is>
      </c>
    </row>
    <row r="339" ht="10" customHeight="1">
      <c r="A339" s="30" t="inlineStr">
        <is>
          <t>TAM formula (FY27)</t>
        </is>
      </c>
      <c r="B339" s="30" t="inlineStr">
        <is>
          <t>Same as FY26 — sum (no tag) + [PARENT] rows. Uses FY2027 Total as per-row value.</t>
        </is>
      </c>
      <c r="C339" s="26" t="inlineStr">
        <is>
          <t>Same double-counting guards apply.</t>
        </is>
      </c>
    </row>
    <row r="340" ht="10" customHeight="1">
      <c r="A340" s="30" t="inlineStr">
        <is>
          <t>Net vs Gross convention</t>
        </is>
      </c>
      <c r="B340" s="30" t="inlineStr">
        <is>
          <t>PARENT = NET (gross − Less:AP − Less:SFF). Same as FY26 DAA columns.</t>
        </is>
      </c>
      <c r="C340" s="26" t="inlineStr">
        <is>
          <t>Completion-PY rolldowns excluded from PARENT (live in [SUB] rows).</t>
        </is>
      </c>
    </row>
    <row r="341" ht="10" customHeight="1">
      <c r="A341" s="30" t="inlineStr">
        <is>
          <t>OBBBA exclusion</t>
        </is>
      </c>
      <c r="B341" s="30" t="inlineStr">
        <is>
          <t>OBBBA (PL 119-21) is FY2026-only budget authority. 100% captured in FY2026 DAA columns. No FY27 OBBBA column — adding one would double-count.</t>
        </is>
      </c>
      <c r="C341" s="26" t="inlineStr">
        <is>
          <t>OBBBA contracts may sign in FY27/FY28 but BA is all FY26.</t>
        </is>
      </c>
    </row>
    <row r="342" ht="10" customHeight="1">
      <c r="A342" s="30" t="inlineStr">
        <is>
          <t>Budget authority vs outlays</t>
        </is>
      </c>
      <c r="B342" s="30" t="inlineStr">
        <is>
          <t>This workbook measures BUDGET AUTHORITY (BA), not outlays. OBBBA gave $152.3B of FY2026 BA, available for obligation through Sept 30, 2029.</t>
        </is>
      </c>
      <c r="C342" s="26" t="inlineStr">
        <is>
          <t>Apples-to-apples basis for cross-year comparison.</t>
        </is>
      </c>
    </row>
    <row r="343" ht="10" customHeight="1">
      <c r="A343" s="30" t="inlineStr">
        <is>
          <t>FY27 Mandatory vs OBBBA</t>
        </is>
      </c>
      <c r="B343" s="30" t="inlineStr">
        <is>
          <t>Different pots of money. OBBBA = enacted FY26 mandatory (PL 119-21, July 2025). FY27 Mandatory = a NEW ask in the Apr 2026 PB submission — NOT enacted.</t>
        </is>
      </c>
      <c r="C343" s="26" t="inlineStr">
        <is>
          <t>SCN FY27 Mand = $5.65B vs. SCN FY26 OBBBA = $17.93B.</t>
        </is>
      </c>
    </row>
    <row r="344" ht="10" customHeight="1">
      <c r="A344" s="30" t="inlineStr">
        <is>
          <t>Coverage by source book</t>
        </is>
      </c>
      <c r="B344" s="30" t="inlineStr">
        <is>
          <t>High for SCN/OPN/WPN (line-item match). Blank for OMN/NWCF (SAG-level only) and USCG (DHS, not DoD).</t>
        </is>
      </c>
      <c r="C344" s="26" t="inlineStr">
        <is>
          <t>OMN/NWCF: Phase 2 prorated allocation. USCG: Phase 3 (DHS CJ).</t>
        </is>
      </c>
    </row>
    <row r="345" ht="10" customHeight="1">
      <c r="A345" s="30" t="inlineStr">
        <is>
          <t>New programs (v1.21)</t>
        </is>
      </c>
      <c r="B345" s="30" t="inlineStr">
        <is>
          <t>9 new SCN rows for FY27 P-1 items not in v1.20: Surface Ship IB, BBG(X), FF(X), AS Sub Tender, SMS, Next Gen Logistics Ship, Bulk Fuel Vessel, T-AH(X), Fireboats.</t>
        </is>
      </c>
      <c r="C345" s="26" t="inlineStr">
        <is>
          <t>Each: Source=SCN, no Row Type tag (additive), full taxonomy where available.</t>
        </is>
      </c>
    </row>
    <row r="346" ht="10" customHeight="1">
      <c r="A346" s="30" t="inlineStr">
        <is>
          <t>1613N Maritime Industrial Base Fund</t>
        </is>
      </c>
      <c r="B346" s="30" t="inlineStr">
        <is>
          <t>NOT added — FY26-only appropriation. Two line items (Sub IB $2.54B, Surface Ship IB $1.99B) are zero in FY27. OBBBA-only money already captured by other rows.</t>
        </is>
      </c>
    </row>
    <row r="347" ht="10" customHeight="1"/>
    <row r="348" ht="10" customHeight="1">
      <c r="A348" s="27" t="inlineStr">
        <is>
          <t>Data Quality Flags</t>
        </is>
      </c>
      <c r="B348" s="28" t="n"/>
      <c r="C348" s="28" t="n"/>
    </row>
    <row r="349" ht="10" customHeight="1">
      <c r="A349" s="26" t="inlineStr">
        <is>
          <t>Known duplicates, inconsistencies, and data quality issues in the current dataset</t>
        </is>
      </c>
    </row>
    <row r="350" ht="10" customHeight="1">
      <c r="A350" s="29" t="inlineStr">
        <is>
          <t>Issue</t>
        </is>
      </c>
      <c r="B350" s="29" t="inlineStr">
        <is>
          <t>Description</t>
        </is>
      </c>
      <c r="C350" s="29" t="inlineStr">
        <is>
          <t>Resolution</t>
        </is>
      </c>
    </row>
    <row r="351" ht="10" customHeight="1">
      <c r="A351" s="30" t="inlineStr">
        <is>
          <t>Surface Combatants variant (RESOLVED)</t>
        </is>
      </c>
      <c r="B351" s="30" t="inlineStr">
        <is>
          <t>Submarket column previously had hyphen and en-dash variants. As of v1.22, all standardized.</t>
        </is>
      </c>
      <c r="C351" s="26" t="inlineStr">
        <is>
          <t>Re-run consolidation if reloading from en-dash sources.</t>
        </is>
      </c>
    </row>
    <row r="352" ht="10" customHeight="1">
      <c r="A352" s="30" t="inlineStr">
        <is>
          <t>OPN_BA3 / BA5-8 duplicate rows</t>
        </is>
      </c>
      <c r="B352" s="30" t="inlineStr">
        <is>
          <t>5 line items appear in both OPN_BA3 and OPN_BA5-8. Double-count when summed across all OPN_BAx.</t>
        </is>
      </c>
      <c r="C352" s="26" t="inlineStr">
        <is>
          <t>Est. impact: +$1.0M to +$1.3M. Pick canonical source, blank the other.</t>
        </is>
      </c>
    </row>
    <row r="353" ht="10" customHeight="1">
      <c r="A353" s="30" t="inlineStr">
        <is>
          <t>LI 116 Advanced Arresting Gear (AAG)</t>
        </is>
      </c>
      <c r="B353" s="30" t="inlineStr">
        <is>
          <t>OPN_BA3 R2890 + OPN_BA5-8 R3208. Both reference same P-1 line item.</t>
        </is>
      </c>
      <c r="C353" s="26" t="inlineStr">
        <is>
          <t>Both FY27 = $23,551K. Pick one.</t>
        </is>
      </c>
    </row>
    <row r="354" ht="10" customHeight="1">
      <c r="A354" s="30" t="inlineStr">
        <is>
          <t>LI 117 EMALS</t>
        </is>
      </c>
      <c r="B354" s="30" t="inlineStr">
        <is>
          <t>OPN_BA3 R2901 + OPN_BA5-8 R3209. Both reference same P-1 line item.</t>
        </is>
      </c>
      <c r="C354" s="26" t="inlineStr">
        <is>
          <t>Both FY27 = $36,908K. Pick one.</t>
        </is>
      </c>
    </row>
    <row r="355" ht="10" customHeight="1">
      <c r="A355" s="30" t="inlineStr">
        <is>
          <t>LI 122 UMCS-UCA Mission Control Station</t>
        </is>
      </c>
      <c r="B355" s="30" t="inlineStr">
        <is>
          <t>OPN_BA3 R2947 + OPN_BA5-8 R3210. Both reference same P-1 line item.</t>
        </is>
      </c>
      <c r="C355" s="26" t="inlineStr">
        <is>
          <t>Both FY27 = $211,216K. Pick one.</t>
        </is>
      </c>
    </row>
    <row r="356" ht="10" customHeight="1">
      <c r="A356" s="30" t="inlineStr">
        <is>
          <t>LI 176 Spares and Repair Parts</t>
        </is>
      </c>
      <c r="B356" s="30" t="inlineStr">
        <is>
          <t>OPN_BA3 R2973 + OPN_BA5-8 R3220. Both reference P-1 BA08 line 176.</t>
        </is>
      </c>
      <c r="C356" s="26" t="inlineStr">
        <is>
          <t>Both FY27 = $765,711K. Largest single-line double-count.</t>
        </is>
      </c>
    </row>
    <row r="357" ht="10" customHeight="1">
      <c r="A357" s="30" t="inlineStr">
        <is>
          <t>LI 177 VIRGINIA Class Spares</t>
        </is>
      </c>
      <c r="B357" s="30" t="inlineStr">
        <is>
          <t>OPN_BA3 R2974 + OPN_BA5-8 R3221. In FY27, P-1 lacks a separate Virginia spares line — both rows blank in FY27.</t>
        </is>
      </c>
      <c r="C357" s="26" t="inlineStr">
        <is>
          <t>FY26: both have data. Consider prorating as share of consolidated BA08.</t>
        </is>
      </c>
    </row>
    <row r="358" ht="10" customHeight="1"/>
    <row r="359" ht="10" customHeight="1">
      <c r="A359" s="27" t="inlineStr">
        <is>
          <t>Phase 2 — OMN/NWCF FY27 Allocation (Planned)</t>
        </is>
      </c>
      <c r="B359" s="28" t="n"/>
      <c r="C359" s="28" t="n"/>
    </row>
    <row r="360" ht="10" customHeight="1">
      <c r="A360" s="26" t="inlineStr">
        <is>
          <t>Planned methodology for populating FY27 values for OMN, OMN_Vol2, and NWCF source books</t>
        </is>
      </c>
    </row>
    <row r="361" ht="10" customHeight="1">
      <c r="A361" s="29" t="inlineStr">
        <is>
          <t>Topic</t>
        </is>
      </c>
      <c r="B361" s="29" t="inlineStr">
        <is>
          <t>Description</t>
        </is>
      </c>
      <c r="C361" s="29" t="inlineStr">
        <is>
          <t>Notes</t>
        </is>
      </c>
    </row>
    <row r="362" ht="10" customHeight="1">
      <c r="A362" s="30" t="inlineStr">
        <is>
          <t>Why a separate sheet</t>
        </is>
      </c>
      <c r="B362" s="30" t="inlineStr">
        <is>
          <t>FY27 O-1/RF-1 only publish SAG-level totals — no per-line detail for OMN/NWCF. A "FY27 Allocation Workbench" will apportion SAG totals to individual rows.</t>
        </is>
      </c>
      <c r="C362" s="26" t="inlineStr">
        <is>
          <t>USCG is DHS, not DoD — cannot be filled from this exhibit set (Phase 3).</t>
        </is>
      </c>
    </row>
    <row r="363" ht="10" customHeight="1">
      <c r="A363" s="30" t="inlineStr">
        <is>
          <t>Allocation rule</t>
        </is>
      </c>
      <c r="B363" s="30" t="inlineStr">
        <is>
          <t>Pro-rate by FY26 share: FY27_row = (FY26_row / FY26_SAG_total) × FY27_SAG_total. Use FY26 DAA Enacted Total as baseline.</t>
        </is>
      </c>
      <c r="C363" s="26" t="inlineStr">
        <is>
          <t>Flag rows where prorated FY27 differs from FY26 by &gt; ±25% for review.</t>
        </is>
      </c>
    </row>
    <row r="364" ht="10" customHeight="1">
      <c r="A364" s="30" t="inlineStr">
        <is>
          <t>Source SAG totals (FY27)</t>
        </is>
      </c>
      <c r="B364" s="30" t="inlineStr">
        <is>
          <t>OMN SAGs: 1A5A Aircraft Depot Maint ($2,220M), 1B1B Mission &amp; Ship Ops ($7,425M), 1B2B Ship Ops Support ($1,713M), 1B4B Ship Depot Maint ($14,293M), 1B5B Depot Ops Support ($2,598M). NWCF: $266M.</t>
        </is>
      </c>
      <c r="C364" s="26" t="inlineStr">
        <is>
          <t>All FY27 Disc Request only — no Mandatory for OMN/NWCF.</t>
        </is>
      </c>
    </row>
    <row r="365" ht="10" customHeight="1">
      <c r="A365" s="30" t="inlineStr">
        <is>
          <t>Workbench structure</t>
        </is>
      </c>
      <c r="B365" s="30" t="inlineStr">
        <is>
          <t>Columns: J Book row #, Source Book, LI, Title, SAG, FY26 DAA, FY26 SAG total, FY26 share %, FY27 SAG total, FY27 prorated, ±25% flag, manual override.</t>
        </is>
      </c>
      <c r="C365" s="26" t="inlineStr">
        <is>
          <t>Manual overrides take precedence when set.</t>
        </is>
      </c>
    </row>
    <row r="366" ht="10" customHeight="1">
      <c r="A366" s="30" t="inlineStr">
        <is>
          <t>SAG → row mapping</t>
        </is>
      </c>
      <c r="B366" s="30" t="inlineStr">
        <is>
          <t>Parse SAG code from the Citation column (e.g., "OMN &gt; BA01 &gt; 1B4B Ship Depot Maintenance &gt; ...").</t>
        </is>
      </c>
      <c r="C366" s="26" t="inlineStr">
        <is>
          <t>Ambiguous/missing citations require manual SAG assignment.</t>
        </is>
      </c>
    </row>
    <row r="367" ht="10" customHeight="1">
      <c r="A367" s="30" t="inlineStr">
        <is>
          <t>Validation after Phase 2</t>
        </is>
      </c>
      <c r="B367" s="30" t="inlineStr">
        <is>
          <t>Sum of prorated FY27 values within a SAG should equal FY27 SAG total. Per-SAG summary: total, sum of prorated, variance.</t>
        </is>
      </c>
      <c r="C367" s="26" t="inlineStr">
        <is>
          <t>Only PARENT and (no tag) rows are additive for the SAG check.</t>
        </is>
      </c>
    </row>
    <row r="368" ht="10" customHeight="1">
      <c r="A368" s="30" t="inlineStr">
        <is>
          <t>USCG handling (Phase 3)</t>
        </is>
      </c>
      <c r="B368" s="30" t="inlineStr">
        <is>
          <t>18 USCG rows cannot be populated from FY27 P-1/O-1 (CG is DHS). Requires FY27 DHS CG Congressional Justification.</t>
        </is>
      </c>
      <c r="C368" s="26" t="inlineStr">
        <is>
          <t>USCG FY27 columns remain blank until Phase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2026-04-14T12:51:08Z</dcterms:modified>
  <cp:lastModifiedBy>Brendan Toole</cp:lastModifiedBy>
</cp:coreProperties>
</file>