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69</xdr:row>
      <xdr:rowOff>28575</xdr:rowOff>
    </xdr:from>
    <xdr:to>
      <xdr:col>14</xdr:col>
      <xdr:colOff>0</xdr:colOff>
      <xdr:row>81</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Material Support Ships</t>
        </is>
      </c>
      <c r="B25" s="30" t="inlineStr">
        <is>
          <t>USN</t>
        </is>
      </c>
      <c r="C25" s="31">
        <f>SUMIFS(JB_26BV,JB_B,1,JB_W,"Material Support Ships",JB_RC,"ADD")</f>
        <v/>
      </c>
      <c r="D25" s="37">
        <f>IFERROR(C25/C$42,0)</f>
        <v/>
      </c>
    </row>
    <row r="26" ht="10" customHeight="1">
      <c r="A26" s="30" t="inlineStr">
        <is>
          <t>Submarine Escort Ship</t>
        </is>
      </c>
      <c r="B26" s="30" t="inlineStr">
        <is>
          <t>USN</t>
        </is>
      </c>
      <c r="C26" s="31">
        <f>SUMIFS(JB_26BV,JB_B,1,JB_W,"Submarine Escort Ship",JB_RC,"ADD")</f>
        <v/>
      </c>
      <c r="D26" s="37">
        <f>IFERROR(C26/C$42,0)</f>
        <v/>
      </c>
    </row>
    <row r="27" ht="10" customHeight="1">
      <c r="A27" s="30" t="inlineStr">
        <is>
          <t>Command Ships</t>
        </is>
      </c>
      <c r="B27" s="30" t="inlineStr">
        <is>
          <t>USN</t>
        </is>
      </c>
      <c r="C27" s="31">
        <f>SUMIFS(JB_26BV,JB_B,1,JB_W,"Command Ships",JB_RC,"ADD")</f>
        <v/>
      </c>
      <c r="D27" s="37">
        <f>IFERROR(C27/C$42,0)</f>
        <v/>
      </c>
    </row>
    <row r="28" ht="10" customHeight="1">
      <c r="A28" s="30" t="inlineStr">
        <is>
          <t>General Auxiliary</t>
        </is>
      </c>
      <c r="B28" s="30" t="inlineStr">
        <is>
          <t>USN</t>
        </is>
      </c>
      <c r="C28" s="31">
        <f>SUMIFS(JB_26BV,JB_B,1,JB_W,"General Auxiliary",JB_RC,"ADD")</f>
        <v/>
      </c>
      <c r="D28" s="37">
        <f>IFERROR(C28/C$42,0)</f>
        <v/>
      </c>
    </row>
    <row r="29" ht="10" customHeight="1">
      <c r="A29" s="30" t="inlineStr">
        <is>
          <t>Aviation Logistics Support Ship</t>
        </is>
      </c>
      <c r="B29" s="30" t="inlineStr">
        <is>
          <t>USN</t>
        </is>
      </c>
      <c r="C29" s="31">
        <f>SUMIFS(JB_26BV,JB_B,1,JB_W,"Aviation Logistics Support Ship",JB_RC,"ADD")</f>
        <v/>
      </c>
      <c r="D29" s="37">
        <f>IFERROR(C29/C$42,0)</f>
        <v/>
      </c>
    </row>
    <row r="30" ht="10" customHeight="1">
      <c r="A30" s="30" t="inlineStr">
        <is>
          <t>Research, Survey &amp; Instrumentation Ships</t>
        </is>
      </c>
      <c r="B30" s="30" t="inlineStr">
        <is>
          <t>MSC</t>
        </is>
      </c>
      <c r="C30" s="31">
        <f>SUMIFS(JB_26BV,JB_B,1,JB_W,"Research, Survey &amp; Instrumentation Ships",JB_RC,"ADD")</f>
        <v/>
      </c>
      <c r="D30" s="37">
        <f>IFERROR(C30/C$42,0)</f>
        <v/>
      </c>
    </row>
    <row r="31" ht="10" customHeight="1">
      <c r="A31" s="30" t="inlineStr">
        <is>
          <t>High Speed Transport</t>
        </is>
      </c>
      <c r="B31" s="30" t="inlineStr">
        <is>
          <t>USN</t>
        </is>
      </c>
      <c r="C31" s="31">
        <f>SUMIFS(JB_26BV,JB_B,1,JB_W,"High Speed Transport",JB_RC,"ADD")</f>
        <v/>
      </c>
      <c r="D31" s="37">
        <f>IFERROR(C31/C$42,0)</f>
        <v/>
      </c>
    </row>
    <row r="32" ht="10" customHeight="1">
      <c r="A32" s="30" t="inlineStr">
        <is>
          <t>Mine Warfare</t>
        </is>
      </c>
      <c r="B32" s="30" t="inlineStr">
        <is>
          <t>USN</t>
        </is>
      </c>
      <c r="C32" s="31">
        <f>SUMIFS(JB_26BV,JB_B,1,JB_W,"Mine Warfare",JB_RC,"ADD")</f>
        <v/>
      </c>
      <c r="D32" s="37">
        <f>IFERROR(C32/C$42,0)</f>
        <v/>
      </c>
    </row>
    <row r="33" ht="10" customHeight="1">
      <c r="A33" s="30" t="inlineStr">
        <is>
          <t>Hospital Ship</t>
        </is>
      </c>
      <c r="B33" s="30" t="inlineStr">
        <is>
          <t>MSC</t>
        </is>
      </c>
      <c r="C33" s="31">
        <f>SUMIFS(JB_26BV,JB_B,1,JB_W,"Hospital Ship",JB_RC,"ADD")</f>
        <v/>
      </c>
      <c r="D33" s="37">
        <f>IFERROR(C33/C$42,0)</f>
        <v/>
      </c>
    </row>
    <row r="34" ht="10" customHeight="1">
      <c r="A34" s="30" t="inlineStr">
        <is>
          <t>Crane Ship</t>
        </is>
      </c>
      <c r="B34" s="30" t="inlineStr">
        <is>
          <t>USN</t>
        </is>
      </c>
      <c r="C34" s="31">
        <f>SUMIFS(JB_26BV,JB_B,1,JB_W,"Crane Ship",JB_RC,"ADD")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National Security Cutters</t>
        </is>
      </c>
      <c r="B39" s="30" t="inlineStr">
        <is>
          <t>USCG</t>
        </is>
      </c>
      <c r="C39" s="31">
        <f>SUMIFS(JB_26BV,JB_B,1,JB_W,"National Security Cutters",JB_RC,"ADD")</f>
        <v/>
      </c>
      <c r="D39" s="37">
        <f>IFERROR(C39/C$42,0)</f>
        <v/>
      </c>
    </row>
    <row r="40" ht="10" customHeight="1">
      <c r="A40" s="30" t="inlineStr">
        <is>
          <t>Coastal Buoy Tenders</t>
        </is>
      </c>
      <c r="B40" s="30" t="inlineStr">
        <is>
          <t>USCG</t>
        </is>
      </c>
      <c r="C40" s="31">
        <f>SUMIFS(JB_26BV,JB_B,1,JB_W,"Coastal Buoy Tenders",JB_RC,"ADD")</f>
        <v/>
      </c>
      <c r="D40" s="37">
        <f>IFERROR(C40/C$42,0)</f>
        <v/>
      </c>
    </row>
    <row r="41" ht="10" customHeight="1">
      <c r="A41" s="30" t="inlineStr">
        <is>
          <t>Icebreakers, Great Lakes</t>
        </is>
      </c>
      <c r="B41" s="30" t="inlineStr">
        <is>
          <t>USCG</t>
        </is>
      </c>
      <c r="C41" s="31">
        <f>SUMIFS(JB_26BV,JB_B,1,JB_W,"Icebreakers, Great Lakes",JB_RC,"ADD")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Mine Warfare</t>
        </is>
      </c>
      <c r="B22" s="30" t="inlineStr">
        <is>
          <t>USN</t>
        </is>
      </c>
      <c r="C22" s="31">
        <f>SUMIFS(JB_26BV,JB_B,1,JB_W,"Mine Warfare",JB_RC,"ADD")</f>
        <v/>
      </c>
      <c r="D22" s="37">
        <f>IFERROR(C22/C$39,0)</f>
        <v/>
      </c>
    </row>
    <row r="23" ht="10" customHeight="1">
      <c r="A23" s="30" t="inlineStr">
        <is>
          <t>Material Support Ships</t>
        </is>
      </c>
      <c r="B23" s="30" t="inlineStr">
        <is>
          <t>USN</t>
        </is>
      </c>
      <c r="C23" s="31">
        <f>SUMIFS(JB_26BV,JB_B,1,JB_W,"Material Support Ships",JB_RC,"ADD")</f>
        <v/>
      </c>
      <c r="D23" s="37">
        <f>IFERROR(C23/C$39,0)</f>
        <v/>
      </c>
    </row>
    <row r="24" ht="10" customHeight="1">
      <c r="A24" s="30" t="inlineStr">
        <is>
          <t>Submarine Escort Ship</t>
        </is>
      </c>
      <c r="B24" s="30" t="inlineStr">
        <is>
          <t>USN</t>
        </is>
      </c>
      <c r="C24" s="31">
        <f>SUMIFS(JB_26BV,JB_B,1,JB_W,"Submarine Escort Ship",JB_RC,"ADD")</f>
        <v/>
      </c>
      <c r="D24" s="37">
        <f>IFERROR(C24/C$39,0)</f>
        <v/>
      </c>
    </row>
    <row r="25" ht="10" customHeight="1">
      <c r="A25" s="30" t="inlineStr">
        <is>
          <t>Command Ships</t>
        </is>
      </c>
      <c r="B25" s="30" t="inlineStr">
        <is>
          <t>USN</t>
        </is>
      </c>
      <c r="C25" s="31">
        <f>SUMIFS(JB_26BV,JB_B,1,JB_W,"Command Ships",JB_RC,"ADD")</f>
        <v/>
      </c>
      <c r="D25" s="37">
        <f>IFERROR(C25/C$39,0)</f>
        <v/>
      </c>
    </row>
    <row r="26" ht="10" customHeight="1">
      <c r="A26" s="30" t="inlineStr">
        <is>
          <t>Hospital Ship</t>
        </is>
      </c>
      <c r="B26" s="30" t="inlineStr">
        <is>
          <t>MSC</t>
        </is>
      </c>
      <c r="C26" s="31">
        <f>SUMIFS(JB_26BV,JB_B,1,JB_W,"Hospital Ship",JB_RC,"ADD")</f>
        <v/>
      </c>
      <c r="D26" s="37">
        <f>IFERROR(C26/C$39,0)</f>
        <v/>
      </c>
    </row>
    <row r="27" ht="10" customHeight="1">
      <c r="A27" s="30" t="inlineStr">
        <is>
          <t>General Auxiliary</t>
        </is>
      </c>
      <c r="B27" s="30" t="inlineStr">
        <is>
          <t>USN</t>
        </is>
      </c>
      <c r="C27" s="31">
        <f>SUMIFS(JB_26BV,JB_B,1,JB_W,"General Auxiliary",JB_RC,"ADD")</f>
        <v/>
      </c>
      <c r="D27" s="37">
        <f>IFERROR(C27/C$39,0)</f>
        <v/>
      </c>
    </row>
    <row r="28" ht="10" customHeight="1">
      <c r="A28" s="30" t="inlineStr">
        <is>
          <t>Aviation Logistics Support Ship</t>
        </is>
      </c>
      <c r="B28" s="30" t="inlineStr">
        <is>
          <t>USN</t>
        </is>
      </c>
      <c r="C28" s="31">
        <f>SUMIFS(JB_26BV,JB_B,1,JB_W,"Aviation Logistics Support Ship",JB_RC,"ADD")</f>
        <v/>
      </c>
      <c r="D28" s="37">
        <f>IFERROR(C28/C$39,0)</f>
        <v/>
      </c>
    </row>
    <row r="29" ht="10" customHeight="1">
      <c r="A29" s="30" t="inlineStr">
        <is>
          <t>Crane Ship</t>
        </is>
      </c>
      <c r="B29" s="30" t="inlineStr">
        <is>
          <t>USN</t>
        </is>
      </c>
      <c r="C29" s="31">
        <f>SUMIFS(JB_26BV,JB_B,1,JB_W,"Crane Ship",JB_RC,"ADD")</f>
        <v/>
      </c>
      <c r="D29" s="37">
        <f>IFERROR(C29/C$39,0)</f>
        <v/>
      </c>
    </row>
    <row r="30" ht="10" customHeight="1">
      <c r="A30" s="30" t="inlineStr">
        <is>
          <t>Research, Survey &amp; Instrumentation Ships</t>
        </is>
      </c>
      <c r="B30" s="30" t="inlineStr">
        <is>
          <t>MSC</t>
        </is>
      </c>
      <c r="C30" s="31">
        <f>SUMIFS(JB_26BV,JB_B,1,JB_W,"Research, Survey &amp; Instrumentation Ships",JB_RC,"ADD")</f>
        <v/>
      </c>
      <c r="D30" s="37">
        <f>IFERROR(C30/C$39,0)</f>
        <v/>
      </c>
    </row>
    <row r="31" ht="10" customHeight="1">
      <c r="A31" s="30" t="inlineStr">
        <is>
          <t>High Speed Transport</t>
        </is>
      </c>
      <c r="B31" s="30" t="inlineStr">
        <is>
          <t>USN</t>
        </is>
      </c>
      <c r="C31" s="31">
        <f>SUMIFS(JB_26BV,JB_B,1,JB_W,"High Speed Transport",JB_RC,"ADD")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National Security Cutters</t>
        </is>
      </c>
      <c r="B36" s="30" t="inlineStr">
        <is>
          <t>USCG</t>
        </is>
      </c>
      <c r="C36" s="31">
        <f>SUMIFS(JB_26BV,JB_B,1,JB_W,"National Security Cutters",JB_RC,"ADD")</f>
        <v/>
      </c>
      <c r="D36" s="37">
        <f>IFERROR(C36/C$39,0)</f>
        <v/>
      </c>
    </row>
    <row r="37" ht="10" customHeight="1">
      <c r="A37" s="30" t="inlineStr">
        <is>
          <t>Coastal Buoy Tenders</t>
        </is>
      </c>
      <c r="B37" s="30" t="inlineStr">
        <is>
          <t>USCG</t>
        </is>
      </c>
      <c r="C37" s="31">
        <f>SUMIFS(JB_26BV,JB_B,1,JB_W,"Coastal Buoy Tenders",JB_RC,"ADD")</f>
        <v/>
      </c>
      <c r="D37" s="37">
        <f>IFERROR(C37/C$39,0)</f>
        <v/>
      </c>
    </row>
    <row r="38" ht="10" customHeight="1">
      <c r="A38" s="30" t="inlineStr">
        <is>
          <t>Icebreakers, Great Lakes</t>
        </is>
      </c>
      <c r="B38" s="30" t="inlineStr">
        <is>
          <t>USCG</t>
        </is>
      </c>
      <c r="C38" s="31">
        <f>SUMIFS(JB_26BV,JB_B,1,JB_W,"Icebreakers, Great Lakes",JB_RC,"ADD")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MISC. HM&amp;E</t>
        </is>
      </c>
      <c r="B22" s="26" t="inlineStr">
        <is>
          <t>Hull, Mechanical, and Electrical</t>
        </is>
      </c>
      <c r="C22" s="49">
        <f>SUMIFS(JB_26BV,JB_B,1,JB_EX,"P-8a",JB_CC,"Hull, Mechanical, and Electrical",JB_H,"DDG",JB_CE,"MISC. HM&amp;E",JB_RC,"ALT")</f>
        <v/>
      </c>
      <c r="D22" s="37">
        <f>IFERROR(C22/C$80,0)</f>
        <v/>
      </c>
    </row>
    <row r="23" ht="10" customHeight="1">
      <c r="A23" s="30" t="inlineStr">
        <is>
          <t>MAIN TURBINE GENERATOR (MTG)</t>
        </is>
      </c>
      <c r="B23" s="26" t="inlineStr">
        <is>
          <t>Hull, Mechanical, and Electrical</t>
        </is>
      </c>
      <c r="C23" s="49">
        <f>SUMIFS(JB_26BV,JB_B,1,JB_EX,"P-8a",JB_CC,"Hull, Mechanical, and Electrical",JB_H,"DDG",JB_CE,"MAIN TURBINE GENERATOR (MTG)",JB_RC,"ALT")</f>
        <v/>
      </c>
      <c r="D23" s="37">
        <f>IFERROR(C23/C$80,0)</f>
        <v/>
      </c>
    </row>
    <row r="24" ht="10" customHeight="1">
      <c r="A24" s="30" t="inlineStr">
        <is>
          <t>Integrated Bridge Navigation System</t>
        </is>
      </c>
      <c r="B24" s="26" t="inlineStr">
        <is>
          <t>Hull, Mechanical, and Electrical</t>
        </is>
      </c>
      <c r="C24" s="49">
        <f>SUMIFS(JB_26BV,JB_B,1,JB_EX,"P-8a",JB_CC,"Hull, Mechanical, and Electrical",JB_H,"DDG",JB_CE,"Integrated Bridge Navigation System",JB_RC,"ALT")</f>
        <v/>
      </c>
      <c r="D24" s="37">
        <f>IFERROR(C24/C$80,0)</f>
        <v/>
      </c>
    </row>
    <row r="25" ht="10" customHeight="1">
      <c r="A25" s="30" t="inlineStr">
        <is>
          <t>STC 3 IVCS</t>
        </is>
      </c>
      <c r="B25" s="26" t="inlineStr">
        <is>
          <t>Hull, Mechanical, and Electrical</t>
        </is>
      </c>
      <c r="C25" s="49">
        <f>SUMIFS(JB_26BV,JB_B,1,JB_EX,"P-8a",JB_CC,"Hull, Mechanical, and Electrical",JB_H,"DDG",JB_CE,"STC 3 IVCS",JB_RC,"ALT")</f>
        <v/>
      </c>
      <c r="D25" s="37">
        <f>IFERROR(C25/C$80,0)</f>
        <v/>
      </c>
    </row>
    <row r="26" ht="10" customHeight="1">
      <c r="A26" s="30" t="inlineStr">
        <is>
          <t>Machinery Control System</t>
        </is>
      </c>
      <c r="B26" s="26" t="inlineStr">
        <is>
          <t>Hull, Mechanical, and Electrical</t>
        </is>
      </c>
      <c r="C26" s="49">
        <f>SUMIFS(JB_26BV,JB_B,1,JB_EX,"P-8a",JB_CC,"Hull, Mechanical, and Electrical",JB_H,"DDG",JB_CE,"Machinery Control System",JB_RC,"ALT")</f>
        <v/>
      </c>
      <c r="D26" s="37">
        <f>IFERROR(C26/C$80,0)</f>
        <v/>
      </c>
    </row>
    <row r="27" ht="10" customHeight="1">
      <c r="A27" s="30" t="inlineStr">
        <is>
          <t>CYBER BDC</t>
        </is>
      </c>
      <c r="B27" s="26" t="inlineStr">
        <is>
          <t>Hull, Mechanical, and Electrical</t>
        </is>
      </c>
      <c r="C27" s="49">
        <f>SUMIFS(JB_26BV,JB_B,1,JB_EX,"P-8a",JB_CC,"Hull, Mechanical, and Electrical",JB_H,"DDG",JB_CE,"CYBER BDC",JB_RC,"ALT")</f>
        <v/>
      </c>
      <c r="D27" s="37">
        <f>IFERROR(C27/C$80,0)</f>
        <v/>
      </c>
    </row>
    <row r="28" ht="10" customHeight="1">
      <c r="A28" s="30" t="inlineStr">
        <is>
          <t>WSN 12</t>
        </is>
      </c>
      <c r="B28" s="26" t="inlineStr">
        <is>
          <t>Hull, Mechanical, and Electrical</t>
        </is>
      </c>
      <c r="C28" s="49">
        <f>SUMIFS(JB_26BV,JB_B,1,JB_EX,"P-8a",JB_CC,"Hull, Mechanical, and Electrical",JB_H,"DDG",JB_CE,"WSN 12",JB_RC,"ALT")</f>
        <v/>
      </c>
      <c r="D28" s="37">
        <f>IFERROR(C28/C$80,0)</f>
        <v/>
      </c>
    </row>
    <row r="29" ht="10" customHeight="1">
      <c r="A29" s="30" t="inlineStr">
        <is>
          <t>HM&amp;E (NGVLA, Moriah Wind Measurement System (WMS), Aviation Integration)</t>
        </is>
      </c>
      <c r="B29" s="26" t="inlineStr">
        <is>
          <t>Hull, Mechanical, and Electrical</t>
        </is>
      </c>
      <c r="C29" s="49">
        <f>SUMIFS(JB_26BV,JB_B,1,JB_EX,"P-8a",JB_CC,"Hull, Mechanical, and Electrical",JB_H,"DDG",JB_CE,"HM&amp;E (NGVLA, Moriah Wind Measurement System (WMS), Aviation Integration)",JB_RC,"ALT")</f>
        <v/>
      </c>
      <c r="D29" s="37">
        <f>IFERROR(C29/C$80,0)</f>
        <v/>
      </c>
    </row>
    <row r="30" ht="10" customHeight="1">
      <c r="A30" s="30" t="inlineStr">
        <is>
          <t>INTERIM SPARES</t>
        </is>
      </c>
      <c r="B30" s="26" t="inlineStr">
        <is>
          <t>Hull, Mechanical, and Electrical</t>
        </is>
      </c>
      <c r="C30" s="49">
        <f>SUMIFS(JB_26BV,JB_B,1,JB_EX,"P-8a",JB_CC,"Hull, Mechanical, and Electrical",JB_H,"DDG",JB_CE,"INTERIM SPARES",JB_RC,"ALT")</f>
        <v/>
      </c>
      <c r="D30" s="37">
        <f>IFERROR(C30/C$80,0)</f>
        <v/>
      </c>
    </row>
    <row r="31" ht="10" customHeight="1">
      <c r="A31" s="30" t="inlineStr">
        <is>
          <t>RIGID HULL INFLATABLE BOAT (RHIB)</t>
        </is>
      </c>
      <c r="B31" s="26" t="inlineStr">
        <is>
          <t>Hull, Mechanical, and Electrical</t>
        </is>
      </c>
      <c r="C31" s="49">
        <f>SUMIFS(JB_26BV,JB_B,1,JB_EX,"P-8a",JB_CC,"Hull, Mechanical, and Electrical",JB_H,"DDG",JB_CE,"RIGID HULL INFLATABLE BOAT (RHIB)",JB_RC,"ALT")</f>
        <v/>
      </c>
      <c r="D31" s="37">
        <f>IFERROR(C31/C$80,0)</f>
        <v/>
      </c>
    </row>
    <row r="32" ht="10" customHeight="1">
      <c r="A32" s="30" t="inlineStr">
        <is>
          <t>AN/SPY-6(V)1 (AMDR)</t>
        </is>
      </c>
      <c r="B32" s="26" t="inlineStr">
        <is>
          <t>Ordnance</t>
        </is>
      </c>
      <c r="C32" s="49">
        <f>SUMIFS(JB_26BV,JB_B,1,JB_EX,"P-8a",JB_CC,"Ordnance",JB_H,"DDG",JB_CE,"AN/SPY-6(V)1 (AMDR)",JB_RC,"ALT")</f>
        <v/>
      </c>
      <c r="D32" s="37">
        <f>IFERROR(C32/C$80,0)</f>
        <v/>
      </c>
    </row>
    <row r="33" ht="10" customHeight="1">
      <c r="A33" s="30" t="inlineStr">
        <is>
          <t>AEGIS WEAPON SYSTEM (MK-7)</t>
        </is>
      </c>
      <c r="B33" s="26" t="inlineStr">
        <is>
          <t>Ordnance</t>
        </is>
      </c>
      <c r="C33" s="49">
        <f>SUMIFS(JB_26BV,JB_B,1,JB_EX,"P-8a",JB_CC,"Ordnance",JB_H,"DDG",JB_CE,"AEGIS WEAPON SYSTEM (MK-7)",JB_RC,"ALT")</f>
        <v/>
      </c>
      <c r="D33" s="37">
        <f>IFERROR(C33/C$80,0)</f>
        <v/>
      </c>
    </row>
    <row r="34" ht="10" customHeight="1">
      <c r="A34" s="30" t="inlineStr">
        <is>
          <t>ADVANCED GUN SYSTEM (AGS)</t>
        </is>
      </c>
      <c r="B34" s="26" t="inlineStr">
        <is>
          <t>Ordnance</t>
        </is>
      </c>
      <c r="C34" s="49">
        <f>SUMIFS(JB_26BV,JB_B,1,JB_EX,"P-8a",JB_CC,"Ordnance",JB_H,"DDG",JB_CE,"ADVANCED GUN SYSTEM (AGS)",JB_RC,"ALT")</f>
        <v/>
      </c>
      <c r="D34" s="37">
        <f>IFERROR(C34/C$80,0)</f>
        <v/>
      </c>
    </row>
    <row r="35" ht="10" customHeight="1">
      <c r="A35" s="30" t="inlineStr">
        <is>
          <t>VLS MK 41</t>
        </is>
      </c>
      <c r="B35" s="26" t="inlineStr">
        <is>
          <t>Ordnance</t>
        </is>
      </c>
      <c r="C35" s="49">
        <f>SUMIFS(JB_26BV,JB_B,1,JB_EX,"P-8a",JB_CC,"Ordnance",JB_H,"DDG",JB_CE,"VLS MK 41",JB_RC,"ALT")</f>
        <v/>
      </c>
      <c r="D35" s="37">
        <f>IFERROR(C35/C$80,0)</f>
        <v/>
      </c>
    </row>
    <row r="36" ht="10" customHeight="1">
      <c r="A36" s="30" t="inlineStr">
        <is>
          <t>MISC. ORDNANCE</t>
        </is>
      </c>
      <c r="B36" s="26" t="inlineStr">
        <is>
          <t>Ordnance</t>
        </is>
      </c>
      <c r="C36" s="49">
        <f>SUMIFS(JB_26BV,JB_B,1,JB_EX,"P-8a",JB_CC,"Ordnance",JB_H,"DDG",JB_CE,"MISC. ORDNANCE",JB_RC,"ALT")</f>
        <v/>
      </c>
      <c r="D36" s="37">
        <f>IFERROR(C36/C$80,0)</f>
        <v/>
      </c>
    </row>
    <row r="37" ht="10" customHeight="1">
      <c r="A37" s="30" t="inlineStr">
        <is>
          <t>MK 45 Light Weight Gun (LWG)</t>
        </is>
      </c>
      <c r="B37" s="26" t="inlineStr">
        <is>
          <t>Ordnance</t>
        </is>
      </c>
      <c r="C37" s="49">
        <f>SUMIFS(JB_26BV,JB_B,1,JB_EX,"P-8a",JB_CC,"Ordnance",JB_H,"DDG",JB_CE,"MK 45 Light Weight Gun (LWG)",JB_RC,"ALT")</f>
        <v/>
      </c>
      <c r="D37" s="37">
        <f>IFERROR(C37/C$80,0)</f>
        <v/>
      </c>
    </row>
    <row r="38" ht="10" customHeight="1">
      <c r="A38" s="30" t="inlineStr">
        <is>
          <t>MK 37 TOMAHAWK</t>
        </is>
      </c>
      <c r="B38" s="26" t="inlineStr">
        <is>
          <t>Ordnance</t>
        </is>
      </c>
      <c r="C38" s="49">
        <f>SUMIFS(JB_26BV,JB_B,1,JB_EX,"P-8a",JB_CC,"Ordnance",JB_H,"DDG",JB_CE,"MK 37 TOMAHAWK",JB_RC,"ALT")</f>
        <v/>
      </c>
      <c r="D38" s="37">
        <f>IFERROR(C38/C$80,0)</f>
        <v/>
      </c>
    </row>
    <row r="39" ht="10" customHeight="1">
      <c r="A39" s="30" t="inlineStr">
        <is>
          <t>SPQ-9B Radar</t>
        </is>
      </c>
      <c r="B39" s="26" t="inlineStr">
        <is>
          <t>Ordnance</t>
        </is>
      </c>
      <c r="C39" s="49">
        <f>SUMIFS(JB_26BV,JB_B,1,JB_EX,"P-8a",JB_CC,"Ordnance",JB_H,"DDG",JB_CE,"SPQ-9B Radar",JB_RC,"ALT")</f>
        <v/>
      </c>
      <c r="D39" s="37">
        <f>IFERROR(C39/C$80,0)</f>
        <v/>
      </c>
    </row>
    <row r="40" ht="10" customHeight="1">
      <c r="A40" s="30" t="inlineStr">
        <is>
          <t>PHALANX (CIWS)</t>
        </is>
      </c>
      <c r="B40" s="26" t="inlineStr">
        <is>
          <t>Ordnance</t>
        </is>
      </c>
      <c r="C40" s="49">
        <f>SUMIFS(JB_26BV,JB_B,1,JB_EX,"P-8a",JB_CC,"Ordnance",JB_H,"DDG",JB_CE,"PHALANX (CIWS)",JB_RC,"ALT")</f>
        <v/>
      </c>
      <c r="D40" s="37">
        <f>IFERROR(C40/C$80,0)</f>
        <v/>
      </c>
    </row>
    <row r="41" ht="10" customHeight="1">
      <c r="A41" s="30" t="inlineStr">
        <is>
          <t>DDG 1002 Missile Tubes (CPS)</t>
        </is>
      </c>
      <c r="B41" s="26" t="inlineStr">
        <is>
          <t>Ordnance</t>
        </is>
      </c>
      <c r="C41" s="49">
        <f>SUMIFS(JB_26BV,JB_B,1,JB_EX,"P-8a",JB_CC,"Ordnance",JB_H,"DDG",JB_CE,"DDG 1002 Missile Tubes (CPS)",JB_RC,"ALT")</f>
        <v/>
      </c>
      <c r="D41" s="37">
        <f>IFERROR(C41/C$80,0)</f>
        <v/>
      </c>
    </row>
    <row r="42" ht="10" customHeight="1">
      <c r="A42" s="30" t="inlineStr">
        <is>
          <t>MK-38 Gun Weapon System (GWS)</t>
        </is>
      </c>
      <c r="B42" s="26" t="inlineStr">
        <is>
          <t>Ordnance</t>
        </is>
      </c>
      <c r="C42" s="49">
        <f>SUMIFS(JB_26BV,JB_B,1,JB_EX,"P-8a",JB_CC,"Ordnance",JB_H,"DDG",JB_CE,"MK-38 Gun Weapon System (GWS)",JB_RC,"ALT")</f>
        <v/>
      </c>
      <c r="D42" s="37">
        <f>IFERROR(C42/C$80,0)</f>
        <v/>
      </c>
    </row>
    <row r="43" ht="10" customHeight="1">
      <c r="A43" s="30" t="inlineStr">
        <is>
          <t>DDG 1002 Rubber Boots, Hatches, Shock Isolation (CPS)</t>
        </is>
      </c>
      <c r="B43" s="26" t="inlineStr">
        <is>
          <t>Ordnance</t>
        </is>
      </c>
      <c r="C43" s="49">
        <f>SUMIFS(JB_26BV,JB_B,1,JB_EX,"P-8a",JB_CC,"Ordnance",JB_H,"DDG",JB_CE,"DDG 1002 Rubber Boots, Hatches, Shock Isolation (CPS)",JB_RC,"ALT")</f>
        <v/>
      </c>
      <c r="D43" s="37">
        <f>IFERROR(C43/C$80,0)</f>
        <v/>
      </c>
    </row>
    <row r="44" ht="10" customHeight="1">
      <c r="A44" s="30" t="inlineStr">
        <is>
          <t>CLOSE-IN GUN SYSTEM (CIGS)</t>
        </is>
      </c>
      <c r="B44" s="26" t="inlineStr">
        <is>
          <t>Ordnance</t>
        </is>
      </c>
      <c r="C44" s="49">
        <f>SUMIFS(JB_26BV,JB_B,1,JB_EX,"P-8a",JB_CC,"Ordnance",JB_H,"DDG",JB_CE,"CLOSE-IN GUN SYSTEM (CIGS)",JB_RC,"ALT")</f>
        <v/>
      </c>
      <c r="D44" s="37">
        <f>IFERROR(C44/C$80,0)</f>
        <v/>
      </c>
    </row>
    <row r="45" ht="10" customHeight="1">
      <c r="A45" s="30" t="inlineStr">
        <is>
          <t>MK 160 Gun Fire Control System (GFCS)</t>
        </is>
      </c>
      <c r="B45" s="26" t="inlineStr">
        <is>
          <t>Ordnance</t>
        </is>
      </c>
      <c r="C45" s="49">
        <f>SUMIFS(JB_26BV,JB_B,1,JB_EX,"P-8a",JB_CC,"Ordnance",JB_H,"DDG",JB_CE,"MK 160 Gun Fire Control System (GFCS)",JB_RC,"ALT")</f>
        <v/>
      </c>
      <c r="D45" s="37">
        <f>IFERROR(C45/C$80,0)</f>
        <v/>
      </c>
    </row>
    <row r="46" ht="10" customHeight="1">
      <c r="A46" s="30" t="inlineStr">
        <is>
          <t>ELECTRO-OPTICAL SYSTEM</t>
        </is>
      </c>
      <c r="B46" s="26" t="inlineStr">
        <is>
          <t>Ordnance</t>
        </is>
      </c>
      <c r="C46" s="49">
        <f>SUMIFS(JB_26BV,JB_B,1,JB_EX,"P-8a",JB_CC,"Ordnance",JB_H,"DDG",JB_CE,"ELECTRO-OPTICAL SYSTEM",JB_RC,"ALT")</f>
        <v/>
      </c>
      <c r="D46" s="37">
        <f>IFERROR(C46/C$80,0)</f>
        <v/>
      </c>
    </row>
    <row r="47" ht="10" customHeight="1">
      <c r="A47" s="30" t="inlineStr">
        <is>
          <t>MK 32 Surface Vessel Torpedo Tubes (SVTT)</t>
        </is>
      </c>
      <c r="B47" s="26" t="inlineStr">
        <is>
          <t>Ordnance</t>
        </is>
      </c>
      <c r="C47" s="49">
        <f>SUMIFS(JB_26BV,JB_B,1,JB_EX,"P-8a",JB_CC,"Ordnance",JB_H,"DDG",JB_CE,"MK 32 Surface Vessel Torpedo Tubes (SVTT)",JB_RC,"ALT")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Equipment &amp; Engineering</t>
        </is>
      </c>
      <c r="B84" s="26" t="inlineStr">
        <is>
          <t>Hull, Mechanical, and Electrical</t>
        </is>
      </c>
      <c r="C84" s="49">
        <f>SUMIFS(JB_26BV,JB_B,1,JB_EX,"P-8a",JB_CC,"Hull, Mechanical, and Electrical",JB_H,"LHA",JB_CE,"Equipment &amp; Engineering",JB_RC,"ALT")</f>
        <v/>
      </c>
      <c r="D84" s="37">
        <f>IFERROR(C84/C$123,0)</f>
        <v/>
      </c>
    </row>
    <row r="85" ht="10" customHeight="1">
      <c r="A85" s="30" t="inlineStr">
        <is>
          <t>Test &amp; Instrumentation</t>
        </is>
      </c>
      <c r="B85" s="26" t="inlineStr">
        <is>
          <t>Hull, Mechanical, and Electrical</t>
        </is>
      </c>
      <c r="C85" s="49">
        <f>SUMIFS(JB_26BV,JB_B,1,JB_EX,"P-8a",JB_CC,"Hull, Mechanical, and Electrical",JB_H,"LHA",JB_CE,"Test &amp; Instrumentation",JB_RC,"ALT")</f>
        <v/>
      </c>
      <c r="D85" s="37">
        <f>IFERROR(C85/C$123,0)</f>
        <v/>
      </c>
    </row>
    <row r="86" ht="10" customHeight="1">
      <c r="A86" s="30" t="inlineStr">
        <is>
          <t>SUPSHIP Material/Services</t>
        </is>
      </c>
      <c r="B86" s="26" t="inlineStr">
        <is>
          <t>Hull, Mechanical, and Electrical</t>
        </is>
      </c>
      <c r="C86" s="49">
        <f>SUMIFS(JB_26BV,JB_B,1,JB_EX,"P-8a",JB_CC,"Hull, Mechanical, and Electrical",JB_H,"LHA",JB_CE,"SUPSHIP Material/Services",JB_RC,"ALT")</f>
        <v/>
      </c>
      <c r="D86" s="37">
        <f>IFERROR(C86/C$123,0)</f>
        <v/>
      </c>
    </row>
    <row r="87" ht="10" customHeight="1">
      <c r="A87" s="30" t="inlineStr">
        <is>
          <t>Enterprise Air Surveillance Radar (EASR)</t>
        </is>
      </c>
      <c r="B87" s="26" t="inlineStr">
        <is>
          <t>Ordnance</t>
        </is>
      </c>
      <c r="C87" s="49">
        <f>SUMIFS(JB_26BV,JB_B,1,JB_EX,"P-8a",JB_CC,"Ordnance",JB_H,"LHA",JB_CE,"Enterprise Air Surveillance Radar (EASR)",JB_RC,"ALT")</f>
        <v/>
      </c>
      <c r="D87" s="37">
        <f>IFERROR(C87/C$123,0)</f>
        <v/>
      </c>
    </row>
    <row r="88" ht="10" customHeight="1">
      <c r="A88" s="30" t="inlineStr">
        <is>
          <t>NATO Sea Sparrow Missile System (NSSMS) MK 57 Mod 14</t>
        </is>
      </c>
      <c r="B88" s="26" t="inlineStr">
        <is>
          <t>Ordnance</t>
        </is>
      </c>
      <c r="C88" s="49">
        <f>SUMIFS(JB_26BV,JB_B,1,JB_EX,"P-8a",JB_CC,"Ordnance",JB_H,"LHA",JB_CE,"NATO Sea Sparrow Missile System (NSSMS) MK 57 Mod 14",JB_RC,"ALT")</f>
        <v/>
      </c>
      <c r="D88" s="37">
        <f>IFERROR(C88/C$123,0)</f>
        <v/>
      </c>
    </row>
    <row r="89" ht="10" customHeight="1">
      <c r="A89" s="30" t="inlineStr">
        <is>
          <t>MK31 Mod 3, Rolling Airframe Missile (RAM) (Tech Refresh)</t>
        </is>
      </c>
      <c r="B89" s="26" t="inlineStr">
        <is>
          <t>Ordnance</t>
        </is>
      </c>
      <c r="C89" s="49">
        <f>SUMIFS(JB_26BV,JB_B,1,JB_EX,"P-8a",JB_CC,"Ordnance",JB_H,"LHA",JB_CE,"MK31 Mod 3, Rolling Airframe Missile (RAM) (Tech Refresh)",JB_RC,"ALT")</f>
        <v/>
      </c>
      <c r="D89" s="37">
        <f>IFERROR(C89/C$123,0)</f>
        <v/>
      </c>
    </row>
    <row r="90" ht="10" customHeight="1">
      <c r="A90" s="30" t="inlineStr">
        <is>
          <t>PHALANX Block 1B MK15 Mod 21 &amp; 22, Close-in Weapon System (CIWS)</t>
        </is>
      </c>
      <c r="B90" s="26" t="inlineStr">
        <is>
          <t>Ordnance</t>
        </is>
      </c>
      <c r="C90" s="49">
        <f>SUMIFS(JB_26BV,JB_B,1,JB_EX,"P-8a",JB_CC,"Ordnance",JB_H,"LHA",JB_CE,"PHALANX Block 1B MK15 Mod 21 &amp; 22, Close-in Weapon System (CIWS)",JB_RC,"ALT")</f>
        <v/>
      </c>
      <c r="D90" s="37">
        <f>IFERROR(C90/C$123,0)</f>
        <v/>
      </c>
    </row>
    <row r="91" ht="10" customHeight="1">
      <c r="A91" s="30" t="inlineStr">
        <is>
          <t>Vertical/Stationary Take-Off Landing Optical Landing System (VSTOL OLS)</t>
        </is>
      </c>
      <c r="B91" s="26" t="inlineStr">
        <is>
          <t>Ordnance</t>
        </is>
      </c>
      <c r="C91" s="49">
        <f>SUMIFS(JB_26BV,JB_B,1,JB_EX,"P-8a",JB_CC,"Ordnance",JB_H,"LHA",JB_CE,"Vertical/Stationary Take-Off Landing Optical Landing System (VSTOL OLS)",JB_RC,"ALT")</f>
        <v/>
      </c>
      <c r="D91" s="37">
        <f>IFERROR(C91/C$123,0)</f>
        <v/>
      </c>
    </row>
    <row r="92" ht="10" customHeight="1">
      <c r="A92" s="30" t="inlineStr">
        <is>
          <t>Aviation Support</t>
        </is>
      </c>
      <c r="B92" s="26" t="inlineStr">
        <is>
          <t>Ordnance</t>
        </is>
      </c>
      <c r="C92" s="49">
        <f>SUMIFS(JB_26BV,JB_B,1,JB_EX,"P-8a",JB_CC,"Ordnance",JB_H,"LHA",JB_CE,"Aviation Support",JB_RC,"ALT")</f>
        <v/>
      </c>
      <c r="D92" s="37">
        <f>IFERROR(C92/C$123,0)</f>
        <v/>
      </c>
    </row>
    <row r="93" ht="10" customHeight="1">
      <c r="A93" s="30" t="inlineStr">
        <is>
          <t>AN/SPQ-9B Radar Set</t>
        </is>
      </c>
      <c r="B93" s="26" t="inlineStr">
        <is>
          <t>Ordnance</t>
        </is>
      </c>
      <c r="C93" s="49">
        <f>SUMIFS(JB_26BV,JB_B,1,JB_EX,"P-8a",JB_CC,"Ordnance",JB_H,"LHA",JB_CE,"AN/SPQ-9B Radar Set",JB_RC,"ALT")</f>
        <v/>
      </c>
      <c r="D93" s="37">
        <f>IFERROR(C93/C$123,0)</f>
        <v/>
      </c>
    </row>
    <row r="94" ht="10" customHeight="1">
      <c r="A94" s="30" t="inlineStr">
        <is>
          <t>MK 38 Mod 2 Stabilized Gun Stand Assembly</t>
        </is>
      </c>
      <c r="B94" s="26" t="inlineStr">
        <is>
          <t>Ordnance</t>
        </is>
      </c>
      <c r="C94" s="49">
        <f>SUMIFS(JB_26BV,JB_B,1,JB_EX,"P-8a",JB_CC,"Ordnance",JB_H,"LHA",JB_CE,"MK 38 Mod 2 Stabilized Gun Stand Assembly",JB_RC,"ALT")</f>
        <v/>
      </c>
      <c r="D94" s="37">
        <f>IFERROR(C94/C$123,0)</f>
        <v/>
      </c>
    </row>
    <row r="95" ht="10" customHeight="1">
      <c r="A95" s="30" t="inlineStr">
        <is>
          <t>Miscellaneous Ordnance</t>
        </is>
      </c>
      <c r="B95" s="26" t="inlineStr">
        <is>
          <t>Ordnance</t>
        </is>
      </c>
      <c r="C95" s="49">
        <f>SUMIFS(JB_26BV,JB_B,1,JB_EX,"P-8a",JB_CC,"Ordnance",JB_H,"LHA",JB_CE,"Miscellaneous Ordnance",JB_RC,"ALT")</f>
        <v/>
      </c>
      <c r="D95" s="37">
        <f>IFERROR(C95/C$123,0)</f>
        <v/>
      </c>
    </row>
    <row r="96" ht="10" customHeight="1">
      <c r="A96" s="30" t="inlineStr">
        <is>
          <t>MORIAH</t>
        </is>
      </c>
      <c r="B96" s="26" t="inlineStr">
        <is>
          <t>Ordnance</t>
        </is>
      </c>
      <c r="C96" s="49">
        <f>SUMIFS(JB_26BV,JB_B,1,JB_EX,"P-8a",JB_CC,"Ordnance",JB_H,"LHA",JB_CE,"MORIAH",JB_RC,"ALT")</f>
        <v/>
      </c>
      <c r="D96" s="37">
        <f>IFERROR(C96/C$123,0)</f>
        <v/>
      </c>
    </row>
    <row r="97" ht="10" customHeight="1">
      <c r="A97" s="30" t="inlineStr">
        <is>
          <t>AN/SPQ-14</t>
        </is>
      </c>
      <c r="B97" s="26" t="inlineStr">
        <is>
          <t>Ordnance</t>
        </is>
      </c>
      <c r="C97" s="49">
        <f>SUMIFS(JB_26BV,JB_B,1,JB_EX,"P-8a",JB_CC,"Ordnance",JB_H,"LHA",JB_CE,"AN/SPQ-14",JB_RC,"ALT")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Aircraft Ship Integrated Securing and Traversing System (ASIST)</t>
        </is>
      </c>
      <c r="B127" s="26" t="inlineStr">
        <is>
          <t>Hull, Mechanical, and Electrical</t>
        </is>
      </c>
      <c r="C127" s="49">
        <f>SUMIFS(JB_26BV,JB_B,1,JB_EX,"P-8a",JB_CC,"Hull, Mechanical, and Electrical",JB_H,"FFG",JB_CE,"Aircraft Ship Integrated Securing and Traversing System (ASIST)",JB_RC,"ALT")</f>
        <v/>
      </c>
      <c r="D127" s="37">
        <f>IFERROR(C127/C$145,0)</f>
        <v/>
      </c>
    </row>
    <row r="128" ht="10" customHeight="1">
      <c r="A128" s="30" t="inlineStr">
        <is>
          <t>Other HM&amp;E</t>
        </is>
      </c>
      <c r="B128" s="26" t="inlineStr">
        <is>
          <t>Hull, Mechanical, and Electrical</t>
        </is>
      </c>
      <c r="C128" s="49">
        <f>SUMIFS(JB_26BV,JB_B,1,JB_EX,"P-8a",JB_CC,"Hull, Mechanical, and Electrical",JB_H,"FFG",JB_CE,"Other HM&amp;E",JB_RC,"ALT")</f>
        <v/>
      </c>
      <c r="D128" s="37">
        <f>IFERROR(C128/C$145,0)</f>
        <v/>
      </c>
    </row>
    <row r="129" ht="10" customHeight="1">
      <c r="A129" s="30" t="inlineStr">
        <is>
          <t>Internal Communication (IC) Voice</t>
        </is>
      </c>
      <c r="B129" s="26" t="inlineStr">
        <is>
          <t>Hull, Mechanical, and Electrical</t>
        </is>
      </c>
      <c r="C129" s="49">
        <f>SUMIFS(JB_26BV,JB_B,1,JB_EX,"P-8a",JB_CC,"Hull, Mechanical, and Electrical",JB_H,"FFG",JB_CE,"Internal Communication (IC) Voice",JB_RC,"ALT")</f>
        <v/>
      </c>
      <c r="D129" s="37">
        <f>IFERROR(C129/C$145,0)</f>
        <v/>
      </c>
    </row>
    <row r="130" ht="10" customHeight="1">
      <c r="A130" s="30" t="inlineStr">
        <is>
          <t>Interior Wireless Communication System (IWCS)</t>
        </is>
      </c>
      <c r="B130" s="26" t="inlineStr">
        <is>
          <t>Hull, Mechanical, and Electrical</t>
        </is>
      </c>
      <c r="C130" s="49">
        <f>SUMIFS(JB_26BV,JB_B,1,JB_EX,"P-8a",JB_CC,"Hull, Mechanical, and Electrical",JB_H,"FFG",JB_CE,"Interior Wireless Communication System (IWCS)",JB_RC,"ALT")</f>
        <v/>
      </c>
      <c r="D130" s="37">
        <f>IFERROR(C130/C$145,0)</f>
        <v/>
      </c>
    </row>
    <row r="131" ht="10" customHeight="1">
      <c r="A131" s="30" t="inlineStr">
        <is>
          <t>Unclassified Video System (UVS)</t>
        </is>
      </c>
      <c r="B131" s="26" t="inlineStr">
        <is>
          <t>Hull, Mechanical, and Electrical</t>
        </is>
      </c>
      <c r="C131" s="49">
        <f>SUMIFS(JB_26BV,JB_B,1,JB_EX,"P-8a",JB_CC,"Hull, Mechanical, and Electrical",JB_H,"FFG",JB_CE,"Unclassified Video System (UVS)",JB_RC,"ALT")</f>
        <v/>
      </c>
      <c r="D131" s="37">
        <f>IFERROR(C131/C$145,0)</f>
        <v/>
      </c>
    </row>
    <row r="132" ht="10" customHeight="1">
      <c r="A132" s="30" t="inlineStr">
        <is>
          <t>Ship Control System-Government (SCS GOV)</t>
        </is>
      </c>
      <c r="B132" s="26" t="inlineStr">
        <is>
          <t>Hull, Mechanical, and Electrical</t>
        </is>
      </c>
      <c r="C132" s="49">
        <f>SUMIFS(JB_26BV,JB_B,1,JB_EX,"P-8a",JB_CC,"Hull, Mechanical, and Electrical",JB_H,"FFG",JB_CE,"Ship Control System-Government (SCS GOV)",JB_RC,"ALT")</f>
        <v/>
      </c>
      <c r="D132" s="37">
        <f>IFERROR(C132/C$145,0)</f>
        <v/>
      </c>
    </row>
    <row r="133" ht="10" customHeight="1">
      <c r="A133" s="30" t="inlineStr">
        <is>
          <t>Advanced Flight Deck Lighting System (AFDLS)</t>
        </is>
      </c>
      <c r="B133" s="26" t="inlineStr">
        <is>
          <t>Hull, Mechanical, and Electrical</t>
        </is>
      </c>
      <c r="C133" s="49">
        <f>SUMIFS(JB_26BV,JB_B,1,JB_EX,"P-8a",JB_CC,"Hull, Mechanical, and Electrical",JB_H,"FFG",JB_CE,"Advanced Flight Deck Lighting System (AFDLS)",JB_RC,"ALT")</f>
        <v/>
      </c>
      <c r="D133" s="37">
        <f>IFERROR(C133/C$145,0)</f>
        <v/>
      </c>
    </row>
    <row r="134" ht="10" customHeight="1">
      <c r="A134" s="30" t="inlineStr">
        <is>
          <t>MK 41 Vertical Launch System (VLS)- 32 Cell</t>
        </is>
      </c>
      <c r="B134" s="26" t="inlineStr">
        <is>
          <t>Ordnance</t>
        </is>
      </c>
      <c r="C134" s="49">
        <f>SUMIFS(JB_26BV,JB_B,1,JB_EX,"P-8a",JB_CC,"Ordnance",JB_H,"FFG",JB_CE,"MK 41 Vertical Launch System (VLS)- 32 Cell",JB_RC,"ALT")</f>
        <v/>
      </c>
      <c r="D134" s="37">
        <f>IFERROR(C134/C$145,0)</f>
        <v/>
      </c>
    </row>
    <row r="135" ht="10" customHeight="1">
      <c r="A135" s="30" t="inlineStr">
        <is>
          <t>MK 48 Gun Weapon System (GWS)</t>
        </is>
      </c>
      <c r="B135" s="26" t="inlineStr">
        <is>
          <t>Ordnance</t>
        </is>
      </c>
      <c r="C135" s="49">
        <f>SUMIFS(JB_26BV,JB_B,1,JB_EX,"P-8a",JB_CC,"Ordnance",JB_H,"FFG",JB_CE,"MK 48 Gun Weapon System (GWS)",JB_RC,"ALT")</f>
        <v/>
      </c>
      <c r="D135" s="37">
        <f>IFERROR(C135/C$145,0)</f>
        <v/>
      </c>
    </row>
    <row r="136" ht="10" customHeight="1">
      <c r="A136" s="30" t="inlineStr">
        <is>
          <t>Other Ordnance</t>
        </is>
      </c>
      <c r="B136" s="26" t="inlineStr">
        <is>
          <t>Ordnance</t>
        </is>
      </c>
      <c r="C136" s="49">
        <f>SUMIFS(JB_26BV,JB_B,1,JB_EX,"P-8a",JB_CC,"Ordnance",JB_H,"FFG",JB_CE,"Other Ordnance",JB_RC,"ALT")</f>
        <v/>
      </c>
      <c r="D136" s="37">
        <f>IFERROR(C136/C$145,0)</f>
        <v/>
      </c>
    </row>
    <row r="137" ht="10" customHeight="1">
      <c r="A137" s="30" t="inlineStr">
        <is>
          <t>MK 53 Decoy Launching System (DLS) (Nulka)- 4 Launcher</t>
        </is>
      </c>
      <c r="B137" s="26" t="inlineStr">
        <is>
          <t>Ordnance</t>
        </is>
      </c>
      <c r="C137" s="49">
        <f>SUMIFS(JB_26BV,JB_B,1,JB_EX,"P-8a",JB_CC,"Ordnance",JB_H,"FFG",JB_CE,"MK 53 Decoy Launching System (DLS) (Nulka)- 4 Launcher",JB_RC,"ALT")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Unclassified Video System (UVS)</t>
        </is>
      </c>
      <c r="B149" s="26" t="inlineStr">
        <is>
          <t>Hull, Mechanical, and Electrical</t>
        </is>
      </c>
      <c r="C149" s="49">
        <f>SUMIFS(JB_26BV,JB_B,1,JB_EX,"P-8a",JB_CC,"Hull, Mechanical, and Electrical",JB_H,"LPD",JB_CE,"Unclassified Video System (UVS)",JB_RC,"ALT")</f>
        <v/>
      </c>
      <c r="D149" s="37">
        <f>IFERROR(C149/C$182,0)</f>
        <v/>
      </c>
    </row>
    <row r="150" ht="10" customHeight="1">
      <c r="A150" s="30" t="inlineStr">
        <is>
          <t>Forklift Trucks</t>
        </is>
      </c>
      <c r="B150" s="26" t="inlineStr">
        <is>
          <t>Hull, Mechanical, and Electrical</t>
        </is>
      </c>
      <c r="C150" s="49">
        <f>SUMIFS(JB_26BV,JB_B,1,JB_EX,"P-8a",JB_CC,"Hull, Mechanical, and Electrical",JB_H,"LPD",JB_CE,"Forklift Trucks",JB_RC,"ALT")</f>
        <v/>
      </c>
      <c r="D150" s="37">
        <f>IFERROR(C150/C$182,0)</f>
        <v/>
      </c>
    </row>
    <row r="151" ht="10" customHeight="1">
      <c r="A151" s="30" t="inlineStr">
        <is>
          <t>Chemical Warfare Detectors</t>
        </is>
      </c>
      <c r="B151" s="26" t="inlineStr">
        <is>
          <t>Hull, Mechanical, and Electrical</t>
        </is>
      </c>
      <c r="C151" s="49">
        <f>SUMIFS(JB_26BV,JB_B,1,JB_EX,"P-8a",JB_CC,"Hull, Mechanical, and Electrical",JB_H,"LPD",JB_CE,"Chemical Warfare Detectors",JB_RC,"ALT")</f>
        <v/>
      </c>
      <c r="D151" s="37">
        <f>IFERROR(C151/C$182,0)</f>
        <v/>
      </c>
    </row>
    <row r="152" ht="10" customHeight="1">
      <c r="A152" s="30" t="inlineStr">
        <is>
          <t>Motor Operated Pilot Valve (MOPV)</t>
        </is>
      </c>
      <c r="B152" s="26" t="inlineStr">
        <is>
          <t>Hull, Mechanical, and Electrical</t>
        </is>
      </c>
      <c r="C152" s="49">
        <f>SUMIFS(JB_26BV,JB_B,1,JB_EX,"P-8a",JB_CC,"Hull, Mechanical, and Electrical",JB_H,"LPD",JB_CE,"Motor Operated Pilot Valve (MOPV)",JB_RC,"ALT")</f>
        <v/>
      </c>
      <c r="D152" s="37">
        <f>IFERROR(C152/C$182,0)</f>
        <v/>
      </c>
    </row>
    <row r="153" ht="10" customHeight="1">
      <c r="A153" s="30" t="inlineStr">
        <is>
          <t>Plastic Waste Processing EQP</t>
        </is>
      </c>
      <c r="B153" s="26" t="inlineStr">
        <is>
          <t>Hull, Mechanical, and Electrical</t>
        </is>
      </c>
      <c r="C153" s="49">
        <f>SUMIFS(JB_26BV,JB_B,1,JB_EX,"P-8a",JB_CC,"Hull, Mechanical, and Electrical",JB_H,"LPD",JB_CE,"Plastic Waste Processing EQP",JB_RC,"ALT")</f>
        <v/>
      </c>
      <c r="D153" s="37">
        <f>IFERROR(C153/C$182,0)</f>
        <v/>
      </c>
    </row>
    <row r="154" ht="10" customHeight="1">
      <c r="A154" s="30" t="inlineStr">
        <is>
          <t>Boats (Rigid Inflatable Boat, 7 meter)</t>
        </is>
      </c>
      <c r="B154" s="26" t="inlineStr">
        <is>
          <t>Hull, Mechanical, and Electrical</t>
        </is>
      </c>
      <c r="C154" s="49">
        <f>SUMIFS(JB_26BV,JB_B,1,JB_EX,"P-8a",JB_CC,"Hull, Mechanical, and Electrical",JB_H,"LPD",JB_CE,"Boats (Rigid Inflatable Boat, 7 meter)",JB_RC,"ALT")</f>
        <v/>
      </c>
      <c r="D154" s="37">
        <f>IFERROR(C154/C$182,0)</f>
        <v/>
      </c>
    </row>
    <row r="155" ht="10" customHeight="1">
      <c r="A155" s="30" t="inlineStr">
        <is>
          <t>Military Payroll System</t>
        </is>
      </c>
      <c r="B155" s="26" t="inlineStr">
        <is>
          <t>Hull, Mechanical, and Electrical</t>
        </is>
      </c>
      <c r="C155" s="49">
        <f>SUMIFS(JB_26BV,JB_B,1,JB_EX,"P-8a",JB_CC,"Hull, Mechanical, and Electrical",JB_H,"LPD",JB_CE,"Military Payroll System",JB_RC,"ALT")</f>
        <v/>
      </c>
      <c r="D155" s="37">
        <f>IFERROR(C155/C$182,0)</f>
        <v/>
      </c>
    </row>
    <row r="156" ht="10" customHeight="1">
      <c r="A156" s="30" t="inlineStr">
        <is>
          <t>Oily Water Separator</t>
        </is>
      </c>
      <c r="B156" s="26" t="inlineStr">
        <is>
          <t>Hull, Mechanical, and Electrical</t>
        </is>
      </c>
      <c r="C156" s="49">
        <f>SUMIFS(JB_26BV,JB_B,1,JB_EX,"P-8a",JB_CC,"Hull, Mechanical, and Electrical",JB_H,"LPD",JB_CE,"Oily Water Separator",JB_RC,"ALT")</f>
        <v/>
      </c>
      <c r="D156" s="37">
        <f>IFERROR(C156/C$182,0)</f>
        <v/>
      </c>
    </row>
    <row r="157" ht="10" customHeight="1">
      <c r="A157" s="30" t="inlineStr">
        <is>
          <t>EASR</t>
        </is>
      </c>
      <c r="B157" s="26" t="inlineStr">
        <is>
          <t>Ordnance</t>
        </is>
      </c>
      <c r="C157" s="49">
        <f>SUMIFS(JB_26BV,JB_B,1,JB_EX,"P-8a",JB_CC,"Ordnance",JB_H,"LPD",JB_CE,"EASR",JB_RC,"ALT")</f>
        <v/>
      </c>
      <c r="D157" s="37">
        <f>IFERROR(C157/C$182,0)</f>
        <v/>
      </c>
    </row>
    <row r="158" ht="10" customHeight="1">
      <c r="A158" s="30" t="inlineStr">
        <is>
          <t>RAM BLOCK II</t>
        </is>
      </c>
      <c r="B158" s="26" t="inlineStr">
        <is>
          <t>Ordnance</t>
        </is>
      </c>
      <c r="C158" s="49">
        <f>SUMIFS(JB_26BV,JB_B,1,JB_EX,"P-8a",JB_CC,"Ordnance",JB_H,"LPD",JB_CE,"RAM BLOCK II",JB_RC,"ALT")</f>
        <v/>
      </c>
      <c r="D158" s="37">
        <f>IFERROR(C158/C$182,0)</f>
        <v/>
      </c>
    </row>
    <row r="159" ht="10" customHeight="1">
      <c r="A159" s="30" t="inlineStr">
        <is>
          <t>MISCELLANEOUS ORDNANCE</t>
        </is>
      </c>
      <c r="B159" s="26" t="inlineStr">
        <is>
          <t>Ordnance</t>
        </is>
      </c>
      <c r="C159" s="49">
        <f>SUMIFS(JB_26BV,JB_B,1,JB_EX,"P-8a",JB_CC,"Ordnance",JB_H,"LPD",JB_CE,"MISCELLANEOUS ORDNANCE",JB_RC,"ALT")</f>
        <v/>
      </c>
      <c r="D159" s="37">
        <f>IFERROR(C159/C$182,0)</f>
        <v/>
      </c>
    </row>
    <row r="160" ht="10" customHeight="1">
      <c r="A160" s="30" t="inlineStr">
        <is>
          <t>MK 46 GUN</t>
        </is>
      </c>
      <c r="B160" s="26" t="inlineStr">
        <is>
          <t>Ordnance</t>
        </is>
      </c>
      <c r="C160" s="49">
        <f>SUMIFS(JB_26BV,JB_B,1,JB_EX,"P-8a",JB_CC,"Ordnance",JB_H,"LPD",JB_CE,"MK 46 GUN",JB_RC,"ALT")</f>
        <v/>
      </c>
      <c r="D160" s="37">
        <f>IFERROR(C160/C$182,0)</f>
        <v/>
      </c>
    </row>
    <row r="161" ht="10" customHeight="1">
      <c r="A161" s="30" t="inlineStr">
        <is>
          <t>AN/SPQ-9B Radar Set</t>
        </is>
      </c>
      <c r="B161" s="26" t="inlineStr">
        <is>
          <t>Ordnance</t>
        </is>
      </c>
      <c r="C161" s="49">
        <f>SUMIFS(JB_26BV,JB_B,1,JB_EX,"P-8a",JB_CC,"Ordnance",JB_H,"LPD",JB_CE,"AN/SPQ-9B Radar Set",JB_RC,"ALT")</f>
        <v/>
      </c>
      <c r="D161" s="37">
        <f>IFERROR(C161/C$182,0)</f>
        <v/>
      </c>
    </row>
    <row r="162" ht="10" customHeight="1">
      <c r="A162" s="30" t="inlineStr">
        <is>
          <t>ASGSI/HOSS/MWS Fit Control &amp; Inst Land Sys</t>
        </is>
      </c>
      <c r="B162" s="26" t="inlineStr">
        <is>
          <t>Ordnance</t>
        </is>
      </c>
      <c r="C162" s="49">
        <f>SUMIFS(JB_26BV,JB_B,1,JB_EX,"P-8a",JB_CC,"Ordnance",JB_H,"LPD",JB_CE,"ASGSI/HOSS/MWS Fit Control &amp; Inst Land Sys",JB_RC,"ALT")</f>
        <v/>
      </c>
      <c r="D162" s="37">
        <f>IFERROR(C162/C$182,0)</f>
        <v/>
      </c>
    </row>
    <row r="163" ht="10" customHeight="1">
      <c r="A163" s="30" t="inlineStr">
        <is>
          <t>Next Generation Surface Search Radar (NGSSR)</t>
        </is>
      </c>
      <c r="B163" s="26" t="inlineStr">
        <is>
          <t>Ordnance</t>
        </is>
      </c>
      <c r="C163" s="49">
        <f>SUMIFS(JB_26BV,JB_B,1,JB_EX,"P-8a",JB_CC,"Ordnance",JB_H,"LPD",JB_CE,"Next Generation Surface Search Radar (NGSSR)",JB_RC,"ALT")</f>
        <v/>
      </c>
      <c r="D163" s="37">
        <f>IFERROR(C163/C$182,0)</f>
        <v/>
      </c>
    </row>
    <row r="164" ht="10" customHeight="1">
      <c r="A164" s="30" t="inlineStr">
        <is>
          <t>ORDNANCE HANDLING EQUIPMENT</t>
        </is>
      </c>
      <c r="B164" s="26" t="inlineStr">
        <is>
          <t>Ordnance</t>
        </is>
      </c>
      <c r="C164" s="49">
        <f>SUMIFS(JB_26BV,JB_B,1,JB_EX,"P-8a",JB_CC,"Ordnance",JB_H,"LPD",JB_CE,"ORDNANCE HANDLING EQUIPMENT",JB_RC,"ALT")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Material Support Ships</t>
        </is>
      </c>
      <c r="B33" s="30" t="inlineStr">
        <is>
          <t>USN</t>
        </is>
      </c>
      <c r="C33"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3" s="37">
        <f>IFERROR(C33/C$53,0)</f>
        <v/>
      </c>
    </row>
    <row r="34" ht="10" customHeight="1">
      <c r="A34" s="30" t="inlineStr">
        <is>
          <t>Submarine Escort Ship</t>
        </is>
      </c>
      <c r="B34" s="30" t="inlineStr">
        <is>
          <t>USN</t>
        </is>
      </c>
      <c r="C34"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4" s="37">
        <f>IFERROR(C34/C$53,0)</f>
        <v/>
      </c>
    </row>
    <row r="35" ht="10" customHeight="1">
      <c r="A35" s="30" t="inlineStr">
        <is>
          <t>General Auxiliary</t>
        </is>
      </c>
      <c r="B35" s="30" t="inlineStr">
        <is>
          <t>USN</t>
        </is>
      </c>
      <c r="C3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5" s="37">
        <f>IFERROR(C35/C$53,0)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IFERROR(C36/C$53,0)</f>
        <v/>
      </c>
    </row>
    <row r="37" ht="10" customHeight="1">
      <c r="A37" s="30" t="inlineStr">
        <is>
          <t>Research, Survey &amp; Instrumentation Ships</t>
        </is>
      </c>
      <c r="B37" s="30" t="inlineStr">
        <is>
          <t>MSC</t>
        </is>
      </c>
      <c r="C3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7" s="37">
        <f>IFERROR(C37/C$53,0)</f>
        <v/>
      </c>
    </row>
    <row r="38" ht="10" customHeight="1">
      <c r="A38" s="30" t="inlineStr">
        <is>
          <t>Salvage Ships &amp; Fleet Ocean Tugs</t>
        </is>
      </c>
      <c r="B38" s="30" t="inlineStr">
        <is>
          <t>MSC</t>
        </is>
      </c>
      <c r="C38"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8" s="37">
        <f>IFERROR(C38/C$53,0)</f>
        <v/>
      </c>
    </row>
    <row r="39" ht="10" customHeight="1">
      <c r="A39" s="30" t="inlineStr">
        <is>
          <t>High Speed Transport</t>
        </is>
      </c>
      <c r="B39" s="30" t="inlineStr">
        <is>
          <t>USN</t>
        </is>
      </c>
      <c r="C39"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9" s="37">
        <f>IFERROR(C39/C$53,0)</f>
        <v/>
      </c>
    </row>
    <row r="40" ht="10" customHeight="1">
      <c r="A40" s="30" t="inlineStr">
        <is>
          <t>Unmanned Surface Vehicles</t>
        </is>
      </c>
      <c r="B40" s="30" t="inlineStr">
        <is>
          <t>USN</t>
        </is>
      </c>
      <c r="C40"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0" s="37">
        <f>IFERROR(C40/C$53,0)</f>
        <v/>
      </c>
    </row>
    <row r="41" ht="10" customHeight="1">
      <c r="A41" s="30" t="inlineStr">
        <is>
          <t>Combat Logistics Ships</t>
        </is>
      </c>
      <c r="B41" s="30" t="inlineStr">
        <is>
          <t>MSC</t>
        </is>
      </c>
      <c r="C41"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1" s="37">
        <f>IFERROR(C41/C$53,0)</f>
        <v/>
      </c>
    </row>
    <row r="42" ht="10" customHeight="1">
      <c r="A42" s="30" t="inlineStr">
        <is>
          <t>Cargo &amp; Vehicle Cargo Ships</t>
        </is>
      </c>
      <c r="B42" s="30" t="inlineStr">
        <is>
          <t>USN</t>
        </is>
      </c>
      <c r="C42"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2" s="37">
        <f>IFERROR(C42/C$53,0)</f>
        <v/>
      </c>
    </row>
    <row r="43" ht="10" customHeight="1">
      <c r="A43" s="30" t="inlineStr">
        <is>
          <t>Hospital Ship</t>
        </is>
      </c>
      <c r="B43" s="30" t="inlineStr">
        <is>
          <t>MSC</t>
        </is>
      </c>
      <c r="C43" s="31">
        <f>SUMIFS(JB_26BV,JB_B,2,JB_W,"Hospital Ship",JB_RC,"ADD")+SUMIFS(JB_26BV,JB_B,3,JB_W,"Hospital Ship",JB_RC,"ADD")+SUMIFS(JB_26BV,JB_B,4,JB_W,"Hospital Ship",JB_RC,"ADD")+SUMIFS(JB_26BV,JB_B,5,JB_W,"Hospital Ship",JB_RC,"ADD")+SUMIFS(JB_26BV,JB_B,6,JB_W,"Hospital Ship",JB_RC,"ADD")+SUMIFS(JB_26BV,JB_B,7,JB_W,"Hospital Ship",JB_RC,"ADD")</f>
        <v/>
      </c>
      <c r="D43" s="37">
        <f>IFERROR(C43/C$53,0)</f>
        <v/>
      </c>
    </row>
    <row r="44" ht="10" customHeight="1">
      <c r="A44" s="30" t="inlineStr">
        <is>
          <t>Crane Ship</t>
        </is>
      </c>
      <c r="B44" s="30" t="inlineStr">
        <is>
          <t>USN</t>
        </is>
      </c>
      <c r="C44" s="31">
        <f>SUMIFS(JB_26BV,JB_B,2,JB_W,"Crane Ship",JB_RC,"ADD")+SUMIFS(JB_26BV,JB_B,3,JB_W,"Crane Ship",JB_RC,"ADD")+SUMIFS(JB_26BV,JB_B,4,JB_W,"Crane Ship",JB_RC,"ADD")+SUMIFS(JB_26BV,JB_B,5,JB_W,"Crane Ship",JB_RC,"ADD")+SUMIFS(JB_26BV,JB_B,6,JB_W,"Crane Ship",JB_RC,"ADD")+SUMIFS(JB_26BV,JB_B,7,JB_W,"Crane Ship",JB_RC,"ADD")</f>
        <v/>
      </c>
      <c r="D44" s="37">
        <f>IFERROR(C44/C$53,0)</f>
        <v/>
      </c>
    </row>
    <row r="45" ht="10" customHeight="1">
      <c r="A45" s="30" t="inlineStr">
        <is>
          <t>Unmanned Undersea Vehicles</t>
        </is>
      </c>
      <c r="B45" s="30" t="inlineStr">
        <is>
          <t>USN</t>
        </is>
      </c>
      <c r="C4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Icebreakers, Oceangoing</t>
        </is>
      </c>
      <c r="B47" s="30" t="inlineStr">
        <is>
          <t>USCG</t>
        </is>
      </c>
      <c r="C47"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7" s="37">
        <f>IFERROR(C47/C$53,0)</f>
        <v/>
      </c>
    </row>
    <row r="48" ht="10" customHeight="1">
      <c r="A48" s="30" t="inlineStr">
        <is>
          <t>Offshore Patrol Cutter</t>
        </is>
      </c>
      <c r="B48" s="30" t="inlineStr">
        <is>
          <t>USCG</t>
        </is>
      </c>
      <c r="C48"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8" s="37">
        <f>IFERROR(C48/C$53,0)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IFERROR(C49/C$53,0)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IFERROR(C50/C$53,0)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IFERROR(C51/C$53,0)</f>
        <v/>
      </c>
    </row>
    <row r="52" ht="10" customHeight="1">
      <c r="A52" s="30" t="inlineStr">
        <is>
          <t>Icebreakers, Great Lakes</t>
        </is>
      </c>
      <c r="B52" s="30" t="inlineStr">
        <is>
          <t>USCG</t>
        </is>
      </c>
      <c r="C52"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Combat Logistics Ships</t>
        </is>
      </c>
      <c r="B21" s="30" t="inlineStr">
        <is>
          <t>MSC</t>
        </is>
      </c>
      <c r="C21" s="31">
        <f>SUMIFS(JB_26BV,JB_B,2,JB_W,"Combat Logistics Ships",JB_RC,"ADD")</f>
        <v/>
      </c>
      <c r="D21" s="31">
        <f>SUMIFS(JB_26BV,JB_B,4,JB_W,"Combat Logistics Ships",JB_RC,"ADD")</f>
        <v/>
      </c>
      <c r="E21" s="31">
        <f>C21+D21</f>
        <v/>
      </c>
      <c r="F21" s="37">
        <f>IFERROR(E21/E$40,0)</f>
        <v/>
      </c>
    </row>
    <row r="22" ht="10" customHeight="1">
      <c r="A22" s="30" t="inlineStr">
        <is>
          <t>Cargo &amp; Vehicle Cargo Ships</t>
        </is>
      </c>
      <c r="B22" s="30" t="inlineStr">
        <is>
          <t>USN</t>
        </is>
      </c>
      <c r="C22" s="31">
        <f>SUMIFS(JB_26BV,JB_B,2,JB_W,"Cargo &amp; Vehicle Cargo Ships",JB_RC,"ADD")</f>
        <v/>
      </c>
      <c r="D22" s="31">
        <f>SUMIFS(JB_26BV,JB_B,4,JB_W,"Cargo &amp; Vehicle Cargo Ships",JB_RC,"ADD")</f>
        <v/>
      </c>
      <c r="E22" s="31">
        <f>C22+D22</f>
        <v/>
      </c>
      <c r="F22" s="37">
        <f>IFERROR(E22/E$40,0)</f>
        <v/>
      </c>
    </row>
    <row r="23" ht="10" customHeight="1">
      <c r="A23" s="30" t="inlineStr">
        <is>
          <t>Material Support Ships</t>
        </is>
      </c>
      <c r="B23" s="30" t="inlineStr">
        <is>
          <t>USN</t>
        </is>
      </c>
      <c r="C23" s="31">
        <f>SUMIFS(JB_26BV,JB_B,2,JB_W,"Material Support Ships",JB_RC,"ADD")</f>
        <v/>
      </c>
      <c r="D23" s="31">
        <f>SUMIFS(JB_26BV,JB_B,4,JB_W,"Material Support Ships",JB_RC,"ADD")</f>
        <v/>
      </c>
      <c r="E23" s="31">
        <f>C23+D23</f>
        <v/>
      </c>
      <c r="F23" s="37">
        <f>IFERROR(E23/E$40,0)</f>
        <v/>
      </c>
    </row>
    <row r="24" ht="10" customHeight="1">
      <c r="A24" s="30" t="inlineStr">
        <is>
          <t>Submarine Escort Ship</t>
        </is>
      </c>
      <c r="B24" s="30" t="inlineStr">
        <is>
          <t>USN</t>
        </is>
      </c>
      <c r="C24" s="31">
        <f>SUMIFS(JB_26BV,JB_B,2,JB_W,"Submarine Escort Ship",JB_RC,"ADD")</f>
        <v/>
      </c>
      <c r="D24" s="31">
        <f>SUMIFS(JB_26BV,JB_B,4,JB_W,"Submarine Escort Ship",JB_RC,"ADD")</f>
        <v/>
      </c>
      <c r="E24" s="31">
        <f>C24+D24</f>
        <v/>
      </c>
      <c r="F24" s="37">
        <f>IFERROR(E24/E$40,0)</f>
        <v/>
      </c>
    </row>
    <row r="25" ht="10" customHeight="1">
      <c r="A25" s="30" t="inlineStr">
        <is>
          <t>Hospital Ship</t>
        </is>
      </c>
      <c r="B25" s="30" t="inlineStr">
        <is>
          <t>MSC</t>
        </is>
      </c>
      <c r="C25" s="31">
        <f>SUMIFS(JB_26BV,JB_B,2,JB_W,"Hospital Ship",JB_RC,"ADD")</f>
        <v/>
      </c>
      <c r="D25" s="31">
        <f>SUMIFS(JB_26BV,JB_B,4,JB_W,"Hospital Ship",JB_RC,"ADD")</f>
        <v/>
      </c>
      <c r="E25" s="31">
        <f>C25+D25</f>
        <v/>
      </c>
      <c r="F25" s="37">
        <f>IFERROR(E25/E$40,0)</f>
        <v/>
      </c>
    </row>
    <row r="26" ht="10" customHeight="1">
      <c r="A26" s="30" t="inlineStr">
        <is>
          <t>General Auxiliary</t>
        </is>
      </c>
      <c r="B26" s="30" t="inlineStr">
        <is>
          <t>USN</t>
        </is>
      </c>
      <c r="C26" s="31">
        <f>SUMIFS(JB_26BV,JB_B,2,JB_W,"General Auxiliary",JB_RC,"ADD")</f>
        <v/>
      </c>
      <c r="D26" s="31">
        <f>SUMIFS(JB_26BV,JB_B,4,JB_W,"General Auxiliary",JB_RC,"ADD")</f>
        <v/>
      </c>
      <c r="E26" s="31">
        <f>C26+D26</f>
        <v/>
      </c>
      <c r="F26" s="37">
        <f>IFERROR(E26/E$40,0)</f>
        <v/>
      </c>
    </row>
    <row r="27" ht="10" customHeight="1">
      <c r="A27" s="30" t="inlineStr">
        <is>
          <t>Aviation Logistics Support Ship</t>
        </is>
      </c>
      <c r="B27" s="30" t="inlineStr">
        <is>
          <t>USN</t>
        </is>
      </c>
      <c r="C27" s="31">
        <f>SUMIFS(JB_26BV,JB_B,2,JB_W,"Aviation Logistics Support Ship",JB_RC,"ADD")</f>
        <v/>
      </c>
      <c r="D27" s="31">
        <f>SUMIFS(JB_26BV,JB_B,4,JB_W,"Aviation Logistics Support Ship",JB_RC,"ADD")</f>
        <v/>
      </c>
      <c r="E27" s="31">
        <f>C27+D27</f>
        <v/>
      </c>
      <c r="F27" s="37">
        <f>IFERROR(E27/E$40,0)</f>
        <v/>
      </c>
    </row>
    <row r="28" ht="10" customHeight="1">
      <c r="A28" s="30" t="inlineStr">
        <is>
          <t>Crane Ship</t>
        </is>
      </c>
      <c r="B28" s="30" t="inlineStr">
        <is>
          <t>USN</t>
        </is>
      </c>
      <c r="C28" s="31">
        <f>SUMIFS(JB_26BV,JB_B,2,JB_W,"Crane Ship",JB_RC,"ADD")</f>
        <v/>
      </c>
      <c r="D28" s="31">
        <f>SUMIFS(JB_26BV,JB_B,4,JB_W,"Crane Ship",JB_RC,"ADD")</f>
        <v/>
      </c>
      <c r="E28" s="31">
        <f>C28+D28</f>
        <v/>
      </c>
      <c r="F28" s="37">
        <f>IFERROR(E28/E$40,0)</f>
        <v/>
      </c>
    </row>
    <row r="29" ht="10" customHeight="1">
      <c r="A29" s="30" t="inlineStr">
        <is>
          <t>Research, Survey &amp; Instrumentation Ships</t>
        </is>
      </c>
      <c r="B29" s="30" t="inlineStr">
        <is>
          <t>MSC</t>
        </is>
      </c>
      <c r="C29" s="31">
        <f>SUMIFS(JB_26BV,JB_B,2,JB_W,"Research, Survey &amp; Instrumentation Ships",JB_RC,"ADD")</f>
        <v/>
      </c>
      <c r="D29" s="31">
        <f>SUMIFS(JB_26BV,JB_B,4,JB_W,"Research, Survey &amp; Instrumentation Ships",JB_RC,"ADD")</f>
        <v/>
      </c>
      <c r="E29" s="31">
        <f>C29+D29</f>
        <v/>
      </c>
      <c r="F29" s="37">
        <f>IFERROR(E29/E$40,0)</f>
        <v/>
      </c>
    </row>
    <row r="30" ht="10" customHeight="1">
      <c r="A30" s="30" t="inlineStr">
        <is>
          <t>Salvage Ships &amp; Fleet Ocean Tugs</t>
        </is>
      </c>
      <c r="B30" s="30" t="inlineStr">
        <is>
          <t>MSC</t>
        </is>
      </c>
      <c r="C30" s="31">
        <f>SUMIFS(JB_26BV,JB_B,2,JB_W,"Salvage Ships &amp; Fleet Ocean Tugs",JB_RC,"ADD")</f>
        <v/>
      </c>
      <c r="D30" s="31">
        <f>SUMIFS(JB_26BV,JB_B,4,JB_W,"Salvage Ships &amp; Fleet Ocean Tugs",JB_RC,"ADD")</f>
        <v/>
      </c>
      <c r="E30" s="31">
        <f>C30+D30</f>
        <v/>
      </c>
      <c r="F30" s="37">
        <f>IFERROR(E30/E$40,0)</f>
        <v/>
      </c>
    </row>
    <row r="31" ht="10" customHeight="1">
      <c r="A31" s="30" t="inlineStr">
        <is>
          <t>High Speed Transport</t>
        </is>
      </c>
      <c r="B31" s="30" t="inlineStr">
        <is>
          <t>USN</t>
        </is>
      </c>
      <c r="C31" s="31">
        <f>SUMIFS(JB_26BV,JB_B,2,JB_W,"High Speed Transport",JB_RC,"ADD")</f>
        <v/>
      </c>
      <c r="D31" s="31">
        <f>SUMIFS(JB_26BV,JB_B,4,JB_W,"High Speed Transport",JB_RC,"ADD")</f>
        <v/>
      </c>
      <c r="E31" s="31">
        <f>C31+D31</f>
        <v/>
      </c>
      <c r="F31" s="37">
        <f>IFERROR(E31/E$40,0)</f>
        <v/>
      </c>
    </row>
    <row r="32" ht="10" customHeight="1">
      <c r="A32" s="30" t="inlineStr">
        <is>
          <t>Unmanned Surface Vehicles</t>
        </is>
      </c>
      <c r="B32" s="30" t="inlineStr">
        <is>
          <t>USN</t>
        </is>
      </c>
      <c r="C32" s="31">
        <f>SUMIFS(JB_26BV,JB_B,2,JB_W,"Unmanned Surface Vehicles",JB_RC,"ADD")</f>
        <v/>
      </c>
      <c r="D32" s="31">
        <f>SUMIFS(JB_26BV,JB_B,4,JB_W,"Unmanned Surface Vehicles",JB_RC,"ADD")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Offshore Patrol Cutter</t>
        </is>
      </c>
      <c r="B34" s="30" t="inlineStr">
        <is>
          <t>USCG</t>
        </is>
      </c>
      <c r="C34" s="31">
        <f>SUMIFS(JB_26BV,JB_B,2,JB_W,"Offshore Patrol Cutter",JB_RC,"ADD")</f>
        <v/>
      </c>
      <c r="D34" s="31">
        <f>SUMIFS(JB_26BV,JB_B,4,JB_W,"Offshore Patrol Cutter",JB_RC,"ADD")</f>
        <v/>
      </c>
      <c r="E34" s="31">
        <f>C34+D34</f>
        <v/>
      </c>
      <c r="F34" s="37">
        <f>IFERROR(E34/E$40,0)</f>
        <v/>
      </c>
    </row>
    <row r="35" ht="10" customHeight="1">
      <c r="A35" s="30" t="inlineStr">
        <is>
          <t>Icebreakers, Oceangoing</t>
        </is>
      </c>
      <c r="B35" s="30" t="inlineStr">
        <is>
          <t>USCG</t>
        </is>
      </c>
      <c r="C35" s="31">
        <f>SUMIFS(JB_26BV,JB_B,2,JB_W,"Icebreakers, Oceangoing",JB_RC,"ADD")</f>
        <v/>
      </c>
      <c r="D35" s="31">
        <f>SUMIFS(JB_26BV,JB_B,4,JB_W,"Icebreakers, Oceangoing",JB_RC,"ADD")</f>
        <v/>
      </c>
      <c r="E35" s="31">
        <f>C35+D35</f>
        <v/>
      </c>
      <c r="F35" s="37">
        <f>IFERROR(E35/E$40,0)</f>
        <v/>
      </c>
    </row>
    <row r="36" ht="10" customHeight="1">
      <c r="A36" s="30" t="inlineStr">
        <is>
          <t>Coastal Buoy Tenders</t>
        </is>
      </c>
      <c r="B36" s="30" t="inlineStr">
        <is>
          <t>USCG</t>
        </is>
      </c>
      <c r="C36" s="31">
        <f>SUMIFS(JB_26BV,JB_B,2,JB_W,"Coastal Buoy Tenders",JB_RC,"ADD")</f>
        <v/>
      </c>
      <c r="D36" s="31">
        <f>SUMIFS(JB_26BV,JB_B,4,JB_W,"Coastal Buoy Tenders",JB_RC,"ADD")</f>
        <v/>
      </c>
      <c r="E36" s="31">
        <f>C36+D36</f>
        <v/>
      </c>
      <c r="F36" s="37">
        <f>IFERROR(E36/E$40,0)</f>
        <v/>
      </c>
    </row>
    <row r="37" ht="10" customHeight="1">
      <c r="A37" s="30" t="inlineStr">
        <is>
          <t>Waterways Commerce Cutters</t>
        </is>
      </c>
      <c r="B37" s="30" t="inlineStr">
        <is>
          <t>USCG</t>
        </is>
      </c>
      <c r="C37" s="31">
        <f>SUMIFS(JB_26BV,JB_B,2,JB_W,"Waterways Commerce Cutters",JB_RC,"ADD")</f>
        <v/>
      </c>
      <c r="D37" s="31">
        <f>SUMIFS(JB_26BV,JB_B,4,JB_W,"Waterways Commerce Cutters",JB_RC,"ADD")</f>
        <v/>
      </c>
      <c r="E37" s="31">
        <f>C37+D37</f>
        <v/>
      </c>
      <c r="F37" s="37">
        <f>IFERROR(E37/E$40,0)</f>
        <v/>
      </c>
    </row>
    <row r="38" ht="10" customHeight="1">
      <c r="A38" s="30" t="inlineStr">
        <is>
          <t>Fast Response Cutters</t>
        </is>
      </c>
      <c r="B38" s="30" t="inlineStr">
        <is>
          <t>USCG</t>
        </is>
      </c>
      <c r="C38" s="31">
        <f>SUMIFS(JB_26BV,JB_B,2,JB_W,"Fast Response Cutters",JB_RC,"ADD")</f>
        <v/>
      </c>
      <c r="D38" s="31">
        <f>SUMIFS(JB_26BV,JB_B,4,JB_W,"Fast Response Cutters",JB_RC,"ADD")</f>
        <v/>
      </c>
      <c r="E38" s="31">
        <f>C38+D38</f>
        <v/>
      </c>
      <c r="F38" s="37">
        <f>IFERROR(E38/E$40,0)</f>
        <v/>
      </c>
    </row>
    <row r="39" ht="10" customHeight="1">
      <c r="A39" s="30" t="inlineStr">
        <is>
          <t>Icebreakers, Great Lakes</t>
        </is>
      </c>
      <c r="B39" s="30" t="inlineStr">
        <is>
          <t>USCG</t>
        </is>
      </c>
      <c r="C39" s="31">
        <f>SUMIFS(JB_26BV,JB_B,2,JB_W,"Icebreakers, Great Lakes",JB_RC,"ADD")</f>
        <v/>
      </c>
      <c r="D39" s="31">
        <f>SUMIFS(JB_26BV,JB_B,4,JB_W,"Icebreakers,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Submarine Escort Ship</t>
        </is>
      </c>
      <c r="B26" s="30" t="inlineStr">
        <is>
          <t>USN</t>
        </is>
      </c>
      <c r="C26" s="31">
        <f>SUMIFS(JB_27BV,JB_B,1,JB_W,"Submarine Escort Ship",JB_RC,"ADD")</f>
        <v/>
      </c>
      <c r="D26" s="37">
        <f>IFERROR(C26/C$42,0)</f>
        <v/>
      </c>
    </row>
    <row r="27" ht="10" customHeight="1">
      <c r="A27" s="30" t="inlineStr">
        <is>
          <t>Command Ships</t>
        </is>
      </c>
      <c r="B27" s="30" t="inlineStr">
        <is>
          <t>USN</t>
        </is>
      </c>
      <c r="C27" s="31">
        <f>SUMIFS(JB_27BV,JB_B,1,JB_W,"Command Ships",JB_RC,"ADD")</f>
        <v/>
      </c>
      <c r="D27" s="37">
        <f>IFERROR(C27/C$42,0)</f>
        <v/>
      </c>
    </row>
    <row r="28" ht="10" customHeight="1">
      <c r="A28" s="30" t="inlineStr">
        <is>
          <t>General Auxiliary</t>
        </is>
      </c>
      <c r="B28" s="30" t="inlineStr">
        <is>
          <t>USN</t>
        </is>
      </c>
      <c r="C28" s="31">
        <f>SUMIFS(JB_27BV,JB_B,1,JB_W,"General Auxiliary",JB_RC,"ADD")</f>
        <v/>
      </c>
      <c r="D28" s="37">
        <f>IFERROR(C28/C$42,0)</f>
        <v/>
      </c>
    </row>
    <row r="29" ht="10" customHeight="1">
      <c r="A29" s="30" t="inlineStr">
        <is>
          <t>Aviation Logistics Support Ship</t>
        </is>
      </c>
      <c r="B29" s="30" t="inlineStr">
        <is>
          <t>USN</t>
        </is>
      </c>
      <c r="C29" s="31">
        <f>SUMIFS(JB_27BV,JB_B,1,JB_W,"Aviation Logistics Support Ship",JB_RC,"ADD")</f>
        <v/>
      </c>
      <c r="D29" s="37">
        <f>IFERROR(C29/C$42,0)</f>
        <v/>
      </c>
    </row>
    <row r="30" ht="10" customHeight="1">
      <c r="A30" s="30" t="inlineStr">
        <is>
          <t>Research, Survey &amp; Instrumentation Ships</t>
        </is>
      </c>
      <c r="B30" s="30" t="inlineStr">
        <is>
          <t>MSC</t>
        </is>
      </c>
      <c r="C30" s="31">
        <f>SUMIFS(JB_27BV,JB_B,1,JB_W,"Research, Survey &amp; Instrumentation Ships",JB_RC,"ADD")</f>
        <v/>
      </c>
      <c r="D30" s="37">
        <f>IFERROR(C30/C$42,0)</f>
        <v/>
      </c>
    </row>
    <row r="31" ht="10" customHeight="1">
      <c r="A31" s="30" t="inlineStr">
        <is>
          <t>Salvage Ships &amp; Fleet Ocean Tugs</t>
        </is>
      </c>
      <c r="B31" s="30" t="inlineStr">
        <is>
          <t>MSC</t>
        </is>
      </c>
      <c r="C31" s="31">
        <f>SUMIFS(JB_27BV,JB_B,1,JB_W,"Salvage Ships &amp; Fleet Ocean Tugs",JB_RC,"ADD")</f>
        <v/>
      </c>
      <c r="D31" s="37">
        <f>IFERROR(C31/C$42,0)</f>
        <v/>
      </c>
    </row>
    <row r="32" ht="10" customHeight="1">
      <c r="A32" s="30" t="inlineStr">
        <is>
          <t>High Speed Transport</t>
        </is>
      </c>
      <c r="B32" s="30" t="inlineStr">
        <is>
          <t>USN</t>
        </is>
      </c>
      <c r="C32" s="31">
        <f>SUMIFS(JB_27BV,JB_B,1,JB_W,"High Speed Transport",JB_RC,"ADD")</f>
        <v/>
      </c>
      <c r="D32" s="37">
        <f>IFERROR(C32/C$42,0)</f>
        <v/>
      </c>
    </row>
    <row r="33" ht="10" customHeight="1">
      <c r="A33" s="30" t="inlineStr">
        <is>
          <t>Mine Warfare</t>
        </is>
      </c>
      <c r="B33" s="30" t="inlineStr">
        <is>
          <t>USN</t>
        </is>
      </c>
      <c r="C33" s="31">
        <f>SUMIFS(JB_27BV,JB_B,1,JB_W,"Mine Warfare",JB_RC,"ADD")</f>
        <v/>
      </c>
      <c r="D33" s="37">
        <f>IFERROR(C33/C$42,0)</f>
        <v/>
      </c>
    </row>
    <row r="34" ht="10" customHeight="1">
      <c r="A34" s="30" t="inlineStr">
        <is>
          <t>Crane Ship</t>
        </is>
      </c>
      <c r="B34" s="30" t="inlineStr">
        <is>
          <t>USN</t>
        </is>
      </c>
      <c r="C34" s="31">
        <f>SUMIFS(JB_27BV,JB_B,1,JB_W,"Crane Ship",JB_RC,"ADD")</f>
        <v/>
      </c>
      <c r="D34" s="37">
        <f>IFERROR(C34/C$42,0)</f>
        <v/>
      </c>
    </row>
    <row r="35" ht="10" customHeight="1">
      <c r="A35" s="30" t="inlineStr">
        <is>
          <t>National Security Cutters</t>
        </is>
      </c>
      <c r="B35" s="30" t="inlineStr">
        <is>
          <t>USCG</t>
        </is>
      </c>
      <c r="C35" s="31">
        <f>SUMIFS(JB_27BV,JB_B,1,JB_W,"National Security Cutters",JB_RC,"ADD")</f>
        <v/>
      </c>
      <c r="D35" s="37">
        <f>IFERROR(C35/C$42,0)</f>
        <v/>
      </c>
    </row>
    <row r="36" ht="10" customHeight="1">
      <c r="A36" s="30" t="inlineStr">
        <is>
          <t>Icebreakers, Oceangoing</t>
        </is>
      </c>
      <c r="B36" s="30" t="inlineStr">
        <is>
          <t>USCG</t>
        </is>
      </c>
      <c r="C36" s="31">
        <f>SUMIFS(JB_27BV,JB_B,1,JB_W,"Icebreakers, Oceangoing",JB_RC,"ADD")</f>
        <v/>
      </c>
      <c r="D36" s="37">
        <f>IFERROR(C36/C$42,0)</f>
        <v/>
      </c>
    </row>
    <row r="37" ht="10" customHeight="1">
      <c r="A37" s="30" t="inlineStr">
        <is>
          <t>Offshore Patrol Cutter</t>
        </is>
      </c>
      <c r="B37" s="30" t="inlineStr">
        <is>
          <t>USCG</t>
        </is>
      </c>
      <c r="C37" s="31">
        <f>SUMIFS(JB_27BV,JB_B,1,JB_W,"Offshore Patrol Cutter",JB_RC,"ADD")</f>
        <v/>
      </c>
      <c r="D37" s="37">
        <f>IFERROR(C37/C$42,0)</f>
        <v/>
      </c>
    </row>
    <row r="38" ht="10" customHeight="1">
      <c r="A38" s="30" t="inlineStr">
        <is>
          <t>Coastal Buoy Tenders</t>
        </is>
      </c>
      <c r="B38" s="30" t="inlineStr">
        <is>
          <t>USCG</t>
        </is>
      </c>
      <c r="C38" s="31">
        <f>SUMIFS(JB_27BV,JB_B,1,JB_W,"Coastal Buoy Tenders",JB_RC,"ADD")</f>
        <v/>
      </c>
      <c r="D38" s="37">
        <f>IFERROR(C38/C$42,0)</f>
        <v/>
      </c>
    </row>
    <row r="39" ht="10" customHeight="1">
      <c r="A39" s="30" t="inlineStr">
        <is>
          <t>Waterways Commerce Cutters</t>
        </is>
      </c>
      <c r="B39" s="30" t="inlineStr">
        <is>
          <t>USCG</t>
        </is>
      </c>
      <c r="C39" s="31">
        <f>SUMIFS(JB_27BV,JB_B,1,JB_W,"Waterways Commerce Cutters",JB_RC,"ADD")</f>
        <v/>
      </c>
      <c r="D39" s="37">
        <f>IFERROR(C39/C$42,0)</f>
        <v/>
      </c>
    </row>
    <row r="40" ht="10" customHeight="1">
      <c r="A40" s="30" t="inlineStr">
        <is>
          <t>Fast Response Cutters</t>
        </is>
      </c>
      <c r="B40" s="30" t="inlineStr">
        <is>
          <t>USCG</t>
        </is>
      </c>
      <c r="C40" s="31">
        <f>SUMIFS(JB_27BV,JB_B,1,JB_W,"Fast Response Cutters",JB_RC,"ADD")</f>
        <v/>
      </c>
      <c r="D40" s="37">
        <f>IFERROR(C40/C$42,0)</f>
        <v/>
      </c>
    </row>
    <row r="41" ht="10" customHeight="1">
      <c r="A41" s="30" t="inlineStr">
        <is>
          <t>Icebreakers, Great Lakes</t>
        </is>
      </c>
      <c r="B41" s="30" t="inlineStr">
        <is>
          <t>USCG</t>
        </is>
      </c>
      <c r="C41" s="31">
        <f>SUMIFS(JB_27BV,JB_B,1,JB_W,"Icebreakers, Great Lakes",JB_RC,"ADD")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Mine Warfare</t>
        </is>
      </c>
      <c r="B23" s="30" t="inlineStr">
        <is>
          <t>USN</t>
        </is>
      </c>
      <c r="C23" s="31">
        <f>SUMIFS(JB_27BV,JB_B,1,JB_W,"Mine Warfare",JB_RC,"ADD")</f>
        <v/>
      </c>
      <c r="D23" s="37">
        <f>IFERROR(C23/C$39,0)</f>
        <v/>
      </c>
    </row>
    <row r="24" ht="10" customHeight="1">
      <c r="A24" s="30" t="inlineStr">
        <is>
          <t>Submarine Escort Ship</t>
        </is>
      </c>
      <c r="B24" s="30" t="inlineStr">
        <is>
          <t>USN</t>
        </is>
      </c>
      <c r="C24" s="31">
        <f>SUMIFS(JB_27BV,JB_B,1,JB_W,"Submarine Escort Ship",JB_RC,"ADD")</f>
        <v/>
      </c>
      <c r="D24" s="37">
        <f>IFERROR(C24/C$39,0)</f>
        <v/>
      </c>
    </row>
    <row r="25" ht="10" customHeight="1">
      <c r="A25" s="30" t="inlineStr">
        <is>
          <t>Command Ships</t>
        </is>
      </c>
      <c r="B25" s="30" t="inlineStr">
        <is>
          <t>USN</t>
        </is>
      </c>
      <c r="C25" s="31">
        <f>SUMIFS(JB_27BV,JB_B,1,JB_W,"Command Ships",JB_RC,"ADD")</f>
        <v/>
      </c>
      <c r="D25" s="37">
        <f>IFERROR(C25/C$39,0)</f>
        <v/>
      </c>
    </row>
    <row r="26" ht="10" customHeight="1">
      <c r="A26" s="30" t="inlineStr">
        <is>
          <t>General Auxiliary</t>
        </is>
      </c>
      <c r="B26" s="30" t="inlineStr">
        <is>
          <t>USN</t>
        </is>
      </c>
      <c r="C26" s="31">
        <f>SUMIFS(JB_27BV,JB_B,1,JB_W,"General Auxiliary",JB_RC,"ADD")</f>
        <v/>
      </c>
      <c r="D26" s="37">
        <f>IFERROR(C26/C$39,0)</f>
        <v/>
      </c>
    </row>
    <row r="27" ht="10" customHeight="1">
      <c r="A27" s="30" t="inlineStr">
        <is>
          <t>Aviation Logistics Support Ship</t>
        </is>
      </c>
      <c r="B27" s="30" t="inlineStr">
        <is>
          <t>USN</t>
        </is>
      </c>
      <c r="C27" s="31">
        <f>SUMIFS(JB_27BV,JB_B,1,JB_W,"Aviation Logistics Support Ship",JB_RC,"ADD")</f>
        <v/>
      </c>
      <c r="D27" s="37">
        <f>IFERROR(C27/C$39,0)</f>
        <v/>
      </c>
    </row>
    <row r="28" ht="10" customHeight="1">
      <c r="A28" s="30" t="inlineStr">
        <is>
          <t>Crane Ship</t>
        </is>
      </c>
      <c r="B28" s="30" t="inlineStr">
        <is>
          <t>USN</t>
        </is>
      </c>
      <c r="C28" s="31">
        <f>SUMIFS(JB_27BV,JB_B,1,JB_W,"Crane Ship",JB_RC,"ADD")</f>
        <v/>
      </c>
      <c r="D28" s="37">
        <f>IFERROR(C28/C$39,0)</f>
        <v/>
      </c>
    </row>
    <row r="29" ht="10" customHeight="1">
      <c r="A29" s="30" t="inlineStr">
        <is>
          <t>Research, Survey &amp; Instrumentation Ships</t>
        </is>
      </c>
      <c r="B29" s="30" t="inlineStr">
        <is>
          <t>MSC</t>
        </is>
      </c>
      <c r="C29" s="31">
        <f>SUMIFS(JB_27BV,JB_B,1,JB_W,"Research, Survey &amp; Instrumentation Ships",JB_RC,"ADD")</f>
        <v/>
      </c>
      <c r="D29" s="37">
        <f>IFERROR(C29/C$39,0)</f>
        <v/>
      </c>
    </row>
    <row r="30" ht="10" customHeight="1">
      <c r="A30" s="30" t="inlineStr">
        <is>
          <t>Salvage Ships &amp; Fleet Ocean Tugs</t>
        </is>
      </c>
      <c r="B30" s="30" t="inlineStr">
        <is>
          <t>MSC</t>
        </is>
      </c>
      <c r="C30" s="31">
        <f>SUMIFS(JB_27BV,JB_B,1,JB_W,"Salvage Ships &amp; Fleet Ocean Tugs",JB_RC,"ADD")</f>
        <v/>
      </c>
      <c r="D30" s="37">
        <f>IFERROR(C30/C$39,0)</f>
        <v/>
      </c>
    </row>
    <row r="31" ht="10" customHeight="1">
      <c r="A31" s="30" t="inlineStr">
        <is>
          <t>High Speed Transport</t>
        </is>
      </c>
      <c r="B31" s="30" t="inlineStr">
        <is>
          <t>USN</t>
        </is>
      </c>
      <c r="C31" s="31">
        <f>SUMIFS(JB_27BV,JB_B,1,JB_W,"High Speed Transport",JB_RC,"ADD")</f>
        <v/>
      </c>
      <c r="D31" s="37">
        <f>IFERROR(C31/C$39,0)</f>
        <v/>
      </c>
    </row>
    <row r="32" ht="10" customHeight="1">
      <c r="A32" s="30" t="inlineStr">
        <is>
          <t>National Security Cutters</t>
        </is>
      </c>
      <c r="B32" s="30" t="inlineStr">
        <is>
          <t>USCG</t>
        </is>
      </c>
      <c r="C32" s="31">
        <f>SUMIFS(JB_27BV,JB_B,1,JB_W,"National Security Cutters",JB_RC,"ADD")</f>
        <v/>
      </c>
      <c r="D32" s="37">
        <f>IFERROR(C32/C$39,0)</f>
        <v/>
      </c>
    </row>
    <row r="33" ht="10" customHeight="1">
      <c r="A33" s="30" t="inlineStr">
        <is>
          <t>Offshore Patrol Cutter</t>
        </is>
      </c>
      <c r="B33" s="30" t="inlineStr">
        <is>
          <t>USCG</t>
        </is>
      </c>
      <c r="C33" s="31">
        <f>SUMIFS(JB_27BV,JB_B,1,JB_W,"Offshore Patrol Cutter",JB_RC,"ADD")</f>
        <v/>
      </c>
      <c r="D33" s="37">
        <f>IFERROR(C33/C$39,0)</f>
        <v/>
      </c>
    </row>
    <row r="34" ht="10" customHeight="1">
      <c r="A34" s="30" t="inlineStr">
        <is>
          <t>Icebreakers, Oceangoing</t>
        </is>
      </c>
      <c r="B34" s="30" t="inlineStr">
        <is>
          <t>USCG</t>
        </is>
      </c>
      <c r="C34" s="31">
        <f>SUMIFS(JB_27BV,JB_B,1,JB_W,"Icebreakers, Oceangoing",JB_RC,"ADD")</f>
        <v/>
      </c>
      <c r="D34" s="37">
        <f>IFERROR(C34/C$39,0)</f>
        <v/>
      </c>
    </row>
    <row r="35" ht="10" customHeight="1">
      <c r="A35" s="30" t="inlineStr">
        <is>
          <t>Coastal Buoy Tenders</t>
        </is>
      </c>
      <c r="B35" s="30" t="inlineStr">
        <is>
          <t>USCG</t>
        </is>
      </c>
      <c r="C35" s="31">
        <f>SUMIFS(JB_27BV,JB_B,1,JB_W,"Coastal Buoy Tenders",JB_RC,"ADD")</f>
        <v/>
      </c>
      <c r="D35" s="37">
        <f>IFERROR(C35/C$39,0)</f>
        <v/>
      </c>
    </row>
    <row r="36" ht="10" customHeight="1">
      <c r="A36" s="30" t="inlineStr">
        <is>
          <t>Waterways Commerce Cutters</t>
        </is>
      </c>
      <c r="B36" s="30" t="inlineStr">
        <is>
          <t>USCG</t>
        </is>
      </c>
      <c r="C36" s="31">
        <f>SUMIFS(JB_27BV,JB_B,1,JB_W,"Waterways Commerce Cutters",JB_RC,"ADD")</f>
        <v/>
      </c>
      <c r="D36" s="37">
        <f>IFERROR(C36/C$39,0)</f>
        <v/>
      </c>
    </row>
    <row r="37" ht="10" customHeight="1">
      <c r="A37" s="30" t="inlineStr">
        <is>
          <t>Fast Response Cutters</t>
        </is>
      </c>
      <c r="B37" s="30" t="inlineStr">
        <is>
          <t>USCG</t>
        </is>
      </c>
      <c r="C37" s="31">
        <f>SUMIFS(JB_27BV,JB_B,1,JB_W,"Fast Response Cutters",JB_RC,"ADD")</f>
        <v/>
      </c>
      <c r="D37" s="37">
        <f>IFERROR(C37/C$39,0)</f>
        <v/>
      </c>
    </row>
    <row r="38" ht="10" customHeight="1">
      <c r="A38" s="30" t="inlineStr">
        <is>
          <t>Icebreakers, Great Lakes</t>
        </is>
      </c>
      <c r="B38" s="30" t="inlineStr">
        <is>
          <t>USCG</t>
        </is>
      </c>
      <c r="C38" s="31">
        <f>SUMIFS(JB_27BV,JB_B,1,JB_W,"Icebreakers, Great Lakes",JB_RC,"ADD")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Material Support Ships</t>
        </is>
      </c>
      <c r="B30" s="30" t="inlineStr">
        <is>
          <t>USN</t>
        </is>
      </c>
      <c r="C30"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0" s="37">
        <f>IFERROR(C30/C$51,0)</f>
        <v/>
      </c>
    </row>
    <row r="31" ht="10" customHeight="1">
      <c r="A31" s="30" t="inlineStr">
        <is>
          <t>Submarine Escort Ship</t>
        </is>
      </c>
      <c r="B31" s="30" t="inlineStr">
        <is>
          <t>USN</t>
        </is>
      </c>
      <c r="C31"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1" s="37">
        <f>IFERROR(C31/C$51,0)</f>
        <v/>
      </c>
    </row>
    <row r="32" ht="10" customHeight="1">
      <c r="A32" s="30" t="inlineStr">
        <is>
          <t>General Auxiliary</t>
        </is>
      </c>
      <c r="B32" s="30" t="inlineStr">
        <is>
          <t>USN</t>
        </is>
      </c>
      <c r="C32"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2" s="37">
        <f>IFERROR(C32/C$51,0)</f>
        <v/>
      </c>
    </row>
    <row r="33" ht="10" customHeight="1">
      <c r="A33" s="30" t="inlineStr">
        <is>
          <t>Aviation Logistics Support Ship</t>
        </is>
      </c>
      <c r="B33" s="30" t="inlineStr">
        <is>
          <t>USN</t>
        </is>
      </c>
      <c r="C3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3" s="37">
        <f>IFERROR(C33/C$51,0)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IFERROR(C34/C$51,0)</f>
        <v/>
      </c>
    </row>
    <row r="35" ht="10" customHeight="1">
      <c r="A35" s="30" t="inlineStr">
        <is>
          <t>Salvage Ships &amp; Fleet Ocean Tugs</t>
        </is>
      </c>
      <c r="B35" s="30" t="inlineStr">
        <is>
          <t>MSC</t>
        </is>
      </c>
      <c r="C35"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5" s="37">
        <f>IFERROR(C35/C$51,0)</f>
        <v/>
      </c>
    </row>
    <row r="36" ht="10" customHeight="1">
      <c r="A36" s="30" t="inlineStr">
        <is>
          <t>High Speed Transport</t>
        </is>
      </c>
      <c r="B36" s="30" t="inlineStr">
        <is>
          <t>USN</t>
        </is>
      </c>
      <c r="C36"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6" s="37">
        <f>IFERROR(C36/C$51,0)</f>
        <v/>
      </c>
    </row>
    <row r="37" ht="10" customHeight="1">
      <c r="A37" s="30" t="inlineStr">
        <is>
          <t>Unmanned Surface Vehicles</t>
        </is>
      </c>
      <c r="B37" s="30" t="inlineStr">
        <is>
          <t>USN</t>
        </is>
      </c>
      <c r="C37"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7" s="37">
        <f>IFERROR(C37/C$51,0)</f>
        <v/>
      </c>
    </row>
    <row r="38" ht="10" customHeight="1">
      <c r="A38" s="30" t="inlineStr">
        <is>
          <t>Combat Logistics Ships</t>
        </is>
      </c>
      <c r="B38" s="30" t="inlineStr">
        <is>
          <t>MSC</t>
        </is>
      </c>
      <c r="C38"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8" s="37">
        <f>IFERROR(C38/C$51,0)</f>
        <v/>
      </c>
    </row>
    <row r="39" ht="10" customHeight="1">
      <c r="A39" s="30" t="inlineStr">
        <is>
          <t>Mine Warfare</t>
        </is>
      </c>
      <c r="B39" s="30" t="inlineStr">
        <is>
          <t>USN</t>
        </is>
      </c>
      <c r="C39" s="31">
        <f>SUMIFS(JB_27BV,JB_B,2,JB_W,"Mine Warfare",JB_RC,"ADD")+SUMIFS(JB_27BV,JB_B,3,JB_W,"Mine Warfare",JB_RC,"ADD")+SUMIFS(JB_27BV,JB_B,4,JB_W,"Mine Warfare",JB_RC,"ADD")+SUMIFS(JB_27BV,JB_B,5,JB_W,"Mine Warfare",JB_RC,"ADD")+SUMIFS(JB_27BV,JB_B,6,JB_W,"Mine Warfare",JB_RC,"ADD")+SUMIFS(JB_27BV,JB_B,7,JB_W,"Mine Warfare",JB_RC,"ADD")</f>
        <v/>
      </c>
      <c r="D39" s="37">
        <f>IFERROR(C39/C$51,0)</f>
        <v/>
      </c>
    </row>
    <row r="40" ht="10" customHeight="1">
      <c r="A40" s="30" t="inlineStr">
        <is>
          <t>Cargo &amp; Vehicle Cargo Ships</t>
        </is>
      </c>
      <c r="B40" s="30" t="inlineStr">
        <is>
          <t>USN</t>
        </is>
      </c>
      <c r="C40"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0" s="37">
        <f>IFERROR(C40/C$51,0)</f>
        <v/>
      </c>
    </row>
    <row r="41" ht="10" customHeight="1">
      <c r="A41" s="30" t="inlineStr">
        <is>
          <t>Hospital Ship</t>
        </is>
      </c>
      <c r="B41" s="30" t="inlineStr">
        <is>
          <t>MSC</t>
        </is>
      </c>
      <c r="C41" s="31">
        <f>SUMIFS(JB_27BV,JB_B,2,JB_W,"Hospital Ship",JB_RC,"ADD")+SUMIFS(JB_27BV,JB_B,3,JB_W,"Hospital Ship",JB_RC,"ADD")+SUMIFS(JB_27BV,JB_B,4,JB_W,"Hospital Ship",JB_RC,"ADD")+SUMIFS(JB_27BV,JB_B,5,JB_W,"Hospital Ship",JB_RC,"ADD")+SUMIFS(JB_27BV,JB_B,6,JB_W,"Hospital Ship",JB_RC,"ADD")+SUMIFS(JB_27BV,JB_B,7,JB_W,"Hospital Ship",JB_RC,"ADD")</f>
        <v/>
      </c>
      <c r="D41" s="37">
        <f>IFERROR(C41/C$51,0)</f>
        <v/>
      </c>
    </row>
    <row r="42" ht="10" customHeight="1">
      <c r="A42" s="30" t="inlineStr">
        <is>
          <t>Crane Ship</t>
        </is>
      </c>
      <c r="B42" s="30" t="inlineStr">
        <is>
          <t>USN</t>
        </is>
      </c>
      <c r="C42" s="31">
        <f>SUMIFS(JB_27BV,JB_B,2,JB_W,"Crane Ship",JB_RC,"ADD")+SUMIFS(JB_27BV,JB_B,3,JB_W,"Crane Ship",JB_RC,"ADD")+SUMIFS(JB_27BV,JB_B,4,JB_W,"Crane Ship",JB_RC,"ADD")+SUMIFS(JB_27BV,JB_B,5,JB_W,"Crane Ship",JB_RC,"ADD")+SUMIFS(JB_27BV,JB_B,6,JB_W,"Crane Ship",JB_RC,"ADD")+SUMIFS(JB_27BV,JB_B,7,JB_W,"Crane Ship",JB_RC,"ADD")</f>
        <v/>
      </c>
      <c r="D42" s="37">
        <f>IFERROR(C42/C$51,0)</f>
        <v/>
      </c>
    </row>
    <row r="43" ht="10" customHeight="1">
      <c r="A43" s="30" t="inlineStr">
        <is>
          <t>Unmanned Undersea Vehicles</t>
        </is>
      </c>
      <c r="B43" s="30" t="inlineStr">
        <is>
          <t>USN</t>
        </is>
      </c>
      <c r="C43"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3" s="37">
        <f>IFERROR(C43/C$51,0)</f>
        <v/>
      </c>
    </row>
    <row r="44" ht="10" customHeight="1">
      <c r="A44" s="30" t="inlineStr">
        <is>
          <t>National Security Cutters</t>
        </is>
      </c>
      <c r="B44" s="30" t="inlineStr">
        <is>
          <t>USCG</t>
        </is>
      </c>
      <c r="C44"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4" s="37">
        <f>IFERROR(C44/C$51,0)</f>
        <v/>
      </c>
    </row>
    <row r="45" ht="10" customHeight="1">
      <c r="A45" s="30" t="inlineStr">
        <is>
          <t>Icebreakers, Oceangoing</t>
        </is>
      </c>
      <c r="B45" s="30" t="inlineStr">
        <is>
          <t>USCG</t>
        </is>
      </c>
      <c r="C45"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5" s="37">
        <f>IFERROR(C45/C$51,0)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IFERROR(C46/C$51,0)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IFERROR(C47/C$51,0)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IFERROR(C48/C$51,0)</f>
        <v/>
      </c>
    </row>
    <row r="49" ht="10" customHeight="1">
      <c r="A49" s="30" t="inlineStr">
        <is>
          <t>Fast Response Cutters</t>
        </is>
      </c>
      <c r="B49" s="30" t="inlineStr">
        <is>
          <t>USCG</t>
        </is>
      </c>
      <c r="C49"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9" s="37">
        <f>IFERROR(C49/C$51,0)</f>
        <v/>
      </c>
    </row>
    <row r="50" ht="10" customHeight="1">
      <c r="A50" s="30" t="inlineStr">
        <is>
          <t>Icebreakers, Great Lakes</t>
        </is>
      </c>
      <c r="B50" s="30" t="inlineStr">
        <is>
          <t>USCG</t>
        </is>
      </c>
      <c r="C50"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Combat Logistics Ships</t>
        </is>
      </c>
      <c r="B18" s="30" t="inlineStr">
        <is>
          <t>MSC</t>
        </is>
      </c>
      <c r="C18" s="31">
        <f>SUMIFS(JB_27BV,JB_B,2,JB_W,"Combat Logistics Ships",JB_RC,"ADD")</f>
        <v/>
      </c>
      <c r="D18" s="31">
        <f>SUMIFS(JB_27BV,JB_B,4,JB_W,"Combat Logistics Ships",JB_RC,"ADD")</f>
        <v/>
      </c>
      <c r="E18" s="31">
        <f>C18+D18</f>
        <v/>
      </c>
      <c r="F18" s="37">
        <f>IFERROR(E18/E$40,0)</f>
        <v/>
      </c>
    </row>
    <row r="19" ht="10" customHeight="1">
      <c r="A19" s="30" t="inlineStr">
        <is>
          <t>Mine Warfare</t>
        </is>
      </c>
      <c r="B19" s="30" t="inlineStr">
        <is>
          <t>USN</t>
        </is>
      </c>
      <c r="C19" s="31">
        <f>SUMIFS(JB_27BV,JB_B,2,JB_W,"Mine Warfare",JB_RC,"ADD")</f>
        <v/>
      </c>
      <c r="D19" s="31">
        <f>SUMIFS(JB_27BV,JB_B,4,JB_W,"Mine Warfare",JB_RC,"ADD")</f>
        <v/>
      </c>
      <c r="E19" s="31">
        <f>C19+D19</f>
        <v/>
      </c>
      <c r="F19" s="37">
        <f>IFERROR(E19/E$40,0)</f>
        <v/>
      </c>
    </row>
    <row r="20" ht="10" customHeight="1">
      <c r="A20" s="30" t="inlineStr">
        <is>
          <t>Cargo &amp; Vehicle Cargo Ships</t>
        </is>
      </c>
      <c r="B20" s="30" t="inlineStr">
        <is>
          <t>USN</t>
        </is>
      </c>
      <c r="C20" s="31">
        <f>SUMIFS(JB_27BV,JB_B,2,JB_W,"Cargo &amp; Vehicle Cargo Ships",JB_RC,"ADD")</f>
        <v/>
      </c>
      <c r="D20" s="31">
        <f>SUMIFS(JB_27BV,JB_B,4,JB_W,"Cargo &amp; Vehicle Cargo Ships",JB_RC,"ADD")</f>
        <v/>
      </c>
      <c r="E20" s="31">
        <f>C20+D20</f>
        <v/>
      </c>
      <c r="F20" s="37">
        <f>IFERROR(E20/E$40,0)</f>
        <v/>
      </c>
    </row>
    <row r="21" ht="10" customHeight="1">
      <c r="A21" s="30" t="inlineStr">
        <is>
          <t>Material Support Ships</t>
        </is>
      </c>
      <c r="B21" s="30" t="inlineStr">
        <is>
          <t>USN</t>
        </is>
      </c>
      <c r="C21" s="31">
        <f>SUMIFS(JB_27BV,JB_B,2,JB_W,"Material Support Ships",JB_RC,"ADD")</f>
        <v/>
      </c>
      <c r="D21" s="31">
        <f>SUMIFS(JB_27BV,JB_B,4,JB_W,"Material Support Ships",JB_RC,"ADD")</f>
        <v/>
      </c>
      <c r="E21" s="31">
        <f>C21+D21</f>
        <v/>
      </c>
      <c r="F21" s="37">
        <f>IFERROR(E21/E$40,0)</f>
        <v/>
      </c>
    </row>
    <row r="22" ht="10" customHeight="1">
      <c r="A22" s="30" t="inlineStr">
        <is>
          <t>Submarine Escort Ship</t>
        </is>
      </c>
      <c r="B22" s="30" t="inlineStr">
        <is>
          <t>USN</t>
        </is>
      </c>
      <c r="C22" s="31">
        <f>SUMIFS(JB_27BV,JB_B,2,JB_W,"Submarine Escort Ship",JB_RC,"ADD")</f>
        <v/>
      </c>
      <c r="D22" s="31">
        <f>SUMIFS(JB_27BV,JB_B,4,JB_W,"Submarine Escort Ship",JB_RC,"ADD")</f>
        <v/>
      </c>
      <c r="E22" s="31">
        <f>C22+D22</f>
        <v/>
      </c>
      <c r="F22" s="37">
        <f>IFERROR(E22/E$40,0)</f>
        <v/>
      </c>
    </row>
    <row r="23" ht="10" customHeight="1">
      <c r="A23" s="30" t="inlineStr">
        <is>
          <t>Command Ships</t>
        </is>
      </c>
      <c r="B23" s="30" t="inlineStr">
        <is>
          <t>USN</t>
        </is>
      </c>
      <c r="C23" s="31">
        <f>SUMIFS(JB_27BV,JB_B,2,JB_W,"Command Ships",JB_RC,"ADD")</f>
        <v/>
      </c>
      <c r="D23" s="31">
        <f>SUMIFS(JB_27BV,JB_B,4,JB_W,"Command Ships",JB_RC,"ADD")</f>
        <v/>
      </c>
      <c r="E23" s="31">
        <f>C23+D23</f>
        <v/>
      </c>
      <c r="F23" s="37">
        <f>IFERROR(E23/E$40,0)</f>
        <v/>
      </c>
    </row>
    <row r="24" ht="10" customHeight="1">
      <c r="A24" s="30" t="inlineStr">
        <is>
          <t>Hospital Ship</t>
        </is>
      </c>
      <c r="B24" s="30" t="inlineStr">
        <is>
          <t>MSC</t>
        </is>
      </c>
      <c r="C24" s="31">
        <f>SUMIFS(JB_27BV,JB_B,2,JB_W,"Hospital Ship",JB_RC,"ADD")</f>
        <v/>
      </c>
      <c r="D24" s="31">
        <f>SUMIFS(JB_27BV,JB_B,4,JB_W,"Hospital Ship",JB_RC,"ADD")</f>
        <v/>
      </c>
      <c r="E24" s="31">
        <f>C24+D24</f>
        <v/>
      </c>
      <c r="F24" s="37">
        <f>IFERROR(E24/E$40,0)</f>
        <v/>
      </c>
    </row>
    <row r="25" ht="10" customHeight="1">
      <c r="A25" s="30" t="inlineStr">
        <is>
          <t>General Auxiliary</t>
        </is>
      </c>
      <c r="B25" s="30" t="inlineStr">
        <is>
          <t>USN</t>
        </is>
      </c>
      <c r="C25" s="31">
        <f>SUMIFS(JB_27BV,JB_B,2,JB_W,"General Auxiliary",JB_RC,"ADD")</f>
        <v/>
      </c>
      <c r="D25" s="31">
        <f>SUMIFS(JB_27BV,JB_B,4,JB_W,"General Auxiliary",JB_RC,"ADD")</f>
        <v/>
      </c>
      <c r="E25" s="31">
        <f>C25+D25</f>
        <v/>
      </c>
      <c r="F25" s="37">
        <f>IFERROR(E25/E$40,0)</f>
        <v/>
      </c>
    </row>
    <row r="26" ht="10" customHeight="1">
      <c r="A26" s="30" t="inlineStr">
        <is>
          <t>Aviation Logistics Support Ship</t>
        </is>
      </c>
      <c r="B26" s="30" t="inlineStr">
        <is>
          <t>USN</t>
        </is>
      </c>
      <c r="C26" s="31">
        <f>SUMIFS(JB_27BV,JB_B,2,JB_W,"Aviation Logistics Support Ship",JB_RC,"ADD")</f>
        <v/>
      </c>
      <c r="D26" s="31">
        <f>SUMIFS(JB_27BV,JB_B,4,JB_W,"Aviation Logistics Support Ship",JB_RC,"ADD")</f>
        <v/>
      </c>
      <c r="E26" s="31">
        <f>C26+D26</f>
        <v/>
      </c>
      <c r="F26" s="37">
        <f>IFERROR(E26/E$40,0)</f>
        <v/>
      </c>
    </row>
    <row r="27" ht="10" customHeight="1">
      <c r="A27" s="30" t="inlineStr">
        <is>
          <t>Crane Ship</t>
        </is>
      </c>
      <c r="B27" s="30" t="inlineStr">
        <is>
          <t>USN</t>
        </is>
      </c>
      <c r="C27" s="31">
        <f>SUMIFS(JB_27BV,JB_B,2,JB_W,"Crane Ship",JB_RC,"ADD")</f>
        <v/>
      </c>
      <c r="D27" s="31">
        <f>SUMIFS(JB_27BV,JB_B,4,JB_W,"Crane Ship",JB_RC,"ADD")</f>
        <v/>
      </c>
      <c r="E27" s="31">
        <f>C27+D27</f>
        <v/>
      </c>
      <c r="F27" s="37">
        <f>IFERROR(E27/E$40,0)</f>
        <v/>
      </c>
    </row>
    <row r="28" ht="10" customHeight="1">
      <c r="A28" s="30" t="inlineStr">
        <is>
          <t>Expeditionary &amp; Seabasing Ships</t>
        </is>
      </c>
      <c r="B28" s="30" t="inlineStr">
        <is>
          <t>USN</t>
        </is>
      </c>
      <c r="C28" s="31">
        <f>SUMIFS(JB_27BV,JB_B,2,JB_W,"Expeditionary &amp; Seabasing Ships",JB_RC,"ADD")</f>
        <v/>
      </c>
      <c r="D28" s="31">
        <f>SUMIFS(JB_27BV,JB_B,4,JB_W,"Expeditionary &amp; Seabasing Ships",JB_RC,"ADD")</f>
        <v/>
      </c>
      <c r="E28" s="31">
        <f>C28+D28</f>
        <v/>
      </c>
      <c r="F28" s="37">
        <f>IFERROR(E28/E$40,0)</f>
        <v/>
      </c>
    </row>
    <row r="29" ht="10" customHeight="1">
      <c r="A29" s="30" t="inlineStr">
        <is>
          <t>Research, Survey &amp; Instrumentation Ships</t>
        </is>
      </c>
      <c r="B29" s="30" t="inlineStr">
        <is>
          <t>MSC</t>
        </is>
      </c>
      <c r="C29" s="31">
        <f>SUMIFS(JB_27BV,JB_B,2,JB_W,"Research, Survey &amp; Instrumentation Ships",JB_RC,"ADD")</f>
        <v/>
      </c>
      <c r="D29" s="31">
        <f>SUMIFS(JB_27BV,JB_B,4,JB_W,"Research, Survey &amp; Instrumentation Ships",JB_RC,"ADD")</f>
        <v/>
      </c>
      <c r="E29" s="31">
        <f>C29+D29</f>
        <v/>
      </c>
      <c r="F29" s="37">
        <f>IFERROR(E29/E$40,0)</f>
        <v/>
      </c>
    </row>
    <row r="30" ht="10" customHeight="1">
      <c r="A30" s="30" t="inlineStr">
        <is>
          <t>Salvage Ships &amp; Fleet Ocean Tugs</t>
        </is>
      </c>
      <c r="B30" s="30" t="inlineStr">
        <is>
          <t>MSC</t>
        </is>
      </c>
      <c r="C30" s="31">
        <f>SUMIFS(JB_27BV,JB_B,2,JB_W,"Salvage Ships &amp; Fleet Ocean Tugs",JB_RC,"ADD")</f>
        <v/>
      </c>
      <c r="D30" s="31">
        <f>SUMIFS(JB_27BV,JB_B,4,JB_W,"Salvage Ships &amp; Fleet Ocean Tugs",JB_RC,"ADD")</f>
        <v/>
      </c>
      <c r="E30" s="31">
        <f>C30+D30</f>
        <v/>
      </c>
      <c r="F30" s="37">
        <f>IFERROR(E30/E$40,0)</f>
        <v/>
      </c>
    </row>
    <row r="31" ht="10" customHeight="1">
      <c r="A31" s="30" t="inlineStr">
        <is>
          <t>High Speed Transport</t>
        </is>
      </c>
      <c r="B31" s="30" t="inlineStr">
        <is>
          <t>USN</t>
        </is>
      </c>
      <c r="C31" s="31">
        <f>SUMIFS(JB_27BV,JB_B,2,JB_W,"High Speed Transport",JB_RC,"ADD")</f>
        <v/>
      </c>
      <c r="D31" s="31">
        <f>SUMIFS(JB_27BV,JB_B,4,JB_W,"High Speed Transport",JB_RC,"ADD")</f>
        <v/>
      </c>
      <c r="E31" s="31">
        <f>C31+D31</f>
        <v/>
      </c>
      <c r="F31" s="37">
        <f>IFERROR(E31/E$40,0)</f>
        <v/>
      </c>
    </row>
    <row r="32" ht="10" customHeight="1">
      <c r="A32" s="30" t="inlineStr">
        <is>
          <t>Unmanned Surface Vehicles</t>
        </is>
      </c>
      <c r="B32" s="30" t="inlineStr">
        <is>
          <t>USN</t>
        </is>
      </c>
      <c r="C32" s="31">
        <f>SUMIFS(JB_27BV,JB_B,2,JB_W,"Unmanned Surface Vehicles",JB_RC,"ADD")</f>
        <v/>
      </c>
      <c r="D32" s="31">
        <f>SUMIFS(JB_27BV,JB_B,4,JB_W,"Unmanned Surface Vehicles",JB_RC,"ADD")</f>
        <v/>
      </c>
      <c r="E32" s="31">
        <f>C32+D32</f>
        <v/>
      </c>
      <c r="F32" s="37">
        <f>IFERROR(E32/E$40,0)</f>
        <v/>
      </c>
    </row>
    <row r="33" ht="10" customHeight="1">
      <c r="A33" s="30" t="inlineStr">
        <is>
          <t>National Security Cutters</t>
        </is>
      </c>
      <c r="B33" s="30" t="inlineStr">
        <is>
          <t>USCG</t>
        </is>
      </c>
      <c r="C33" s="31">
        <f>SUMIFS(JB_27BV,JB_B,2,JB_W,"National Security Cutters",JB_RC,"ADD")</f>
        <v/>
      </c>
      <c r="D33" s="31">
        <f>SUMIFS(JB_27BV,JB_B,4,JB_W,"National Security Cutters",JB_RC,"ADD")</f>
        <v/>
      </c>
      <c r="E33" s="31">
        <f>C33+D33</f>
        <v/>
      </c>
      <c r="F33" s="37">
        <f>IFERROR(E33/E$40,0)</f>
        <v/>
      </c>
    </row>
    <row r="34" ht="10" customHeight="1">
      <c r="A34" s="30" t="inlineStr">
        <is>
          <t>Offshore Patrol Cutter</t>
        </is>
      </c>
      <c r="B34" s="30" t="inlineStr">
        <is>
          <t>USCG</t>
        </is>
      </c>
      <c r="C34" s="31">
        <f>SUMIFS(JB_27BV,JB_B,2,JB_W,"Offshore Patrol Cutter",JB_RC,"ADD")</f>
        <v/>
      </c>
      <c r="D34" s="31">
        <f>SUMIFS(JB_27BV,JB_B,4,JB_W,"Offshore Patrol Cutter",JB_RC,"ADD")</f>
        <v/>
      </c>
      <c r="E34" s="31">
        <f>C34+D34</f>
        <v/>
      </c>
      <c r="F34" s="37">
        <f>IFERROR(E34/E$40,0)</f>
        <v/>
      </c>
    </row>
    <row r="35" ht="10" customHeight="1">
      <c r="A35" s="30" t="inlineStr">
        <is>
          <t>Icebreakers, Oceangoing</t>
        </is>
      </c>
      <c r="B35" s="30" t="inlineStr">
        <is>
          <t>USCG</t>
        </is>
      </c>
      <c r="C35" s="31">
        <f>SUMIFS(JB_27BV,JB_B,2,JB_W,"Icebreakers, Oceangoing",JB_RC,"ADD")</f>
        <v/>
      </c>
      <c r="D35" s="31">
        <f>SUMIFS(JB_27BV,JB_B,4,JB_W,"Icebreakers, Oceangoing",JB_RC,"ADD")</f>
        <v/>
      </c>
      <c r="E35" s="31">
        <f>C35+D35</f>
        <v/>
      </c>
      <c r="F35" s="37">
        <f>IFERROR(E35/E$40,0)</f>
        <v/>
      </c>
    </row>
    <row r="36" ht="10" customHeight="1">
      <c r="A36" s="30" t="inlineStr">
        <is>
          <t>Coastal Buoy Tenders</t>
        </is>
      </c>
      <c r="B36" s="30" t="inlineStr">
        <is>
          <t>USCG</t>
        </is>
      </c>
      <c r="C36" s="31">
        <f>SUMIFS(JB_27BV,JB_B,2,JB_W,"Coastal Buoy Tenders",JB_RC,"ADD")</f>
        <v/>
      </c>
      <c r="D36" s="31">
        <f>SUMIFS(JB_27BV,JB_B,4,JB_W,"Coastal Buoy Tenders",JB_RC,"ADD")</f>
        <v/>
      </c>
      <c r="E36" s="31">
        <f>C36+D36</f>
        <v/>
      </c>
      <c r="F36" s="37">
        <f>IFERROR(E36/E$40,0)</f>
        <v/>
      </c>
    </row>
    <row r="37" ht="10" customHeight="1">
      <c r="A37" s="30" t="inlineStr">
        <is>
          <t>Waterways Commerce Cutters</t>
        </is>
      </c>
      <c r="B37" s="30" t="inlineStr">
        <is>
          <t>USCG</t>
        </is>
      </c>
      <c r="C37" s="31">
        <f>SUMIFS(JB_27BV,JB_B,2,JB_W,"Waterways Commerce Cutters",JB_RC,"ADD")</f>
        <v/>
      </c>
      <c r="D37" s="31">
        <f>SUMIFS(JB_27BV,JB_B,4,JB_W,"Waterways Commerce Cutters",JB_RC,"ADD")</f>
        <v/>
      </c>
      <c r="E37" s="31">
        <f>C37+D37</f>
        <v/>
      </c>
      <c r="F37" s="37">
        <f>IFERROR(E37/E$40,0)</f>
        <v/>
      </c>
    </row>
    <row r="38" ht="10" customHeight="1">
      <c r="A38" s="30" t="inlineStr">
        <is>
          <t>Fast Response Cutters</t>
        </is>
      </c>
      <c r="B38" s="30" t="inlineStr">
        <is>
          <t>USCG</t>
        </is>
      </c>
      <c r="C38" s="31">
        <f>SUMIFS(JB_27BV,JB_B,2,JB_W,"Fast Response Cutters",JB_RC,"ADD")</f>
        <v/>
      </c>
      <c r="D38" s="31">
        <f>SUMIFS(JB_27BV,JB_B,4,JB_W,"Fast Response Cutters",JB_RC,"ADD")</f>
        <v/>
      </c>
      <c r="E38" s="31">
        <f>C38+D38</f>
        <v/>
      </c>
      <c r="F38" s="37">
        <f>IFERROR(E38/E$40,0)</f>
        <v/>
      </c>
    </row>
    <row r="39" ht="10" customHeight="1">
      <c r="A39" s="30" t="inlineStr">
        <is>
          <t>Icebreakers, Great Lakes</t>
        </is>
      </c>
      <c r="B39" s="30" t="inlineStr">
        <is>
          <t>USCG</t>
        </is>
      </c>
      <c r="C39" s="31">
        <f>SUMIFS(JB_27BV,JB_B,2,JB_W,"Icebreakers, Great Lakes",JB_RC,"ADD")</f>
        <v/>
      </c>
      <c r="D39" s="31">
        <f>SUMIFS(JB_27BV,JB_B,4,JB_W,"Icebreakers,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2026-04-14T00:27:00Z</dcterms:modified>
  <cp:lastModifiedBy>Brendan Toole</cp:lastModifiedBy>
</cp:coreProperties>
</file>