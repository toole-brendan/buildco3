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13</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457200</xdr:colOff>
      <xdr:row>60</xdr:row>
      <xdr:rowOff>28575</xdr:rowOff>
    </xdr:from>
    <xdr:ext cx="3200400" cy="34290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as a directional estimate.</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89</xdr:row>
      <xdr:rowOff>28575</xdr:rowOff>
    </xdr:from>
    <xdr:ext cx="3200400" cy="297180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(C) is</a:t>
          </a:r>
        </a:p>
        <a:p>
          <a:r>
            <a:rPr lang="en-US" sz="800">
              <a:solidFill>
                <a:srgbClr val="333333"/>
              </a:solidFill>
              <a:latin typeface="Arial"/>
            </a:rPr>
            <a:t>multiplied by the percentage mix from (D).</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(C).</a:t>
          </a:r>
        </a:p>
      </xdr:txBody>
    </xdr:sp>
    <xdr:clientData/>
  </xdr:oneCellAnchor>
  <xdr:oneCellAnchor>
    <xdr:from>
      <xdr:col>14</xdr:col>
      <xdr:colOff>457200</xdr:colOff>
      <xdr:row>120</xdr:row>
      <xdr:rowOff>28575</xdr:rowOff>
    </xdr:from>
    <xdr:ext cx="2697480" cy="182880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Crane Ship</t>
        </is>
      </c>
      <c r="B27" s="30" t="inlineStr">
        <is>
          <t>USN</t>
        </is>
      </c>
      <c r="C27" s="31">
        <f>SUMIFS(JB_26BV,JB_B,1,JB_W,"Crane Ship",JB_RC,"ADD")</f>
        <v/>
      </c>
      <c r="D27" s="37">
        <f>IFERROR(C27/C$44,0)</f>
        <v/>
      </c>
    </row>
    <row r="28" ht="10" customHeight="1">
      <c r="A28" s="30" t="inlineStr">
        <is>
          <t>Aviation Logistics Support Ship</t>
        </is>
      </c>
      <c r="B28" s="30" t="inlineStr">
        <is>
          <t>USN</t>
        </is>
      </c>
      <c r="C28" s="31">
        <f>SUMIFS(JB_26BV,JB_B,1,JB_W,"Aviation Logistics Support Ship",JB_RC,"ADD")</f>
        <v/>
      </c>
      <c r="D28" s="37">
        <f>IFERROR(C28/C$44,0)</f>
        <v/>
      </c>
    </row>
    <row r="29" ht="10" customHeight="1">
      <c r="A29" s="30" t="inlineStr">
        <is>
          <t>Hospital Ship</t>
        </is>
      </c>
      <c r="B29" s="30" t="inlineStr">
        <is>
          <t>MSC</t>
        </is>
      </c>
      <c r="C29" s="31">
        <f>SUMIFS(JB_26BV,JB_B,1,JB_W,"Hospital Ship",JB_RC,"ADD")</f>
        <v/>
      </c>
      <c r="D29" s="37">
        <f>IFERROR(C29/C$44,0)</f>
        <v/>
      </c>
    </row>
    <row r="30" ht="10" customHeight="1">
      <c r="A30" s="30" t="inlineStr">
        <is>
          <t>Research, Survey &amp; Instrumentation Ships</t>
        </is>
      </c>
      <c r="B30" s="30" t="inlineStr">
        <is>
          <t>MSC</t>
        </is>
      </c>
      <c r="C30" s="31">
        <f>SUMIFS(JB_26BV,JB_B,1,JB_W,"Research, Survey &amp; Instrumentation Ships",JB_RC,"ADD")</f>
        <v/>
      </c>
      <c r="D30" s="37">
        <f>IFERROR(C30/C$44,0)</f>
        <v/>
      </c>
    </row>
    <row r="31" ht="10" customHeight="1">
      <c r="A31" s="30" t="inlineStr">
        <is>
          <t>Material Support Ships</t>
        </is>
      </c>
      <c r="B31" s="30" t="inlineStr">
        <is>
          <t>USN</t>
        </is>
      </c>
      <c r="C31" s="31">
        <f>SUMIFS(JB_26BV,JB_B,1,JB_W,"Material Support Ships",JB_RC,"ADD")</f>
        <v/>
      </c>
      <c r="D31" s="37">
        <f>IFERROR(C31/C$44,0)</f>
        <v/>
      </c>
    </row>
    <row r="32" ht="10" customHeight="1">
      <c r="A32" s="30" t="inlineStr">
        <is>
          <t>General Auxiliary</t>
        </is>
      </c>
      <c r="B32" s="30" t="inlineStr">
        <is>
          <t>USN</t>
        </is>
      </c>
      <c r="C32" s="31">
        <f>SUMIFS(JB_26BV,JB_B,1,JB_W,"General Auxiliary",JB_RC,"ADD")</f>
        <v/>
      </c>
      <c r="D32" s="37">
        <f>IFERROR(C32/C$44,0)</f>
        <v/>
      </c>
    </row>
    <row r="33" ht="10" customHeight="1">
      <c r="A33" s="30" t="inlineStr">
        <is>
          <t>Command Ships</t>
        </is>
      </c>
      <c r="B33" s="30" t="inlineStr">
        <is>
          <t>USN</t>
        </is>
      </c>
      <c r="C33" s="31">
        <f>SUMIFS(JB_26BV,JB_B,1,JB_W,"Command Ships",JB_RC,"ADD")</f>
        <v/>
      </c>
      <c r="D33" s="37">
        <f>IFERROR(C33/C$44,0)</f>
        <v/>
      </c>
    </row>
    <row r="34" ht="10" customHeight="1">
      <c r="A34" s="30" t="inlineStr">
        <is>
          <t>Mine Warfare</t>
        </is>
      </c>
      <c r="B34" s="30" t="inlineStr">
        <is>
          <t>USN</t>
        </is>
      </c>
      <c r="C34" s="31">
        <f>SUMIFS(JB_26BV,JB_B,1,JB_W,"Mine Warfare",JB_RC,"ADD")</f>
        <v/>
      </c>
      <c r="D34" s="37">
        <f>IFERROR(C34/C$44,0)</f>
        <v/>
      </c>
    </row>
    <row r="35" ht="10" customHeight="1">
      <c r="A35" s="30" t="inlineStr">
        <is>
          <t>High Speed Transport</t>
        </is>
      </c>
      <c r="B35" s="30" t="inlineStr">
        <is>
          <t>USN</t>
        </is>
      </c>
      <c r="C35" s="31">
        <f>SUMIFS(JB_26BV,JB_B,1,JB_W,"High Speed Transport",JB_RC,"ADD")</f>
        <v/>
      </c>
      <c r="D35" s="37">
        <f>IFERROR(C35/C$44,0)</f>
        <v/>
      </c>
    </row>
    <row r="36" ht="10" customHeight="1">
      <c r="A36" s="30" t="inlineStr">
        <is>
          <t>Submarine Escort Ship</t>
        </is>
      </c>
      <c r="B36" s="30" t="inlineStr">
        <is>
          <t>USN</t>
        </is>
      </c>
      <c r="C36" s="31">
        <f>SUMIFS(JB_26BV,JB_B,1,JB_W,"Submarine Escort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Coastal Buoy Tenders</t>
        </is>
      </c>
      <c r="B42" s="30" t="inlineStr">
        <is>
          <t>USCG</t>
        </is>
      </c>
      <c r="C42" s="31">
        <f>SUMIFS(JB_26BV,JB_B,1,JB_W,"Coastal Buoy Tenders",JB_RC,"ADD")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Crane Ship</t>
        </is>
      </c>
      <c r="B35" s="30" t="inlineStr">
        <is>
          <t>USN</t>
        </is>
      </c>
      <c r="C35" s="31">
        <f>SUMIFS(JB_26BV,JB_B,2,JB_W,"Crane Ship",JB_RC,"ADD")+SUMIFS(JB_26BV,JB_B,3,JB_W,"Crane Ship",JB_RC,"ADD")+SUMIFS(JB_26BV,JB_B,4,JB_W,"Crane Ship",JB_RC,"ADD")+SUMIFS(JB_26BV,JB_B,5,JB_W,"Crane Ship",JB_RC,"ADD")+SUMIFS(JB_26BV,JB_B,6,JB_W,"Crane Ship",JB_RC,"ADD")+SUMIFS(JB_26BV,JB_B,7,JB_W,"Crane Ship",JB_RC,"ADD")</f>
        <v/>
      </c>
      <c r="D35" s="37">
        <f>IFERROR(C35/C$55,0)</f>
        <v/>
      </c>
    </row>
    <row r="36" ht="10" customHeight="1">
      <c r="A36" s="30" t="inlineStr">
        <is>
          <t>Combat Logistics Ships</t>
        </is>
      </c>
      <c r="B36" s="30" t="inlineStr">
        <is>
          <t>MSC</t>
        </is>
      </c>
      <c r="C3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6" s="37">
        <f>IFERROR(C36/C$55,0)</f>
        <v/>
      </c>
    </row>
    <row r="37" ht="10" customHeight="1">
      <c r="A37" s="30" t="inlineStr">
        <is>
          <t>Aviation Logistics Support Ship</t>
        </is>
      </c>
      <c r="B37" s="30" t="inlineStr">
        <is>
          <t>USN</t>
        </is>
      </c>
      <c r="C37"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7" s="37">
        <f>IFERROR(C37/C$55,0)</f>
        <v/>
      </c>
    </row>
    <row r="38" ht="10" customHeight="1">
      <c r="A38" s="30" t="inlineStr">
        <is>
          <t>Unmanned Undersea Vehicles</t>
        </is>
      </c>
      <c r="B38" s="30" t="inlineStr">
        <is>
          <t>USN</t>
        </is>
      </c>
      <c r="C3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8" s="37">
        <f>IFERROR(C38/C$55,0)</f>
        <v/>
      </c>
    </row>
    <row r="39" ht="10" customHeight="1">
      <c r="A39" s="30" t="inlineStr">
        <is>
          <t>Unmanned Surface Vehicles</t>
        </is>
      </c>
      <c r="B39" s="30" t="inlineStr">
        <is>
          <t>USN</t>
        </is>
      </c>
      <c r="C39"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9" s="37">
        <f>IFERROR(C39/C$55,0)</f>
        <v/>
      </c>
    </row>
    <row r="40" ht="10" customHeight="1">
      <c r="A40" s="30" t="inlineStr">
        <is>
          <t>Hospital Ship</t>
        </is>
      </c>
      <c r="B40" s="30" t="inlineStr">
        <is>
          <t>MSC</t>
        </is>
      </c>
      <c r="C40" s="31">
        <f>SUMIFS(JB_26BV,JB_B,2,JB_W,"Hospital Ship",JB_RC,"ADD")+SUMIFS(JB_26BV,JB_B,3,JB_W,"Hospital Ship",JB_RC,"ADD")+SUMIFS(JB_26BV,JB_B,4,JB_W,"Hospital Ship",JB_RC,"ADD")+SUMIFS(JB_26BV,JB_B,5,JB_W,"Hospital Ship",JB_RC,"ADD")+SUMIFS(JB_26BV,JB_B,6,JB_W,"Hospital Ship",JB_RC,"ADD")+SUMIFS(JB_26BV,JB_B,7,JB_W,"Hospital Ship",JB_RC,"ADD")</f>
        <v/>
      </c>
      <c r="D40" s="37">
        <f>IFERROR(C40/C$55,0)</f>
        <v/>
      </c>
    </row>
    <row r="41" ht="10" customHeight="1">
      <c r="A41" s="30" t="inlineStr">
        <is>
          <t>Research, Survey &amp; Instrumentation Ships</t>
        </is>
      </c>
      <c r="B41" s="30" t="inlineStr">
        <is>
          <t>MSC</t>
        </is>
      </c>
      <c r="C41"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1" s="37">
        <f>IFERROR(C41/C$55,0)</f>
        <v/>
      </c>
    </row>
    <row r="42" ht="10" customHeight="1">
      <c r="A42" s="30" t="inlineStr">
        <is>
          <t>Cargo &amp; Vehicle Cargo Ships</t>
        </is>
      </c>
      <c r="B42" s="30" t="inlineStr">
        <is>
          <t>USN</t>
        </is>
      </c>
      <c r="C42"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2" s="37">
        <f>IFERROR(C42/C$55,0)</f>
        <v/>
      </c>
    </row>
    <row r="43" ht="10" customHeight="1">
      <c r="A43" s="30" t="inlineStr">
        <is>
          <t>Material Support Ships</t>
        </is>
      </c>
      <c r="B43" s="30" t="inlineStr">
        <is>
          <t>USN</t>
        </is>
      </c>
      <c r="C43"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3" s="37">
        <f>IFERROR(C43/C$55,0)</f>
        <v/>
      </c>
    </row>
    <row r="44" ht="10" customHeight="1">
      <c r="A44" s="30" t="inlineStr">
        <is>
          <t>Salvage Ships &amp; Fleet Ocean Tugs</t>
        </is>
      </c>
      <c r="B44" s="30" t="inlineStr">
        <is>
          <t>MSC</t>
        </is>
      </c>
      <c r="C44"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4" s="37">
        <f>IFERROR(C44/C$55,0)</f>
        <v/>
      </c>
    </row>
    <row r="45" ht="10" customHeight="1">
      <c r="A45" s="30" t="inlineStr">
        <is>
          <t>General Auxiliary</t>
        </is>
      </c>
      <c r="B45" s="30" t="inlineStr">
        <is>
          <t>USN</t>
        </is>
      </c>
      <c r="C45"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5" s="37">
        <f>IFERROR(C45/C$55,0)</f>
        <v/>
      </c>
    </row>
    <row r="46" ht="10" customHeight="1">
      <c r="A46" s="30" t="inlineStr">
        <is>
          <t>High Speed Transport</t>
        </is>
      </c>
      <c r="B46" s="30" t="inlineStr">
        <is>
          <t>USN</t>
        </is>
      </c>
      <c r="C46"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6" s="37">
        <f>IFERROR(C46/C$55,0)</f>
        <v/>
      </c>
    </row>
    <row r="47" ht="10" customHeight="1">
      <c r="A47" s="30" t="inlineStr">
        <is>
          <t>Submarine Escort Ship</t>
        </is>
      </c>
      <c r="B47" s="30" t="inlineStr">
        <is>
          <t>USN</t>
        </is>
      </c>
      <c r="C47"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Fast Response Cutters</t>
        </is>
      </c>
      <c r="B49" s="30" t="inlineStr">
        <is>
          <t>USCG</t>
        </is>
      </c>
      <c r="C49"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9" s="37">
        <f>IFERROR(C49/C$55,0)</f>
        <v/>
      </c>
    </row>
    <row r="50" ht="10" customHeight="1">
      <c r="A50" s="30" t="inlineStr">
        <is>
          <t>Coastal Buoy Tenders</t>
        </is>
      </c>
      <c r="B50" s="30" t="inlineStr">
        <is>
          <t>USCG</t>
        </is>
      </c>
      <c r="C50"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0" s="37">
        <f>IFERROR(C50/C$55,0)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IFERROR(C51/C$55,0)</f>
        <v/>
      </c>
    </row>
    <row r="52" ht="10" customHeight="1">
      <c r="A52" s="30" t="inlineStr">
        <is>
          <t>Icebreakers, Great Lakes</t>
        </is>
      </c>
      <c r="B52" s="30" t="inlineStr">
        <is>
          <t>USCG</t>
        </is>
      </c>
      <c r="C52"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2" s="37">
        <f>IFERROR(C52/C$55,0)</f>
        <v/>
      </c>
    </row>
    <row r="53" ht="10" customHeight="1">
      <c r="A53" s="30" t="inlineStr">
        <is>
          <t>Offshore Patrol Cutter</t>
        </is>
      </c>
      <c r="B53" s="30" t="inlineStr">
        <is>
          <t>USCG</t>
        </is>
      </c>
      <c r="C53"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3" s="37">
        <f>IFERROR(C53/C$55,0)</f>
        <v/>
      </c>
    </row>
    <row r="54" ht="10" customHeight="1">
      <c r="A54" s="30" t="inlineStr">
        <is>
          <t>Icebreakers, Oceangoing</t>
        </is>
      </c>
      <c r="B54" s="30" t="inlineStr">
        <is>
          <t>USCG</t>
        </is>
      </c>
      <c r="C54"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2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Crane Ship</t>
        </is>
      </c>
      <c r="B21" s="30" t="inlineStr">
        <is>
          <t>USN</t>
        </is>
      </c>
      <c r="C21" s="31">
        <f>SUMIFS(JB_26BV,JB_B,2,JB_W,"Crane Ship",JB_RC,"ADD")</f>
        <v/>
      </c>
      <c r="D21" s="31">
        <f>SUMIFS(JB_26BV,JB_B,3,JB_W,"Crane Ship",JB_RC,"ADD")</f>
        <v/>
      </c>
      <c r="E21" s="31">
        <f>SUMIFS(JB_26BV,JB_B,4,JB_W,"Crane Ship",JB_RC,"ADD")</f>
        <v/>
      </c>
      <c r="F21" s="31">
        <f>SUMIFS(JB_26BV,JB_B,5,JB_W,"Crane Ship",JB_RC,"ADD")</f>
        <v/>
      </c>
      <c r="G21" s="31">
        <f>SUM(C21:F21)</f>
        <v/>
      </c>
      <c r="H21" s="37">
        <f>IFERROR(G21/G$40,0)</f>
        <v/>
      </c>
    </row>
    <row r="22" ht="10" customHeight="1">
      <c r="A22" s="30" t="inlineStr">
        <is>
          <t>Research, Survey &amp; Instrumentation Ships</t>
        </is>
      </c>
      <c r="B22" s="30" t="inlineStr">
        <is>
          <t>MSC</t>
        </is>
      </c>
      <c r="C22" s="31">
        <f>SUMIFS(JB_26BV,JB_B,2,JB_W,"Research, Survey &amp; Instrumentation Ships",JB_RC,"ADD")</f>
        <v/>
      </c>
      <c r="D22" s="31">
        <f>SUMIFS(JB_26BV,JB_B,3,JB_W,"Research, Survey &amp; Instrumentation Ships",JB_RC,"ADD")</f>
        <v/>
      </c>
      <c r="E22" s="31">
        <f>SUMIFS(JB_26BV,JB_B,4,JB_W,"Research, Survey &amp; Instrumentation Ships",JB_RC,"ADD")</f>
        <v/>
      </c>
      <c r="F22" s="31">
        <f>SUMIFS(JB_26BV,JB_B,5,JB_W,"Research, Survey &amp; Instrumentation Ships",JB_RC,"ADD")</f>
        <v/>
      </c>
      <c r="G22" s="31">
        <f>SUM(C22:F22)</f>
        <v/>
      </c>
      <c r="H22" s="37">
        <f>IFERROR(G22/G$40,0)</f>
        <v/>
      </c>
    </row>
    <row r="23" ht="10" customHeight="1">
      <c r="A23" s="30" t="inlineStr">
        <is>
          <t>Combat Logistics Ships</t>
        </is>
      </c>
      <c r="B23" s="30" t="inlineStr">
        <is>
          <t>MSC</t>
        </is>
      </c>
      <c r="C23" s="31">
        <f>SUMIFS(JB_26BV,JB_B,2,JB_W,"Combat Logistics Ships",JB_RC,"ADD")</f>
        <v/>
      </c>
      <c r="D23" s="31">
        <f>SUMIFS(JB_26BV,JB_B,3,JB_W,"Combat Logistics Ships",JB_RC,"ADD")</f>
        <v/>
      </c>
      <c r="E23" s="31">
        <f>SUMIFS(JB_26BV,JB_B,4,JB_W,"Combat Logistics Ships",JB_RC,"ADD")</f>
        <v/>
      </c>
      <c r="F23" s="31">
        <f>SUMIFS(JB_26BV,JB_B,5,JB_W,"Combat Logistics Ships",JB_RC,"ADD")</f>
        <v/>
      </c>
      <c r="G23" s="31">
        <f>SUM(C23:F23)</f>
        <v/>
      </c>
      <c r="H23" s="37">
        <f>IFERROR(G23/G$40,0)</f>
        <v/>
      </c>
    </row>
    <row r="24" ht="10" customHeight="1">
      <c r="A24" s="30" t="inlineStr">
        <is>
          <t>Cargo &amp; Vehicle Cargo Ships</t>
        </is>
      </c>
      <c r="B24" s="30" t="inlineStr">
        <is>
          <t>USN</t>
        </is>
      </c>
      <c r="C24" s="31">
        <f>SUMIFS(JB_26BV,JB_B,2,JB_W,"Cargo &amp; Vehicle Cargo Ships",JB_RC,"ADD")</f>
        <v/>
      </c>
      <c r="D24" s="31">
        <f>SUMIFS(JB_26BV,JB_B,3,JB_W,"Cargo &amp; Vehicle Cargo Ships",JB_RC,"ADD")</f>
        <v/>
      </c>
      <c r="E24" s="31">
        <f>SUMIFS(JB_26BV,JB_B,4,JB_W,"Cargo &amp; Vehicle Cargo Ships",JB_RC,"ADD")</f>
        <v/>
      </c>
      <c r="F24" s="31">
        <f>SUMIFS(JB_26BV,JB_B,5,JB_W,"Cargo &amp; Vehicle Cargo Ships",JB_RC,"ADD")</f>
        <v/>
      </c>
      <c r="G24" s="31">
        <f>SUM(C24:F24)</f>
        <v/>
      </c>
      <c r="H24" s="37">
        <f>IFERROR(G24/G$40,0)</f>
        <v/>
      </c>
    </row>
    <row r="25" ht="10" customHeight="1">
      <c r="A25" s="30" t="inlineStr">
        <is>
          <t>Material Support Ships</t>
        </is>
      </c>
      <c r="B25" s="30" t="inlineStr">
        <is>
          <t>USN</t>
        </is>
      </c>
      <c r="C25" s="31">
        <f>SUMIFS(JB_26BV,JB_B,2,JB_W,"Material Support Ships",JB_RC,"ADD")</f>
        <v/>
      </c>
      <c r="D25" s="31">
        <f>SUMIFS(JB_26BV,JB_B,3,JB_W,"Material Support Ships",JB_RC,"ADD")</f>
        <v/>
      </c>
      <c r="E25" s="31">
        <f>SUMIFS(JB_26BV,JB_B,4,JB_W,"Material Support Ships",JB_RC,"ADD")</f>
        <v/>
      </c>
      <c r="F25" s="31">
        <f>SUMIFS(JB_26BV,JB_B,5,JB_W,"Material Support Ships",JB_RC,"ADD")</f>
        <v/>
      </c>
      <c r="G25" s="31">
        <f>SUM(C25:F25)</f>
        <v/>
      </c>
      <c r="H25" s="37">
        <f>IFERROR(G25/G$40,0)</f>
        <v/>
      </c>
    </row>
    <row r="26" ht="10" customHeight="1">
      <c r="A26" s="30" t="inlineStr">
        <is>
          <t>Salvage Ships &amp; Fleet Ocean Tugs</t>
        </is>
      </c>
      <c r="B26" s="30" t="inlineStr">
        <is>
          <t>MSC</t>
        </is>
      </c>
      <c r="C26" s="31">
        <f>SUMIFS(JB_26BV,JB_B,2,JB_W,"Salvage Ships &amp; Fleet Ocean Tugs",JB_RC,"ADD")</f>
        <v/>
      </c>
      <c r="D26" s="31">
        <f>SUMIFS(JB_26BV,JB_B,3,JB_W,"Salvage Ships &amp; Fleet Ocean Tugs",JB_RC,"ADD")</f>
        <v/>
      </c>
      <c r="E26" s="31">
        <f>SUMIFS(JB_26BV,JB_B,4,JB_W,"Salvage Ships &amp; Fleet Ocean Tugs",JB_RC,"ADD")</f>
        <v/>
      </c>
      <c r="F26" s="31">
        <f>SUMIFS(JB_26BV,JB_B,5,JB_W,"Salvage Ships &amp; Fleet Ocean Tugs",JB_RC,"ADD")</f>
        <v/>
      </c>
      <c r="G26" s="31">
        <f>SUM(C26:F26)</f>
        <v/>
      </c>
      <c r="H26" s="37">
        <f>IFERROR(G26/G$40,0)</f>
        <v/>
      </c>
    </row>
    <row r="27" ht="10" customHeight="1">
      <c r="A27" s="30" t="inlineStr">
        <is>
          <t>General Auxiliary</t>
        </is>
      </c>
      <c r="B27" s="30" t="inlineStr">
        <is>
          <t>USN</t>
        </is>
      </c>
      <c r="C27" s="31">
        <f>SUMIFS(JB_26BV,JB_B,2,JB_W,"General Auxiliary",JB_RC,"ADD")</f>
        <v/>
      </c>
      <c r="D27" s="31">
        <f>SUMIFS(JB_26BV,JB_B,3,JB_W,"General Auxiliary",JB_RC,"ADD")</f>
        <v/>
      </c>
      <c r="E27" s="31">
        <f>SUMIFS(JB_26BV,JB_B,4,JB_W,"General Auxiliary",JB_RC,"ADD")</f>
        <v/>
      </c>
      <c r="F27" s="31">
        <f>SUMIFS(JB_26BV,JB_B,5,JB_W,"General Auxiliary",JB_RC,"ADD")</f>
        <v/>
      </c>
      <c r="G27" s="31">
        <f>SUM(C27:F27)</f>
        <v/>
      </c>
      <c r="H27" s="37">
        <f>IFERROR(G27/G$40,0)</f>
        <v/>
      </c>
    </row>
    <row r="28" ht="10" customHeight="1">
      <c r="A28" s="30" t="inlineStr">
        <is>
          <t>Aviation Logistics Support Ship</t>
        </is>
      </c>
      <c r="B28" s="30" t="inlineStr">
        <is>
          <t>USN</t>
        </is>
      </c>
      <c r="C28" s="31">
        <f>SUMIFS(JB_26BV,JB_B,2,JB_W,"Aviation Logistics Support Ship",JB_RC,"ADD")</f>
        <v/>
      </c>
      <c r="D28" s="31">
        <f>SUMIFS(JB_26BV,JB_B,3,JB_W,"Aviation Logistics Support Ship",JB_RC,"ADD")</f>
        <v/>
      </c>
      <c r="E28" s="31">
        <f>SUMIFS(JB_26BV,JB_B,4,JB_W,"Aviation Logistics Support Ship",JB_RC,"ADD")</f>
        <v/>
      </c>
      <c r="F28" s="31">
        <f>SUMIFS(JB_26BV,JB_B,5,JB_W,"Aviation Logistics Support Ship",JB_RC,"ADD")</f>
        <v/>
      </c>
      <c r="G28" s="31">
        <f>SUM(C28:F28)</f>
        <v/>
      </c>
      <c r="H28" s="37">
        <f>IFERROR(G28/G$40,0)</f>
        <v/>
      </c>
    </row>
    <row r="29" ht="10" customHeight="1">
      <c r="A29" s="30" t="inlineStr">
        <is>
          <t>Unmanned Surface Vehicles</t>
        </is>
      </c>
      <c r="B29" s="30" t="inlineStr">
        <is>
          <t>USN</t>
        </is>
      </c>
      <c r="C29" s="31">
        <f>SUMIFS(JB_26BV,JB_B,2,JB_W,"Unmanned Surface Vehicles",JB_RC,"ADD")</f>
        <v/>
      </c>
      <c r="D29" s="31">
        <f>SUMIFS(JB_26BV,JB_B,3,JB_W,"Unmanned Surface Vehicles",JB_RC,"ADD")</f>
        <v/>
      </c>
      <c r="E29" s="31">
        <f>SUMIFS(JB_26BV,JB_B,4,JB_W,"Unmanned Surface Vehicles",JB_RC,"ADD")</f>
        <v/>
      </c>
      <c r="F29" s="31">
        <f>SUMIFS(JB_26BV,JB_B,5,JB_W,"Unmanned Surface Vehicles",JB_RC,"ADD")</f>
        <v/>
      </c>
      <c r="G29" s="31">
        <f>SUM(C29:F29)</f>
        <v/>
      </c>
      <c r="H29" s="37">
        <f>IFERROR(G29/G$40,0)</f>
        <v/>
      </c>
    </row>
    <row r="30" ht="10" customHeight="1">
      <c r="A30" s="30" t="inlineStr">
        <is>
          <t>Hospital Ship</t>
        </is>
      </c>
      <c r="B30" s="30" t="inlineStr">
        <is>
          <t>MSC</t>
        </is>
      </c>
      <c r="C30" s="31">
        <f>SUMIFS(JB_26BV,JB_B,2,JB_W,"Hospital Ship",JB_RC,"ADD")</f>
        <v/>
      </c>
      <c r="D30" s="31">
        <f>SUMIFS(JB_26BV,JB_B,3,JB_W,"Hospital Ship",JB_RC,"ADD")</f>
        <v/>
      </c>
      <c r="E30" s="31">
        <f>SUMIFS(JB_26BV,JB_B,4,JB_W,"Hospital Ship",JB_RC,"ADD")</f>
        <v/>
      </c>
      <c r="F30" s="31">
        <f>SUMIFS(JB_26BV,JB_B,5,JB_W,"Hospital Ship",JB_RC,"ADD")</f>
        <v/>
      </c>
      <c r="G30" s="31">
        <f>SUM(C30:F30)</f>
        <v/>
      </c>
      <c r="H30" s="37">
        <f>IFERROR(G30/G$40,0)</f>
        <v/>
      </c>
    </row>
    <row r="31" ht="10" customHeight="1">
      <c r="A31" s="30" t="inlineStr">
        <is>
          <t>High Speed Transport</t>
        </is>
      </c>
      <c r="B31" s="30" t="inlineStr">
        <is>
          <t>USN</t>
        </is>
      </c>
      <c r="C31" s="31">
        <f>SUMIFS(JB_26BV,JB_B,2,JB_W,"High Speed Transport",JB_RC,"ADD")</f>
        <v/>
      </c>
      <c r="D31" s="31">
        <f>SUMIFS(JB_26BV,JB_B,3,JB_W,"High Speed Transport",JB_RC,"ADD")</f>
        <v/>
      </c>
      <c r="E31" s="31">
        <f>SUMIFS(JB_26BV,JB_B,4,JB_W,"High Speed Transport",JB_RC,"ADD")</f>
        <v/>
      </c>
      <c r="F31" s="31">
        <f>SUMIFS(JB_26BV,JB_B,5,JB_W,"High Speed Transport",JB_RC,"ADD")</f>
        <v/>
      </c>
      <c r="G31" s="31">
        <f>SUM(C31:F31)</f>
        <v/>
      </c>
      <c r="H31" s="37">
        <f>IFERROR(G31/G$40,0)</f>
        <v/>
      </c>
    </row>
    <row r="32" ht="10" customHeight="1">
      <c r="A32" s="30" t="inlineStr">
        <is>
          <t>Submarine Escort Ship</t>
        </is>
      </c>
      <c r="B32" s="30" t="inlineStr">
        <is>
          <t>USN</t>
        </is>
      </c>
      <c r="C32" s="31">
        <f>SUMIFS(JB_26BV,JB_B,2,JB_W,"Submarine Escort Ship",JB_RC,"ADD")</f>
        <v/>
      </c>
      <c r="D32" s="31">
        <f>SUMIFS(JB_26BV,JB_B,3,JB_W,"Submarine Escort Ship",JB_RC,"ADD")</f>
        <v/>
      </c>
      <c r="E32" s="31">
        <f>SUMIFS(JB_26BV,JB_B,4,JB_W,"Submarine Escort Ship",JB_RC,"ADD")</f>
        <v/>
      </c>
      <c r="F32" s="31">
        <f>SUMIFS(JB_26BV,JB_B,5,JB_W,"Submarine Escort Ship",JB_RC,"ADD")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Waterways Commerce Cutters</t>
        </is>
      </c>
      <c r="B34" s="30" t="inlineStr">
        <is>
          <t>USCG</t>
        </is>
      </c>
      <c r="C34" s="31">
        <f>SUMIFS(JB_26BV,JB_B,2,JB_W,"Waterways Commerce Cutters",JB_RC,"ADD")</f>
        <v/>
      </c>
      <c r="D34" s="31">
        <f>SUMIFS(JB_26BV,JB_B,3,JB_W,"Waterways Commerce Cutters",JB_RC,"ADD")</f>
        <v/>
      </c>
      <c r="E34" s="31">
        <f>SUMIFS(JB_26BV,JB_B,4,JB_W,"Waterways Commerce Cutters",JB_RC,"ADD")</f>
        <v/>
      </c>
      <c r="F34" s="31">
        <f>SUMIFS(JB_26BV,JB_B,5,JB_W,"Waterways Commerce Cutters",JB_RC,"ADD")</f>
        <v/>
      </c>
      <c r="G34" s="31">
        <f>SUM(C34:F34)</f>
        <v/>
      </c>
      <c r="H34" s="37">
        <f>IFERROR(G34/G$40,0)</f>
        <v/>
      </c>
    </row>
    <row r="35" ht="10" customHeight="1">
      <c r="A35" s="30" t="inlineStr">
        <is>
          <t>Fast Response Cutters</t>
        </is>
      </c>
      <c r="B35" s="30" t="inlineStr">
        <is>
          <t>USCG</t>
        </is>
      </c>
      <c r="C35" s="31">
        <f>SUMIFS(JB_26BV,JB_B,2,JB_W,"Fast Response Cutters",JB_RC,"ADD")</f>
        <v/>
      </c>
      <c r="D35" s="31">
        <f>SUMIFS(JB_26BV,JB_B,3,JB_W,"Fast Response Cutters",JB_RC,"ADD")</f>
        <v/>
      </c>
      <c r="E35" s="31">
        <f>SUMIFS(JB_26BV,JB_B,4,JB_W,"Fast Response Cutters",JB_RC,"ADD")</f>
        <v/>
      </c>
      <c r="F35" s="31">
        <f>SUMIFS(JB_26BV,JB_B,5,JB_W,"Fast Response Cutters",JB_RC,"ADD")</f>
        <v/>
      </c>
      <c r="G35" s="31">
        <f>SUM(C35:F35)</f>
        <v/>
      </c>
      <c r="H35" s="37">
        <f>IFERROR(G35/G$40,0)</f>
        <v/>
      </c>
    </row>
    <row r="36" ht="10" customHeight="1">
      <c r="A36" s="30" t="inlineStr">
        <is>
          <t>Icebreakers, Great Lakes</t>
        </is>
      </c>
      <c r="B36" s="30" t="inlineStr">
        <is>
          <t>USCG</t>
        </is>
      </c>
      <c r="C36" s="31">
        <f>SUMIFS(JB_26BV,JB_B,2,JB_W,"Icebreakers, Great Lakes",JB_RC,"ADD")</f>
        <v/>
      </c>
      <c r="D36" s="31">
        <f>SUMIFS(JB_26BV,JB_B,3,JB_W,"Icebreakers, Great Lakes",JB_RC,"ADD")</f>
        <v/>
      </c>
      <c r="E36" s="31">
        <f>SUMIFS(JB_26BV,JB_B,4,JB_W,"Icebreakers, Great Lakes",JB_RC,"ADD")</f>
        <v/>
      </c>
      <c r="F36" s="31">
        <f>SUMIFS(JB_26BV,JB_B,5,JB_W,"Icebreakers, Great Lakes",JB_RC,"ADD")</f>
        <v/>
      </c>
      <c r="G36" s="31">
        <f>SUM(C36:F36)</f>
        <v/>
      </c>
      <c r="H36" s="37">
        <f>IFERROR(G36/G$40,0)</f>
        <v/>
      </c>
    </row>
    <row r="37" ht="10" customHeight="1">
      <c r="A37" s="30" t="inlineStr">
        <is>
          <t>Coastal Buoy Tenders</t>
        </is>
      </c>
      <c r="B37" s="30" t="inlineStr">
        <is>
          <t>USCG</t>
        </is>
      </c>
      <c r="C37" s="31">
        <f>SUMIFS(JB_26BV,JB_B,2,JB_W,"Coastal Buoy Tenders",JB_RC,"ADD")</f>
        <v/>
      </c>
      <c r="D37" s="31">
        <f>SUMIFS(JB_26BV,JB_B,3,JB_W,"Coastal Buoy Tenders",JB_RC,"ADD")</f>
        <v/>
      </c>
      <c r="E37" s="31">
        <f>SUMIFS(JB_26BV,JB_B,4,JB_W,"Coastal Buoy Tenders",JB_RC,"ADD")</f>
        <v/>
      </c>
      <c r="F37" s="31">
        <f>SUMIFS(JB_26BV,JB_B,5,JB_W,"Coastal Buoy Tenders",JB_RC,"ADD")</f>
        <v/>
      </c>
      <c r="G37" s="31">
        <f>SUM(C37:F37)</f>
        <v/>
      </c>
      <c r="H37" s="37">
        <f>IFERROR(G37/G$40,0)</f>
        <v/>
      </c>
    </row>
    <row r="38" ht="10" customHeight="1">
      <c r="A38" s="30" t="inlineStr">
        <is>
          <t>Offshore Patrol Cutter</t>
        </is>
      </c>
      <c r="B38" s="30" t="inlineStr">
        <is>
          <t>USCG</t>
        </is>
      </c>
      <c r="C38" s="31">
        <f>SUMIFS(JB_26BV,JB_B,2,JB_W,"Offshore Patrol Cutter",JB_RC,"ADD")</f>
        <v/>
      </c>
      <c r="D38" s="31">
        <f>SUMIFS(JB_26BV,JB_B,3,JB_W,"Offshore Patrol Cutter",JB_RC,"ADD")</f>
        <v/>
      </c>
      <c r="E38" s="31">
        <f>SUMIFS(JB_26BV,JB_B,4,JB_W,"Offshore Patrol Cutter",JB_RC,"ADD")</f>
        <v/>
      </c>
      <c r="F38" s="31">
        <f>SUMIFS(JB_26BV,JB_B,5,JB_W,"Offshore Patrol Cutter",JB_RC,"ADD")</f>
        <v/>
      </c>
      <c r="G38" s="31">
        <f>SUM(C38:F38)</f>
        <v/>
      </c>
      <c r="H38" s="37">
        <f>IFERROR(G38/G$40,0)</f>
        <v/>
      </c>
    </row>
    <row r="39" ht="10" customHeight="1">
      <c r="A39" s="30" t="inlineStr">
        <is>
          <t>Icebreakers, Oceangoing</t>
        </is>
      </c>
      <c r="B39" s="30" t="inlineStr">
        <is>
          <t>USCG</t>
        </is>
      </c>
      <c r="C39" s="31">
        <f>SUMIFS(JB_26BV,JB_B,2,JB_W,"Icebreakers, Oceangoing",JB_RC,"ADD")</f>
        <v/>
      </c>
      <c r="D39" s="31">
        <f>SUMIFS(JB_26BV,JB_B,3,JB_W,"Icebreakers, Oceangoing",JB_RC,"ADD")</f>
        <v/>
      </c>
      <c r="E39" s="31">
        <f>SUMIFS(JB_26BV,JB_B,4,JB_W,"Icebreakers, Oceangoing",JB_RC,"ADD")</f>
        <v/>
      </c>
      <c r="F39" s="31">
        <f>SUMIFS(JB_26BV,JB_B,5,JB_W,"Icebreakers, Oceangoing",JB_RC,"ADD")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FY2026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SUMIFS(JB_26BV,JB_B,2,JB_H,"DDG",JB_RC,"ADD")</f>
        <v/>
      </c>
      <c r="E46" s="31">
        <f>SUMIFS(JB_26BV,JB_B,3,JB_H,"DDG",JB_RC,"ADD")</f>
        <v/>
      </c>
      <c r="F46" s="31">
        <f>SUMIFS(JB_26BV,JB_B,4,JB_H,"DDG",JB_RC,"ADD")</f>
        <v/>
      </c>
      <c r="G46" s="31">
        <f>SUMIFS(JB_26BV,JB_B,5,JB_H,"DDG",JB_RC,"ADD")</f>
        <v/>
      </c>
      <c r="H46" s="31">
        <f>SUM(D46:G46)</f>
        <v/>
      </c>
      <c r="I46" s="37">
        <f>IFERROR(H46/H$58,0)</f>
        <v/>
      </c>
    </row>
    <row r="47" ht="10" customHeight="1">
      <c r="A47" s="30" t="inlineStr">
        <is>
          <t>LCS</t>
        </is>
      </c>
      <c r="B47" s="30" t="inlineStr">
        <is>
          <t>Surface Combatants</t>
        </is>
      </c>
      <c r="C47" s="30" t="inlineStr">
        <is>
          <t>USN</t>
        </is>
      </c>
      <c r="D47" s="31">
        <f>SUMIFS(JB_26BV,JB_B,2,JB_H,"LCS",JB_RC,"ADD")</f>
        <v/>
      </c>
      <c r="E47" s="31">
        <f>SUMIFS(JB_26BV,JB_B,3,JB_H,"LCS",JB_RC,"ADD")</f>
        <v/>
      </c>
      <c r="F47" s="31">
        <f>SUMIFS(JB_26BV,JB_B,4,JB_H,"LCS",JB_RC,"ADD")</f>
        <v/>
      </c>
      <c r="G47" s="31">
        <f>SUMIFS(JB_26BV,JB_B,5,JB_H,"LCS",JB_RC,"ADD")</f>
        <v/>
      </c>
      <c r="H47" s="31">
        <f>SUM(D47:G47)</f>
        <v/>
      </c>
      <c r="I47" s="37">
        <f>IFERROR(H47/H$58,0)</f>
        <v/>
      </c>
    </row>
    <row r="48" ht="10" customHeight="1">
      <c r="A48" s="30" t="inlineStr">
        <is>
          <t>LHD</t>
        </is>
      </c>
      <c r="B48" s="30" t="inlineStr">
        <is>
          <t>Amphibious Warfare Ships</t>
        </is>
      </c>
      <c r="C48" s="30" t="inlineStr">
        <is>
          <t>USN</t>
        </is>
      </c>
      <c r="D48" s="31">
        <f>SUMIFS(JB_26BV,JB_B,2,JB_H,"LHD",JB_RC,"ADD")</f>
        <v/>
      </c>
      <c r="E48" s="31">
        <f>SUMIFS(JB_26BV,JB_B,3,JB_H,"LHD",JB_RC,"ADD")</f>
        <v/>
      </c>
      <c r="F48" s="31">
        <f>SUMIFS(JB_26BV,JB_B,4,JB_H,"LHD",JB_RC,"ADD")</f>
        <v/>
      </c>
      <c r="G48" s="31">
        <f>SUMIFS(JB_26BV,JB_B,5,JB_H,"LHD",JB_RC,"ADD")</f>
        <v/>
      </c>
      <c r="H48" s="31">
        <f>SUM(D48:G48)</f>
        <v/>
      </c>
      <c r="I48" s="37">
        <f>IFERROR(H48/H$58,0)</f>
        <v/>
      </c>
    </row>
    <row r="49" ht="10" customHeight="1">
      <c r="A49" s="30" t="inlineStr">
        <is>
          <t>LPD</t>
        </is>
      </c>
      <c r="B49" s="30" t="inlineStr">
        <is>
          <t>Amphibious Warfare Ships</t>
        </is>
      </c>
      <c r="C49" s="30" t="inlineStr">
        <is>
          <t>USN</t>
        </is>
      </c>
      <c r="D49" s="31">
        <f>SUMIFS(JB_26BV,JB_B,2,JB_H,"LPD",JB_RC,"ADD")</f>
        <v/>
      </c>
      <c r="E49" s="31">
        <f>SUMIFS(JB_26BV,JB_B,3,JB_H,"LPD",JB_RC,"ADD")</f>
        <v/>
      </c>
      <c r="F49" s="31">
        <f>SUMIFS(JB_26BV,JB_B,4,JB_H,"LPD",JB_RC,"ADD")</f>
        <v/>
      </c>
      <c r="G49" s="31">
        <f>SUMIFS(JB_26BV,JB_B,5,JB_H,"LPD",JB_RC,"ADD")</f>
        <v/>
      </c>
      <c r="H49" s="31">
        <f>SUM(D49:G49)</f>
        <v/>
      </c>
      <c r="I49" s="37">
        <f>IFERROR(H49/H$58,0)</f>
        <v/>
      </c>
    </row>
    <row r="50" ht="10" customHeight="1">
      <c r="A50" s="30" t="inlineStr">
        <is>
          <t>CG</t>
        </is>
      </c>
      <c r="B50" s="30" t="inlineStr">
        <is>
          <t>Surface Combatants</t>
        </is>
      </c>
      <c r="C50" s="30" t="inlineStr">
        <is>
          <t>USN</t>
        </is>
      </c>
      <c r="D50" s="31">
        <f>SUMIFS(JB_26BV,JB_B,2,JB_H,"CG",JB_RC,"ADD")</f>
        <v/>
      </c>
      <c r="E50" s="31">
        <f>SUMIFS(JB_26BV,JB_B,3,JB_H,"CG",JB_RC,"ADD")</f>
        <v/>
      </c>
      <c r="F50" s="31">
        <f>SUMIFS(JB_26BV,JB_B,4,JB_H,"CG",JB_RC,"ADD")</f>
        <v/>
      </c>
      <c r="G50" s="31">
        <f>SUMIFS(JB_26BV,JB_B,5,JB_H,"CG",JB_RC,"ADD")</f>
        <v/>
      </c>
      <c r="H50" s="31">
        <f>SUM(D50:G50)</f>
        <v/>
      </c>
      <c r="I50" s="37">
        <f>IFERROR(H50/H$58,0)</f>
        <v/>
      </c>
    </row>
    <row r="51" ht="10" customHeight="1">
      <c r="A51" s="30" t="inlineStr">
        <is>
          <t>LSD</t>
        </is>
      </c>
      <c r="B51" s="30" t="inlineStr">
        <is>
          <t>Amphibious Warfare Ships</t>
        </is>
      </c>
      <c r="C51" s="30" t="inlineStr">
        <is>
          <t>USN</t>
        </is>
      </c>
      <c r="D51" s="31">
        <f>SUMIFS(JB_26BV,JB_B,2,JB_H,"LSD",JB_RC,"ADD")</f>
        <v/>
      </c>
      <c r="E51" s="31">
        <f>SUMIFS(JB_26BV,JB_B,3,JB_H,"LSD",JB_RC,"ADD")</f>
        <v/>
      </c>
      <c r="F51" s="31">
        <f>SUMIFS(JB_26BV,JB_B,4,JB_H,"LSD",JB_RC,"ADD")</f>
        <v/>
      </c>
      <c r="G51" s="31">
        <f>SUMIFS(JB_26BV,JB_B,5,JB_H,"LSD",JB_RC,"ADD")</f>
        <v/>
      </c>
      <c r="H51" s="31">
        <f>SUM(D51:G51)</f>
        <v/>
      </c>
      <c r="I51" s="37">
        <f>IFERROR(H51/H$58,0)</f>
        <v/>
      </c>
    </row>
    <row r="52" ht="10" customHeight="1">
      <c r="A52" s="30" t="inlineStr">
        <is>
          <t>LHA</t>
        </is>
      </c>
      <c r="B52" s="30" t="inlineStr">
        <is>
          <t>Amphibious Warfare Ships</t>
        </is>
      </c>
      <c r="C52" s="30" t="inlineStr">
        <is>
          <t>USN</t>
        </is>
      </c>
      <c r="D52" s="31">
        <f>SUMIFS(JB_26BV,JB_B,2,JB_H,"LHA",JB_RC,"ADD")</f>
        <v/>
      </c>
      <c r="E52" s="31">
        <f>SUMIFS(JB_26BV,JB_B,3,JB_H,"LHA",JB_RC,"ADD")</f>
        <v/>
      </c>
      <c r="F52" s="31">
        <f>SUMIFS(JB_26BV,JB_B,4,JB_H,"LHA",JB_RC,"ADD")</f>
        <v/>
      </c>
      <c r="G52" s="31">
        <f>SUMIFS(JB_26BV,JB_B,5,JB_H,"LHA",JB_RC,"ADD")</f>
        <v/>
      </c>
      <c r="H52" s="31">
        <f>SUM(D52:G52)</f>
        <v/>
      </c>
      <c r="I52" s="37">
        <f>IFERROR(H52/H$58,0)</f>
        <v/>
      </c>
    </row>
    <row r="53" ht="10" customHeight="1">
      <c r="A53" s="30" t="inlineStr">
        <is>
          <t>LCC</t>
        </is>
      </c>
      <c r="B53" s="30" t="inlineStr">
        <is>
          <t>Command Ships</t>
        </is>
      </c>
      <c r="C53" s="30" t="inlineStr">
        <is>
          <t>USN</t>
        </is>
      </c>
      <c r="D53" s="31">
        <f>SUMIFS(JB_26BV,JB_B,2,JB_H,"LCC",JB_RC,"ADD")</f>
        <v/>
      </c>
      <c r="E53" s="31">
        <f>SUMIFS(JB_26BV,JB_B,3,JB_H,"LCC",JB_RC,"ADD")</f>
        <v/>
      </c>
      <c r="F53" s="31">
        <f>SUMIFS(JB_26BV,JB_B,4,JB_H,"LCC",JB_RC,"ADD")</f>
        <v/>
      </c>
      <c r="G53" s="31">
        <f>SUMIFS(JB_26BV,JB_B,5,JB_H,"LCC",JB_RC,"ADD")</f>
        <v/>
      </c>
      <c r="H53" s="31">
        <f>SUM(D53:G53)</f>
        <v/>
      </c>
      <c r="I53" s="37">
        <f>IFERROR(H53/H$58,0)</f>
        <v/>
      </c>
    </row>
    <row r="54" ht="10" customHeight="1">
      <c r="A54" s="30" t="inlineStr">
        <is>
          <t>T-AGOS</t>
        </is>
      </c>
      <c r="B54" s="30" t="inlineStr">
        <is>
          <t>Surveillance Ships</t>
        </is>
      </c>
      <c r="C54" s="30" t="inlineStr">
        <is>
          <t>MSC</t>
        </is>
      </c>
      <c r="D54" s="31">
        <f>SUMIFS(JB_26BV,JB_B,2,JB_H,"T-AGOS",JB_RC,"ADD")</f>
        <v/>
      </c>
      <c r="E54" s="31">
        <f>SUMIFS(JB_26BV,JB_B,3,JB_H,"T-AGOS",JB_RC,"ADD")</f>
        <v/>
      </c>
      <c r="F54" s="31">
        <f>SUMIFS(JB_26BV,JB_B,4,JB_H,"T-AGOS",JB_RC,"ADD")</f>
        <v/>
      </c>
      <c r="G54" s="31">
        <f>SUMIFS(JB_26BV,JB_B,5,JB_H,"T-AGOS",JB_RC,"ADD")</f>
        <v/>
      </c>
      <c r="H54" s="31">
        <f>SUM(D54:G54)</f>
        <v/>
      </c>
      <c r="I54" s="37">
        <f>IFERROR(H54/H$58,0)</f>
        <v/>
      </c>
    </row>
    <row r="55" ht="10" customHeight="1">
      <c r="A55" s="30" t="inlineStr">
        <is>
          <t>MCM</t>
        </is>
      </c>
      <c r="B55" s="30" t="inlineStr">
        <is>
          <t>Mine Warfare</t>
        </is>
      </c>
      <c r="C55" s="30" t="inlineStr">
        <is>
          <t>USN</t>
        </is>
      </c>
      <c r="D55" s="31">
        <f>SUMIFS(JB_26BV,JB_B,2,JB_H,"MCM",JB_RC,"ADD")</f>
        <v/>
      </c>
      <c r="E55" s="31">
        <f>SUMIFS(JB_26BV,JB_B,3,JB_H,"MCM",JB_RC,"ADD")</f>
        <v/>
      </c>
      <c r="F55" s="31">
        <f>SUMIFS(JB_26BV,JB_B,4,JB_H,"MCM",JB_RC,"ADD")</f>
        <v/>
      </c>
      <c r="G55" s="31">
        <f>SUMIFS(JB_26BV,JB_B,5,JB_H,"MCM",JB_RC,"ADD")</f>
        <v/>
      </c>
      <c r="H55" s="31">
        <f>SUM(D55:G55)</f>
        <v/>
      </c>
      <c r="I55" s="37">
        <f>IFERROR(H55/H$58,0)</f>
        <v/>
      </c>
    </row>
    <row r="56" ht="10" customHeight="1">
      <c r="A56" s="30" t="inlineStr">
        <is>
          <t>ESB</t>
        </is>
      </c>
      <c r="B56" s="30" t="inlineStr">
        <is>
          <t>Expeditionary &amp; Seabasing Ships</t>
        </is>
      </c>
      <c r="C56" s="30" t="inlineStr">
        <is>
          <t>USN</t>
        </is>
      </c>
      <c r="D56" s="31">
        <f>SUMIFS(JB_26BV,JB_B,2,JB_H,"ESB",JB_RC,"ADD")</f>
        <v/>
      </c>
      <c r="E56" s="31">
        <f>SUMIFS(JB_26BV,JB_B,3,JB_H,"ESB",JB_RC,"ADD")</f>
        <v/>
      </c>
      <c r="F56" s="31">
        <f>SUMIFS(JB_26BV,JB_B,4,JB_H,"ESB",JB_RC,"ADD")</f>
        <v/>
      </c>
      <c r="G56" s="31">
        <f>SUMIFS(JB_26BV,JB_B,5,JB_H,"ESB",JB_RC,"ADD")</f>
        <v/>
      </c>
      <c r="H56" s="31">
        <f>SUM(D56:G56)</f>
        <v/>
      </c>
      <c r="I56" s="37">
        <f>IFERROR(H56/H$58,0)</f>
        <v/>
      </c>
    </row>
    <row r="57" ht="10" customHeight="1">
      <c r="A57" s="30" t="inlineStr">
        <is>
          <t>WMSL</t>
        </is>
      </c>
      <c r="B57" s="30" t="inlineStr">
        <is>
          <t>National Security Cutters</t>
        </is>
      </c>
      <c r="C57" s="30" t="inlineStr">
        <is>
          <t>USCG</t>
        </is>
      </c>
      <c r="D57" s="31">
        <f>SUMIFS(JB_26BV,JB_B,2,JB_H,"WMSL",JB_RC,"ADD")</f>
        <v/>
      </c>
      <c r="E57" s="31">
        <f>SUMIFS(JB_26BV,JB_B,3,JB_H,"WMSL",JB_RC,"ADD")</f>
        <v/>
      </c>
      <c r="F57" s="31">
        <f>SUMIFS(JB_26BV,JB_B,4,JB_H,"WMSL",JB_RC,"ADD")</f>
        <v/>
      </c>
      <c r="G57" s="31">
        <f>SUMIFS(JB_26BV,JB_B,5,JB_H,"WMSL",JB_RC,"ADD")</f>
        <v/>
      </c>
      <c r="H57" s="31">
        <f>SUM(D57:G57)</f>
        <v/>
      </c>
      <c r="I57" s="37">
        <f>IFERROR(H57/H$58,0)</f>
        <v/>
      </c>
    </row>
    <row r="58" ht="10" customHeight="1">
      <c r="A58" s="32" t="inlineStr">
        <is>
          <t>MRO SAM (all programs)</t>
        </is>
      </c>
      <c r="B58" s="32" t="inlineStr"/>
      <c r="C58" s="32" t="inlineStr"/>
      <c r="D58" s="33">
        <f>SUM(D46:D57)</f>
        <v/>
      </c>
      <c r="E58" s="33">
        <f>SUM(E46:E57)</f>
        <v/>
      </c>
      <c r="F58" s="33">
        <f>SUM(F46:F57)</f>
        <v/>
      </c>
      <c r="G58" s="33">
        <f>SUM(G46:G57)</f>
        <v/>
      </c>
      <c r="H58" s="33">
        <f>SUM(H46:H57)</f>
        <v/>
      </c>
      <c r="I58" s="38" t="n">
        <v>1</v>
      </c>
    </row>
    <row r="59" ht="10" customHeight="1"/>
    <row r="60" ht="10" customHeight="1"/>
    <row r="61" ht="10" customHeight="1">
      <c r="A61" s="27" t="inlineStr">
        <is>
          <t>(D) Aggregate SDM Cost Breakdown</t>
        </is>
      </c>
      <c r="B61" s="28" t="n"/>
      <c r="C61" s="28" t="n"/>
    </row>
    <row r="62" ht="10" customHeight="1">
      <c r="A62" s="26" t="inlineStr">
        <is>
          <t>Aggregate cost breakdown of OMN Ship Maintenance (Bucket 2) spending by cost type. Titles are verbatim from OMN justification book sub-components — not hull-specific. Used in section (E) to estimate cost-element coverage per hull program.</t>
        </is>
      </c>
    </row>
    <row r="63" ht="10" customHeight="1">
      <c r="A63" s="29" t="inlineStr">
        <is>
          <t>OMN Sub-Component</t>
        </is>
      </c>
      <c r="B63" s="29" t="inlineStr">
        <is>
          <t>$K</t>
        </is>
      </c>
      <c r="C63" s="29" t="inlineStr">
        <is>
          <t>% of SDM</t>
        </is>
      </c>
    </row>
    <row r="64" ht="10" customHeight="1">
      <c r="A64" s="30" t="inlineStr">
        <is>
          <t>Ship Maintenance By Contract</t>
        </is>
      </c>
      <c r="B64" s="31" t="n">
        <v>3984423</v>
      </c>
      <c r="C64" s="37">
        <f>IFERROR(B64/B87,0)</f>
        <v/>
      </c>
    </row>
    <row r="65" ht="10" customHeight="1">
      <c r="A65" s="30" t="inlineStr">
        <is>
          <t>Executive, General and Special Schedules</t>
        </is>
      </c>
      <c r="B65" s="31" t="n">
        <v>3057102</v>
      </c>
      <c r="C65" s="37">
        <f>IFERROR(B65/B87,0)</f>
        <v/>
      </c>
    </row>
    <row r="66" ht="10" customHeight="1">
      <c r="A66" s="30" t="inlineStr">
        <is>
          <t>Wage Board</t>
        </is>
      </c>
      <c r="B66" s="31" t="n">
        <v>2713903</v>
      </c>
      <c r="C66" s="37">
        <f>IFERROR(B66/B87,0)</f>
        <v/>
      </c>
    </row>
    <row r="67" ht="10" customHeight="1">
      <c r="A67" s="30" t="inlineStr">
        <is>
          <t>Navy Managed Supplies &amp; Materials</t>
        </is>
      </c>
      <c r="B67" s="31" t="n">
        <v>814422</v>
      </c>
      <c r="C67" s="37">
        <f>IFERROR(B67/B87,0)</f>
        <v/>
      </c>
    </row>
    <row r="68" ht="10" customHeight="1">
      <c r="A68" s="30" t="inlineStr">
        <is>
          <t>DLA Material Supply Chain - Weapon Systems</t>
        </is>
      </c>
      <c r="B68" s="31" t="n">
        <v>696056</v>
      </c>
      <c r="C68" s="37">
        <f>IFERROR(B68/B87,0)</f>
        <v/>
      </c>
    </row>
    <row r="69" ht="10" customHeight="1">
      <c r="A69" s="30" t="inlineStr">
        <is>
          <t>MSC Regular Overhaul (ROH)</t>
        </is>
      </c>
      <c r="B69" s="31" t="n">
        <v>666329</v>
      </c>
      <c r="C69" s="37">
        <f>IFERROR(B69/B87,0)</f>
        <v/>
      </c>
    </row>
    <row r="70" ht="10" customHeight="1">
      <c r="A70" s="30" t="inlineStr">
        <is>
          <t>MSC Other Maintenance and Repair</t>
        </is>
      </c>
      <c r="B70" s="31" t="n">
        <v>575746</v>
      </c>
      <c r="C70" s="37">
        <f>IFERROR(B70/B87,0)</f>
        <v/>
      </c>
    </row>
    <row r="71" ht="10" customHeight="1">
      <c r="A71" s="30" t="inlineStr">
        <is>
          <t>Equipment Maintenance By Contract</t>
        </is>
      </c>
      <c r="B71" s="31" t="n">
        <v>502290</v>
      </c>
      <c r="C71" s="37">
        <f>IFERROR(B71/B87,0)</f>
        <v/>
      </c>
    </row>
    <row r="72" ht="10" customHeight="1">
      <c r="A72" s="30" t="inlineStr">
        <is>
          <t>Other Depot Maintenance Non-Fund</t>
        </is>
      </c>
      <c r="B72" s="31" t="n">
        <v>447544</v>
      </c>
      <c r="C72" s="37">
        <f>IFERROR(B72/B87,0)</f>
        <v/>
      </c>
    </row>
    <row r="73" ht="10" customHeight="1">
      <c r="A73" s="30" t="inlineStr">
        <is>
          <t>MSC Mid-Term Availability (MTA)</t>
        </is>
      </c>
      <c r="B73" s="31" t="n">
        <v>341925</v>
      </c>
      <c r="C73" s="37">
        <f>IFERROR(B73/B87,0)</f>
        <v/>
      </c>
    </row>
    <row r="74" ht="10" customHeight="1">
      <c r="A74" s="30" t="inlineStr">
        <is>
          <t>Other Intra-Government Purchases</t>
        </is>
      </c>
      <c r="B74" s="31" t="n">
        <v>236115</v>
      </c>
      <c r="C74" s="37">
        <f>IFERROR(B74/B87,0)</f>
        <v/>
      </c>
    </row>
    <row r="75" ht="10" customHeight="1">
      <c r="A75" s="30" t="inlineStr">
        <is>
          <t>Tomahawk Systems (All-Up Round and TTWCS)</t>
        </is>
      </c>
      <c r="B75" s="31" t="n">
        <v>129051</v>
      </c>
      <c r="C75" s="37">
        <f>IFERROR(B75/B87,0)</f>
        <v/>
      </c>
    </row>
    <row r="76" ht="10" customHeight="1">
      <c r="A76" s="30" t="inlineStr">
        <is>
          <t>Standard Missile Depot Maintenance (SM-2/SM-6)</t>
        </is>
      </c>
      <c r="B76" s="31" t="n">
        <v>88674</v>
      </c>
      <c r="C76" s="37">
        <f>IFERROR(B76/B87,0)</f>
        <v/>
      </c>
    </row>
    <row r="77" ht="10" customHeight="1">
      <c r="A77" s="30" t="inlineStr">
        <is>
          <t>Close-In Weapons System (CIWS)</t>
        </is>
      </c>
      <c r="B77" s="31" t="n">
        <v>82544</v>
      </c>
      <c r="C77" s="37">
        <f>IFERROR(B77/B87,0)</f>
        <v/>
      </c>
    </row>
    <row r="78" ht="10" customHeight="1">
      <c r="A78" s="30" t="inlineStr">
        <is>
          <t>Submarine Torpedo Systems</t>
        </is>
      </c>
      <c r="B78" s="31" t="n">
        <v>71804</v>
      </c>
      <c r="C78" s="37">
        <f>IFERROR(B78/B87,0)</f>
        <v/>
      </c>
    </row>
    <row r="79" ht="10" customHeight="1">
      <c r="A79" s="30" t="inlineStr">
        <is>
          <t>NATO Seasparrow (RIM-7)</t>
        </is>
      </c>
      <c r="B79" s="31" t="n">
        <v>41235</v>
      </c>
      <c r="C79" s="37">
        <f>IFERROR(B79/B87,0)</f>
        <v/>
      </c>
    </row>
    <row r="80" ht="10" customHeight="1">
      <c r="A80" s="30" t="inlineStr">
        <is>
          <t>Surface Undersea Warfare (USW)</t>
        </is>
      </c>
      <c r="B80" s="31" t="n">
        <v>40897</v>
      </c>
      <c r="C80" s="37">
        <f>IFERROR(B80/B87,0)</f>
        <v/>
      </c>
    </row>
    <row r="81" ht="10" customHeight="1">
      <c r="A81" s="30" t="inlineStr">
        <is>
          <t>Inactive Ship Maintenance Facility &amp; Operations</t>
        </is>
      </c>
      <c r="B81" s="31" t="n">
        <v>30836</v>
      </c>
      <c r="C81" s="37">
        <f>IFERROR(B81/B87,0)</f>
        <v/>
      </c>
    </row>
    <row r="82" ht="10" customHeight="1">
      <c r="A82" s="30" t="inlineStr">
        <is>
          <t>Rolling Air Frame (RAM) Maintenance</t>
        </is>
      </c>
      <c r="B82" s="31" t="n">
        <v>18784</v>
      </c>
      <c r="C82" s="37">
        <f>IFERROR(B82/B87,0)</f>
        <v/>
      </c>
    </row>
    <row r="83" ht="10" customHeight="1">
      <c r="A83" s="30" t="inlineStr">
        <is>
          <t>Submarine Acoustics / In-Service Combat Systems</t>
        </is>
      </c>
      <c r="B83" s="31" t="n">
        <v>17384</v>
      </c>
      <c r="C83" s="37">
        <f>IFERROR(B83/B87,0)</f>
        <v/>
      </c>
    </row>
    <row r="84" ht="10" customHeight="1">
      <c r="A84" s="30" t="inlineStr">
        <is>
          <t>Surface Ship Torpedo Defense (SSTD) Depot Repair</t>
        </is>
      </c>
      <c r="B84" s="31" t="n">
        <v>2179</v>
      </c>
      <c r="C84" s="37">
        <f>IFERROR(B84/B87,0)</f>
        <v/>
      </c>
    </row>
    <row r="85" ht="10" customHeight="1">
      <c r="A85" s="30" t="inlineStr">
        <is>
          <t>Efficiency - Contract Services Reduction</t>
        </is>
      </c>
      <c r="B85" s="31" t="n">
        <v>-76395</v>
      </c>
      <c r="C85" s="37">
        <f>IFERROR(B85/B87,0)</f>
        <v/>
      </c>
    </row>
    <row r="86" ht="10" customHeight="1">
      <c r="A86" s="30" t="inlineStr">
        <is>
          <t>Efficiency - Workforce Optimization (Public Shipyards)</t>
        </is>
      </c>
      <c r="B86" s="31" t="n">
        <v>-207734</v>
      </c>
      <c r="C86" s="37">
        <f>IFERROR(B86/B87,0)</f>
        <v/>
      </c>
    </row>
    <row r="87" ht="10" customHeight="1">
      <c r="A87" s="32" t="inlineStr">
        <is>
          <t>Total</t>
        </is>
      </c>
      <c r="B87" s="33">
        <f>SUM(B64:B86)</f>
        <v/>
      </c>
      <c r="C87" s="38" t="n">
        <v>1</v>
      </c>
    </row>
    <row r="88" ht="10" customHeight="1"/>
    <row r="89" ht="10" customHeight="1"/>
    <row r="90" ht="10" customHeight="1">
      <c r="A90" s="27" t="inlineStr">
        <is>
          <t>(E) MRO SAM (SDM cost-element estimate) — FY2026 ($K)</t>
        </is>
      </c>
      <c r="B90" s="28" t="n"/>
      <c r="C90" s="28" t="n"/>
      <c r="D90" s="28" t="n"/>
      <c r="E90" s="28" t="n"/>
      <c r="F90" s="28" t="n"/>
      <c r="G90" s="28" t="n"/>
      <c r="H90" s="28" t="n"/>
      <c r="I90" s="28" t="n"/>
      <c r="J90" s="28" t="n"/>
      <c r="K90" s="28" t="n"/>
      <c r="L90" s="28" t="n"/>
    </row>
    <row r="91" ht="10" customHeight="1">
      <c r="A91" s="26" t="inlineStr">
        <is>
          <t>Estimated SDM cost breakdown by hull program. Applies the aggregate OMN cost mix from section (D) to each hull’s SDM funding. This is an approximation — actual cost mix varies by hull class. Analogous to Newbuild SAM section (E) which applies P-5c cost mix to net budget authority.</t>
        </is>
      </c>
    </row>
    <row r="92" ht="10" customHeight="1">
      <c r="A92" s="39" t="n"/>
      <c r="B92" s="40" t="inlineStr">
        <is>
          <t>USN</t>
        </is>
      </c>
      <c r="C92" s="39" t="n"/>
      <c r="D92" s="39" t="n"/>
      <c r="E92" s="39" t="n"/>
      <c r="F92" s="39" t="n"/>
      <c r="G92" s="39" t="n"/>
      <c r="H92" s="39" t="n"/>
      <c r="I92" s="39" t="n"/>
      <c r="J92" s="39" t="n"/>
      <c r="K92" s="39" t="n"/>
      <c r="L92" s="41" t="n"/>
    </row>
    <row r="93" ht="10" customHeight="1">
      <c r="A93" s="29" t="inlineStr">
        <is>
          <t>OMN Sub-Component</t>
        </is>
      </c>
      <c r="B93" s="42" t="inlineStr">
        <is>
          <t>DDG</t>
        </is>
      </c>
      <c r="C93" s="29" t="inlineStr">
        <is>
          <t>LCS</t>
        </is>
      </c>
      <c r="D93" s="29" t="inlineStr">
        <is>
          <t>LHD</t>
        </is>
      </c>
      <c r="E93" s="29" t="inlineStr">
        <is>
          <t>LPD</t>
        </is>
      </c>
      <c r="F93" s="29" t="inlineStr">
        <is>
          <t>CG</t>
        </is>
      </c>
      <c r="G93" s="29" t="inlineStr">
        <is>
          <t>LSD</t>
        </is>
      </c>
      <c r="H93" s="29" t="inlineStr">
        <is>
          <t>LHA</t>
        </is>
      </c>
      <c r="I93" s="29" t="inlineStr">
        <is>
          <t>ESB</t>
        </is>
      </c>
      <c r="J93" s="29" t="inlineStr">
        <is>
          <t>MCM</t>
        </is>
      </c>
      <c r="K93" s="29" t="inlineStr">
        <is>
          <t>LCC</t>
        </is>
      </c>
      <c r="L93" s="42" t="inlineStr">
        <is>
          <t>Total</t>
        </is>
      </c>
    </row>
    <row r="94" ht="10" customHeight="1">
      <c r="A94" s="35" t="inlineStr">
        <is>
          <t>SAM SDM Total ($K)</t>
        </is>
      </c>
      <c r="B94" s="51">
        <f>D46</f>
        <v/>
      </c>
      <c r="C94" s="36">
        <f>D47</f>
        <v/>
      </c>
      <c r="D94" s="36">
        <f>D48</f>
        <v/>
      </c>
      <c r="E94" s="36">
        <f>D49</f>
        <v/>
      </c>
      <c r="F94" s="36">
        <f>D50</f>
        <v/>
      </c>
      <c r="G94" s="36">
        <f>D51</f>
        <v/>
      </c>
      <c r="H94" s="36">
        <f>D52</f>
        <v/>
      </c>
      <c r="I94" s="36">
        <f>D56</f>
        <v/>
      </c>
      <c r="J94" s="36">
        <f>D55</f>
        <v/>
      </c>
      <c r="K94" s="36">
        <f>D53</f>
        <v/>
      </c>
      <c r="L94" s="51">
        <f>SUM(B94:K94)</f>
        <v/>
      </c>
    </row>
    <row r="95" ht="10" customHeight="1">
      <c r="A95" s="30" t="inlineStr">
        <is>
          <t>Ship Maintenance By Contract</t>
        </is>
      </c>
      <c r="B95" s="45">
        <f>IFERROR(B$94*B64/B87,0)</f>
        <v/>
      </c>
      <c r="C95" s="31">
        <f>IFERROR(C$94*B64/B87,0)</f>
        <v/>
      </c>
      <c r="D95" s="31">
        <f>IFERROR(D$94*B64/B87,0)</f>
        <v/>
      </c>
      <c r="E95" s="31">
        <f>IFERROR(E$94*B64/B87,0)</f>
        <v/>
      </c>
      <c r="F95" s="31">
        <f>IFERROR(F$94*B64/B87,0)</f>
        <v/>
      </c>
      <c r="G95" s="31">
        <f>IFERROR(G$94*B64/B87,0)</f>
        <v/>
      </c>
      <c r="H95" s="31">
        <f>IFERROR(H$94*B64/B87,0)</f>
        <v/>
      </c>
      <c r="I95" s="31">
        <f>IFERROR(I$94*B64/B87,0)</f>
        <v/>
      </c>
      <c r="J95" s="31">
        <f>IFERROR(J$94*B64/B87,0)</f>
        <v/>
      </c>
      <c r="K95" s="31">
        <f>IFERROR(K$94*B64/B87,0)</f>
        <v/>
      </c>
      <c r="L95" s="45">
        <f>SUM(B95:K95)</f>
        <v/>
      </c>
    </row>
    <row r="96" ht="10" customHeight="1">
      <c r="A96" s="30" t="inlineStr">
        <is>
          <t>Executive, General and Special Schedules</t>
        </is>
      </c>
      <c r="B96" s="45">
        <f>IFERROR(B$94*B65/B87,0)</f>
        <v/>
      </c>
      <c r="C96" s="31">
        <f>IFERROR(C$94*B65/B87,0)</f>
        <v/>
      </c>
      <c r="D96" s="31">
        <f>IFERROR(D$94*B65/B87,0)</f>
        <v/>
      </c>
      <c r="E96" s="31">
        <f>IFERROR(E$94*B65/B87,0)</f>
        <v/>
      </c>
      <c r="F96" s="31">
        <f>IFERROR(F$94*B65/B87,0)</f>
        <v/>
      </c>
      <c r="G96" s="31">
        <f>IFERROR(G$94*B65/B87,0)</f>
        <v/>
      </c>
      <c r="H96" s="31">
        <f>IFERROR(H$94*B65/B87,0)</f>
        <v/>
      </c>
      <c r="I96" s="31">
        <f>IFERROR(I$94*B65/B87,0)</f>
        <v/>
      </c>
      <c r="J96" s="31">
        <f>IFERROR(J$94*B65/B87,0)</f>
        <v/>
      </c>
      <c r="K96" s="31">
        <f>IFERROR(K$94*B65/B87,0)</f>
        <v/>
      </c>
      <c r="L96" s="45">
        <f>SUM(B96:K96)</f>
        <v/>
      </c>
    </row>
    <row r="97" ht="10" customHeight="1">
      <c r="A97" s="30" t="inlineStr">
        <is>
          <t>Wage Board</t>
        </is>
      </c>
      <c r="B97" s="45">
        <f>IFERROR(B$94*B66/B87,0)</f>
        <v/>
      </c>
      <c r="C97" s="31">
        <f>IFERROR(C$94*B66/B87,0)</f>
        <v/>
      </c>
      <c r="D97" s="31">
        <f>IFERROR(D$94*B66/B87,0)</f>
        <v/>
      </c>
      <c r="E97" s="31">
        <f>IFERROR(E$94*B66/B87,0)</f>
        <v/>
      </c>
      <c r="F97" s="31">
        <f>IFERROR(F$94*B66/B87,0)</f>
        <v/>
      </c>
      <c r="G97" s="31">
        <f>IFERROR(G$94*B66/B87,0)</f>
        <v/>
      </c>
      <c r="H97" s="31">
        <f>IFERROR(H$94*B66/B87,0)</f>
        <v/>
      </c>
      <c r="I97" s="31">
        <f>IFERROR(I$94*B66/B87,0)</f>
        <v/>
      </c>
      <c r="J97" s="31">
        <f>IFERROR(J$94*B66/B87,0)</f>
        <v/>
      </c>
      <c r="K97" s="31">
        <f>IFERROR(K$94*B66/B87,0)</f>
        <v/>
      </c>
      <c r="L97" s="45">
        <f>SUM(B97:K97)</f>
        <v/>
      </c>
    </row>
    <row r="98" ht="10" customHeight="1">
      <c r="A98" s="30" t="inlineStr">
        <is>
          <t>Navy Managed Supplies &amp; Materials</t>
        </is>
      </c>
      <c r="B98" s="45">
        <f>IFERROR(B$94*B67/B87,0)</f>
        <v/>
      </c>
      <c r="C98" s="31">
        <f>IFERROR(C$94*B67/B87,0)</f>
        <v/>
      </c>
      <c r="D98" s="31">
        <f>IFERROR(D$94*B67/B87,0)</f>
        <v/>
      </c>
      <c r="E98" s="31">
        <f>IFERROR(E$94*B67/B87,0)</f>
        <v/>
      </c>
      <c r="F98" s="31">
        <f>IFERROR(F$94*B67/B87,0)</f>
        <v/>
      </c>
      <c r="G98" s="31">
        <f>IFERROR(G$94*B67/B87,0)</f>
        <v/>
      </c>
      <c r="H98" s="31">
        <f>IFERROR(H$94*B67/B87,0)</f>
        <v/>
      </c>
      <c r="I98" s="31">
        <f>IFERROR(I$94*B67/B87,0)</f>
        <v/>
      </c>
      <c r="J98" s="31">
        <f>IFERROR(J$94*B67/B87,0)</f>
        <v/>
      </c>
      <c r="K98" s="31">
        <f>IFERROR(K$94*B67/B87,0)</f>
        <v/>
      </c>
      <c r="L98" s="45">
        <f>SUM(B98:K98)</f>
        <v/>
      </c>
    </row>
    <row r="99" ht="10" customHeight="1">
      <c r="A99" s="30" t="inlineStr">
        <is>
          <t>DLA Material Supply Chain - Weapon Systems</t>
        </is>
      </c>
      <c r="B99" s="45">
        <f>IFERROR(B$94*B68/B87,0)</f>
        <v/>
      </c>
      <c r="C99" s="31">
        <f>IFERROR(C$94*B68/B87,0)</f>
        <v/>
      </c>
      <c r="D99" s="31">
        <f>IFERROR(D$94*B68/B87,0)</f>
        <v/>
      </c>
      <c r="E99" s="31">
        <f>IFERROR(E$94*B68/B87,0)</f>
        <v/>
      </c>
      <c r="F99" s="31">
        <f>IFERROR(F$94*B68/B87,0)</f>
        <v/>
      </c>
      <c r="G99" s="31">
        <f>IFERROR(G$94*B68/B87,0)</f>
        <v/>
      </c>
      <c r="H99" s="31">
        <f>IFERROR(H$94*B68/B87,0)</f>
        <v/>
      </c>
      <c r="I99" s="31">
        <f>IFERROR(I$94*B68/B87,0)</f>
        <v/>
      </c>
      <c r="J99" s="31">
        <f>IFERROR(J$94*B68/B87,0)</f>
        <v/>
      </c>
      <c r="K99" s="31">
        <f>IFERROR(K$94*B68/B87,0)</f>
        <v/>
      </c>
      <c r="L99" s="45">
        <f>SUM(B99:K99)</f>
        <v/>
      </c>
    </row>
    <row r="100" ht="10" customHeight="1">
      <c r="A100" s="30" t="inlineStr">
        <is>
          <t>MSC Regular Overhaul (ROH)</t>
        </is>
      </c>
      <c r="B100" s="45">
        <f>IFERROR(B$94*B69/B87,0)</f>
        <v/>
      </c>
      <c r="C100" s="31">
        <f>IFERROR(C$94*B69/B87,0)</f>
        <v/>
      </c>
      <c r="D100" s="31">
        <f>IFERROR(D$94*B69/B87,0)</f>
        <v/>
      </c>
      <c r="E100" s="31">
        <f>IFERROR(E$94*B69/B87,0)</f>
        <v/>
      </c>
      <c r="F100" s="31">
        <f>IFERROR(F$94*B69/B87,0)</f>
        <v/>
      </c>
      <c r="G100" s="31">
        <f>IFERROR(G$94*B69/B87,0)</f>
        <v/>
      </c>
      <c r="H100" s="31">
        <f>IFERROR(H$94*B69/B87,0)</f>
        <v/>
      </c>
      <c r="I100" s="31">
        <f>IFERROR(I$94*B69/B87,0)</f>
        <v/>
      </c>
      <c r="J100" s="31">
        <f>IFERROR(J$94*B69/B87,0)</f>
        <v/>
      </c>
      <c r="K100" s="31">
        <f>IFERROR(K$94*B69/B87,0)</f>
        <v/>
      </c>
      <c r="L100" s="45">
        <f>SUM(B100:K100)</f>
        <v/>
      </c>
    </row>
    <row r="101" ht="10" customHeight="1">
      <c r="A101" s="30" t="inlineStr">
        <is>
          <t>MSC Other Maintenance and Repair</t>
        </is>
      </c>
      <c r="B101" s="45">
        <f>IFERROR(B$94*B70/B87,0)</f>
        <v/>
      </c>
      <c r="C101" s="31">
        <f>IFERROR(C$94*B70/B87,0)</f>
        <v/>
      </c>
      <c r="D101" s="31">
        <f>IFERROR(D$94*B70/B87,0)</f>
        <v/>
      </c>
      <c r="E101" s="31">
        <f>IFERROR(E$94*B70/B87,0)</f>
        <v/>
      </c>
      <c r="F101" s="31">
        <f>IFERROR(F$94*B70/B87,0)</f>
        <v/>
      </c>
      <c r="G101" s="31">
        <f>IFERROR(G$94*B70/B87,0)</f>
        <v/>
      </c>
      <c r="H101" s="31">
        <f>IFERROR(H$94*B70/B87,0)</f>
        <v/>
      </c>
      <c r="I101" s="31">
        <f>IFERROR(I$94*B70/B87,0)</f>
        <v/>
      </c>
      <c r="J101" s="31">
        <f>IFERROR(J$94*B70/B87,0)</f>
        <v/>
      </c>
      <c r="K101" s="31">
        <f>IFERROR(K$94*B70/B87,0)</f>
        <v/>
      </c>
      <c r="L101" s="45">
        <f>SUM(B101:K101)</f>
        <v/>
      </c>
    </row>
    <row r="102" ht="10" customHeight="1">
      <c r="A102" s="30" t="inlineStr">
        <is>
          <t>Equipment Maintenance By Contract</t>
        </is>
      </c>
      <c r="B102" s="45">
        <f>IFERROR(B$94*B71/B87,0)</f>
        <v/>
      </c>
      <c r="C102" s="31">
        <f>IFERROR(C$94*B71/B87,0)</f>
        <v/>
      </c>
      <c r="D102" s="31">
        <f>IFERROR(D$94*B71/B87,0)</f>
        <v/>
      </c>
      <c r="E102" s="31">
        <f>IFERROR(E$94*B71/B87,0)</f>
        <v/>
      </c>
      <c r="F102" s="31">
        <f>IFERROR(F$94*B71/B87,0)</f>
        <v/>
      </c>
      <c r="G102" s="31">
        <f>IFERROR(G$94*B71/B87,0)</f>
        <v/>
      </c>
      <c r="H102" s="31">
        <f>IFERROR(H$94*B71/B87,0)</f>
        <v/>
      </c>
      <c r="I102" s="31">
        <f>IFERROR(I$94*B71/B87,0)</f>
        <v/>
      </c>
      <c r="J102" s="31">
        <f>IFERROR(J$94*B71/B87,0)</f>
        <v/>
      </c>
      <c r="K102" s="31">
        <f>IFERROR(K$94*B71/B87,0)</f>
        <v/>
      </c>
      <c r="L102" s="45">
        <f>SUM(B102:K102)</f>
        <v/>
      </c>
    </row>
    <row r="103" ht="10" customHeight="1">
      <c r="A103" s="30" t="inlineStr">
        <is>
          <t>Other Depot Maintenance Non-Fund</t>
        </is>
      </c>
      <c r="B103" s="45">
        <f>IFERROR(B$94*B72/B87,0)</f>
        <v/>
      </c>
      <c r="C103" s="31">
        <f>IFERROR(C$94*B72/B87,0)</f>
        <v/>
      </c>
      <c r="D103" s="31">
        <f>IFERROR(D$94*B72/B87,0)</f>
        <v/>
      </c>
      <c r="E103" s="31">
        <f>IFERROR(E$94*B72/B87,0)</f>
        <v/>
      </c>
      <c r="F103" s="31">
        <f>IFERROR(F$94*B72/B87,0)</f>
        <v/>
      </c>
      <c r="G103" s="31">
        <f>IFERROR(G$94*B72/B87,0)</f>
        <v/>
      </c>
      <c r="H103" s="31">
        <f>IFERROR(H$94*B72/B87,0)</f>
        <v/>
      </c>
      <c r="I103" s="31">
        <f>IFERROR(I$94*B72/B87,0)</f>
        <v/>
      </c>
      <c r="J103" s="31">
        <f>IFERROR(J$94*B72/B87,0)</f>
        <v/>
      </c>
      <c r="K103" s="31">
        <f>IFERROR(K$94*B72/B87,0)</f>
        <v/>
      </c>
      <c r="L103" s="45">
        <f>SUM(B103:K103)</f>
        <v/>
      </c>
    </row>
    <row r="104" ht="10" customHeight="1">
      <c r="A104" s="30" t="inlineStr">
        <is>
          <t>MSC Mid-Term Availability (MTA)</t>
        </is>
      </c>
      <c r="B104" s="45">
        <f>IFERROR(B$94*B73/B87,0)</f>
        <v/>
      </c>
      <c r="C104" s="31">
        <f>IFERROR(C$94*B73/B87,0)</f>
        <v/>
      </c>
      <c r="D104" s="31">
        <f>IFERROR(D$94*B73/B87,0)</f>
        <v/>
      </c>
      <c r="E104" s="31">
        <f>IFERROR(E$94*B73/B87,0)</f>
        <v/>
      </c>
      <c r="F104" s="31">
        <f>IFERROR(F$94*B73/B87,0)</f>
        <v/>
      </c>
      <c r="G104" s="31">
        <f>IFERROR(G$94*B73/B87,0)</f>
        <v/>
      </c>
      <c r="H104" s="31">
        <f>IFERROR(H$94*B73/B87,0)</f>
        <v/>
      </c>
      <c r="I104" s="31">
        <f>IFERROR(I$94*B73/B87,0)</f>
        <v/>
      </c>
      <c r="J104" s="31">
        <f>IFERROR(J$94*B73/B87,0)</f>
        <v/>
      </c>
      <c r="K104" s="31">
        <f>IFERROR(K$94*B73/B87,0)</f>
        <v/>
      </c>
      <c r="L104" s="45">
        <f>SUM(B104:K104)</f>
        <v/>
      </c>
    </row>
    <row r="105" ht="10" customHeight="1">
      <c r="A105" s="30" t="inlineStr">
        <is>
          <t>Other Intra-Government Purchases</t>
        </is>
      </c>
      <c r="B105" s="45">
        <f>IFERROR(B$94*B74/B87,0)</f>
        <v/>
      </c>
      <c r="C105" s="31">
        <f>IFERROR(C$94*B74/B87,0)</f>
        <v/>
      </c>
      <c r="D105" s="31">
        <f>IFERROR(D$94*B74/B87,0)</f>
        <v/>
      </c>
      <c r="E105" s="31">
        <f>IFERROR(E$94*B74/B87,0)</f>
        <v/>
      </c>
      <c r="F105" s="31">
        <f>IFERROR(F$94*B74/B87,0)</f>
        <v/>
      </c>
      <c r="G105" s="31">
        <f>IFERROR(G$94*B74/B87,0)</f>
        <v/>
      </c>
      <c r="H105" s="31">
        <f>IFERROR(H$94*B74/B87,0)</f>
        <v/>
      </c>
      <c r="I105" s="31">
        <f>IFERROR(I$94*B74/B87,0)</f>
        <v/>
      </c>
      <c r="J105" s="31">
        <f>IFERROR(J$94*B74/B87,0)</f>
        <v/>
      </c>
      <c r="K105" s="31">
        <f>IFERROR(K$94*B74/B87,0)</f>
        <v/>
      </c>
      <c r="L105" s="45">
        <f>SUM(B105:K105)</f>
        <v/>
      </c>
    </row>
    <row r="106" ht="10" customHeight="1">
      <c r="A106" s="30" t="inlineStr">
        <is>
          <t>Tomahawk Systems (All-Up Round and TTWCS)</t>
        </is>
      </c>
      <c r="B106" s="45">
        <f>IFERROR(B$94*B75/B87,0)</f>
        <v/>
      </c>
      <c r="C106" s="31">
        <f>IFERROR(C$94*B75/B87,0)</f>
        <v/>
      </c>
      <c r="D106" s="31">
        <f>IFERROR(D$94*B75/B87,0)</f>
        <v/>
      </c>
      <c r="E106" s="31">
        <f>IFERROR(E$94*B75/B87,0)</f>
        <v/>
      </c>
      <c r="F106" s="31">
        <f>IFERROR(F$94*B75/B87,0)</f>
        <v/>
      </c>
      <c r="G106" s="31">
        <f>IFERROR(G$94*B75/B87,0)</f>
        <v/>
      </c>
      <c r="H106" s="31">
        <f>IFERROR(H$94*B75/B87,0)</f>
        <v/>
      </c>
      <c r="I106" s="31">
        <f>IFERROR(I$94*B75/B87,0)</f>
        <v/>
      </c>
      <c r="J106" s="31">
        <f>IFERROR(J$94*B75/B87,0)</f>
        <v/>
      </c>
      <c r="K106" s="31">
        <f>IFERROR(K$94*B75/B87,0)</f>
        <v/>
      </c>
      <c r="L106" s="45">
        <f>SUM(B106:K106)</f>
        <v/>
      </c>
    </row>
    <row r="107" ht="10" customHeight="1">
      <c r="A107" s="30" t="inlineStr">
        <is>
          <t>Standard Missile Depot Maintenance (SM-2/SM-6)</t>
        </is>
      </c>
      <c r="B107" s="45">
        <f>IFERROR(B$94*B76/B87,0)</f>
        <v/>
      </c>
      <c r="C107" s="31">
        <f>IFERROR(C$94*B76/B87,0)</f>
        <v/>
      </c>
      <c r="D107" s="31">
        <f>IFERROR(D$94*B76/B87,0)</f>
        <v/>
      </c>
      <c r="E107" s="31">
        <f>IFERROR(E$94*B76/B87,0)</f>
        <v/>
      </c>
      <c r="F107" s="31">
        <f>IFERROR(F$94*B76/B87,0)</f>
        <v/>
      </c>
      <c r="G107" s="31">
        <f>IFERROR(G$94*B76/B87,0)</f>
        <v/>
      </c>
      <c r="H107" s="31">
        <f>IFERROR(H$94*B76/B87,0)</f>
        <v/>
      </c>
      <c r="I107" s="31">
        <f>IFERROR(I$94*B76/B87,0)</f>
        <v/>
      </c>
      <c r="J107" s="31">
        <f>IFERROR(J$94*B76/B87,0)</f>
        <v/>
      </c>
      <c r="K107" s="31">
        <f>IFERROR(K$94*B76/B87,0)</f>
        <v/>
      </c>
      <c r="L107" s="45">
        <f>SUM(B107:K107)</f>
        <v/>
      </c>
    </row>
    <row r="108" ht="10" customHeight="1">
      <c r="A108" s="30" t="inlineStr">
        <is>
          <t>Close-In Weapons System (CIWS)</t>
        </is>
      </c>
      <c r="B108" s="45">
        <f>IFERROR(B$94*B77/B87,0)</f>
        <v/>
      </c>
      <c r="C108" s="31">
        <f>IFERROR(C$94*B77/B87,0)</f>
        <v/>
      </c>
      <c r="D108" s="31">
        <f>IFERROR(D$94*B77/B87,0)</f>
        <v/>
      </c>
      <c r="E108" s="31">
        <f>IFERROR(E$94*B77/B87,0)</f>
        <v/>
      </c>
      <c r="F108" s="31">
        <f>IFERROR(F$94*B77/B87,0)</f>
        <v/>
      </c>
      <c r="G108" s="31">
        <f>IFERROR(G$94*B77/B87,0)</f>
        <v/>
      </c>
      <c r="H108" s="31">
        <f>IFERROR(H$94*B77/B87,0)</f>
        <v/>
      </c>
      <c r="I108" s="31">
        <f>IFERROR(I$94*B77/B87,0)</f>
        <v/>
      </c>
      <c r="J108" s="31">
        <f>IFERROR(J$94*B77/B87,0)</f>
        <v/>
      </c>
      <c r="K108" s="31">
        <f>IFERROR(K$94*B77/B87,0)</f>
        <v/>
      </c>
      <c r="L108" s="45">
        <f>SUM(B108:K108)</f>
        <v/>
      </c>
    </row>
    <row r="109" ht="10" customHeight="1">
      <c r="A109" s="30" t="inlineStr">
        <is>
          <t>Submarine Torpedo Systems</t>
        </is>
      </c>
      <c r="B109" s="45">
        <f>IFERROR(B$94*B78/B87,0)</f>
        <v/>
      </c>
      <c r="C109" s="31">
        <f>IFERROR(C$94*B78/B87,0)</f>
        <v/>
      </c>
      <c r="D109" s="31">
        <f>IFERROR(D$94*B78/B87,0)</f>
        <v/>
      </c>
      <c r="E109" s="31">
        <f>IFERROR(E$94*B78/B87,0)</f>
        <v/>
      </c>
      <c r="F109" s="31">
        <f>IFERROR(F$94*B78/B87,0)</f>
        <v/>
      </c>
      <c r="G109" s="31">
        <f>IFERROR(G$94*B78/B87,0)</f>
        <v/>
      </c>
      <c r="H109" s="31">
        <f>IFERROR(H$94*B78/B87,0)</f>
        <v/>
      </c>
      <c r="I109" s="31">
        <f>IFERROR(I$94*B78/B87,0)</f>
        <v/>
      </c>
      <c r="J109" s="31">
        <f>IFERROR(J$94*B78/B87,0)</f>
        <v/>
      </c>
      <c r="K109" s="31">
        <f>IFERROR(K$94*B78/B87,0)</f>
        <v/>
      </c>
      <c r="L109" s="45">
        <f>SUM(B109:K109)</f>
        <v/>
      </c>
    </row>
    <row r="110" ht="10" customHeight="1">
      <c r="A110" s="30" t="inlineStr">
        <is>
          <t>NATO Seasparrow (RIM-7)</t>
        </is>
      </c>
      <c r="B110" s="45">
        <f>IFERROR(B$94*B79/B87,0)</f>
        <v/>
      </c>
      <c r="C110" s="31">
        <f>IFERROR(C$94*B79/B87,0)</f>
        <v/>
      </c>
      <c r="D110" s="31">
        <f>IFERROR(D$94*B79/B87,0)</f>
        <v/>
      </c>
      <c r="E110" s="31">
        <f>IFERROR(E$94*B79/B87,0)</f>
        <v/>
      </c>
      <c r="F110" s="31">
        <f>IFERROR(F$94*B79/B87,0)</f>
        <v/>
      </c>
      <c r="G110" s="31">
        <f>IFERROR(G$94*B79/B87,0)</f>
        <v/>
      </c>
      <c r="H110" s="31">
        <f>IFERROR(H$94*B79/B87,0)</f>
        <v/>
      </c>
      <c r="I110" s="31">
        <f>IFERROR(I$94*B79/B87,0)</f>
        <v/>
      </c>
      <c r="J110" s="31">
        <f>IFERROR(J$94*B79/B87,0)</f>
        <v/>
      </c>
      <c r="K110" s="31">
        <f>IFERROR(K$94*B79/B87,0)</f>
        <v/>
      </c>
      <c r="L110" s="45">
        <f>SUM(B110:K110)</f>
        <v/>
      </c>
    </row>
    <row r="111" ht="10" customHeight="1">
      <c r="A111" s="30" t="inlineStr">
        <is>
          <t>Surface Undersea Warfare (USW)</t>
        </is>
      </c>
      <c r="B111" s="45">
        <f>IFERROR(B$94*B80/B87,0)</f>
        <v/>
      </c>
      <c r="C111" s="31">
        <f>IFERROR(C$94*B80/B87,0)</f>
        <v/>
      </c>
      <c r="D111" s="31">
        <f>IFERROR(D$94*B80/B87,0)</f>
        <v/>
      </c>
      <c r="E111" s="31">
        <f>IFERROR(E$94*B80/B87,0)</f>
        <v/>
      </c>
      <c r="F111" s="31">
        <f>IFERROR(F$94*B80/B87,0)</f>
        <v/>
      </c>
      <c r="G111" s="31">
        <f>IFERROR(G$94*B80/B87,0)</f>
        <v/>
      </c>
      <c r="H111" s="31">
        <f>IFERROR(H$94*B80/B87,0)</f>
        <v/>
      </c>
      <c r="I111" s="31">
        <f>IFERROR(I$94*B80/B87,0)</f>
        <v/>
      </c>
      <c r="J111" s="31">
        <f>IFERROR(J$94*B80/B87,0)</f>
        <v/>
      </c>
      <c r="K111" s="31">
        <f>IFERROR(K$94*B80/B87,0)</f>
        <v/>
      </c>
      <c r="L111" s="45">
        <f>SUM(B111:K111)</f>
        <v/>
      </c>
    </row>
    <row r="112" ht="10" customHeight="1">
      <c r="A112" s="30" t="inlineStr">
        <is>
          <t>Inactive Ship Maintenance Facility &amp; Operations</t>
        </is>
      </c>
      <c r="B112" s="45">
        <f>IFERROR(B$94*B81/B87,0)</f>
        <v/>
      </c>
      <c r="C112" s="31">
        <f>IFERROR(C$94*B81/B87,0)</f>
        <v/>
      </c>
      <c r="D112" s="31">
        <f>IFERROR(D$94*B81/B87,0)</f>
        <v/>
      </c>
      <c r="E112" s="31">
        <f>IFERROR(E$94*B81/B87,0)</f>
        <v/>
      </c>
      <c r="F112" s="31">
        <f>IFERROR(F$94*B81/B87,0)</f>
        <v/>
      </c>
      <c r="G112" s="31">
        <f>IFERROR(G$94*B81/B87,0)</f>
        <v/>
      </c>
      <c r="H112" s="31">
        <f>IFERROR(H$94*B81/B87,0)</f>
        <v/>
      </c>
      <c r="I112" s="31">
        <f>IFERROR(I$94*B81/B87,0)</f>
        <v/>
      </c>
      <c r="J112" s="31">
        <f>IFERROR(J$94*B81/B87,0)</f>
        <v/>
      </c>
      <c r="K112" s="31">
        <f>IFERROR(K$94*B81/B87,0)</f>
        <v/>
      </c>
      <c r="L112" s="45">
        <f>SUM(B112:K112)</f>
        <v/>
      </c>
    </row>
    <row r="113" ht="10" customHeight="1">
      <c r="A113" s="30" t="inlineStr">
        <is>
          <t>Rolling Air Frame (RAM) Maintenance</t>
        </is>
      </c>
      <c r="B113" s="45">
        <f>IFERROR(B$94*B82/B87,0)</f>
        <v/>
      </c>
      <c r="C113" s="31">
        <f>IFERROR(C$94*B82/B87,0)</f>
        <v/>
      </c>
      <c r="D113" s="31">
        <f>IFERROR(D$94*B82/B87,0)</f>
        <v/>
      </c>
      <c r="E113" s="31">
        <f>IFERROR(E$94*B82/B87,0)</f>
        <v/>
      </c>
      <c r="F113" s="31">
        <f>IFERROR(F$94*B82/B87,0)</f>
        <v/>
      </c>
      <c r="G113" s="31">
        <f>IFERROR(G$94*B82/B87,0)</f>
        <v/>
      </c>
      <c r="H113" s="31">
        <f>IFERROR(H$94*B82/B87,0)</f>
        <v/>
      </c>
      <c r="I113" s="31">
        <f>IFERROR(I$94*B82/B87,0)</f>
        <v/>
      </c>
      <c r="J113" s="31">
        <f>IFERROR(J$94*B82/B87,0)</f>
        <v/>
      </c>
      <c r="K113" s="31">
        <f>IFERROR(K$94*B82/B87,0)</f>
        <v/>
      </c>
      <c r="L113" s="45">
        <f>SUM(B113:K113)</f>
        <v/>
      </c>
    </row>
    <row r="114" ht="10" customHeight="1">
      <c r="A114" s="30" t="inlineStr">
        <is>
          <t>Submarine Acoustics / In-Service Combat Systems</t>
        </is>
      </c>
      <c r="B114" s="45">
        <f>IFERROR(B$94*B83/B87,0)</f>
        <v/>
      </c>
      <c r="C114" s="31">
        <f>IFERROR(C$94*B83/B87,0)</f>
        <v/>
      </c>
      <c r="D114" s="31">
        <f>IFERROR(D$94*B83/B87,0)</f>
        <v/>
      </c>
      <c r="E114" s="31">
        <f>IFERROR(E$94*B83/B87,0)</f>
        <v/>
      </c>
      <c r="F114" s="31">
        <f>IFERROR(F$94*B83/B87,0)</f>
        <v/>
      </c>
      <c r="G114" s="31">
        <f>IFERROR(G$94*B83/B87,0)</f>
        <v/>
      </c>
      <c r="H114" s="31">
        <f>IFERROR(H$94*B83/B87,0)</f>
        <v/>
      </c>
      <c r="I114" s="31">
        <f>IFERROR(I$94*B83/B87,0)</f>
        <v/>
      </c>
      <c r="J114" s="31">
        <f>IFERROR(J$94*B83/B87,0)</f>
        <v/>
      </c>
      <c r="K114" s="31">
        <f>IFERROR(K$94*B83/B87,0)</f>
        <v/>
      </c>
      <c r="L114" s="45">
        <f>SUM(B114:K114)</f>
        <v/>
      </c>
    </row>
    <row r="115" ht="10" customHeight="1">
      <c r="A115" s="30" t="inlineStr">
        <is>
          <t>Surface Ship Torpedo Defense (SSTD) Depot Repair</t>
        </is>
      </c>
      <c r="B115" s="45">
        <f>IFERROR(B$94*B84/B87,0)</f>
        <v/>
      </c>
      <c r="C115" s="31">
        <f>IFERROR(C$94*B84/B87,0)</f>
        <v/>
      </c>
      <c r="D115" s="31">
        <f>IFERROR(D$94*B84/B87,0)</f>
        <v/>
      </c>
      <c r="E115" s="31">
        <f>IFERROR(E$94*B84/B87,0)</f>
        <v/>
      </c>
      <c r="F115" s="31">
        <f>IFERROR(F$94*B84/B87,0)</f>
        <v/>
      </c>
      <c r="G115" s="31">
        <f>IFERROR(G$94*B84/B87,0)</f>
        <v/>
      </c>
      <c r="H115" s="31">
        <f>IFERROR(H$94*B84/B87,0)</f>
        <v/>
      </c>
      <c r="I115" s="31">
        <f>IFERROR(I$94*B84/B87,0)</f>
        <v/>
      </c>
      <c r="J115" s="31">
        <f>IFERROR(J$94*B84/B87,0)</f>
        <v/>
      </c>
      <c r="K115" s="31">
        <f>IFERROR(K$94*B84/B87,0)</f>
        <v/>
      </c>
      <c r="L115" s="45">
        <f>SUM(B115:K115)</f>
        <v/>
      </c>
    </row>
    <row r="116" ht="10" customHeight="1">
      <c r="A116" s="30" t="inlineStr">
        <is>
          <t>Efficiency - Contract Services Reduction</t>
        </is>
      </c>
      <c r="B116" s="45">
        <f>IFERROR(B$94*B85/B87,0)</f>
        <v/>
      </c>
      <c r="C116" s="31">
        <f>IFERROR(C$94*B85/B87,0)</f>
        <v/>
      </c>
      <c r="D116" s="31">
        <f>IFERROR(D$94*B85/B87,0)</f>
        <v/>
      </c>
      <c r="E116" s="31">
        <f>IFERROR(E$94*B85/B87,0)</f>
        <v/>
      </c>
      <c r="F116" s="31">
        <f>IFERROR(F$94*B85/B87,0)</f>
        <v/>
      </c>
      <c r="G116" s="31">
        <f>IFERROR(G$94*B85/B87,0)</f>
        <v/>
      </c>
      <c r="H116" s="31">
        <f>IFERROR(H$94*B85/B87,0)</f>
        <v/>
      </c>
      <c r="I116" s="31">
        <f>IFERROR(I$94*B85/B87,0)</f>
        <v/>
      </c>
      <c r="J116" s="31">
        <f>IFERROR(J$94*B85/B87,0)</f>
        <v/>
      </c>
      <c r="K116" s="31">
        <f>IFERROR(K$94*B85/B87,0)</f>
        <v/>
      </c>
      <c r="L116" s="45">
        <f>SUM(B116:K116)</f>
        <v/>
      </c>
    </row>
    <row r="117" ht="10" customHeight="1">
      <c r="A117" s="30" t="inlineStr">
        <is>
          <t>Efficiency - Workforce Optimization (Public Shipyards)</t>
        </is>
      </c>
      <c r="B117" s="45">
        <f>IFERROR(B$94*B86/B87,0)</f>
        <v/>
      </c>
      <c r="C117" s="31">
        <f>IFERROR(C$94*B86/B87,0)</f>
        <v/>
      </c>
      <c r="D117" s="31">
        <f>IFERROR(D$94*B86/B87,0)</f>
        <v/>
      </c>
      <c r="E117" s="31">
        <f>IFERROR(E$94*B86/B87,0)</f>
        <v/>
      </c>
      <c r="F117" s="31">
        <f>IFERROR(F$94*B86/B87,0)</f>
        <v/>
      </c>
      <c r="G117" s="31">
        <f>IFERROR(G$94*B86/B87,0)</f>
        <v/>
      </c>
      <c r="H117" s="31">
        <f>IFERROR(H$94*B86/B87,0)</f>
        <v/>
      </c>
      <c r="I117" s="31">
        <f>IFERROR(I$94*B86/B87,0)</f>
        <v/>
      </c>
      <c r="J117" s="31">
        <f>IFERROR(J$94*B86/B87,0)</f>
        <v/>
      </c>
      <c r="K117" s="31">
        <f>IFERROR(K$94*B86/B87,0)</f>
        <v/>
      </c>
      <c r="L117" s="45">
        <f>SUM(B117:K117)</f>
        <v/>
      </c>
    </row>
    <row r="118" ht="10" customHeight="1">
      <c r="A118" s="32" t="inlineStr">
        <is>
          <t>Estimated SDM Total ($K)</t>
        </is>
      </c>
      <c r="B118" s="44">
        <f>SUM(B95:B117)</f>
        <v/>
      </c>
      <c r="C118" s="33">
        <f>SUM(C95:C117)</f>
        <v/>
      </c>
      <c r="D118" s="33">
        <f>SUM(D95:D117)</f>
        <v/>
      </c>
      <c r="E118" s="33">
        <f>SUM(E95:E117)</f>
        <v/>
      </c>
      <c r="F118" s="33">
        <f>SUM(F95:F117)</f>
        <v/>
      </c>
      <c r="G118" s="33">
        <f>SUM(G95:G117)</f>
        <v/>
      </c>
      <c r="H118" s="33">
        <f>SUM(H95:H117)</f>
        <v/>
      </c>
      <c r="I118" s="33">
        <f>SUM(I95:I117)</f>
        <v/>
      </c>
      <c r="J118" s="33">
        <f>SUM(J95:J117)</f>
        <v/>
      </c>
      <c r="K118" s="33">
        <f>SUM(K95:K117)</f>
        <v/>
      </c>
      <c r="L118" s="44">
        <f>SUM(L95:L117)</f>
        <v/>
      </c>
    </row>
    <row r="119" ht="10" customHeight="1"/>
    <row r="120" ht="10" customHeight="1"/>
    <row r="121" ht="10" customHeight="1">
      <c r="A121" s="27" t="inlineStr">
        <is>
          <t>(F) MRO SAM — Work Type by Hull (Mekko)</t>
        </is>
      </c>
      <c r="B121" s="28" t="n"/>
      <c r="C121" s="28" t="n"/>
      <c r="D121" s="28" t="n"/>
      <c r="E121" s="28" t="n"/>
      <c r="F121" s="28" t="n"/>
      <c r="G121" s="28" t="n"/>
      <c r="H121" s="28" t="n"/>
      <c r="I121" s="28" t="n"/>
      <c r="J121" s="28" t="n"/>
      <c r="K121" s="28" t="n"/>
      <c r="L121" s="28" t="n"/>
      <c r="M121" s="28" t="n"/>
      <c r="N121" s="28" t="n"/>
    </row>
    <row r="122" ht="10" customHeight="1">
      <c r="A122" s="39" t="n"/>
      <c r="B122" s="40" t="inlineStr">
        <is>
          <t>USN</t>
        </is>
      </c>
      <c r="C122" s="39" t="n"/>
      <c r="D122" s="39" t="n"/>
      <c r="E122" s="39" t="n"/>
      <c r="F122" s="39" t="n"/>
      <c r="G122" s="39" t="n"/>
      <c r="H122" s="39" t="n"/>
      <c r="I122" s="39" t="n"/>
      <c r="J122" s="39" t="n"/>
      <c r="K122" s="39" t="n"/>
      <c r="L122" s="39" t="n"/>
      <c r="M122" s="40" t="inlineStr">
        <is>
          <t>USCG</t>
        </is>
      </c>
      <c r="N122" s="41" t="n"/>
    </row>
    <row r="123" ht="10" customHeight="1">
      <c r="A123" s="29" t="inlineStr">
        <is>
          <t>Work Type</t>
        </is>
      </c>
      <c r="B123" s="42" t="inlineStr">
        <is>
          <t>DDG</t>
        </is>
      </c>
      <c r="C123" s="29" t="inlineStr">
        <is>
          <t>LCS</t>
        </is>
      </c>
      <c r="D123" s="29" t="inlineStr">
        <is>
          <t>LHD</t>
        </is>
      </c>
      <c r="E123" s="29" t="inlineStr">
        <is>
          <t>LPD</t>
        </is>
      </c>
      <c r="F123" s="29" t="inlineStr">
        <is>
          <t>CG</t>
        </is>
      </c>
      <c r="G123" s="29" t="inlineStr">
        <is>
          <t>LSD</t>
        </is>
      </c>
      <c r="H123" s="29" t="inlineStr">
        <is>
          <t>LHA</t>
        </is>
      </c>
      <c r="I123" s="29" t="inlineStr">
        <is>
          <t>LCC</t>
        </is>
      </c>
      <c r="J123" s="29" t="inlineStr">
        <is>
          <t>T-AGOS</t>
        </is>
      </c>
      <c r="K123" s="29" t="inlineStr">
        <is>
          <t>MCM</t>
        </is>
      </c>
      <c r="L123" s="29" t="inlineStr">
        <is>
          <t>ESB</t>
        </is>
      </c>
      <c r="M123" s="42" t="inlineStr">
        <is>
          <t>WMSL</t>
        </is>
      </c>
      <c r="N123" s="42" t="inlineStr">
        <is>
          <t>Total</t>
        </is>
      </c>
    </row>
    <row r="124" ht="10" customHeight="1">
      <c r="A124" s="30" t="inlineStr">
        <is>
          <t>Scheduled Depot Maintenance</t>
        </is>
      </c>
      <c r="B124" s="43">
        <f>IFERROR((SUMIFS(JB_26BV,JB_B,2,JB_H,"DDG",JB_RC,"ADD"))/B$128,0)</f>
        <v/>
      </c>
      <c r="C124" s="37">
        <f>IFERROR((SUMIFS(JB_26BV,JB_B,2,JB_H,"LCS",JB_RC,"ADD"))/C$128,0)</f>
        <v/>
      </c>
      <c r="D124" s="37">
        <f>IFERROR((SUMIFS(JB_26BV,JB_B,2,JB_H,"LHD",JB_RC,"ADD"))/D$128,0)</f>
        <v/>
      </c>
      <c r="E124" s="37">
        <f>IFERROR((SUMIFS(JB_26BV,JB_B,2,JB_H,"LPD",JB_RC,"ADD"))/E$128,0)</f>
        <v/>
      </c>
      <c r="F124" s="37">
        <f>IFERROR((SUMIFS(JB_26BV,JB_B,2,JB_H,"CG",JB_RC,"ADD"))/F$128,0)</f>
        <v/>
      </c>
      <c r="G124" s="37">
        <f>IFERROR((SUMIFS(JB_26BV,JB_B,2,JB_H,"LSD",JB_RC,"ADD"))/G$128,0)</f>
        <v/>
      </c>
      <c r="H124" s="37">
        <f>IFERROR((SUMIFS(JB_26BV,JB_B,2,JB_H,"LHA",JB_RC,"ADD"))/H$128,0)</f>
        <v/>
      </c>
      <c r="I124" s="37">
        <f>IFERROR((SUMIFS(JB_26BV,JB_B,2,JB_H,"LCC",JB_RC,"ADD"))/I$128,0)</f>
        <v/>
      </c>
      <c r="J124" s="37">
        <f>IFERROR((SUMIFS(JB_26BV,JB_B,2,JB_H,"T-AGOS",JB_RC,"ADD"))/J$128,0)</f>
        <v/>
      </c>
      <c r="K124" s="37">
        <f>IFERROR((SUMIFS(JB_26BV,JB_B,2,JB_H,"MCM",JB_RC,"ADD"))/K$128,0)</f>
        <v/>
      </c>
      <c r="L124" s="37">
        <f>IFERROR((SUMIFS(JB_26BV,JB_B,2,JB_H,"ESB",JB_RC,"ADD"))/L$128,0)</f>
        <v/>
      </c>
      <c r="M124" s="43">
        <f>IFERROR((SUMIFS(JB_26BV,JB_B,2,JB_H,"WMSL",JB_RC,"ADD"))/M$128,0)</f>
        <v/>
      </c>
      <c r="N124"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$128,0)</f>
        <v/>
      </c>
    </row>
    <row r="125" ht="10" customHeight="1">
      <c r="A125" s="30" t="inlineStr">
        <is>
          <t>Continuous / Emergent Maintenance</t>
        </is>
      </c>
      <c r="B125" s="43">
        <f>IFERROR((SUMIFS(JB_26BV,JB_B,3,JB_H,"DDG",JB_RC,"ADD"))/B$128,0)</f>
        <v/>
      </c>
      <c r="C125" s="37">
        <f>IFERROR((SUMIFS(JB_26BV,JB_B,3,JB_H,"LCS",JB_RC,"ADD"))/C$128,0)</f>
        <v/>
      </c>
      <c r="D125" s="37">
        <f>IFERROR((SUMIFS(JB_26BV,JB_B,3,JB_H,"LHD",JB_RC,"ADD"))/D$128,0)</f>
        <v/>
      </c>
      <c r="E125" s="37">
        <f>IFERROR((SUMIFS(JB_26BV,JB_B,3,JB_H,"LPD",JB_RC,"ADD"))/E$128,0)</f>
        <v/>
      </c>
      <c r="F125" s="37">
        <f>IFERROR((SUMIFS(JB_26BV,JB_B,3,JB_H,"CG",JB_RC,"ADD"))/F$128,0)</f>
        <v/>
      </c>
      <c r="G125" s="37">
        <f>IFERROR((SUMIFS(JB_26BV,JB_B,3,JB_H,"LSD",JB_RC,"ADD"))/G$128,0)</f>
        <v/>
      </c>
      <c r="H125" s="37">
        <f>IFERROR((SUMIFS(JB_26BV,JB_B,3,JB_H,"LHA",JB_RC,"ADD"))/H$128,0)</f>
        <v/>
      </c>
      <c r="I125" s="37">
        <f>IFERROR((SUMIFS(JB_26BV,JB_B,3,JB_H,"LCC",JB_RC,"ADD"))/I$128,0)</f>
        <v/>
      </c>
      <c r="J125" s="37">
        <f>IFERROR((SUMIFS(JB_26BV,JB_B,3,JB_H,"T-AGOS",JB_RC,"ADD"))/J$128,0)</f>
        <v/>
      </c>
      <c r="K125" s="37">
        <f>IFERROR((SUMIFS(JB_26BV,JB_B,3,JB_H,"MCM",JB_RC,"ADD"))/K$128,0)</f>
        <v/>
      </c>
      <c r="L125" s="37">
        <f>IFERROR((SUMIFS(JB_26BV,JB_B,3,JB_H,"ESB",JB_RC,"ADD"))/L$128,0)</f>
        <v/>
      </c>
      <c r="M125" s="43">
        <f>IFERROR((SUMIFS(JB_26BV,JB_B,3,JB_H,"WMSL",JB_RC,"ADD"))/M$128,0)</f>
        <v/>
      </c>
      <c r="N125"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$128,0)</f>
        <v/>
      </c>
    </row>
    <row r="126" ht="10" customHeight="1">
      <c r="A126" s="30" t="inlineStr">
        <is>
          <t>Modernization</t>
        </is>
      </c>
      <c r="B126" s="43">
        <f>IFERROR((SUMIFS(JB_26BV,JB_B,4,JB_H,"DDG",JB_RC,"ADD"))/B$128,0)</f>
        <v/>
      </c>
      <c r="C126" s="37">
        <f>IFERROR((SUMIFS(JB_26BV,JB_B,4,JB_H,"LCS",JB_RC,"ADD"))/C$128,0)</f>
        <v/>
      </c>
      <c r="D126" s="37">
        <f>IFERROR((SUMIFS(JB_26BV,JB_B,4,JB_H,"LHD",JB_RC,"ADD"))/D$128,0)</f>
        <v/>
      </c>
      <c r="E126" s="37">
        <f>IFERROR((SUMIFS(JB_26BV,JB_B,4,JB_H,"LPD",JB_RC,"ADD"))/E$128,0)</f>
        <v/>
      </c>
      <c r="F126" s="37">
        <f>IFERROR((SUMIFS(JB_26BV,JB_B,4,JB_H,"CG",JB_RC,"ADD"))/F$128,0)</f>
        <v/>
      </c>
      <c r="G126" s="37">
        <f>IFERROR((SUMIFS(JB_26BV,JB_B,4,JB_H,"LSD",JB_RC,"ADD"))/G$128,0)</f>
        <v/>
      </c>
      <c r="H126" s="37">
        <f>IFERROR((SUMIFS(JB_26BV,JB_B,4,JB_H,"LHA",JB_RC,"ADD"))/H$128,0)</f>
        <v/>
      </c>
      <c r="I126" s="37">
        <f>IFERROR((SUMIFS(JB_26BV,JB_B,4,JB_H,"LCC",JB_RC,"ADD"))/I$128,0)</f>
        <v/>
      </c>
      <c r="J126" s="37">
        <f>IFERROR((SUMIFS(JB_26BV,JB_B,4,JB_H,"T-AGOS",JB_RC,"ADD"))/J$128,0)</f>
        <v/>
      </c>
      <c r="K126" s="37">
        <f>IFERROR((SUMIFS(JB_26BV,JB_B,4,JB_H,"MCM",JB_RC,"ADD"))/K$128,0)</f>
        <v/>
      </c>
      <c r="L126" s="37">
        <f>IFERROR((SUMIFS(JB_26BV,JB_B,4,JB_H,"ESB",JB_RC,"ADD"))/L$128,0)</f>
        <v/>
      </c>
      <c r="M126" s="43">
        <f>IFERROR((SUMIFS(JB_26BV,JB_B,4,JB_H,"WMSL",JB_RC,"ADD"))/M$128,0)</f>
        <v/>
      </c>
      <c r="N126"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$128,0)</f>
        <v/>
      </c>
    </row>
    <row r="127" ht="10" customHeight="1">
      <c r="A127" s="30" t="inlineStr">
        <is>
          <t>Major Life-Cycle Events / RCOH</t>
        </is>
      </c>
      <c r="B127" s="43">
        <f>IFERROR((SUMIFS(JB_26BV,JB_B,5,JB_H,"DDG",JB_RC,"ADD"))/B$128,0)</f>
        <v/>
      </c>
      <c r="C127" s="37">
        <f>IFERROR((SUMIFS(JB_26BV,JB_B,5,JB_H,"LCS",JB_RC,"ADD"))/C$128,0)</f>
        <v/>
      </c>
      <c r="D127" s="37">
        <f>IFERROR((SUMIFS(JB_26BV,JB_B,5,JB_H,"LHD",JB_RC,"ADD"))/D$128,0)</f>
        <v/>
      </c>
      <c r="E127" s="37">
        <f>IFERROR((SUMIFS(JB_26BV,JB_B,5,JB_H,"LPD",JB_RC,"ADD"))/E$128,0)</f>
        <v/>
      </c>
      <c r="F127" s="37">
        <f>IFERROR((SUMIFS(JB_26BV,JB_B,5,JB_H,"CG",JB_RC,"ADD"))/F$128,0)</f>
        <v/>
      </c>
      <c r="G127" s="37">
        <f>IFERROR((SUMIFS(JB_26BV,JB_B,5,JB_H,"LSD",JB_RC,"ADD"))/G$128,0)</f>
        <v/>
      </c>
      <c r="H127" s="37">
        <f>IFERROR((SUMIFS(JB_26BV,JB_B,5,JB_H,"LHA",JB_RC,"ADD"))/H$128,0)</f>
        <v/>
      </c>
      <c r="I127" s="37">
        <f>IFERROR((SUMIFS(JB_26BV,JB_B,5,JB_H,"LCC",JB_RC,"ADD"))/I$128,0)</f>
        <v/>
      </c>
      <c r="J127" s="37">
        <f>IFERROR((SUMIFS(JB_26BV,JB_B,5,JB_H,"T-AGOS",JB_RC,"ADD"))/J$128,0)</f>
        <v/>
      </c>
      <c r="K127" s="37">
        <f>IFERROR((SUMIFS(JB_26BV,JB_B,5,JB_H,"MCM",JB_RC,"ADD"))/K$128,0)</f>
        <v/>
      </c>
      <c r="L127" s="37">
        <f>IFERROR((SUMIFS(JB_26BV,JB_B,5,JB_H,"ESB",JB_RC,"ADD"))/L$128,0)</f>
        <v/>
      </c>
      <c r="M127" s="43">
        <f>IFERROR((SUMIFS(JB_26BV,JB_B,5,JB_H,"WMSL",JB_RC,"ADD"))/M$128,0)</f>
        <v/>
      </c>
      <c r="N127"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$128,0)</f>
        <v/>
      </c>
    </row>
    <row r="128" ht="10" customHeight="1">
      <c r="A128" s="32" t="inlineStr">
        <is>
          <t>Total ($K)</t>
        </is>
      </c>
      <c r="B128" s="44">
        <f>SUMIFS(JB_26BV,JB_B,2,JB_H,"DDG",JB_RC,"ADD")+SUMIFS(JB_26BV,JB_B,3,JB_H,"DDG",JB_RC,"ADD")+SUMIFS(JB_26BV,JB_B,4,JB_H,"DDG",JB_RC,"ADD")+SUMIFS(JB_26BV,JB_B,5,JB_H,"DDG",JB_RC,"ADD")</f>
        <v/>
      </c>
      <c r="C128" s="33">
        <f>SUMIFS(JB_26BV,JB_B,2,JB_H,"LCS",JB_RC,"ADD")+SUMIFS(JB_26BV,JB_B,3,JB_H,"LCS",JB_RC,"ADD")+SUMIFS(JB_26BV,JB_B,4,JB_H,"LCS",JB_RC,"ADD")+SUMIFS(JB_26BV,JB_B,5,JB_H,"LCS",JB_RC,"ADD")</f>
        <v/>
      </c>
      <c r="D128" s="33">
        <f>SUMIFS(JB_26BV,JB_B,2,JB_H,"LHD",JB_RC,"ADD")+SUMIFS(JB_26BV,JB_B,3,JB_H,"LHD",JB_RC,"ADD")+SUMIFS(JB_26BV,JB_B,4,JB_H,"LHD",JB_RC,"ADD")+SUMIFS(JB_26BV,JB_B,5,JB_H,"LHD",JB_RC,"ADD")</f>
        <v/>
      </c>
      <c r="E128" s="33">
        <f>SUMIFS(JB_26BV,JB_B,2,JB_H,"LPD",JB_RC,"ADD")+SUMIFS(JB_26BV,JB_B,3,JB_H,"LPD",JB_RC,"ADD")+SUMIFS(JB_26BV,JB_B,4,JB_H,"LPD",JB_RC,"ADD")+SUMIFS(JB_26BV,JB_B,5,JB_H,"LPD",JB_RC,"ADD")</f>
        <v/>
      </c>
      <c r="F128" s="33">
        <f>SUMIFS(JB_26BV,JB_B,2,JB_H,"CG",JB_RC,"ADD")+SUMIFS(JB_26BV,JB_B,3,JB_H,"CG",JB_RC,"ADD")+SUMIFS(JB_26BV,JB_B,4,JB_H,"CG",JB_RC,"ADD")+SUMIFS(JB_26BV,JB_B,5,JB_H,"CG",JB_RC,"ADD")</f>
        <v/>
      </c>
      <c r="G128" s="33">
        <f>SUMIFS(JB_26BV,JB_B,2,JB_H,"LSD",JB_RC,"ADD")+SUMIFS(JB_26BV,JB_B,3,JB_H,"LSD",JB_RC,"ADD")+SUMIFS(JB_26BV,JB_B,4,JB_H,"LSD",JB_RC,"ADD")+SUMIFS(JB_26BV,JB_B,5,JB_H,"LSD",JB_RC,"ADD")</f>
        <v/>
      </c>
      <c r="H128" s="33">
        <f>SUMIFS(JB_26BV,JB_B,2,JB_H,"LHA",JB_RC,"ADD")+SUMIFS(JB_26BV,JB_B,3,JB_H,"LHA",JB_RC,"ADD")+SUMIFS(JB_26BV,JB_B,4,JB_H,"LHA",JB_RC,"ADD")+SUMIFS(JB_26BV,JB_B,5,JB_H,"LHA",JB_RC,"ADD")</f>
        <v/>
      </c>
      <c r="I128" s="33">
        <f>SUMIFS(JB_26BV,JB_B,2,JB_H,"LCC",JB_RC,"ADD")+SUMIFS(JB_26BV,JB_B,3,JB_H,"LCC",JB_RC,"ADD")+SUMIFS(JB_26BV,JB_B,4,JB_H,"LCC",JB_RC,"ADD")+SUMIFS(JB_26BV,JB_B,5,JB_H,"LCC",JB_RC,"ADD")</f>
        <v/>
      </c>
      <c r="J128" s="33">
        <f>SUMIFS(JB_26BV,JB_B,2,JB_H,"T-AGOS",JB_RC,"ADD")+SUMIFS(JB_26BV,JB_B,3,JB_H,"T-AGOS",JB_RC,"ADD")+SUMIFS(JB_26BV,JB_B,4,JB_H,"T-AGOS",JB_RC,"ADD")+SUMIFS(JB_26BV,JB_B,5,JB_H,"T-AGOS",JB_RC,"ADD")</f>
        <v/>
      </c>
      <c r="K128" s="33">
        <f>SUMIFS(JB_26BV,JB_B,2,JB_H,"MCM",JB_RC,"ADD")+SUMIFS(JB_26BV,JB_B,3,JB_H,"MCM",JB_RC,"ADD")+SUMIFS(JB_26BV,JB_B,4,JB_H,"MCM",JB_RC,"ADD")+SUMIFS(JB_26BV,JB_B,5,JB_H,"MCM",JB_RC,"ADD")</f>
        <v/>
      </c>
      <c r="L128" s="33">
        <f>SUMIFS(JB_26BV,JB_B,2,JB_H,"ESB",JB_RC,"ADD")+SUMIFS(JB_26BV,JB_B,3,JB_H,"ESB",JB_RC,"ADD")+SUMIFS(JB_26BV,JB_B,4,JB_H,"ESB",JB_RC,"ADD")+SUMIFS(JB_26BV,JB_B,5,JB_H,"ESB",JB_RC,"ADD")</f>
        <v/>
      </c>
      <c r="M128" s="44">
        <f>SUMIFS(JB_26BV,JB_B,2,JB_H,"WMSL",JB_RC,"ADD")+SUMIFS(JB_26BV,JB_B,3,JB_H,"WMSL",JB_RC,"ADD")+SUMIFS(JB_26BV,JB_B,4,JB_H,"WMSL",JB_RC,"ADD")+SUMIFS(JB_26BV,JB_B,5,JB_H,"WMSL",JB_RC,"ADD")</f>
        <v/>
      </c>
      <c r="N128" s="44">
        <f>SUM(B128:M128)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Crane Ship</t>
        </is>
      </c>
      <c r="B28" s="30" t="inlineStr">
        <is>
          <t>USN</t>
        </is>
      </c>
      <c r="C28" s="31">
        <f>SUMIFS(JB_27BV,JB_B,1,JB_W,"Crane Ship",JB_RC,"ADD")</f>
        <v/>
      </c>
      <c r="D28" s="37">
        <f>IFERROR(C28/C$44,0)</f>
        <v/>
      </c>
    </row>
    <row r="29" ht="10" customHeight="1">
      <c r="A29" s="30" t="inlineStr">
        <is>
          <t>Aviation Logistics Support Ship</t>
        </is>
      </c>
      <c r="B29" s="30" t="inlineStr">
        <is>
          <t>USN</t>
        </is>
      </c>
      <c r="C29" s="31">
        <f>SUMIFS(JB_27BV,JB_B,1,JB_W,"Aviation Logistics Support Ship",JB_RC,"ADD")</f>
        <v/>
      </c>
      <c r="D29" s="37">
        <f>IFERROR(C29/C$44,0)</f>
        <v/>
      </c>
    </row>
    <row r="30" ht="10" customHeight="1">
      <c r="A30" s="30" t="inlineStr">
        <is>
          <t>Research, Survey &amp; Instrumentation Ships</t>
        </is>
      </c>
      <c r="B30" s="30" t="inlineStr">
        <is>
          <t>MSC</t>
        </is>
      </c>
      <c r="C30" s="31">
        <f>SUMIFS(JB_27BV,JB_B,1,JB_W,"Research, Survey &amp; Instrumentation Ships",JB_RC,"ADD")</f>
        <v/>
      </c>
      <c r="D30" s="37">
        <f>IFERROR(C30/C$44,0)</f>
        <v/>
      </c>
    </row>
    <row r="31" ht="10" customHeight="1">
      <c r="A31" s="30" t="inlineStr">
        <is>
          <t>Salvage Ships &amp; Fleet Ocean Tugs</t>
        </is>
      </c>
      <c r="B31" s="30" t="inlineStr">
        <is>
          <t>MSC</t>
        </is>
      </c>
      <c r="C31" s="31">
        <f>SUMIFS(JB_27BV,JB_B,1,JB_W,"Salvage Ships &amp; Fleet Ocean Tugs",JB_RC,"ADD")</f>
        <v/>
      </c>
      <c r="D31" s="37">
        <f>IFERROR(C31/C$44,0)</f>
        <v/>
      </c>
    </row>
    <row r="32" ht="10" customHeight="1">
      <c r="A32" s="30" t="inlineStr">
        <is>
          <t>General Auxiliary</t>
        </is>
      </c>
      <c r="B32" s="30" t="inlineStr">
        <is>
          <t>USN</t>
        </is>
      </c>
      <c r="C32" s="31">
        <f>SUMIFS(JB_27BV,JB_B,1,JB_W,"General Auxiliary",JB_RC,"ADD")</f>
        <v/>
      </c>
      <c r="D32" s="37">
        <f>IFERROR(C32/C$44,0)</f>
        <v/>
      </c>
    </row>
    <row r="33" ht="10" customHeight="1">
      <c r="A33" s="30" t="inlineStr">
        <is>
          <t>Command Ships</t>
        </is>
      </c>
      <c r="B33" s="30" t="inlineStr">
        <is>
          <t>USN</t>
        </is>
      </c>
      <c r="C33" s="31">
        <f>SUMIFS(JB_27BV,JB_B,1,JB_W,"Command Ships",JB_RC,"ADD")</f>
        <v/>
      </c>
      <c r="D33" s="37">
        <f>IFERROR(C33/C$44,0)</f>
        <v/>
      </c>
    </row>
    <row r="34" ht="10" customHeight="1">
      <c r="A34" s="30" t="inlineStr">
        <is>
          <t>Mine Warfare</t>
        </is>
      </c>
      <c r="B34" s="30" t="inlineStr">
        <is>
          <t>USN</t>
        </is>
      </c>
      <c r="C34" s="31">
        <f>SUMIFS(JB_27BV,JB_B,1,JB_W,"Mine Warfare",JB_RC,"ADD")</f>
        <v/>
      </c>
      <c r="D34" s="37">
        <f>IFERROR(C34/C$44,0)</f>
        <v/>
      </c>
    </row>
    <row r="35" ht="10" customHeight="1">
      <c r="A35" s="30" t="inlineStr">
        <is>
          <t>High Speed Transport</t>
        </is>
      </c>
      <c r="B35" s="30" t="inlineStr">
        <is>
          <t>USN</t>
        </is>
      </c>
      <c r="C35" s="31">
        <f>SUMIFS(JB_27BV,JB_B,1,JB_W,"High Speed Transport",JB_RC,"ADD")</f>
        <v/>
      </c>
      <c r="D35" s="37">
        <f>IFERROR(C35/C$44,0)</f>
        <v/>
      </c>
    </row>
    <row r="36" ht="10" customHeight="1">
      <c r="A36" s="30" t="inlineStr">
        <is>
          <t>Submarine Escort Ship</t>
        </is>
      </c>
      <c r="B36" s="30" t="inlineStr">
        <is>
          <t>USN</t>
        </is>
      </c>
      <c r="C36" s="31">
        <f>SUMIFS(JB_27BV,JB_B,1,JB_W,"Submarine Escort Ship",JB_RC,"ADD")</f>
        <v/>
      </c>
      <c r="D36" s="37">
        <f>IFERROR(C36/C$44,0)</f>
        <v/>
      </c>
    </row>
    <row r="37" ht="10" customHeight="1">
      <c r="A37" s="30" t="inlineStr">
        <is>
          <t>Fast Response Cutters</t>
        </is>
      </c>
      <c r="B37" s="30" t="inlineStr">
        <is>
          <t>USCG</t>
        </is>
      </c>
      <c r="C37" s="31">
        <f>SUMIFS(JB_27BV,JB_B,1,JB_W,"Fast Response Cutters",JB_RC,"ADD")</f>
        <v/>
      </c>
      <c r="D37" s="37">
        <f>IFERROR(C37/C$44,0)</f>
        <v/>
      </c>
    </row>
    <row r="38" ht="10" customHeight="1">
      <c r="A38" s="30" t="inlineStr">
        <is>
          <t>National Security Cutters</t>
        </is>
      </c>
      <c r="B38" s="30" t="inlineStr">
        <is>
          <t>USCG</t>
        </is>
      </c>
      <c r="C38" s="31">
        <f>SUMIFS(JB_27BV,JB_B,1,JB_W,"National Security Cutters",JB_RC,"ADD")</f>
        <v/>
      </c>
      <c r="D38" s="37">
        <f>IFERROR(C38/C$44,0)</f>
        <v/>
      </c>
    </row>
    <row r="39" ht="10" customHeight="1">
      <c r="A39" s="30" t="inlineStr">
        <is>
          <t>Coastal Buoy Tenders</t>
        </is>
      </c>
      <c r="B39" s="30" t="inlineStr">
        <is>
          <t>USCG</t>
        </is>
      </c>
      <c r="C39" s="31">
        <f>SUMIFS(JB_27BV,JB_B,1,JB_W,"Coastal Buoy Tenders",JB_RC,"ADD")</f>
        <v/>
      </c>
      <c r="D39" s="37">
        <f>IFERROR(C39/C$44,0)</f>
        <v/>
      </c>
    </row>
    <row r="40" ht="10" customHeight="1">
      <c r="A40" s="30" t="inlineStr">
        <is>
          <t>Waterways Commerce Cutters</t>
        </is>
      </c>
      <c r="B40" s="30" t="inlineStr">
        <is>
          <t>USCG</t>
        </is>
      </c>
      <c r="C40" s="31">
        <f>SUMIFS(JB_27BV,JB_B,1,JB_W,"Waterways Commerce Cutters",JB_RC,"ADD")</f>
        <v/>
      </c>
      <c r="D40" s="37">
        <f>IFERROR(C40/C$44,0)</f>
        <v/>
      </c>
    </row>
    <row r="41" ht="10" customHeight="1">
      <c r="A41" s="30" t="inlineStr">
        <is>
          <t>Icebreakers, Great Lakes</t>
        </is>
      </c>
      <c r="B41" s="30" t="inlineStr">
        <is>
          <t>USCG</t>
        </is>
      </c>
      <c r="C41" s="31">
        <f>SUMIFS(JB_27BV,JB_B,1,JB_W,"Icebreakers, Great Lakes",JB_RC,"ADD")</f>
        <v/>
      </c>
      <c r="D41" s="37">
        <f>IFERROR(C41/C$44,0)</f>
        <v/>
      </c>
    </row>
    <row r="42" ht="10" customHeight="1">
      <c r="A42" s="30" t="inlineStr">
        <is>
          <t>Offshore Patrol Cutter</t>
        </is>
      </c>
      <c r="B42" s="30" t="inlineStr">
        <is>
          <t>USCG</t>
        </is>
      </c>
      <c r="C42" s="31">
        <f>SUMIFS(JB_27BV,JB_B,1,JB_W,"Offshore Patrol Cutter",JB_RC,"ADD")</f>
        <v/>
      </c>
      <c r="D42" s="37">
        <f>IFERROR(C42/C$44,0)</f>
        <v/>
      </c>
    </row>
    <row r="43" ht="10" customHeight="1">
      <c r="A43" s="30" t="inlineStr">
        <is>
          <t>Icebreakers, Oceangoing</t>
        </is>
      </c>
      <c r="B43" s="30" t="inlineStr">
        <is>
          <t>USCG</t>
        </is>
      </c>
      <c r="C43" s="31">
        <f>SUMIFS(JB_27BV,JB_B,1,JB_W,"Icebreakers, Oceangoing",JB_RC,"ADD")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Crane Ship</t>
        </is>
      </c>
      <c r="B32" s="30" t="inlineStr">
        <is>
          <t>USN</t>
        </is>
      </c>
      <c r="C32" s="31">
        <f>SUMIFS(JB_27BV,JB_B,2,JB_W,"Crane Ship",JB_RC,"ADD")+SUMIFS(JB_27BV,JB_B,3,JB_W,"Crane Ship",JB_RC,"ADD")+SUMIFS(JB_27BV,JB_B,4,JB_W,"Crane Ship",JB_RC,"ADD")+SUMIFS(JB_27BV,JB_B,5,JB_W,"Crane Ship",JB_RC,"ADD")+SUMIFS(JB_27BV,JB_B,6,JB_W,"Crane Ship",JB_RC,"ADD")+SUMIFS(JB_27BV,JB_B,7,JB_W,"Crane Ship",JB_RC,"ADD")</f>
        <v/>
      </c>
      <c r="D32" s="37">
        <f>IFERROR(C32/C$53,0)</f>
        <v/>
      </c>
    </row>
    <row r="33" ht="10" customHeight="1">
      <c r="A33" s="30" t="inlineStr">
        <is>
          <t>Combat Logistics Ships</t>
        </is>
      </c>
      <c r="B33" s="30" t="inlineStr">
        <is>
          <t>MSC</t>
        </is>
      </c>
      <c r="C33"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3" s="37">
        <f>IFERROR(C33/C$53,0)</f>
        <v/>
      </c>
    </row>
    <row r="34" ht="10" customHeight="1">
      <c r="A34" s="30" t="inlineStr">
        <is>
          <t>Aviation Logistics Support Ship</t>
        </is>
      </c>
      <c r="B34" s="30" t="inlineStr">
        <is>
          <t>USN</t>
        </is>
      </c>
      <c r="C3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4" s="37">
        <f>IFERROR(C34/C$53,0)</f>
        <v/>
      </c>
    </row>
    <row r="35" ht="10" customHeight="1">
      <c r="A35" s="30" t="inlineStr">
        <is>
          <t>Unmanned Undersea Vehicles</t>
        </is>
      </c>
      <c r="B35" s="30" t="inlineStr">
        <is>
          <t>USN</t>
        </is>
      </c>
      <c r="C35"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5" s="37">
        <f>IFERROR(C35/C$53,0)</f>
        <v/>
      </c>
    </row>
    <row r="36" ht="10" customHeight="1">
      <c r="A36" s="30" t="inlineStr">
        <is>
          <t>Unmanned Surface Vehicles</t>
        </is>
      </c>
      <c r="B36" s="30" t="inlineStr">
        <is>
          <t>USN</t>
        </is>
      </c>
      <c r="C36"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6" s="37">
        <f>IFERROR(C36/C$53,0)</f>
        <v/>
      </c>
    </row>
    <row r="37" ht="10" customHeight="1">
      <c r="A37" s="30" t="inlineStr">
        <is>
          <t>Hospital Ship</t>
        </is>
      </c>
      <c r="B37" s="30" t="inlineStr">
        <is>
          <t>MSC</t>
        </is>
      </c>
      <c r="C37" s="31">
        <f>SUMIFS(JB_27BV,JB_B,2,JB_W,"Hospital Ship",JB_RC,"ADD")+SUMIFS(JB_27BV,JB_B,3,JB_W,"Hospital Ship",JB_RC,"ADD")+SUMIFS(JB_27BV,JB_B,4,JB_W,"Hospital Ship",JB_RC,"ADD")+SUMIFS(JB_27BV,JB_B,5,JB_W,"Hospital Ship",JB_RC,"ADD")+SUMIFS(JB_27BV,JB_B,6,JB_W,"Hospital Ship",JB_RC,"ADD")+SUMIFS(JB_27BV,JB_B,7,JB_W,"Hospital Ship",JB_RC,"ADD")</f>
        <v/>
      </c>
      <c r="D37" s="37">
        <f>IFERROR(C37/C$53,0)</f>
        <v/>
      </c>
    </row>
    <row r="38" ht="10" customHeight="1">
      <c r="A38" s="30" t="inlineStr">
        <is>
          <t>Research, Survey &amp; Instrumentation Ships</t>
        </is>
      </c>
      <c r="B38" s="30" t="inlineStr">
        <is>
          <t>MSC</t>
        </is>
      </c>
      <c r="C38"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8" s="37">
        <f>IFERROR(C38/C$53,0)</f>
        <v/>
      </c>
    </row>
    <row r="39" ht="10" customHeight="1">
      <c r="A39" s="30" t="inlineStr">
        <is>
          <t>Cargo &amp; Vehicle Cargo Ships</t>
        </is>
      </c>
      <c r="B39" s="30" t="inlineStr">
        <is>
          <t>USN</t>
        </is>
      </c>
      <c r="C39"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9" s="37">
        <f>IFERROR(C39/C$53,0)</f>
        <v/>
      </c>
    </row>
    <row r="40" ht="10" customHeight="1">
      <c r="A40" s="30" t="inlineStr">
        <is>
          <t>Material Support Ships</t>
        </is>
      </c>
      <c r="B40" s="30" t="inlineStr">
        <is>
          <t>USN</t>
        </is>
      </c>
      <c r="C40"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0" s="37">
        <f>IFERROR(C40/C$53,0)</f>
        <v/>
      </c>
    </row>
    <row r="41" ht="10" customHeight="1">
      <c r="A41" s="30" t="inlineStr">
        <is>
          <t>Salvage Ships &amp; Fleet Ocean Tugs</t>
        </is>
      </c>
      <c r="B41" s="30" t="inlineStr">
        <is>
          <t>MSC</t>
        </is>
      </c>
      <c r="C41"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1" s="37">
        <f>IFERROR(C41/C$53,0)</f>
        <v/>
      </c>
    </row>
    <row r="42" ht="10" customHeight="1">
      <c r="A42" s="30" t="inlineStr">
        <is>
          <t>General Auxiliary</t>
        </is>
      </c>
      <c r="B42" s="30" t="inlineStr">
        <is>
          <t>USN</t>
        </is>
      </c>
      <c r="C42"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2" s="37">
        <f>IFERROR(C42/C$53,0)</f>
        <v/>
      </c>
    </row>
    <row r="43" ht="10" customHeight="1">
      <c r="A43" s="30" t="inlineStr">
        <is>
          <t>Mine Warfare</t>
        </is>
      </c>
      <c r="B43" s="30" t="inlineStr">
        <is>
          <t>USN</t>
        </is>
      </c>
      <c r="C43" s="31">
        <f>SUMIFS(JB_27BV,JB_B,2,JB_W,"Mine Warfare",JB_RC,"ADD")+SUMIFS(JB_27BV,JB_B,3,JB_W,"Mine Warfare",JB_RC,"ADD")+SUMIFS(JB_27BV,JB_B,4,JB_W,"Mine Warfare",JB_RC,"ADD")+SUMIFS(JB_27BV,JB_B,5,JB_W,"Mine Warfare",JB_RC,"ADD")+SUMIFS(JB_27BV,JB_B,6,JB_W,"Mine Warfare",JB_RC,"ADD")+SUMIFS(JB_27BV,JB_B,7,JB_W,"Mine Warfare",JB_RC,"ADD")</f>
        <v/>
      </c>
      <c r="D43" s="37">
        <f>IFERROR(C43/C$53,0)</f>
        <v/>
      </c>
    </row>
    <row r="44" ht="10" customHeight="1">
      <c r="A44" s="30" t="inlineStr">
        <is>
          <t>High Speed Transport</t>
        </is>
      </c>
      <c r="B44" s="30" t="inlineStr">
        <is>
          <t>USN</t>
        </is>
      </c>
      <c r="C44"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4" s="37">
        <f>IFERROR(C44/C$53,0)</f>
        <v/>
      </c>
    </row>
    <row r="45" ht="10" customHeight="1">
      <c r="A45" s="30" t="inlineStr">
        <is>
          <t>Submarine Escort Ship</t>
        </is>
      </c>
      <c r="B45" s="30" t="inlineStr">
        <is>
          <t>USN</t>
        </is>
      </c>
      <c r="C45"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5" s="37">
        <f>IFERROR(C45/C$53,0)</f>
        <v/>
      </c>
    </row>
    <row r="46" ht="10" customHeight="1">
      <c r="A46" s="30" t="inlineStr">
        <is>
          <t>Fast Response Cutters</t>
        </is>
      </c>
      <c r="B46" s="30" t="inlineStr">
        <is>
          <t>USCG</t>
        </is>
      </c>
      <c r="C46"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6" s="37">
        <f>IFERROR(C46/C$53,0)</f>
        <v/>
      </c>
    </row>
    <row r="47" ht="10" customHeight="1">
      <c r="A47" s="30" t="inlineStr">
        <is>
          <t>National Security Cutters</t>
        </is>
      </c>
      <c r="B47" s="30" t="inlineStr">
        <is>
          <t>USCG</t>
        </is>
      </c>
      <c r="C47"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7" s="37">
        <f>IFERROR(C47/C$53,0)</f>
        <v/>
      </c>
    </row>
    <row r="48" ht="10" customHeight="1">
      <c r="A48" s="30" t="inlineStr">
        <is>
          <t>Coastal Buoy Tenders</t>
        </is>
      </c>
      <c r="B48" s="30" t="inlineStr">
        <is>
          <t>USCG</t>
        </is>
      </c>
      <c r="C48"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8" s="37">
        <f>IFERROR(C48/C$53,0)</f>
        <v/>
      </c>
    </row>
    <row r="49" ht="10" customHeight="1">
      <c r="A49" s="30" t="inlineStr">
        <is>
          <t>Waterways Commerce Cutters</t>
        </is>
      </c>
      <c r="B49" s="30" t="inlineStr">
        <is>
          <t>USCG</t>
        </is>
      </c>
      <c r="C49"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9" s="37">
        <f>IFERROR(C49/C$53,0)</f>
        <v/>
      </c>
    </row>
    <row r="50" ht="10" customHeight="1">
      <c r="A50" s="30" t="inlineStr">
        <is>
          <t>Icebreakers, Great Lakes</t>
        </is>
      </c>
      <c r="B50" s="30" t="inlineStr">
        <is>
          <t>USCG</t>
        </is>
      </c>
      <c r="C50"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0" s="37">
        <f>IFERROR(C50/C$53,0)</f>
        <v/>
      </c>
    </row>
    <row r="51" ht="10" customHeight="1">
      <c r="A51" s="30" t="inlineStr">
        <is>
          <t>Offshore Patrol Cutter</t>
        </is>
      </c>
      <c r="B51" s="30" t="inlineStr">
        <is>
          <t>USCG</t>
        </is>
      </c>
      <c r="C51"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1" s="37">
        <f>IFERROR(C51/C$53,0)</f>
        <v/>
      </c>
    </row>
    <row r="52" ht="10" customHeight="1">
      <c r="A52" s="30" t="inlineStr">
        <is>
          <t>Icebreakers, Oceangoing</t>
        </is>
      </c>
      <c r="B52" s="30" t="inlineStr">
        <is>
          <t>USCG</t>
        </is>
      </c>
      <c r="C52"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Crane Ship</t>
        </is>
      </c>
      <c r="B19" s="30" t="inlineStr">
        <is>
          <t>USN</t>
        </is>
      </c>
      <c r="C19" s="31">
        <f>SUMIFS(JB_27BV,JB_B,2,JB_W,"Crane Ship",JB_RC,"ADD")</f>
        <v/>
      </c>
      <c r="D19" s="31">
        <f>SUMIFS(JB_27BV,JB_B,3,JB_W,"Crane Ship",JB_RC,"ADD")</f>
        <v/>
      </c>
      <c r="E19" s="31">
        <f>SUMIFS(JB_27BV,JB_B,4,JB_W,"Crane Ship",JB_RC,"ADD")</f>
        <v/>
      </c>
      <c r="F19" s="31">
        <f>SUMIFS(JB_27BV,JB_B,5,JB_W,"Crane Ship",JB_RC,"ADD")</f>
        <v/>
      </c>
      <c r="G19" s="31">
        <f>SUM(C19:F19)</f>
        <v/>
      </c>
      <c r="H19" s="37">
        <f>IFERROR(G19/G$40,0)</f>
        <v/>
      </c>
    </row>
    <row r="20" ht="10" customHeight="1">
      <c r="A20" s="30" t="inlineStr">
        <is>
          <t>Research, Survey &amp; Instrumentation Ships</t>
        </is>
      </c>
      <c r="B20" s="30" t="inlineStr">
        <is>
          <t>MSC</t>
        </is>
      </c>
      <c r="C20" s="31">
        <f>SUMIFS(JB_27BV,JB_B,2,JB_W,"Research, Survey &amp; Instrumentation Ships",JB_RC,"ADD")</f>
        <v/>
      </c>
      <c r="D20" s="31">
        <f>SUMIFS(JB_27BV,JB_B,3,JB_W,"Research, Survey &amp; Instrumentation Ships",JB_RC,"ADD")</f>
        <v/>
      </c>
      <c r="E20" s="31">
        <f>SUMIFS(JB_27BV,JB_B,4,JB_W,"Research, Survey &amp; Instrumentation Ships",JB_RC,"ADD")</f>
        <v/>
      </c>
      <c r="F20" s="31">
        <f>SUMIFS(JB_27BV,JB_B,5,JB_W,"Research, Survey &amp; Instrumentation Ships",JB_RC,"ADD")</f>
        <v/>
      </c>
      <c r="G20" s="31">
        <f>SUM(C20:F20)</f>
        <v/>
      </c>
      <c r="H20" s="37">
        <f>IFERROR(G20/G$40,0)</f>
        <v/>
      </c>
    </row>
    <row r="21" ht="10" customHeight="1">
      <c r="A21" s="30" t="inlineStr">
        <is>
          <t>Combat Logistics Ships</t>
        </is>
      </c>
      <c r="B21" s="30" t="inlineStr">
        <is>
          <t>MSC</t>
        </is>
      </c>
      <c r="C21" s="31">
        <f>SUMIFS(JB_27BV,JB_B,2,JB_W,"Combat Logistics Ships",JB_RC,"ADD")</f>
        <v/>
      </c>
      <c r="D21" s="31">
        <f>SUMIFS(JB_27BV,JB_B,3,JB_W,"Combat Logistics Ships",JB_RC,"ADD")</f>
        <v/>
      </c>
      <c r="E21" s="31">
        <f>SUMIFS(JB_27BV,JB_B,4,JB_W,"Combat Logistics Ships",JB_RC,"ADD")</f>
        <v/>
      </c>
      <c r="F21" s="31">
        <f>SUMIFS(JB_27BV,JB_B,5,JB_W,"Combat Logistics Ships",JB_RC,"ADD")</f>
        <v/>
      </c>
      <c r="G21" s="31">
        <f>SUM(C21:F21)</f>
        <v/>
      </c>
      <c r="H21" s="37">
        <f>IFERROR(G21/G$40,0)</f>
        <v/>
      </c>
    </row>
    <row r="22" ht="10" customHeight="1">
      <c r="A22" s="30" t="inlineStr">
        <is>
          <t>Cargo &amp; Vehicle Cargo Ships</t>
        </is>
      </c>
      <c r="B22" s="30" t="inlineStr">
        <is>
          <t>USN</t>
        </is>
      </c>
      <c r="C22" s="31">
        <f>SUMIFS(JB_27BV,JB_B,2,JB_W,"Cargo &amp; Vehicle Cargo Ships",JB_RC,"ADD")</f>
        <v/>
      </c>
      <c r="D22" s="31">
        <f>SUMIFS(JB_27BV,JB_B,3,JB_W,"Cargo &amp; Vehicle Cargo Ships",JB_RC,"ADD")</f>
        <v/>
      </c>
      <c r="E22" s="31">
        <f>SUMIFS(JB_27BV,JB_B,4,JB_W,"Cargo &amp; Vehicle Cargo Ships",JB_RC,"ADD")</f>
        <v/>
      </c>
      <c r="F22" s="31">
        <f>SUMIFS(JB_27BV,JB_B,5,JB_W,"Cargo &amp; Vehicle Cargo Ships",JB_RC,"ADD")</f>
        <v/>
      </c>
      <c r="G22" s="31">
        <f>SUM(C22:F22)</f>
        <v/>
      </c>
      <c r="H22" s="37">
        <f>IFERROR(G22/G$40,0)</f>
        <v/>
      </c>
    </row>
    <row r="23" ht="10" customHeight="1">
      <c r="A23" s="30" t="inlineStr">
        <is>
          <t>Material Support Ships</t>
        </is>
      </c>
      <c r="B23" s="30" t="inlineStr">
        <is>
          <t>USN</t>
        </is>
      </c>
      <c r="C23" s="31">
        <f>SUMIFS(JB_27BV,JB_B,2,JB_W,"Material Support Ships",JB_RC,"ADD")</f>
        <v/>
      </c>
      <c r="D23" s="31">
        <f>SUMIFS(JB_27BV,JB_B,3,JB_W,"Material Support Ships",JB_RC,"ADD")</f>
        <v/>
      </c>
      <c r="E23" s="31">
        <f>SUMIFS(JB_27BV,JB_B,4,JB_W,"Material Support Ships",JB_RC,"ADD")</f>
        <v/>
      </c>
      <c r="F23" s="31">
        <f>SUMIFS(JB_27BV,JB_B,5,JB_W,"Material Support Ships",JB_RC,"ADD")</f>
        <v/>
      </c>
      <c r="G23" s="31">
        <f>SUM(C23:F23)</f>
        <v/>
      </c>
      <c r="H23" s="37">
        <f>IFERROR(G23/G$40,0)</f>
        <v/>
      </c>
    </row>
    <row r="24" ht="10" customHeight="1">
      <c r="A24" s="30" t="inlineStr">
        <is>
          <t>Salvage Ships &amp; Fleet Ocean Tugs</t>
        </is>
      </c>
      <c r="B24" s="30" t="inlineStr">
        <is>
          <t>MSC</t>
        </is>
      </c>
      <c r="C24" s="31">
        <f>SUMIFS(JB_27BV,JB_B,2,JB_W,"Salvage Ships &amp; Fleet Ocean Tugs",JB_RC,"ADD")</f>
        <v/>
      </c>
      <c r="D24" s="31">
        <f>SUMIFS(JB_27BV,JB_B,3,JB_W,"Salvage Ships &amp; Fleet Ocean Tugs",JB_RC,"ADD")</f>
        <v/>
      </c>
      <c r="E24" s="31">
        <f>SUMIFS(JB_27BV,JB_B,4,JB_W,"Salvage Ships &amp; Fleet Ocean Tugs",JB_RC,"ADD")</f>
        <v/>
      </c>
      <c r="F24" s="31">
        <f>SUMIFS(JB_27BV,JB_B,5,JB_W,"Salvage Ships &amp; Fleet Ocean Tugs",JB_RC,"ADD")</f>
        <v/>
      </c>
      <c r="G24" s="31">
        <f>SUM(C24:F24)</f>
        <v/>
      </c>
      <c r="H24" s="37">
        <f>IFERROR(G24/G$40,0)</f>
        <v/>
      </c>
    </row>
    <row r="25" ht="10" customHeight="1">
      <c r="A25" s="30" t="inlineStr">
        <is>
          <t>General Auxiliary</t>
        </is>
      </c>
      <c r="B25" s="30" t="inlineStr">
        <is>
          <t>USN</t>
        </is>
      </c>
      <c r="C25" s="31">
        <f>SUMIFS(JB_27BV,JB_B,2,JB_W,"General Auxiliary",JB_RC,"ADD")</f>
        <v/>
      </c>
      <c r="D25" s="31">
        <f>SUMIFS(JB_27BV,JB_B,3,JB_W,"General Auxiliary",JB_RC,"ADD")</f>
        <v/>
      </c>
      <c r="E25" s="31">
        <f>SUMIFS(JB_27BV,JB_B,4,JB_W,"General Auxiliary",JB_RC,"ADD")</f>
        <v/>
      </c>
      <c r="F25" s="31">
        <f>SUMIFS(JB_27BV,JB_B,5,JB_W,"General Auxiliary",JB_RC,"ADD")</f>
        <v/>
      </c>
      <c r="G25" s="31">
        <f>SUM(C25:F25)</f>
        <v/>
      </c>
      <c r="H25" s="37">
        <f>IFERROR(G25/G$40,0)</f>
        <v/>
      </c>
    </row>
    <row r="26" ht="10" customHeight="1">
      <c r="A26" s="30" t="inlineStr">
        <is>
          <t>Aviation Logistics Support Ship</t>
        </is>
      </c>
      <c r="B26" s="30" t="inlineStr">
        <is>
          <t>USN</t>
        </is>
      </c>
      <c r="C26" s="31">
        <f>SUMIFS(JB_27BV,JB_B,2,JB_W,"Aviation Logistics Support Ship",JB_RC,"ADD")</f>
        <v/>
      </c>
      <c r="D26" s="31">
        <f>SUMIFS(JB_27BV,JB_B,3,JB_W,"Aviation Logistics Support Ship",JB_RC,"ADD")</f>
        <v/>
      </c>
      <c r="E26" s="31">
        <f>SUMIFS(JB_27BV,JB_B,4,JB_W,"Aviation Logistics Support Ship",JB_RC,"ADD")</f>
        <v/>
      </c>
      <c r="F26" s="31">
        <f>SUMIFS(JB_27BV,JB_B,5,JB_W,"Aviation Logistics Support Ship",JB_RC,"ADD")</f>
        <v/>
      </c>
      <c r="G26" s="31">
        <f>SUM(C26:F26)</f>
        <v/>
      </c>
      <c r="H26" s="37">
        <f>IFERROR(G26/G$40,0)</f>
        <v/>
      </c>
    </row>
    <row r="27" ht="10" customHeight="1">
      <c r="A27" s="30" t="inlineStr">
        <is>
          <t>Unmanned Surface Vehicles</t>
        </is>
      </c>
      <c r="B27" s="30" t="inlineStr">
        <is>
          <t>USN</t>
        </is>
      </c>
      <c r="C27" s="31">
        <f>SUMIFS(JB_27BV,JB_B,2,JB_W,"Unmanned Surface Vehicles",JB_RC,"ADD")</f>
        <v/>
      </c>
      <c r="D27" s="31">
        <f>SUMIFS(JB_27BV,JB_B,3,JB_W,"Unmanned Surface Vehicles",JB_RC,"ADD")</f>
        <v/>
      </c>
      <c r="E27" s="31">
        <f>SUMIFS(JB_27BV,JB_B,4,JB_W,"Unmanned Surface Vehicles",JB_RC,"ADD")</f>
        <v/>
      </c>
      <c r="F27" s="31">
        <f>SUMIFS(JB_27BV,JB_B,5,JB_W,"Unmanned Surface Vehicles",JB_RC,"ADD")</f>
        <v/>
      </c>
      <c r="G27" s="31">
        <f>SUM(C27:F27)</f>
        <v/>
      </c>
      <c r="H27" s="37">
        <f>IFERROR(G27/G$40,0)</f>
        <v/>
      </c>
    </row>
    <row r="28" ht="10" customHeight="1">
      <c r="A28" s="30" t="inlineStr">
        <is>
          <t>Mine Warfare</t>
        </is>
      </c>
      <c r="B28" s="30" t="inlineStr">
        <is>
          <t>USN</t>
        </is>
      </c>
      <c r="C28" s="31">
        <f>SUMIFS(JB_27BV,JB_B,2,JB_W,"Mine Warfare",JB_RC,"ADD")</f>
        <v/>
      </c>
      <c r="D28" s="31">
        <f>SUMIFS(JB_27BV,JB_B,3,JB_W,"Mine Warfare",JB_RC,"ADD")</f>
        <v/>
      </c>
      <c r="E28" s="31">
        <f>SUMIFS(JB_27BV,JB_B,4,JB_W,"Mine Warfare",JB_RC,"ADD")</f>
        <v/>
      </c>
      <c r="F28" s="31">
        <f>SUMIFS(JB_27BV,JB_B,5,JB_W,"Mine Warfare",JB_RC,"ADD")</f>
        <v/>
      </c>
      <c r="G28" s="31">
        <f>SUM(C28:F28)</f>
        <v/>
      </c>
      <c r="H28" s="37">
        <f>IFERROR(G28/G$40,0)</f>
        <v/>
      </c>
    </row>
    <row r="29" ht="10" customHeight="1">
      <c r="A29" s="30" t="inlineStr">
        <is>
          <t>Hospital Ship</t>
        </is>
      </c>
      <c r="B29" s="30" t="inlineStr">
        <is>
          <t>MSC</t>
        </is>
      </c>
      <c r="C29" s="31">
        <f>SUMIFS(JB_27BV,JB_B,2,JB_W,"Hospital Ship",JB_RC,"ADD")</f>
        <v/>
      </c>
      <c r="D29" s="31">
        <f>SUMIFS(JB_27BV,JB_B,3,JB_W,"Hospital Ship",JB_RC,"ADD")</f>
        <v/>
      </c>
      <c r="E29" s="31">
        <f>SUMIFS(JB_27BV,JB_B,4,JB_W,"Hospital Ship",JB_RC,"ADD")</f>
        <v/>
      </c>
      <c r="F29" s="31">
        <f>SUMIFS(JB_27BV,JB_B,5,JB_W,"Hospital Ship",JB_RC,"ADD")</f>
        <v/>
      </c>
      <c r="G29" s="31">
        <f>SUM(C29:F29)</f>
        <v/>
      </c>
      <c r="H29" s="37">
        <f>IFERROR(G29/G$40,0)</f>
        <v/>
      </c>
    </row>
    <row r="30" ht="10" customHeight="1">
      <c r="A30" s="30" t="inlineStr">
        <is>
          <t>High Speed Transport</t>
        </is>
      </c>
      <c r="B30" s="30" t="inlineStr">
        <is>
          <t>USN</t>
        </is>
      </c>
      <c r="C30" s="31">
        <f>SUMIFS(JB_27BV,JB_B,2,JB_W,"High Speed Transport",JB_RC,"ADD")</f>
        <v/>
      </c>
      <c r="D30" s="31">
        <f>SUMIFS(JB_27BV,JB_B,3,JB_W,"High Speed Transport",JB_RC,"ADD")</f>
        <v/>
      </c>
      <c r="E30" s="31">
        <f>SUMIFS(JB_27BV,JB_B,4,JB_W,"High Speed Transport",JB_RC,"ADD")</f>
        <v/>
      </c>
      <c r="F30" s="31">
        <f>SUMIFS(JB_27BV,JB_B,5,JB_W,"High Speed Transport",JB_RC,"ADD")</f>
        <v/>
      </c>
      <c r="G30" s="31">
        <f>SUM(C30:F30)</f>
        <v/>
      </c>
      <c r="H30" s="37">
        <f>IFERROR(G30/G$40,0)</f>
        <v/>
      </c>
    </row>
    <row r="31" ht="10" customHeight="1">
      <c r="A31" s="30" t="inlineStr">
        <is>
          <t>Submarine Escort Ship</t>
        </is>
      </c>
      <c r="B31" s="30" t="inlineStr">
        <is>
          <t>USN</t>
        </is>
      </c>
      <c r="C31" s="31">
        <f>SUMIFS(JB_27BV,JB_B,2,JB_W,"Submarine Escort Ship",JB_RC,"ADD")</f>
        <v/>
      </c>
      <c r="D31" s="31">
        <f>SUMIFS(JB_27BV,JB_B,3,JB_W,"Submarine Escort Ship",JB_RC,"ADD")</f>
        <v/>
      </c>
      <c r="E31" s="31">
        <f>SUMIFS(JB_27BV,JB_B,4,JB_W,"Submarine Escort Ship",JB_RC,"ADD")</f>
        <v/>
      </c>
      <c r="F31" s="31">
        <f>SUMIFS(JB_27BV,JB_B,5,JB_W,"Submarine Escort Ship",JB_RC,"ADD")</f>
        <v/>
      </c>
      <c r="G31" s="31">
        <f>SUM(C31:F31)</f>
        <v/>
      </c>
      <c r="H31" s="37">
        <f>IFERROR(G31/G$40,0)</f>
        <v/>
      </c>
    </row>
    <row r="32" ht="10" customHeight="1">
      <c r="A32" s="30" t="inlineStr">
        <is>
          <t>Expeditionary &amp; Seabasing Ships</t>
        </is>
      </c>
      <c r="B32" s="30" t="inlineStr">
        <is>
          <t>USN</t>
        </is>
      </c>
      <c r="C32" s="31">
        <f>SUMIFS(JB_27BV,JB_B,2,JB_W,"Expeditionary &amp; Seabasing Ships",JB_RC,"ADD")</f>
        <v/>
      </c>
      <c r="D32" s="31">
        <f>SUMIFS(JB_27BV,JB_B,3,JB_W,"Expeditionary &amp; Seabasing Ships",JB_RC,"ADD")</f>
        <v/>
      </c>
      <c r="E32" s="31">
        <f>SUMIFS(JB_27BV,JB_B,4,JB_W,"Expeditionary &amp; Seabasing Ships",JB_RC,"ADD")</f>
        <v/>
      </c>
      <c r="F32" s="31">
        <f>SUMIFS(JB_27BV,JB_B,5,JB_W,"Expeditionary &amp; Seabasing Ships",JB_RC,"ADD")</f>
        <v/>
      </c>
      <c r="G32" s="31">
        <f>SUM(C32:F32)</f>
        <v/>
      </c>
      <c r="H32" s="37">
        <f>IFERROR(G32/G$40,0)</f>
        <v/>
      </c>
    </row>
    <row r="33" ht="10" customHeight="1">
      <c r="A33" s="30" t="inlineStr">
        <is>
          <t>Waterways Commerce Cutters</t>
        </is>
      </c>
      <c r="B33" s="30" t="inlineStr">
        <is>
          <t>USCG</t>
        </is>
      </c>
      <c r="C33" s="31">
        <f>SUMIFS(JB_27BV,JB_B,2,JB_W,"Waterways Commerce Cutters",JB_RC,"ADD")</f>
        <v/>
      </c>
      <c r="D33" s="31">
        <f>SUMIFS(JB_27BV,JB_B,3,JB_W,"Waterways Commerce Cutters",JB_RC,"ADD")</f>
        <v/>
      </c>
      <c r="E33" s="31">
        <f>SUMIFS(JB_27BV,JB_B,4,JB_W,"Waterways Commerce Cutters",JB_RC,"ADD")</f>
        <v/>
      </c>
      <c r="F33" s="31">
        <f>SUMIFS(JB_27BV,JB_B,5,JB_W,"Waterways Commerce Cutters",JB_RC,"ADD")</f>
        <v/>
      </c>
      <c r="G33" s="31">
        <f>SUM(C33:F33)</f>
        <v/>
      </c>
      <c r="H33" s="37">
        <f>IFERROR(G33/G$40,0)</f>
        <v/>
      </c>
    </row>
    <row r="34" ht="10" customHeight="1">
      <c r="A34" s="30" t="inlineStr">
        <is>
          <t>Fast Response Cutters</t>
        </is>
      </c>
      <c r="B34" s="30" t="inlineStr">
        <is>
          <t>USCG</t>
        </is>
      </c>
      <c r="C34" s="31">
        <f>SUMIFS(JB_27BV,JB_B,2,JB_W,"Fast Response Cutters",JB_RC,"ADD")</f>
        <v/>
      </c>
      <c r="D34" s="31">
        <f>SUMIFS(JB_27BV,JB_B,3,JB_W,"Fast Response Cutters",JB_RC,"ADD")</f>
        <v/>
      </c>
      <c r="E34" s="31">
        <f>SUMIFS(JB_27BV,JB_B,4,JB_W,"Fast Response Cutters",JB_RC,"ADD")</f>
        <v/>
      </c>
      <c r="F34" s="31">
        <f>SUMIFS(JB_27BV,JB_B,5,JB_W,"Fast Response Cutters",JB_RC,"ADD")</f>
        <v/>
      </c>
      <c r="G34" s="31">
        <f>SUM(C34:F34)</f>
        <v/>
      </c>
      <c r="H34" s="37">
        <f>IFERROR(G34/G$40,0)</f>
        <v/>
      </c>
    </row>
    <row r="35" ht="10" customHeight="1">
      <c r="A35" s="30" t="inlineStr">
        <is>
          <t>National Security Cutters</t>
        </is>
      </c>
      <c r="B35" s="30" t="inlineStr">
        <is>
          <t>USCG</t>
        </is>
      </c>
      <c r="C35" s="31">
        <f>SUMIFS(JB_27BV,JB_B,2,JB_W,"National Security Cutters",JB_RC,"ADD")</f>
        <v/>
      </c>
      <c r="D35" s="31">
        <f>SUMIFS(JB_27BV,JB_B,3,JB_W,"National Security Cutters",JB_RC,"ADD")</f>
        <v/>
      </c>
      <c r="E35" s="31">
        <f>SUMIFS(JB_27BV,JB_B,4,JB_W,"National Security Cutters",JB_RC,"ADD")</f>
        <v/>
      </c>
      <c r="F35" s="31">
        <f>SUMIFS(JB_27BV,JB_B,5,JB_W,"National Security Cutters",JB_RC,"ADD")</f>
        <v/>
      </c>
      <c r="G35" s="31">
        <f>SUM(C35:F35)</f>
        <v/>
      </c>
      <c r="H35" s="37">
        <f>IFERROR(G35/G$40,0)</f>
        <v/>
      </c>
    </row>
    <row r="36" ht="10" customHeight="1">
      <c r="A36" s="30" t="inlineStr">
        <is>
          <t>Icebreakers, Great Lakes</t>
        </is>
      </c>
      <c r="B36" s="30" t="inlineStr">
        <is>
          <t>USCG</t>
        </is>
      </c>
      <c r="C36" s="31">
        <f>SUMIFS(JB_27BV,JB_B,2,JB_W,"Icebreakers, Great Lakes",JB_RC,"ADD")</f>
        <v/>
      </c>
      <c r="D36" s="31">
        <f>SUMIFS(JB_27BV,JB_B,3,JB_W,"Icebreakers, Great Lakes",JB_RC,"ADD")</f>
        <v/>
      </c>
      <c r="E36" s="31">
        <f>SUMIFS(JB_27BV,JB_B,4,JB_W,"Icebreakers, Great Lakes",JB_RC,"ADD")</f>
        <v/>
      </c>
      <c r="F36" s="31">
        <f>SUMIFS(JB_27BV,JB_B,5,JB_W,"Icebreakers, Great Lakes",JB_RC,"ADD")</f>
        <v/>
      </c>
      <c r="G36" s="31">
        <f>SUM(C36:F36)</f>
        <v/>
      </c>
      <c r="H36" s="37">
        <f>IFERROR(G36/G$40,0)</f>
        <v/>
      </c>
    </row>
    <row r="37" ht="10" customHeight="1">
      <c r="A37" s="30" t="inlineStr">
        <is>
          <t>Coastal Buoy Tenders</t>
        </is>
      </c>
      <c r="B37" s="30" t="inlineStr">
        <is>
          <t>USCG</t>
        </is>
      </c>
      <c r="C37" s="31">
        <f>SUMIFS(JB_27BV,JB_B,2,JB_W,"Coastal Buoy Tenders",JB_RC,"ADD")</f>
        <v/>
      </c>
      <c r="D37" s="31">
        <f>SUMIFS(JB_27BV,JB_B,3,JB_W,"Coastal Buoy Tenders",JB_RC,"ADD")</f>
        <v/>
      </c>
      <c r="E37" s="31">
        <f>SUMIFS(JB_27BV,JB_B,4,JB_W,"Coastal Buoy Tenders",JB_RC,"ADD")</f>
        <v/>
      </c>
      <c r="F37" s="31">
        <f>SUMIFS(JB_27BV,JB_B,5,JB_W,"Coastal Buoy Tenders",JB_RC,"ADD")</f>
        <v/>
      </c>
      <c r="G37" s="31">
        <f>SUM(C37:F37)</f>
        <v/>
      </c>
      <c r="H37" s="37">
        <f>IFERROR(G37/G$40,0)</f>
        <v/>
      </c>
    </row>
    <row r="38" ht="10" customHeight="1">
      <c r="A38" s="30" t="inlineStr">
        <is>
          <t>Offshore Patrol Cutter</t>
        </is>
      </c>
      <c r="B38" s="30" t="inlineStr">
        <is>
          <t>USCG</t>
        </is>
      </c>
      <c r="C38" s="31">
        <f>SUMIFS(JB_27BV,JB_B,2,JB_W,"Offshore Patrol Cutter",JB_RC,"ADD")</f>
        <v/>
      </c>
      <c r="D38" s="31">
        <f>SUMIFS(JB_27BV,JB_B,3,JB_W,"Offshore Patrol Cutter",JB_RC,"ADD")</f>
        <v/>
      </c>
      <c r="E38" s="31">
        <f>SUMIFS(JB_27BV,JB_B,4,JB_W,"Offshore Patrol Cutter",JB_RC,"ADD")</f>
        <v/>
      </c>
      <c r="F38" s="31">
        <f>SUMIFS(JB_27BV,JB_B,5,JB_W,"Offshore Patrol Cutter",JB_RC,"ADD")</f>
        <v/>
      </c>
      <c r="G38" s="31">
        <f>SUM(C38:F38)</f>
        <v/>
      </c>
      <c r="H38" s="37">
        <f>IFERROR(G38/G$40,0)</f>
        <v/>
      </c>
    </row>
    <row r="39" ht="10" customHeight="1">
      <c r="A39" s="30" t="inlineStr">
        <is>
          <t>Icebreakers, Oceangoing</t>
        </is>
      </c>
      <c r="B39" s="30" t="inlineStr">
        <is>
          <t>USCG</t>
        </is>
      </c>
      <c r="C39" s="31">
        <f>SUMIFS(JB_27BV,JB_B,2,JB_W,"Icebreakers, Oceangoing",JB_RC,"ADD")</f>
        <v/>
      </c>
      <c r="D39" s="31">
        <f>SUMIFS(JB_27BV,JB_B,3,JB_W,"Icebreakers, Oceangoing",JB_RC,"ADD")</f>
        <v/>
      </c>
      <c r="E39" s="31">
        <f>SUMIFS(JB_27BV,JB_B,4,JB_W,"Icebreakers, Oceangoing",JB_RC,"ADD")</f>
        <v/>
      </c>
      <c r="F39" s="31">
        <f>SUMIFS(JB_27BV,JB_B,5,JB_W,"Icebreakers, Oceangoing",JB_RC,"ADD")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FY2027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SUMIFS(JB_27BV,JB_B,2,JB_H,"DDG",JB_RC,"ADD")</f>
        <v/>
      </c>
      <c r="E46" s="31">
        <f>SUMIFS(JB_27BV,JB_B,3,JB_H,"DDG",JB_RC,"ADD")</f>
        <v/>
      </c>
      <c r="F46" s="31">
        <f>SUMIFS(JB_27BV,JB_B,4,JB_H,"DDG",JB_RC,"ADD")</f>
        <v/>
      </c>
      <c r="G46" s="31">
        <f>SUMIFS(JB_27BV,JB_B,5,JB_H,"DDG",JB_RC,"ADD")</f>
        <v/>
      </c>
      <c r="H46" s="31">
        <f>SUM(D46:G46)</f>
        <v/>
      </c>
      <c r="I46" s="37">
        <f>IFERROR(H46/H$53,0)</f>
        <v/>
      </c>
    </row>
    <row r="47" ht="10" customHeight="1">
      <c r="A47" s="30" t="inlineStr">
        <is>
          <t>LCS</t>
        </is>
      </c>
      <c r="B47" s="30" t="inlineStr">
        <is>
          <t>Surface Combatants</t>
        </is>
      </c>
      <c r="C47" s="30" t="inlineStr">
        <is>
          <t>USN</t>
        </is>
      </c>
      <c r="D47" s="31">
        <f>SUMIFS(JB_27BV,JB_B,2,JB_H,"LCS",JB_RC,"ADD")</f>
        <v/>
      </c>
      <c r="E47" s="31">
        <f>SUMIFS(JB_27BV,JB_B,3,JB_H,"LCS",JB_RC,"ADD")</f>
        <v/>
      </c>
      <c r="F47" s="31">
        <f>SUMIFS(JB_27BV,JB_B,4,JB_H,"LCS",JB_RC,"ADD")</f>
        <v/>
      </c>
      <c r="G47" s="31">
        <f>SUMIFS(JB_27BV,JB_B,5,JB_H,"LCS",JB_RC,"ADD")</f>
        <v/>
      </c>
      <c r="H47" s="31">
        <f>SUM(D47:G47)</f>
        <v/>
      </c>
      <c r="I47" s="37">
        <f>IFERROR(H47/H$53,0)</f>
        <v/>
      </c>
    </row>
    <row r="48" ht="10" customHeight="1">
      <c r="A48" s="30" t="inlineStr">
        <is>
          <t>LPD</t>
        </is>
      </c>
      <c r="B48" s="30" t="inlineStr">
        <is>
          <t>Amphibious Warfare Ships</t>
        </is>
      </c>
      <c r="C48" s="30" t="inlineStr">
        <is>
          <t>USN</t>
        </is>
      </c>
      <c r="D48" s="31">
        <f>SUMIFS(JB_27BV,JB_B,2,JB_H,"LPD",JB_RC,"ADD")</f>
        <v/>
      </c>
      <c r="E48" s="31">
        <f>SUMIFS(JB_27BV,JB_B,3,JB_H,"LPD",JB_RC,"ADD")</f>
        <v/>
      </c>
      <c r="F48" s="31">
        <f>SUMIFS(JB_27BV,JB_B,4,JB_H,"LPD",JB_RC,"ADD")</f>
        <v/>
      </c>
      <c r="G48" s="31">
        <f>SUMIFS(JB_27BV,JB_B,5,JB_H,"LPD",JB_RC,"ADD")</f>
        <v/>
      </c>
      <c r="H48" s="31">
        <f>SUM(D48:G48)</f>
        <v/>
      </c>
      <c r="I48" s="37">
        <f>IFERROR(H48/H$53,0)</f>
        <v/>
      </c>
    </row>
    <row r="49" ht="10" customHeight="1">
      <c r="A49" s="30" t="inlineStr">
        <is>
          <t>LHD</t>
        </is>
      </c>
      <c r="B49" s="30" t="inlineStr">
        <is>
          <t>Amphibious Warfare Ships</t>
        </is>
      </c>
      <c r="C49" s="30" t="inlineStr">
        <is>
          <t>USN</t>
        </is>
      </c>
      <c r="D49" s="31">
        <f>SUMIFS(JB_27BV,JB_B,2,JB_H,"LHD",JB_RC,"ADD")</f>
        <v/>
      </c>
      <c r="E49" s="31">
        <f>SUMIFS(JB_27BV,JB_B,3,JB_H,"LHD",JB_RC,"ADD")</f>
        <v/>
      </c>
      <c r="F49" s="31">
        <f>SUMIFS(JB_27BV,JB_B,4,JB_H,"LHD",JB_RC,"ADD")</f>
        <v/>
      </c>
      <c r="G49" s="31">
        <f>SUMIFS(JB_27BV,JB_B,5,JB_H,"LHD",JB_RC,"ADD")</f>
        <v/>
      </c>
      <c r="H49" s="31">
        <f>SUM(D49:G49)</f>
        <v/>
      </c>
      <c r="I49" s="37">
        <f>IFERROR(H49/H$53,0)</f>
        <v/>
      </c>
    </row>
    <row r="50" ht="10" customHeight="1">
      <c r="A50" s="30" t="inlineStr">
        <is>
          <t>T-AGOS</t>
        </is>
      </c>
      <c r="B50" s="30" t="inlineStr">
        <is>
          <t>Surveillance Ships</t>
        </is>
      </c>
      <c r="C50" s="30" t="inlineStr">
        <is>
          <t>MSC</t>
        </is>
      </c>
      <c r="D50" s="31">
        <f>SUMIFS(JB_27BV,JB_B,2,JB_H,"T-AGOS",JB_RC,"ADD")</f>
        <v/>
      </c>
      <c r="E50" s="31">
        <f>SUMIFS(JB_27BV,JB_B,3,JB_H,"T-AGOS",JB_RC,"ADD")</f>
        <v/>
      </c>
      <c r="F50" s="31">
        <f>SUMIFS(JB_27BV,JB_B,4,JB_H,"T-AGOS",JB_RC,"ADD")</f>
        <v/>
      </c>
      <c r="G50" s="31">
        <f>SUMIFS(JB_27BV,JB_B,5,JB_H,"T-AGOS",JB_RC,"ADD")</f>
        <v/>
      </c>
      <c r="H50" s="31">
        <f>SUM(D50:G50)</f>
        <v/>
      </c>
      <c r="I50" s="37">
        <f>IFERROR(H50/H$53,0)</f>
        <v/>
      </c>
    </row>
    <row r="51" ht="10" customHeight="1">
      <c r="A51" s="30" t="inlineStr">
        <is>
          <t>LCC</t>
        </is>
      </c>
      <c r="B51" s="30" t="inlineStr">
        <is>
          <t>Command Ships</t>
        </is>
      </c>
      <c r="C51" s="30" t="inlineStr">
        <is>
          <t>USN</t>
        </is>
      </c>
      <c r="D51" s="31">
        <f>SUMIFS(JB_27BV,JB_B,2,JB_H,"LCC",JB_RC,"ADD")</f>
        <v/>
      </c>
      <c r="E51" s="31">
        <f>SUMIFS(JB_27BV,JB_B,3,JB_H,"LCC",JB_RC,"ADD")</f>
        <v/>
      </c>
      <c r="F51" s="31">
        <f>SUMIFS(JB_27BV,JB_B,4,JB_H,"LCC",JB_RC,"ADD")</f>
        <v/>
      </c>
      <c r="G51" s="31">
        <f>SUMIFS(JB_27BV,JB_B,5,JB_H,"LCC",JB_RC,"ADD")</f>
        <v/>
      </c>
      <c r="H51" s="31">
        <f>SUM(D51:G51)</f>
        <v/>
      </c>
      <c r="I51" s="37">
        <f>IFERROR(H51/H$53,0)</f>
        <v/>
      </c>
    </row>
    <row r="52" ht="10" customHeight="1">
      <c r="A52" s="30" t="inlineStr">
        <is>
          <t>LSD</t>
        </is>
      </c>
      <c r="B52" s="30" t="inlineStr">
        <is>
          <t>Amphibious Warfare Ships</t>
        </is>
      </c>
      <c r="C52" s="30" t="inlineStr">
        <is>
          <t>USN</t>
        </is>
      </c>
      <c r="D52" s="31">
        <f>SUMIFS(JB_27BV,JB_B,2,JB_H,"LSD",JB_RC,"ADD")</f>
        <v/>
      </c>
      <c r="E52" s="31">
        <f>SUMIFS(JB_27BV,JB_B,3,JB_H,"LSD",JB_RC,"ADD")</f>
        <v/>
      </c>
      <c r="F52" s="31">
        <f>SUMIFS(JB_27BV,JB_B,4,JB_H,"LSD",JB_RC,"ADD")</f>
        <v/>
      </c>
      <c r="G52" s="31">
        <f>SUMIFS(JB_27BV,JB_B,5,JB_H,"LSD",JB_RC,"ADD")</f>
        <v/>
      </c>
      <c r="H52" s="31">
        <f>SUM(D52:G52)</f>
        <v/>
      </c>
      <c r="I52" s="37">
        <f>IFERROR(H52/H$53,0)</f>
        <v/>
      </c>
    </row>
    <row r="53" ht="10" customHeight="1">
      <c r="A53" s="32" t="inlineStr">
        <is>
          <t>MRO SAM (all programs)</t>
        </is>
      </c>
      <c r="B53" s="32" t="inlineStr"/>
      <c r="C53" s="32" t="inlineStr"/>
      <c r="D53" s="33">
        <f>SUM(D46:D52)</f>
        <v/>
      </c>
      <c r="E53" s="33">
        <f>SUM(E46:E52)</f>
        <v/>
      </c>
      <c r="F53" s="33">
        <f>SUM(F46:F52)</f>
        <v/>
      </c>
      <c r="G53" s="33">
        <f>SUM(G46:G52)</f>
        <v/>
      </c>
      <c r="H53" s="33">
        <f>SUM(H46:H52)</f>
        <v/>
      </c>
      <c r="I53" s="38" t="n">
        <v>1</v>
      </c>
    </row>
    <row r="54" ht="10" customHeight="1"/>
    <row r="55" ht="10" customHeight="1"/>
    <row r="56" ht="10" customHeight="1">
      <c r="A56" s="27" t="inlineStr">
        <is>
          <t>(F) MRO SAM — Work Type by Hull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DDG</t>
        </is>
      </c>
      <c r="C58" s="29" t="inlineStr">
        <is>
          <t>LCS</t>
        </is>
      </c>
      <c r="D58" s="29" t="inlineStr">
        <is>
          <t>LPD</t>
        </is>
      </c>
      <c r="E58" s="29" t="inlineStr">
        <is>
          <t>LHD</t>
        </is>
      </c>
      <c r="F58" s="29" t="inlineStr">
        <is>
          <t>T-AGOS</t>
        </is>
      </c>
      <c r="G58" s="29" t="inlineStr">
        <is>
          <t>LCC</t>
        </is>
      </c>
      <c r="H58" s="29" t="inlineStr">
        <is>
          <t>LSD</t>
        </is>
      </c>
      <c r="I58" s="42" t="inlineStr">
        <is>
          <t>Total</t>
        </is>
      </c>
    </row>
    <row r="59" ht="10" customHeight="1">
      <c r="A59" s="30" t="inlineStr">
        <is>
          <t>Scheduled Depot Maintenance</t>
        </is>
      </c>
      <c r="B59" s="43">
        <f>IFERROR((SUMIFS(JB_27BV,JB_B,2,JB_H,"DDG",JB_RC,"ADD"))/B$63,0)</f>
        <v/>
      </c>
      <c r="C59" s="37">
        <f>IFERROR((SUMIFS(JB_27BV,JB_B,2,JB_H,"LCS",JB_RC,"ADD"))/C$63,0)</f>
        <v/>
      </c>
      <c r="D59" s="37">
        <f>IFERROR((SUMIFS(JB_27BV,JB_B,2,JB_H,"LPD",JB_RC,"ADD"))/D$63,0)</f>
        <v/>
      </c>
      <c r="E59" s="37">
        <f>IFERROR((SUMIFS(JB_27BV,JB_B,2,JB_H,"LHD",JB_RC,"ADD"))/E$63,0)</f>
        <v/>
      </c>
      <c r="F59" s="37">
        <f>IFERROR((SUMIFS(JB_27BV,JB_B,2,JB_H,"T-AGOS",JB_RC,"ADD"))/F$63,0)</f>
        <v/>
      </c>
      <c r="G59" s="37">
        <f>IFERROR((SUMIFS(JB_27BV,JB_B,2,JB_H,"LCC",JB_RC,"ADD"))/G$63,0)</f>
        <v/>
      </c>
      <c r="H59" s="37">
        <f>IFERROR((SUMIFS(JB_27BV,JB_B,2,JB_H,"LSD",JB_RC,"ADD"))/H$63,0)</f>
        <v/>
      </c>
      <c r="I59" s="43">
        <f>IFERROR((SUMIFS(JB_27BV,JB_B,2,JB_H,"DDG",JB_RC,"ADD")+SUMIFS(JB_27BV,JB_B,2,JB_H,"LCS",JB_RC,"ADD")+SUMIFS(JB_27BV,JB_B,2,JB_H,"LPD",JB_RC,"ADD")+SUMIFS(JB_27BV,JB_B,2,JB_H,"LHD",JB_RC,"ADD")+SUMIFS(JB_27BV,JB_B,2,JB_H,"T-AGOS",JB_RC,"ADD")+SUMIFS(JB_27BV,JB_B,2,JB_H,"LCC",JB_RC,"ADD")+SUMIFS(JB_27BV,JB_B,2,JB_H,"LSD",JB_RC,"ADD"))/I$63,0)</f>
        <v/>
      </c>
    </row>
    <row r="60" ht="10" customHeight="1">
      <c r="A60" s="30" t="inlineStr">
        <is>
          <t>Continuous / Emergent Maintenance</t>
        </is>
      </c>
      <c r="B60" s="43">
        <f>IFERROR((SUMIFS(JB_27BV,JB_B,3,JB_H,"DDG",JB_RC,"ADD"))/B$63,0)</f>
        <v/>
      </c>
      <c r="C60" s="37">
        <f>IFERROR((SUMIFS(JB_27BV,JB_B,3,JB_H,"LCS",JB_RC,"ADD"))/C$63,0)</f>
        <v/>
      </c>
      <c r="D60" s="37">
        <f>IFERROR((SUMIFS(JB_27BV,JB_B,3,JB_H,"LPD",JB_RC,"ADD"))/D$63,0)</f>
        <v/>
      </c>
      <c r="E60" s="37">
        <f>IFERROR((SUMIFS(JB_27BV,JB_B,3,JB_H,"LHD",JB_RC,"ADD"))/E$63,0)</f>
        <v/>
      </c>
      <c r="F60" s="37">
        <f>IFERROR((SUMIFS(JB_27BV,JB_B,3,JB_H,"T-AGOS",JB_RC,"ADD"))/F$63,0)</f>
        <v/>
      </c>
      <c r="G60" s="37">
        <f>IFERROR((SUMIFS(JB_27BV,JB_B,3,JB_H,"LCC",JB_RC,"ADD"))/G$63,0)</f>
        <v/>
      </c>
      <c r="H60" s="37">
        <f>IFERROR((SUMIFS(JB_27BV,JB_B,3,JB_H,"LSD",JB_RC,"ADD"))/H$63,0)</f>
        <v/>
      </c>
      <c r="I60" s="43">
        <f>IFERROR((SUMIFS(JB_27BV,JB_B,3,JB_H,"DDG",JB_RC,"ADD")+SUMIFS(JB_27BV,JB_B,3,JB_H,"LCS",JB_RC,"ADD")+SUMIFS(JB_27BV,JB_B,3,JB_H,"LPD",JB_RC,"ADD")+SUMIFS(JB_27BV,JB_B,3,JB_H,"LHD",JB_RC,"ADD")+SUMIFS(JB_27BV,JB_B,3,JB_H,"T-AGOS",JB_RC,"ADD")+SUMIFS(JB_27BV,JB_B,3,JB_H,"LCC",JB_RC,"ADD")+SUMIFS(JB_27BV,JB_B,3,JB_H,"LSD",JB_RC,"ADD"))/I$63,0)</f>
        <v/>
      </c>
    </row>
    <row r="61" ht="10" customHeight="1">
      <c r="A61" s="30" t="inlineStr">
        <is>
          <t>Modernization</t>
        </is>
      </c>
      <c r="B61" s="43">
        <f>IFERROR((SUMIFS(JB_27BV,JB_B,4,JB_H,"DDG",JB_RC,"ADD"))/B$63,0)</f>
        <v/>
      </c>
      <c r="C61" s="37">
        <f>IFERROR((SUMIFS(JB_27BV,JB_B,4,JB_H,"LCS",JB_RC,"ADD"))/C$63,0)</f>
        <v/>
      </c>
      <c r="D61" s="37">
        <f>IFERROR((SUMIFS(JB_27BV,JB_B,4,JB_H,"LPD",JB_RC,"ADD"))/D$63,0)</f>
        <v/>
      </c>
      <c r="E61" s="37">
        <f>IFERROR((SUMIFS(JB_27BV,JB_B,4,JB_H,"LHD",JB_RC,"ADD"))/E$63,0)</f>
        <v/>
      </c>
      <c r="F61" s="37">
        <f>IFERROR((SUMIFS(JB_27BV,JB_B,4,JB_H,"T-AGOS",JB_RC,"ADD"))/F$63,0)</f>
        <v/>
      </c>
      <c r="G61" s="37">
        <f>IFERROR((SUMIFS(JB_27BV,JB_B,4,JB_H,"LCC",JB_RC,"ADD"))/G$63,0)</f>
        <v/>
      </c>
      <c r="H61" s="37">
        <f>IFERROR((SUMIFS(JB_27BV,JB_B,4,JB_H,"LSD",JB_RC,"ADD"))/H$63,0)</f>
        <v/>
      </c>
      <c r="I61" s="43">
        <f>IFERROR((SUMIFS(JB_27BV,JB_B,4,JB_H,"DDG",JB_RC,"ADD")+SUMIFS(JB_27BV,JB_B,4,JB_H,"LCS",JB_RC,"ADD")+SUMIFS(JB_27BV,JB_B,4,JB_H,"LPD",JB_RC,"ADD")+SUMIFS(JB_27BV,JB_B,4,JB_H,"LHD",JB_RC,"ADD")+SUMIFS(JB_27BV,JB_B,4,JB_H,"T-AGOS",JB_RC,"ADD")+SUMIFS(JB_27BV,JB_B,4,JB_H,"LCC",JB_RC,"ADD")+SUMIFS(JB_27BV,JB_B,4,JB_H,"LSD",JB_RC,"ADD"))/I$63,0)</f>
        <v/>
      </c>
    </row>
    <row r="62" ht="10" customHeight="1">
      <c r="A62" s="30" t="inlineStr">
        <is>
          <t>Major Life-Cycle Events / RCOH</t>
        </is>
      </c>
      <c r="B62" s="43">
        <f>IFERROR((SUMIFS(JB_27BV,JB_B,5,JB_H,"DDG",JB_RC,"ADD"))/B$63,0)</f>
        <v/>
      </c>
      <c r="C62" s="37">
        <f>IFERROR((SUMIFS(JB_27BV,JB_B,5,JB_H,"LCS",JB_RC,"ADD"))/C$63,0)</f>
        <v/>
      </c>
      <c r="D62" s="37">
        <f>IFERROR((SUMIFS(JB_27BV,JB_B,5,JB_H,"LPD",JB_RC,"ADD"))/D$63,0)</f>
        <v/>
      </c>
      <c r="E62" s="37">
        <f>IFERROR((SUMIFS(JB_27BV,JB_B,5,JB_H,"LHD",JB_RC,"ADD"))/E$63,0)</f>
        <v/>
      </c>
      <c r="F62" s="37">
        <f>IFERROR((SUMIFS(JB_27BV,JB_B,5,JB_H,"T-AGOS",JB_RC,"ADD"))/F$63,0)</f>
        <v/>
      </c>
      <c r="G62" s="37">
        <f>IFERROR((SUMIFS(JB_27BV,JB_B,5,JB_H,"LCC",JB_RC,"ADD"))/G$63,0)</f>
        <v/>
      </c>
      <c r="H62" s="37">
        <f>IFERROR((SUMIFS(JB_27BV,JB_B,5,JB_H,"LSD",JB_RC,"ADD"))/H$63,0)</f>
        <v/>
      </c>
      <c r="I62" s="43">
        <f>IFERROR((SUMIFS(JB_27BV,JB_B,5,JB_H,"DDG",JB_RC,"ADD")+SUMIFS(JB_27BV,JB_B,5,JB_H,"LCS",JB_RC,"ADD")+SUMIFS(JB_27BV,JB_B,5,JB_H,"LPD",JB_RC,"ADD")+SUMIFS(JB_27BV,JB_B,5,JB_H,"LHD",JB_RC,"ADD")+SUMIFS(JB_27BV,JB_B,5,JB_H,"T-AGOS",JB_RC,"ADD")+SUMIFS(JB_27BV,JB_B,5,JB_H,"LCC",JB_RC,"ADD")+SUMIFS(JB_27BV,JB_B,5,JB_H,"LSD",JB_RC,"ADD"))/I$63,0)</f>
        <v/>
      </c>
    </row>
    <row r="63" ht="10" customHeight="1">
      <c r="A63" s="32" t="inlineStr">
        <is>
          <t>Total ($K)</t>
        </is>
      </c>
      <c r="B63" s="44">
        <f>SUMIFS(JB_27BV,JB_B,2,JB_H,"DDG",JB_RC,"ADD")+SUMIFS(JB_27BV,JB_B,3,JB_H,"DDG",JB_RC,"ADD")+SUMIFS(JB_27BV,JB_B,4,JB_H,"DDG",JB_RC,"ADD")+SUMIFS(JB_27BV,JB_B,5,JB_H,"DDG",JB_RC,"ADD")</f>
        <v/>
      </c>
      <c r="C63" s="33">
        <f>SUMIFS(JB_27BV,JB_B,2,JB_H,"LCS",JB_RC,"ADD")+SUMIFS(JB_27BV,JB_B,3,JB_H,"LCS",JB_RC,"ADD")+SUMIFS(JB_27BV,JB_B,4,JB_H,"LCS",JB_RC,"ADD")+SUMIFS(JB_27BV,JB_B,5,JB_H,"LCS",JB_RC,"ADD")</f>
        <v/>
      </c>
      <c r="D63" s="33">
        <f>SUMIFS(JB_27BV,JB_B,2,JB_H,"LPD",JB_RC,"ADD")+SUMIFS(JB_27BV,JB_B,3,JB_H,"LPD",JB_RC,"ADD")+SUMIFS(JB_27BV,JB_B,4,JB_H,"LPD",JB_RC,"ADD")+SUMIFS(JB_27BV,JB_B,5,JB_H,"LPD",JB_RC,"ADD")</f>
        <v/>
      </c>
      <c r="E63" s="33">
        <f>SUMIFS(JB_27BV,JB_B,2,JB_H,"LHD",JB_RC,"ADD")+SUMIFS(JB_27BV,JB_B,3,JB_H,"LHD",JB_RC,"ADD")+SUMIFS(JB_27BV,JB_B,4,JB_H,"LHD",JB_RC,"ADD")+SUMIFS(JB_27BV,JB_B,5,JB_H,"LHD",JB_RC,"ADD")</f>
        <v/>
      </c>
      <c r="F63" s="33">
        <f>SUMIFS(JB_27BV,JB_B,2,JB_H,"T-AGOS",JB_RC,"ADD")+SUMIFS(JB_27BV,JB_B,3,JB_H,"T-AGOS",JB_RC,"ADD")+SUMIFS(JB_27BV,JB_B,4,JB_H,"T-AGOS",JB_RC,"ADD")+SUMIFS(JB_27BV,JB_B,5,JB_H,"T-AGOS",JB_RC,"ADD")</f>
        <v/>
      </c>
      <c r="G63" s="33">
        <f>SUMIFS(JB_27BV,JB_B,2,JB_H,"LCC",JB_RC,"ADD")+SUMIFS(JB_27BV,JB_B,3,JB_H,"LCC",JB_RC,"ADD")+SUMIFS(JB_27BV,JB_B,4,JB_H,"LCC",JB_RC,"ADD")+SUMIFS(JB_27BV,JB_B,5,JB_H,"LCC",JB_RC,"ADD")</f>
        <v/>
      </c>
      <c r="H63" s="33">
        <f>SUMIFS(JB_27BV,JB_B,2,JB_H,"LSD",JB_RC,"ADD")+SUMIFS(JB_27BV,JB_B,3,JB_H,"LSD",JB_RC,"ADD")+SUMIFS(JB_27BV,JB_B,4,JB_H,"LSD",JB_RC,"ADD")+SUMIFS(JB_27BV,JB_B,5,JB_H,"LSD",JB_RC,"ADD")</f>
        <v/>
      </c>
      <c r="I63" s="44">
        <f>SUM(B63:H63)</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8"/>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9"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9"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9"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9"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9"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9" t="inlineStr">
        <is>
          <t>USN — United States Navy</t>
        </is>
      </c>
      <c r="B102" s="39" t="n"/>
      <c r="C102" s="39" t="n"/>
    </row>
    <row r="103" ht="10" customHeight="1">
      <c r="A103" s="26" t="inlineStr">
        <is>
          <t>Commissioned warships and support craft with Navy crews.</t>
        </is>
      </c>
    </row>
    <row r="104" ht="10" customHeight="1"/>
    <row r="105" ht="10" customHeight="1">
      <c r="A105" s="49"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9"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9"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9"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9"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9"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9" t="inlineStr">
        <is>
          <t>USCG — United States Coast Guard</t>
        </is>
      </c>
      <c r="B165" s="39" t="n"/>
      <c r="C165" s="39" t="n"/>
    </row>
    <row r="166" ht="10" customHeight="1">
      <c r="A166" s="26" t="inlineStr">
        <is>
          <t>Cutters and boats. Part of DHS, not DoD.</t>
        </is>
      </c>
    </row>
    <row r="167" ht="10" customHeight="1"/>
    <row r="168" ht="10" customHeight="1">
      <c r="A168" s="49"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9"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9"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9"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9"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9"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9"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9"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9"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9"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9"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9"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9"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9"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9"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9"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9"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 + P-8a System Detail</t>
        </is>
      </c>
      <c r="B329"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9" s="26" t="inlineStr">
        <is>
          <t>P-5c rows use SUMIFS on [ALT_VIEW] with JB_EX="P-5c". P-8a detail rows (green font) use JB_EX="P-8a" with JB_CE for each system. Sorted by value descending within category.</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row r="332" ht="10" customHeight="1">
      <c r="A332" s="26" t="inlineStr">
        <is>
          <t>FY2027 has no sections (D)/(E) — justification books (P-5c, P-8a, P-35) not yet released.</t>
        </is>
      </c>
    </row>
    <row r="333" ht="10" customHeight="1"/>
    <row r="334" ht="10" customHeight="1">
      <c r="A334" s="27" t="inlineStr">
        <is>
          <t>FY2027 Methodology &amp; Sourcing</t>
        </is>
      </c>
      <c r="B334" s="28" t="n"/>
      <c r="C334" s="28" t="n"/>
    </row>
    <row r="335" ht="10" customHeight="1">
      <c r="A335" s="26" t="inlineStr">
        <is>
          <t>How FY2027 columns were populated, sourcing, and methodological notes</t>
        </is>
      </c>
    </row>
    <row r="336" ht="10" customHeight="1">
      <c r="A336" s="29" t="inlineStr">
        <is>
          <t>Topic</t>
        </is>
      </c>
      <c r="B336" s="29" t="inlineStr">
        <is>
          <t>Description</t>
        </is>
      </c>
      <c r="C336" s="29" t="inlineStr">
        <is>
          <t>Notes</t>
        </is>
      </c>
    </row>
    <row r="337" ht="10" customHeight="1">
      <c r="A337" s="30" t="inlineStr">
        <is>
          <t>Source document</t>
        </is>
      </c>
      <c r="B337" s="30" t="inlineStr">
        <is>
          <t>FY 2027 P-1 / O-1 (April 2026). New columns: FY2027 Request ($K), FY2027 Mandatory Request ($K), FY2027 Total ($K) at cols Z/AA/AB.</t>
        </is>
      </c>
      <c r="C337" s="26" t="inlineStr">
        <is>
          <t>Status: REQUEST only, not enacted.</t>
        </is>
      </c>
    </row>
    <row r="338" ht="10" customHeight="1">
      <c r="A338" s="30" t="inlineStr">
        <is>
          <t>Discretionary vs Mandatory</t>
        </is>
      </c>
      <c r="B338" s="30" t="inlineStr">
        <is>
          <t>Two FY27 request columns: Discretionary Request (regular annual base) and Mandatory Request (a NEW reconciliation ask, separate from OBBBA, NOT enacted, NOT guaranteed).</t>
        </is>
      </c>
      <c r="C338" s="26" t="inlineStr">
        <is>
          <t>SCN FY27: Disc $60.18B + Mand $5.65B = $65.83B.</t>
        </is>
      </c>
    </row>
    <row r="339" ht="10" customHeight="1">
      <c r="A339" s="30" t="inlineStr">
        <is>
          <t>TAM formula (FY27)</t>
        </is>
      </c>
      <c r="B339" s="30" t="inlineStr">
        <is>
          <t>Same as FY26 — sum (no tag) + [PARENT] rows. Uses FY2027 Total as per-row value.</t>
        </is>
      </c>
      <c r="C339" s="26" t="inlineStr">
        <is>
          <t>Same double-counting guards apply.</t>
        </is>
      </c>
    </row>
    <row r="340" ht="10" customHeight="1">
      <c r="A340" s="30" t="inlineStr">
        <is>
          <t>Net vs Gross convention</t>
        </is>
      </c>
      <c r="B340" s="30" t="inlineStr">
        <is>
          <t>PARENT = NET (gross − Less:AP − Less:SFF). Same as FY26 DAA columns.</t>
        </is>
      </c>
      <c r="C340" s="26" t="inlineStr">
        <is>
          <t>Completion-PY rolldowns excluded from PARENT (live in [SUB] rows).</t>
        </is>
      </c>
    </row>
    <row r="341" ht="10" customHeight="1">
      <c r="A341" s="30" t="inlineStr">
        <is>
          <t>OBBBA exclusion</t>
        </is>
      </c>
      <c r="B341" s="30" t="inlineStr">
        <is>
          <t>OBBBA (PL 119-21) is FY2026-only budget authority. 100% captured in FY2026 DAA columns. No FY27 OBBBA column — adding one would double-count.</t>
        </is>
      </c>
      <c r="C341" s="26" t="inlineStr">
        <is>
          <t>OBBBA contracts may sign in FY27/FY28 but BA is all FY26.</t>
        </is>
      </c>
    </row>
    <row r="342" ht="10" customHeight="1">
      <c r="A342" s="30" t="inlineStr">
        <is>
          <t>Budget authority vs outlays</t>
        </is>
      </c>
      <c r="B342" s="30" t="inlineStr">
        <is>
          <t>This workbook measures BUDGET AUTHORITY (BA), not outlays. OBBBA gave $152.3B of FY2026 BA, available for obligation through Sept 30, 2029.</t>
        </is>
      </c>
      <c r="C342" s="26" t="inlineStr">
        <is>
          <t>Apples-to-apples basis for cross-year comparison.</t>
        </is>
      </c>
    </row>
    <row r="343" ht="10" customHeight="1">
      <c r="A343" s="30" t="inlineStr">
        <is>
          <t>FY27 Mandatory vs OBBBA</t>
        </is>
      </c>
      <c r="B343" s="30" t="inlineStr">
        <is>
          <t>Different pots of money. OBBBA = enacted FY26 mandatory (PL 119-21, July 2025). FY27 Mandatory = a NEW ask in the Apr 2026 PB submission — NOT enacted.</t>
        </is>
      </c>
      <c r="C343" s="26" t="inlineStr">
        <is>
          <t>SCN FY27 Mand = $5.65B vs. SCN FY26 OBBBA = $17.93B.</t>
        </is>
      </c>
    </row>
    <row r="344" ht="10" customHeight="1">
      <c r="A344" s="30" t="inlineStr">
        <is>
          <t>Coverage by source book</t>
        </is>
      </c>
      <c r="B344" s="30" t="inlineStr">
        <is>
          <t>High for SCN/OPN/WPN (line-item match). Blank for OMN/NWCF (SAG-level only) and USCG (DHS, not DoD).</t>
        </is>
      </c>
      <c r="C344" s="26" t="inlineStr">
        <is>
          <t>OMN/NWCF: Phase 2 prorated allocation. USCG: Phase 3 (DHS CJ).</t>
        </is>
      </c>
    </row>
    <row r="345" ht="10" customHeight="1">
      <c r="A345" s="30" t="inlineStr">
        <is>
          <t>New programs (v1.21)</t>
        </is>
      </c>
      <c r="B345" s="30" t="inlineStr">
        <is>
          <t>9 new SCN rows for FY27 P-1 items not in v1.20: Surface Ship IB, BBG(X), FF(X), AS Sub Tender, SMS, Next Gen Logistics Ship, Bulk Fuel Vessel, T-AH(X), Fireboats.</t>
        </is>
      </c>
      <c r="C345" s="26" t="inlineStr">
        <is>
          <t>Each: Source=SCN, no Row Type tag (additive), full taxonomy where available.</t>
        </is>
      </c>
    </row>
    <row r="346" ht="10" customHeight="1">
      <c r="A346" s="30" t="inlineStr">
        <is>
          <t>1613N Maritime Industrial Base Fund</t>
        </is>
      </c>
      <c r="B346" s="30" t="inlineStr">
        <is>
          <t>NOT added — FY26-only appropriation. Two line items (Sub IB $2.54B, Surface Ship IB $1.99B) are zero in FY27. OBBBA-only money already captured by other rows.</t>
        </is>
      </c>
    </row>
    <row r="347" ht="10" customHeight="1"/>
    <row r="348" ht="10" customHeight="1">
      <c r="A348" s="27" t="inlineStr">
        <is>
          <t>Data Quality Flags</t>
        </is>
      </c>
      <c r="B348" s="28" t="n"/>
      <c r="C348" s="28" t="n"/>
    </row>
    <row r="349" ht="10" customHeight="1">
      <c r="A349" s="26" t="inlineStr">
        <is>
          <t>Known duplicates, inconsistencies, and data quality issues in the current dataset</t>
        </is>
      </c>
    </row>
    <row r="350" ht="10" customHeight="1">
      <c r="A350" s="29" t="inlineStr">
        <is>
          <t>Issue</t>
        </is>
      </c>
      <c r="B350" s="29" t="inlineStr">
        <is>
          <t>Description</t>
        </is>
      </c>
      <c r="C350" s="29" t="inlineStr">
        <is>
          <t>Resolution</t>
        </is>
      </c>
    </row>
    <row r="351" ht="10" customHeight="1">
      <c r="A351" s="30" t="inlineStr">
        <is>
          <t>Surface Combatants variant (RESOLVED)</t>
        </is>
      </c>
      <c r="B351" s="30" t="inlineStr">
        <is>
          <t>Submarket column previously had hyphen and en-dash variants. As of v1.22, all standardized.</t>
        </is>
      </c>
      <c r="C351" s="26" t="inlineStr">
        <is>
          <t>Re-run consolidation if reloading from en-dash sources.</t>
        </is>
      </c>
    </row>
    <row r="352" ht="10" customHeight="1">
      <c r="A352" s="30" t="inlineStr">
        <is>
          <t>OPN_BA3 / BA5-8 duplicate rows</t>
        </is>
      </c>
      <c r="B352" s="30" t="inlineStr">
        <is>
          <t>5 line items appear in both OPN_BA3 and OPN_BA5-8. Double-count when summed across all OPN_BAx.</t>
        </is>
      </c>
      <c r="C352" s="26" t="inlineStr">
        <is>
          <t>Est. impact: +$1.0M to +$1.3M. Pick canonical source, blank the other.</t>
        </is>
      </c>
    </row>
    <row r="353" ht="10" customHeight="1">
      <c r="A353" s="30" t="inlineStr">
        <is>
          <t>LI 116 Advanced Arresting Gear (AAG)</t>
        </is>
      </c>
      <c r="B353" s="30" t="inlineStr">
        <is>
          <t>OPN_BA3 R2890 + OPN_BA5-8 R3208. Both reference same P-1 line item.</t>
        </is>
      </c>
      <c r="C353" s="26" t="inlineStr">
        <is>
          <t>Both FY27 = $23,551K. Pick one.</t>
        </is>
      </c>
    </row>
    <row r="354" ht="10" customHeight="1">
      <c r="A354" s="30" t="inlineStr">
        <is>
          <t>LI 117 EMALS</t>
        </is>
      </c>
      <c r="B354" s="30" t="inlineStr">
        <is>
          <t>OPN_BA3 R2901 + OPN_BA5-8 R3209. Both reference same P-1 line item.</t>
        </is>
      </c>
      <c r="C354" s="26" t="inlineStr">
        <is>
          <t>Both FY27 = $36,908K. Pick one.</t>
        </is>
      </c>
    </row>
    <row r="355" ht="10" customHeight="1">
      <c r="A355" s="30" t="inlineStr">
        <is>
          <t>LI 122 UMCS-UCA Mission Control Station</t>
        </is>
      </c>
      <c r="B355" s="30" t="inlineStr">
        <is>
          <t>OPN_BA3 R2947 + OPN_BA5-8 R3210. Both reference same P-1 line item.</t>
        </is>
      </c>
      <c r="C355" s="26" t="inlineStr">
        <is>
          <t>Both FY27 = $211,216K. Pick one.</t>
        </is>
      </c>
    </row>
    <row r="356" ht="10" customHeight="1">
      <c r="A356" s="30" t="inlineStr">
        <is>
          <t>LI 176 Spares and Repair Parts</t>
        </is>
      </c>
      <c r="B356" s="30" t="inlineStr">
        <is>
          <t>OPN_BA3 R2973 + OPN_BA5-8 R3220. Both reference P-1 BA08 line 176.</t>
        </is>
      </c>
      <c r="C356" s="26" t="inlineStr">
        <is>
          <t>Both FY27 = $765,711K. Largest single-line double-count.</t>
        </is>
      </c>
    </row>
    <row r="357" ht="10" customHeight="1">
      <c r="A357" s="30" t="inlineStr">
        <is>
          <t>LI 177 VIRGINIA Class Spares</t>
        </is>
      </c>
      <c r="B357" s="30" t="inlineStr">
        <is>
          <t>OPN_BA3 R2974 + OPN_BA5-8 R3221. In FY27, P-1 lacks a separate Virginia spares line — both rows blank in FY27.</t>
        </is>
      </c>
      <c r="C357" s="26" t="inlineStr">
        <is>
          <t>FY26: both have data. Consider prorating as share of consolidated BA08.</t>
        </is>
      </c>
    </row>
    <row r="358" ht="10" customHeight="1"/>
    <row r="359" ht="10" customHeight="1">
      <c r="A359" s="27" t="inlineStr">
        <is>
          <t>Phase 2 — OMN/NWCF FY27 Allocation (Planned)</t>
        </is>
      </c>
      <c r="B359" s="28" t="n"/>
      <c r="C359" s="28" t="n"/>
    </row>
    <row r="360" ht="10" customHeight="1">
      <c r="A360" s="26" t="inlineStr">
        <is>
          <t>Planned methodology for populating FY27 values for OMN, OMN_Vol2, and NWCF source books</t>
        </is>
      </c>
    </row>
    <row r="361" ht="10" customHeight="1">
      <c r="A361" s="29" t="inlineStr">
        <is>
          <t>Topic</t>
        </is>
      </c>
      <c r="B361" s="29" t="inlineStr">
        <is>
          <t>Description</t>
        </is>
      </c>
      <c r="C361" s="29" t="inlineStr">
        <is>
          <t>Notes</t>
        </is>
      </c>
    </row>
    <row r="362" ht="10" customHeight="1">
      <c r="A362" s="30" t="inlineStr">
        <is>
          <t>Why a separate sheet</t>
        </is>
      </c>
      <c r="B362" s="30" t="inlineStr">
        <is>
          <t>FY27 O-1/RF-1 only publish SAG-level totals — no per-line detail for OMN/NWCF. A "FY27 Allocation Workbench" will apportion SAG totals to individual rows.</t>
        </is>
      </c>
      <c r="C362" s="26" t="inlineStr">
        <is>
          <t>USCG is DHS, not DoD — cannot be filled from this exhibit set (Phase 3).</t>
        </is>
      </c>
    </row>
    <row r="363" ht="10" customHeight="1">
      <c r="A363" s="30" t="inlineStr">
        <is>
          <t>Allocation rule</t>
        </is>
      </c>
      <c r="B363" s="30" t="inlineStr">
        <is>
          <t>Pro-rate by FY26 share: FY27_row = (FY26_row / FY26_SAG_total) × FY27_SAG_total. Use FY26 DAA Enacted Total as baseline.</t>
        </is>
      </c>
      <c r="C363" s="26" t="inlineStr">
        <is>
          <t>Flag rows where prorated FY27 differs from FY26 by &gt; ±25% for review.</t>
        </is>
      </c>
    </row>
    <row r="364" ht="10" customHeight="1">
      <c r="A364" s="30" t="inlineStr">
        <is>
          <t>Source SAG totals (FY27)</t>
        </is>
      </c>
      <c r="B364" s="30" t="inlineStr">
        <is>
          <t>OMN SAGs: 1A5A Aircraft Depot Maint ($2,220M), 1B1B Mission &amp; Ship Ops ($7,425M), 1B2B Ship Ops Support ($1,713M), 1B4B Ship Depot Maint ($14,293M), 1B5B Depot Ops Support ($2,598M). NWCF: $266M.</t>
        </is>
      </c>
      <c r="C364" s="26" t="inlineStr">
        <is>
          <t>All FY27 Disc Request only — no Mandatory for OMN/NWCF.</t>
        </is>
      </c>
    </row>
    <row r="365" ht="10" customHeight="1">
      <c r="A365" s="30" t="inlineStr">
        <is>
          <t>Workbench structure</t>
        </is>
      </c>
      <c r="B365" s="30" t="inlineStr">
        <is>
          <t>Columns: J Book row #, Source Book, LI, Title, SAG, FY26 DAA, FY26 SAG total, FY26 share %, FY27 SAG total, FY27 prorated, ±25% flag, manual override.</t>
        </is>
      </c>
      <c r="C365" s="26" t="inlineStr">
        <is>
          <t>Manual overrides take precedence when set.</t>
        </is>
      </c>
    </row>
    <row r="366" ht="10" customHeight="1">
      <c r="A366" s="30" t="inlineStr">
        <is>
          <t>SAG → row mapping</t>
        </is>
      </c>
      <c r="B366" s="30" t="inlineStr">
        <is>
          <t>Parse SAG code from the Citation column (e.g., "OMN &gt; BA01 &gt; 1B4B Ship Depot Maintenance &gt; ...").</t>
        </is>
      </c>
      <c r="C366" s="26" t="inlineStr">
        <is>
          <t>Ambiguous/missing citations require manual SAG assignment.</t>
        </is>
      </c>
    </row>
    <row r="367" ht="10" customHeight="1">
      <c r="A367" s="30" t="inlineStr">
        <is>
          <t>Validation after Phase 2</t>
        </is>
      </c>
      <c r="B367" s="30" t="inlineStr">
        <is>
          <t>Sum of prorated FY27 values within a SAG should equal FY27 SAG total. Per-SAG summary: total, sum of prorated, variance.</t>
        </is>
      </c>
      <c r="C367" s="26" t="inlineStr">
        <is>
          <t>Only PARENT and (no tag) rows are additive for the SAG check.</t>
        </is>
      </c>
    </row>
    <row r="368" ht="10" customHeight="1">
      <c r="A368" s="30" t="inlineStr">
        <is>
          <t>USCG handling (Phase 3)</t>
        </is>
      </c>
      <c r="B368" s="30" t="inlineStr">
        <is>
          <t>18 USCG rows cannot be populated from FY27 P-1/O-1 (CG is DHS). Requires FY27 DHS CG Congressional Justification.</t>
        </is>
      </c>
      <c r="C368"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2026-04-14T12:40:54Z</dcterms:modified>
  <cp:lastModifiedBy>Brendan Toole</cp:lastModifiedBy>
</cp:coreProperties>
</file>