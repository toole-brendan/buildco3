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0">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Research, Survey &amp; Instrumentation Ships</t>
        </is>
      </c>
      <c r="B25" s="84" t="inlineStr">
        <is>
          <t>MSC</t>
        </is>
      </c>
      <c r="C25"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5" s="91">
        <f>IFERROR(C25/C$42,0)</f>
        <v/>
      </c>
    </row>
    <row r="26" ht="10" customHeight="1">
      <c r="A26" s="84" t="inlineStr">
        <is>
          <t>Aviation Logistics Support Ship</t>
        </is>
      </c>
      <c r="B26" s="84" t="inlineStr">
        <is>
          <t>USN</t>
        </is>
      </c>
      <c r="C26"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91">
        <f>IFERROR(C26/C$42,0)</f>
        <v/>
      </c>
    </row>
    <row r="27" ht="10" customHeight="1">
      <c r="A27" s="84" t="inlineStr">
        <is>
          <t>High Speed Transport</t>
        </is>
      </c>
      <c r="B27" s="84" t="inlineStr">
        <is>
          <t>USN</t>
        </is>
      </c>
      <c r="C27"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7" s="91">
        <f>IFERROR(C27/C$42,0)</f>
        <v/>
      </c>
    </row>
    <row r="28" ht="10" customHeight="1">
      <c r="A28" s="84" t="inlineStr">
        <is>
          <t>Command Ships</t>
        </is>
      </c>
      <c r="B28" s="84" t="inlineStr">
        <is>
          <t>USN</t>
        </is>
      </c>
      <c r="C28"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8" s="91">
        <f>IFERROR(C28/C$42,0)</f>
        <v/>
      </c>
    </row>
    <row r="29" ht="10" customHeight="1">
      <c r="A29" s="84" t="inlineStr">
        <is>
          <t>General Auxiliary</t>
        </is>
      </c>
      <c r="B29" s="84" t="inlineStr">
        <is>
          <t>USN</t>
        </is>
      </c>
      <c r="C29"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9" s="91">
        <f>IFERROR(C29/C$42,0)</f>
        <v/>
      </c>
    </row>
    <row r="30" ht="10" customHeight="1">
      <c r="A30" s="84" t="inlineStr">
        <is>
          <t>Mine Warfare</t>
        </is>
      </c>
      <c r="B30" s="84" t="inlineStr">
        <is>
          <t>USN</t>
        </is>
      </c>
      <c r="C30"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1">
        <f>IFERROR(C30/C$42,0)</f>
        <v/>
      </c>
    </row>
    <row r="31" ht="10" customHeight="1">
      <c r="A31" s="84" t="inlineStr">
        <is>
          <t>Submarine Escort Ship</t>
        </is>
      </c>
      <c r="B31" s="84" t="inlineStr">
        <is>
          <t>USN</t>
        </is>
      </c>
      <c r="C31"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1" s="91">
        <f>IFERROR(C31/C$42,0)</f>
        <v/>
      </c>
    </row>
    <row r="32" ht="10" customHeight="1">
      <c r="A32" s="84" t="inlineStr">
        <is>
          <t>Material Support Ships</t>
        </is>
      </c>
      <c r="B32" s="84" t="inlineStr">
        <is>
          <t>USN</t>
        </is>
      </c>
      <c r="C32"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2" s="91">
        <f>IFERROR(C32/C$42,0)</f>
        <v/>
      </c>
    </row>
    <row r="33" ht="10" customHeight="1">
      <c r="A33" s="84" t="inlineStr">
        <is>
          <t>Hospital Ship</t>
        </is>
      </c>
      <c r="B33" s="84" t="inlineStr">
        <is>
          <t>MSC</t>
        </is>
      </c>
      <c r="C33"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3" s="91">
        <f>IFERROR(C33/C$42,0)</f>
        <v/>
      </c>
    </row>
    <row r="34" ht="10" customHeight="1">
      <c r="A34" s="84" t="inlineStr">
        <is>
          <t>Crane Ship</t>
        </is>
      </c>
      <c r="B34" s="84" t="inlineStr">
        <is>
          <t>USN</t>
        </is>
      </c>
      <c r="C34"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Coastal Buoy Tenders</t>
        </is>
      </c>
      <c r="B39" s="84" t="inlineStr">
        <is>
          <t>USCG</t>
        </is>
      </c>
      <c r="C39"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1">
        <f>IFERROR(C39/C$42,0)</f>
        <v/>
      </c>
    </row>
    <row r="40" ht="10" customHeight="1">
      <c r="A40" s="84" t="inlineStr">
        <is>
          <t>National Security Cutters</t>
        </is>
      </c>
      <c r="B40" s="84" t="inlineStr">
        <is>
          <t>USCG</t>
        </is>
      </c>
      <c r="C40"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91">
        <f>IFERROR(C40/C$42,0)</f>
        <v/>
      </c>
    </row>
    <row r="41" ht="10" customHeight="1">
      <c r="A41" s="84" t="inlineStr">
        <is>
          <t>Icebreakers, Great Lakes</t>
        </is>
      </c>
      <c r="B41" s="84" t="inlineStr">
        <is>
          <t>USCG</t>
        </is>
      </c>
      <c r="C41"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Research, Survey &amp; Instrumentation Ships</t>
        </is>
      </c>
      <c r="B22" s="84" t="inlineStr">
        <is>
          <t>MSC</t>
        </is>
      </c>
      <c r="C22"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2" s="91">
        <f>IFERROR(C22/C$39,0)</f>
        <v/>
      </c>
    </row>
    <row r="23" ht="10" customHeight="1">
      <c r="A23" s="84" t="inlineStr">
        <is>
          <t>Submarine Escort Ship</t>
        </is>
      </c>
      <c r="B23" s="84" t="inlineStr">
        <is>
          <t>USN</t>
        </is>
      </c>
      <c r="C23"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3" s="91">
        <f>IFERROR(C23/C$39,0)</f>
        <v/>
      </c>
    </row>
    <row r="24" ht="10" customHeight="1">
      <c r="A24" s="84" t="inlineStr">
        <is>
          <t>Material Support Ships</t>
        </is>
      </c>
      <c r="B24" s="84" t="inlineStr">
        <is>
          <t>USN</t>
        </is>
      </c>
      <c r="C24"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4" s="91">
        <f>IFERROR(C24/C$39,0)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1">
        <f>IFERROR(C25/C$39,0)</f>
        <v/>
      </c>
    </row>
    <row r="26" ht="10" customHeight="1">
      <c r="A26" s="84" t="inlineStr">
        <is>
          <t>High Speed Transport</t>
        </is>
      </c>
      <c r="B26" s="84" t="inlineStr">
        <is>
          <t>USN</t>
        </is>
      </c>
      <c r="C26"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6" s="91">
        <f>IFERROR(C26/C$39,0)</f>
        <v/>
      </c>
    </row>
    <row r="27" ht="10" customHeight="1">
      <c r="A27" s="84" t="inlineStr">
        <is>
          <t>Command Ships</t>
        </is>
      </c>
      <c r="B27" s="84" t="inlineStr">
        <is>
          <t>USN</t>
        </is>
      </c>
      <c r="C27"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1">
        <f>IFERROR(C27/C$39,0)</f>
        <v/>
      </c>
    </row>
    <row r="28" ht="10" customHeight="1">
      <c r="A28" s="84" t="inlineStr">
        <is>
          <t>Hospital Ship</t>
        </is>
      </c>
      <c r="B28" s="84" t="inlineStr">
        <is>
          <t>MSC</t>
        </is>
      </c>
      <c r="C28"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8" s="91">
        <f>IFERROR(C28/C$39,0)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1">
        <f>IFERROR(C29/C$39,0)</f>
        <v/>
      </c>
    </row>
    <row r="30" ht="10" customHeight="1">
      <c r="A30" s="84" t="inlineStr">
        <is>
          <t>General Auxiliary</t>
        </is>
      </c>
      <c r="B30" s="84" t="inlineStr">
        <is>
          <t>USN</t>
        </is>
      </c>
      <c r="C30"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91">
        <f>IFERROR(C30/C$39,0)</f>
        <v/>
      </c>
    </row>
    <row r="31" ht="10" customHeight="1">
      <c r="A31" s="84" t="inlineStr">
        <is>
          <t>Mine Warfare</t>
        </is>
      </c>
      <c r="B31" s="84" t="inlineStr">
        <is>
          <t>USN</t>
        </is>
      </c>
      <c r="C31"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1">
        <f>IFERROR(C36/C$39,0)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1">
        <f>IFERROR(C37/C$39,0)</f>
        <v/>
      </c>
    </row>
    <row r="38" ht="10" customHeight="1">
      <c r="A38" s="84" t="inlineStr">
        <is>
          <t>Coastal Buoy Tenders</t>
        </is>
      </c>
      <c r="B38" s="84" t="inlineStr">
        <is>
          <t>USCG</t>
        </is>
      </c>
      <c r="C38"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Unmanned Surface Vehicles</t>
        </is>
      </c>
      <c r="B33" s="84" t="inlineStr">
        <is>
          <t>USN</t>
        </is>
      </c>
      <c r="C33"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3" s="91">
        <f>IFERROR(C33/C$53,0)</f>
        <v/>
      </c>
    </row>
    <row r="34" ht="10" customHeight="1">
      <c r="A34" s="84" t="inlineStr">
        <is>
          <t>Research, Survey &amp; Instrumentation Ships</t>
        </is>
      </c>
      <c r="B34" s="84" t="inlineStr">
        <is>
          <t>MSC</t>
        </is>
      </c>
      <c r="C3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4" s="91">
        <f>IFERROR(C34/C$53,0)</f>
        <v/>
      </c>
    </row>
    <row r="35" ht="10" customHeight="1">
      <c r="A35" s="84" t="inlineStr">
        <is>
          <t>Aviation Logistics Support Ship</t>
        </is>
      </c>
      <c r="B35" s="84" t="inlineStr">
        <is>
          <t>USN</t>
        </is>
      </c>
      <c r="C35"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5" s="91">
        <f>IFERROR(C35/C$53,0)</f>
        <v/>
      </c>
    </row>
    <row r="36" ht="10" customHeight="1">
      <c r="A36" s="84" t="inlineStr">
        <is>
          <t>High Speed Transport</t>
        </is>
      </c>
      <c r="B36" s="84" t="inlineStr">
        <is>
          <t>USN</t>
        </is>
      </c>
      <c r="C36"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6" s="91">
        <f>IFERROR(C36/C$53,0)</f>
        <v/>
      </c>
    </row>
    <row r="37" ht="10" customHeight="1">
      <c r="A37" s="84" t="inlineStr">
        <is>
          <t>Unmanned Undersea Vehicles</t>
        </is>
      </c>
      <c r="B37" s="84" t="inlineStr">
        <is>
          <t>USN</t>
        </is>
      </c>
      <c r="C37"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7" s="91">
        <f>IFERROR(C37/C$53,0)</f>
        <v/>
      </c>
    </row>
    <row r="38" ht="10" customHeight="1">
      <c r="A38" s="84" t="inlineStr">
        <is>
          <t>General Auxiliary</t>
        </is>
      </c>
      <c r="B38" s="84" t="inlineStr">
        <is>
          <t>USN</t>
        </is>
      </c>
      <c r="C38"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8" s="91">
        <f>IFERROR(C38/C$53,0)</f>
        <v/>
      </c>
    </row>
    <row r="39" ht="10" customHeight="1">
      <c r="A39" s="84" t="inlineStr">
        <is>
          <t>Salvage Ships &amp; Fleet Ocean Tugs</t>
        </is>
      </c>
      <c r="B39" s="84" t="inlineStr">
        <is>
          <t>MSC</t>
        </is>
      </c>
      <c r="C39"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9" s="91">
        <f>IFERROR(C39/C$53,0)</f>
        <v/>
      </c>
    </row>
    <row r="40" ht="10" customHeight="1">
      <c r="A40" s="84" t="inlineStr">
        <is>
          <t>Submarine Escort Ship</t>
        </is>
      </c>
      <c r="B40" s="84" t="inlineStr">
        <is>
          <t>USN</t>
        </is>
      </c>
      <c r="C40"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0" s="91">
        <f>IFERROR(C40/C$53,0)</f>
        <v/>
      </c>
    </row>
    <row r="41" ht="10" customHeight="1">
      <c r="A41" s="84" t="inlineStr">
        <is>
          <t>Combat Logistics Ships</t>
        </is>
      </c>
      <c r="B41" s="84" t="inlineStr">
        <is>
          <t>MSC</t>
        </is>
      </c>
      <c r="C41"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1" s="91">
        <f>IFERROR(C41/C$53,0)</f>
        <v/>
      </c>
    </row>
    <row r="42" ht="10" customHeight="1">
      <c r="A42" s="84" t="inlineStr">
        <is>
          <t>Material Support Ships</t>
        </is>
      </c>
      <c r="B42" s="84" t="inlineStr">
        <is>
          <t>USN</t>
        </is>
      </c>
      <c r="C42"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2" s="91">
        <f>IFERROR(C42/C$53,0)</f>
        <v/>
      </c>
    </row>
    <row r="43" ht="10" customHeight="1">
      <c r="A43" s="84" t="inlineStr">
        <is>
          <t>Cargo &amp; Vehicle Cargo Ships</t>
        </is>
      </c>
      <c r="B43" s="84" t="inlineStr">
        <is>
          <t>USN</t>
        </is>
      </c>
      <c r="C43"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3" s="91">
        <f>IFERROR(C43/C$53,0)</f>
        <v/>
      </c>
    </row>
    <row r="44" ht="10" customHeight="1">
      <c r="A44" s="84" t="inlineStr">
        <is>
          <t>Hospital Ship</t>
        </is>
      </c>
      <c r="B44" s="84" t="inlineStr">
        <is>
          <t>MSC</t>
        </is>
      </c>
      <c r="C44"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4" s="91">
        <f>IFERROR(C44/C$53,0)</f>
        <v/>
      </c>
    </row>
    <row r="45" ht="10" customHeight="1">
      <c r="A45" s="84" t="inlineStr">
        <is>
          <t>Crane Ship</t>
        </is>
      </c>
      <c r="B45" s="84" t="inlineStr">
        <is>
          <t>USN</t>
        </is>
      </c>
      <c r="C45"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Fast Response Cutters</t>
        </is>
      </c>
      <c r="B47" s="84" t="inlineStr">
        <is>
          <t>USCG</t>
        </is>
      </c>
      <c r="C4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7" s="91">
        <f>IFERROR(C47/C$53,0)</f>
        <v/>
      </c>
    </row>
    <row r="48" ht="10" customHeight="1">
      <c r="A48" s="84" t="inlineStr">
        <is>
          <t>Waterways Commerce Cutters</t>
        </is>
      </c>
      <c r="B48" s="84" t="inlineStr">
        <is>
          <t>USCG</t>
        </is>
      </c>
      <c r="C48"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8" s="91">
        <f>IFERROR(C48/C$53,0)</f>
        <v/>
      </c>
    </row>
    <row r="49" ht="10" customHeight="1">
      <c r="A49" s="84" t="inlineStr">
        <is>
          <t>Icebreakers, Oceangoing</t>
        </is>
      </c>
      <c r="B49" s="84" t="inlineStr">
        <is>
          <t>USCG</t>
        </is>
      </c>
      <c r="C4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91">
        <f>IFERROR(C49/C$53,0)</f>
        <v/>
      </c>
    </row>
    <row r="50" ht="10" customHeight="1">
      <c r="A50" s="84" t="inlineStr">
        <is>
          <t>Coastal Buoy Tenders</t>
        </is>
      </c>
      <c r="B50" s="84" t="inlineStr">
        <is>
          <t>USCG</t>
        </is>
      </c>
      <c r="C50"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0" s="91">
        <f>IFERROR(C50/C$53,0)</f>
        <v/>
      </c>
    </row>
    <row r="51" ht="10" customHeight="1">
      <c r="A51" s="84" t="inlineStr">
        <is>
          <t>Icebreakers, Great Lakes</t>
        </is>
      </c>
      <c r="B51" s="84" t="inlineStr">
        <is>
          <t>USCG</t>
        </is>
      </c>
      <c r="C51"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1" s="91">
        <f>IFERROR(C51/C$53,0)</f>
        <v/>
      </c>
    </row>
    <row r="52" ht="10" customHeight="1">
      <c r="A52" s="84" t="inlineStr">
        <is>
          <t>Offshore Patrol Cutter</t>
        </is>
      </c>
      <c r="B52" s="84" t="inlineStr">
        <is>
          <t>USCG</t>
        </is>
      </c>
      <c r="C52"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Unmanned Surface Vehicles</t>
        </is>
      </c>
      <c r="B21" s="84" t="inlineStr">
        <is>
          <t>USN</t>
        </is>
      </c>
      <c r="C21"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1"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1" s="85">
        <f>C21+D21</f>
        <v/>
      </c>
      <c r="F21" s="91">
        <f>IFERROR(E21/E$40,0)</f>
        <v/>
      </c>
    </row>
    <row r="22" ht="10" customHeight="1">
      <c r="A22" s="84" t="inlineStr">
        <is>
          <t>Research, Survey &amp; Instrumentation Ships</t>
        </is>
      </c>
      <c r="B22" s="84" t="inlineStr">
        <is>
          <t>MSC</t>
        </is>
      </c>
      <c r="C22"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2"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2" s="85">
        <f>C22+D22</f>
        <v/>
      </c>
      <c r="F22" s="91">
        <f>IFERROR(E22/E$40,0)</f>
        <v/>
      </c>
    </row>
    <row r="23" ht="10" customHeight="1">
      <c r="A23" s="84" t="inlineStr">
        <is>
          <t>Submarine Escort Ship</t>
        </is>
      </c>
      <c r="B23" s="84" t="inlineStr">
        <is>
          <t>USN</t>
        </is>
      </c>
      <c r="C23"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3"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3" s="85">
        <f>C23+D23</f>
        <v/>
      </c>
      <c r="F23" s="91">
        <f>IFERROR(E23/E$40,0)</f>
        <v/>
      </c>
    </row>
    <row r="24" ht="10" customHeight="1">
      <c r="A24" s="84" t="inlineStr">
        <is>
          <t>Combat Logistics Ships</t>
        </is>
      </c>
      <c r="B24" s="84" t="inlineStr">
        <is>
          <t>MSC</t>
        </is>
      </c>
      <c r="C24"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4"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4" s="85">
        <f>C24+D24</f>
        <v/>
      </c>
      <c r="F24" s="91">
        <f>IFERROR(E24/E$40,0)</f>
        <v/>
      </c>
    </row>
    <row r="25" ht="10" customHeight="1">
      <c r="A25" s="84" t="inlineStr">
        <is>
          <t>Material Support Ships</t>
        </is>
      </c>
      <c r="B25" s="84" t="inlineStr">
        <is>
          <t>USN</t>
        </is>
      </c>
      <c r="C25"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5"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5" s="85">
        <f>C25+D25</f>
        <v/>
      </c>
      <c r="F25" s="91">
        <f>IFERROR(E25/E$40,0)</f>
        <v/>
      </c>
    </row>
    <row r="26" ht="10" customHeight="1">
      <c r="A26" s="84" t="inlineStr">
        <is>
          <t>Aviation Logistics Support Ship</t>
        </is>
      </c>
      <c r="B26" s="84" t="inlineStr">
        <is>
          <t>USN</t>
        </is>
      </c>
      <c r="C26"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6"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6" s="85">
        <f>C26+D26</f>
        <v/>
      </c>
      <c r="F26" s="91">
        <f>IFERROR(E26/E$40,0)</f>
        <v/>
      </c>
    </row>
    <row r="27" ht="10" customHeight="1">
      <c r="A27" s="84" t="inlineStr">
        <is>
          <t>High Speed Transport</t>
        </is>
      </c>
      <c r="B27" s="84" t="inlineStr">
        <is>
          <t>USN</t>
        </is>
      </c>
      <c r="C27"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7"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7" s="85">
        <f>C27+D27</f>
        <v/>
      </c>
      <c r="F27" s="91">
        <f>IFERROR(E27/E$40,0)</f>
        <v/>
      </c>
    </row>
    <row r="28" ht="10" customHeight="1">
      <c r="A28" s="84" t="inlineStr">
        <is>
          <t>Cargo &amp; Vehicle Cargo Ships</t>
        </is>
      </c>
      <c r="B28" s="84" t="inlineStr">
        <is>
          <t>USN</t>
        </is>
      </c>
      <c r="C28"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8"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8" s="85">
        <f>C28+D28</f>
        <v/>
      </c>
      <c r="F28" s="91">
        <f>IFERROR(E28/E$40,0)</f>
        <v/>
      </c>
    </row>
    <row r="29" ht="10" customHeight="1">
      <c r="A29" s="84" t="inlineStr">
        <is>
          <t>Hospital Ship</t>
        </is>
      </c>
      <c r="B29" s="84" t="inlineStr">
        <is>
          <t>MSC</t>
        </is>
      </c>
      <c r="C29"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9"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9" s="85">
        <f>C29+D29</f>
        <v/>
      </c>
      <c r="F29" s="91">
        <f>IFERROR(E29/E$40,0)</f>
        <v/>
      </c>
    </row>
    <row r="30" ht="10" customHeight="1">
      <c r="A30" s="84" t="inlineStr">
        <is>
          <t>Crane Ship</t>
        </is>
      </c>
      <c r="B30" s="84" t="inlineStr">
        <is>
          <t>USN</t>
        </is>
      </c>
      <c r="C3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0" s="85">
        <f>C30+D30</f>
        <v/>
      </c>
      <c r="F30" s="91">
        <f>IFERROR(E30/E$40,0)</f>
        <v/>
      </c>
    </row>
    <row r="31" ht="10" customHeight="1">
      <c r="A31" s="84" t="inlineStr">
        <is>
          <t>General Auxiliary</t>
        </is>
      </c>
      <c r="B31" s="84" t="inlineStr">
        <is>
          <t>USN</t>
        </is>
      </c>
      <c r="C31"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1"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1" s="85">
        <f>C31+D31</f>
        <v/>
      </c>
      <c r="F31" s="91">
        <f>IFERROR(E31/E$40,0)</f>
        <v/>
      </c>
    </row>
    <row r="32" ht="10" customHeight="1">
      <c r="A32" s="84" t="inlineStr">
        <is>
          <t>Salvage Ships &amp; Fleet Ocean Tugs</t>
        </is>
      </c>
      <c r="B32" s="84" t="inlineStr">
        <is>
          <t>MSC</t>
        </is>
      </c>
      <c r="C32"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2"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Icebreakers, Great Lakes</t>
        </is>
      </c>
      <c r="B34" s="84" t="inlineStr">
        <is>
          <t>USCG</t>
        </is>
      </c>
      <c r="C34"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4"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4" s="85">
        <f>C34+D34</f>
        <v/>
      </c>
      <c r="F34" s="91">
        <f>IFERROR(E34/E$40,0)</f>
        <v/>
      </c>
    </row>
    <row r="35" ht="10" customHeight="1">
      <c r="A35" s="84" t="inlineStr">
        <is>
          <t>Fast Response Cutters</t>
        </is>
      </c>
      <c r="B35" s="84" t="inlineStr">
        <is>
          <t>USCG</t>
        </is>
      </c>
      <c r="C35"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5"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5" s="85">
        <f>C35+D35</f>
        <v/>
      </c>
      <c r="F35" s="91">
        <f>IFERROR(E35/E$40,0)</f>
        <v/>
      </c>
    </row>
    <row r="36" ht="10" customHeight="1">
      <c r="A36" s="84" t="inlineStr">
        <is>
          <t>Waterways Commerce Cutters</t>
        </is>
      </c>
      <c r="B36" s="84" t="inlineStr">
        <is>
          <t>USCG</t>
        </is>
      </c>
      <c r="C36"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6"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6" s="85">
        <f>C36+D36</f>
        <v/>
      </c>
      <c r="F36" s="91">
        <f>IFERROR(E36/E$40,0)</f>
        <v/>
      </c>
    </row>
    <row r="37" ht="10" customHeight="1">
      <c r="A37" s="84" t="inlineStr">
        <is>
          <t>Offshore Patrol Cutter</t>
        </is>
      </c>
      <c r="B37" s="84" t="inlineStr">
        <is>
          <t>USCG</t>
        </is>
      </c>
      <c r="C3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85">
        <f>C37+D37</f>
        <v/>
      </c>
      <c r="F37" s="91">
        <f>IFERROR(E37/E$40,0)</f>
        <v/>
      </c>
    </row>
    <row r="38" ht="10" customHeight="1">
      <c r="A38" s="84" t="inlineStr">
        <is>
          <t>Icebreakers, Oceangoing</t>
        </is>
      </c>
      <c r="B38" s="84" t="inlineStr">
        <is>
          <t>USCG</t>
        </is>
      </c>
      <c r="C38"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8"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8" s="85">
        <f>C38+D38</f>
        <v/>
      </c>
      <c r="F38" s="91">
        <f>IFERROR(E38/E$40,0)</f>
        <v/>
      </c>
    </row>
    <row r="39" ht="10" customHeight="1">
      <c r="A39" s="84" t="inlineStr">
        <is>
          <t>Coastal Buoy Tenders</t>
        </is>
      </c>
      <c r="B39" s="84" t="inlineStr">
        <is>
          <t>USCG</t>
        </is>
      </c>
      <c r="C39"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Research, Survey &amp; Instrumentation Ships</t>
        </is>
      </c>
      <c r="B26" s="84" t="inlineStr">
        <is>
          <t>MSC</t>
        </is>
      </c>
      <c r="C26"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6" s="91">
        <f>IFERROR(C26/C$42,0)</f>
        <v/>
      </c>
    </row>
    <row r="27" ht="10" customHeight="1">
      <c r="A27" s="84" t="inlineStr">
        <is>
          <t>Aviation Logistics Support Ship</t>
        </is>
      </c>
      <c r="B27" s="84" t="inlineStr">
        <is>
          <t>USN</t>
        </is>
      </c>
      <c r="C27"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1">
        <f>IFERROR(C27/C$42,0)</f>
        <v/>
      </c>
    </row>
    <row r="28" ht="10" customHeight="1">
      <c r="A28" s="84" t="inlineStr">
        <is>
          <t>High Speed Transport</t>
        </is>
      </c>
      <c r="B28" s="84" t="inlineStr">
        <is>
          <t>USN</t>
        </is>
      </c>
      <c r="C28" s="85">
        <f>SUMIFS(JB_27U,JB_B,1,JB_W,"High Speed Transport",JB_S,"",JB_27U,"&lt;&gt;")+SUMIFS(JB_27S,JB_B,1,JB_W,"High Speed Transport",JB_S,"",JB_27U,"")+SUMIFS(JB_27U,JB_B,1,JB_W,"High Speed Transport",JB_S,"[PARENT]",JB_27U,"&lt;&gt;")+SUMIFS(JB_27S,JB_B,1,JB_W,"High Speed Transport",JB_S,"[PARENT]",JB_27U,"")</f>
        <v/>
      </c>
      <c r="D28" s="91">
        <f>IFERROR(C28/C$42,0)</f>
        <v/>
      </c>
    </row>
    <row r="29" ht="10" customHeight="1">
      <c r="A29" s="84" t="inlineStr">
        <is>
          <t>Command Ships</t>
        </is>
      </c>
      <c r="B29" s="84" t="inlineStr">
        <is>
          <t>USN</t>
        </is>
      </c>
      <c r="C29" s="85">
        <f>SUMIFS(JB_27U,JB_B,1,JB_W,"Command Ships",JB_S,"",JB_27U,"&lt;&gt;")+SUMIFS(JB_27S,JB_B,1,JB_W,"Command Ships",JB_S,"",JB_27U,"")+SUMIFS(JB_27U,JB_B,1,JB_W,"Command Ships",JB_S,"[PARENT]",JB_27U,"&lt;&gt;")+SUMIFS(JB_27S,JB_B,1,JB_W,"Command Ships",JB_S,"[PARENT]",JB_27U,"")</f>
        <v/>
      </c>
      <c r="D29" s="91">
        <f>IFERROR(C29/C$42,0)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1">
        <f>IFERROR(C30/C$42,0)</f>
        <v/>
      </c>
    </row>
    <row r="31" ht="10" customHeight="1">
      <c r="A31" s="84" t="inlineStr">
        <is>
          <t>Salvage Ships &amp; Fleet Ocean Tugs</t>
        </is>
      </c>
      <c r="B31" s="84" t="inlineStr">
        <is>
          <t>MSC</t>
        </is>
      </c>
      <c r="C31"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1">
        <f>IFERROR(C31/C$42,0)</f>
        <v/>
      </c>
    </row>
    <row r="32" ht="10" customHeight="1">
      <c r="A32" s="84" t="inlineStr">
        <is>
          <t>Mine Warfare</t>
        </is>
      </c>
      <c r="B32" s="84" t="inlineStr">
        <is>
          <t>USN</t>
        </is>
      </c>
      <c r="C32" s="85">
        <f>SUMIFS(JB_27U,JB_B,1,JB_W,"Mine Warfare",JB_S,"",JB_27U,"&lt;&gt;")+SUMIFS(JB_27S,JB_B,1,JB_W,"Mine Warfare",JB_S,"",JB_27U,"")+SUMIFS(JB_27U,JB_B,1,JB_W,"Mine Warfare",JB_S,"[PARENT]",JB_27U,"&lt;&gt;")+SUMIFS(JB_27S,JB_B,1,JB_W,"Mine Warfare",JB_S,"[PARENT]",JB_27U,"")</f>
        <v/>
      </c>
      <c r="D32" s="91">
        <f>IFERROR(C32/C$42,0)</f>
        <v/>
      </c>
    </row>
    <row r="33" ht="10" customHeight="1">
      <c r="A33" s="84" t="inlineStr">
        <is>
          <t>Submarine Escort Ship</t>
        </is>
      </c>
      <c r="B33" s="84" t="inlineStr">
        <is>
          <t>USN</t>
        </is>
      </c>
      <c r="C33" s="85">
        <f>SUMIFS(JB_27U,JB_B,1,JB_W,"Submarine Escort Ship",JB_S,"",JB_27U,"&lt;&gt;")+SUMIFS(JB_27S,JB_B,1,JB_W,"Submarine Escort Ship",JB_S,"",JB_27U,"")+SUMIFS(JB_27U,JB_B,1,JB_W,"Submarine Escort Ship",JB_S,"[PARENT]",JB_27U,"&lt;&gt;")+SUMIFS(JB_27S,JB_B,1,JB_W,"Submarine Escort Ship",JB_S,"[PARENT]",JB_27U,"")</f>
        <v/>
      </c>
      <c r="D33" s="91">
        <f>IFERROR(C33/C$42,0)</f>
        <v/>
      </c>
    </row>
    <row r="34" ht="10" customHeight="1">
      <c r="A34" s="84" t="inlineStr">
        <is>
          <t>Crane Ship</t>
        </is>
      </c>
      <c r="B34" s="84" t="inlineStr">
        <is>
          <t>USN</t>
        </is>
      </c>
      <c r="C34" s="85">
        <f>SUMIFS(JB_27U,JB_B,1,JB_W,"Crane Ship",JB_S,"",JB_27U,"&lt;&gt;")+SUMIFS(JB_27S,JB_B,1,JB_W,"Crane Ship",JB_S,"",JB_27U,"")+SUMIFS(JB_27U,JB_B,1,JB_W,"Crane Ship",JB_S,"[PARENT]",JB_27U,"&lt;&gt;")+SUMIFS(JB_27S,JB_B,1,JB_W,"Crane Ship",JB_S,"[PARENT]",JB_27U,"")</f>
        <v/>
      </c>
      <c r="D34" s="91">
        <f>IFERROR(C34/C$42,0)</f>
        <v/>
      </c>
    </row>
    <row r="35" ht="10" customHeight="1">
      <c r="A35" s="84" t="inlineStr">
        <is>
          <t>Fast Response Cutters</t>
        </is>
      </c>
      <c r="B35" s="84" t="inlineStr">
        <is>
          <t>USCG</t>
        </is>
      </c>
      <c r="C35" s="85">
        <f>SUMIFS(JB_27U,JB_B,1,JB_W,"Fast Response Cutters",JB_S,"",JB_27U,"&lt;&gt;")+SUMIFS(JB_27S,JB_B,1,JB_W,"Fast Response Cutters",JB_S,"",JB_27U,"")+SUMIFS(JB_27U,JB_B,1,JB_W,"Fast Response Cutters",JB_S,"[PARENT]",JB_27U,"&lt;&gt;")+SUMIFS(JB_27S,JB_B,1,JB_W,"Fast Response Cutters",JB_S,"[PARENT]",JB_27U,"")</f>
        <v/>
      </c>
      <c r="D35" s="91">
        <f>IFERROR(C35/C$42,0)</f>
        <v/>
      </c>
    </row>
    <row r="36" ht="10" customHeight="1">
      <c r="A36" s="84" t="inlineStr">
        <is>
          <t>Waterways Commerce Cutters</t>
        </is>
      </c>
      <c r="B36" s="84" t="inlineStr">
        <is>
          <t>USCG</t>
        </is>
      </c>
      <c r="C36" s="85">
        <f>SUMIFS(JB_27U,JB_B,1,JB_W,"Waterways Commerce Cutters",JB_S,"",JB_27U,"&lt;&gt;")+SUMIFS(JB_27S,JB_B,1,JB_W,"Waterways Commerce Cutters",JB_S,"",JB_27U,"")+SUMIFS(JB_27U,JB_B,1,JB_W,"Waterways Commerce Cutters",JB_S,"[PARENT]",JB_27U,"&lt;&gt;")+SUMIFS(JB_27S,JB_B,1,JB_W,"Waterways Commerce Cutters",JB_S,"[PARENT]",JB_27U,"")</f>
        <v/>
      </c>
      <c r="D36" s="91">
        <f>IFERROR(C36/C$42,0)</f>
        <v/>
      </c>
    </row>
    <row r="37" ht="10" customHeight="1">
      <c r="A37" s="84" t="inlineStr">
        <is>
          <t>Icebreakers, Oceangoing</t>
        </is>
      </c>
      <c r="B37" s="84" t="inlineStr">
        <is>
          <t>USCG</t>
        </is>
      </c>
      <c r="C37" s="85">
        <f>SUMIFS(JB_27U,JB_B,1,JB_W,"Icebreakers, Oceangoing",JB_S,"",JB_27U,"&lt;&gt;")+SUMIFS(JB_27S,JB_B,1,JB_W,"Icebreakers, Oceangoing",JB_S,"",JB_27U,"")+SUMIFS(JB_27U,JB_B,1,JB_W,"Icebreakers, Oceangoing",JB_S,"[PARENT]",JB_27U,"&lt;&gt;")+SUMIFS(JB_27S,JB_B,1,JB_W,"Icebreakers, Oceangoing",JB_S,"[PARENT]",JB_27U,"")</f>
        <v/>
      </c>
      <c r="D37" s="91">
        <f>IFERROR(C37/C$42,0)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1">
        <f>IFERROR(C38/C$42,0)</f>
        <v/>
      </c>
    </row>
    <row r="39" ht="10" customHeight="1">
      <c r="A39" s="84" t="inlineStr">
        <is>
          <t>National Security Cutters</t>
        </is>
      </c>
      <c r="B39" s="84" t="inlineStr">
        <is>
          <t>USCG</t>
        </is>
      </c>
      <c r="C39" s="85">
        <f>SUMIFS(JB_27U,JB_B,1,JB_W,"National Security Cutters",JB_S,"",JB_27U,"&lt;&gt;")+SUMIFS(JB_27S,JB_B,1,JB_W,"National Security Cutters",JB_S,"",JB_27U,"")+SUMIFS(JB_27U,JB_B,1,JB_W,"National Security Cutters",JB_S,"[PARENT]",JB_27U,"&lt;&gt;")+SUMIFS(JB_27S,JB_B,1,JB_W,"National Security Cutters",JB_S,"[PARENT]",JB_27U,"")</f>
        <v/>
      </c>
      <c r="D39" s="91">
        <f>IFERROR(C39/C$42,0)</f>
        <v/>
      </c>
    </row>
    <row r="40" ht="10" customHeight="1">
      <c r="A40" s="84" t="inlineStr">
        <is>
          <t>Icebreakers, Great Lakes</t>
        </is>
      </c>
      <c r="B40" s="84" t="inlineStr">
        <is>
          <t>USCG</t>
        </is>
      </c>
      <c r="C40" s="85">
        <f>SUMIFS(JB_27U,JB_B,1,JB_W,"Icebreakers, Great Lakes",JB_S,"",JB_27U,"&lt;&gt;")+SUMIFS(JB_27S,JB_B,1,JB_W,"Icebreakers, Great Lakes",JB_S,"",JB_27U,"")+SUMIFS(JB_27U,JB_B,1,JB_W,"Icebreakers, Great Lakes",JB_S,"[PARENT]",JB_27U,"&lt;&gt;")+SUMIFS(JB_27S,JB_B,1,JB_W,"Icebreakers, Great Lakes",JB_S,"[PARENT]",JB_27U,"")</f>
        <v/>
      </c>
      <c r="D40" s="91">
        <f>IFERROR(C40/C$42,0)</f>
        <v/>
      </c>
    </row>
    <row r="41" ht="10" customHeight="1">
      <c r="A41" s="84" t="inlineStr">
        <is>
          <t>Offshore Patrol Cutter</t>
        </is>
      </c>
      <c r="B41" s="84" t="inlineStr">
        <is>
          <t>USCG</t>
        </is>
      </c>
      <c r="C41" s="85">
        <f>SUMIFS(JB_27U,JB_B,1,JB_W,"Offshore Patrol Cutter",JB_S,"",JB_27U,"&lt;&gt;")+SUMIFS(JB_27S,JB_B,1,JB_W,"Offshore Patrol Cutter",JB_S,"",JB_27U,"")+SUMIFS(JB_27U,JB_B,1,JB_W,"Offshore Patrol Cutter",JB_S,"[PARENT]",JB_27U,"&lt;&gt;")+SUMIFS(JB_27S,JB_B,1,JB_W,"Offshore Patrol Cutter",JB_S,"[PARENT]",JB_27U,"")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Research, Survey &amp; Instrumentation Ships</t>
        </is>
      </c>
      <c r="B23" s="84" t="inlineStr">
        <is>
          <t>MSC</t>
        </is>
      </c>
      <c r="C23"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3" s="91">
        <f>IFERROR(C23/C$39,0)</f>
        <v/>
      </c>
    </row>
    <row r="24" ht="10" customHeight="1">
      <c r="A24" s="84" t="inlineStr">
        <is>
          <t>Submarine Escort Ship</t>
        </is>
      </c>
      <c r="B24" s="84" t="inlineStr">
        <is>
          <t>USN</t>
        </is>
      </c>
      <c r="C24" s="85">
        <f>SUMIFS(JB_27U,JB_B,1,JB_W,"Submarine Escort Ship",JB_S,"",JB_27U,"&lt;&gt;")+SUMIFS(JB_27S,JB_B,1,JB_W,"Submarine Escort Ship",JB_S,"",JB_27U,"")+SUMIFS(JB_27U,JB_B,1,JB_W,"Submarine Escort Ship",JB_S,"[PARENT]",JB_27U,"&lt;&gt;")+SUMIFS(JB_27S,JB_B,1,JB_W,"Submarine Escort Ship",JB_S,"[PARENT]",JB_27U,"")</f>
        <v/>
      </c>
      <c r="D24" s="91">
        <f>IFERROR(C24/C$39,0)</f>
        <v/>
      </c>
    </row>
    <row r="25" ht="10" customHeight="1">
      <c r="A25" s="84" t="inlineStr">
        <is>
          <t>Aviation Logistics Support Ship</t>
        </is>
      </c>
      <c r="B25" s="84" t="inlineStr">
        <is>
          <t>USN</t>
        </is>
      </c>
      <c r="C25"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5" s="91">
        <f>IFERROR(C25/C$39,0)</f>
        <v/>
      </c>
    </row>
    <row r="26" ht="10" customHeight="1">
      <c r="A26" s="84" t="inlineStr">
        <is>
          <t>High Speed Transport</t>
        </is>
      </c>
      <c r="B26" s="84" t="inlineStr">
        <is>
          <t>USN</t>
        </is>
      </c>
      <c r="C26" s="85">
        <f>SUMIFS(JB_27U,JB_B,1,JB_W,"High Speed Transport",JB_S,"",JB_27U,"&lt;&gt;")+SUMIFS(JB_27S,JB_B,1,JB_W,"High Speed Transport",JB_S,"",JB_27U,"")+SUMIFS(JB_27U,JB_B,1,JB_W,"High Speed Transport",JB_S,"[PARENT]",JB_27U,"&lt;&gt;")+SUMIFS(JB_27S,JB_B,1,JB_W,"High Speed Transport",JB_S,"[PARENT]",JB_27U,"")</f>
        <v/>
      </c>
      <c r="D26" s="91">
        <f>IFERROR(C26/C$39,0)</f>
        <v/>
      </c>
    </row>
    <row r="27" ht="10" customHeight="1">
      <c r="A27" s="84" t="inlineStr">
        <is>
          <t>Command Ships</t>
        </is>
      </c>
      <c r="B27" s="84" t="inlineStr">
        <is>
          <t>USN</t>
        </is>
      </c>
      <c r="C27" s="85">
        <f>SUMIFS(JB_27U,JB_B,1,JB_W,"Command Ships",JB_S,"",JB_27U,"&lt;&gt;")+SUMIFS(JB_27S,JB_B,1,JB_W,"Command Ships",JB_S,"",JB_27U,"")+SUMIFS(JB_27U,JB_B,1,JB_W,"Command Ships",JB_S,"[PARENT]",JB_27U,"&lt;&gt;")+SUMIFS(JB_27S,JB_B,1,JB_W,"Command Ships",JB_S,"[PARENT]",JB_27U,"")</f>
        <v/>
      </c>
      <c r="D27" s="91">
        <f>IFERROR(C27/C$39,0)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IFERROR(C28/C$39,0)</f>
        <v/>
      </c>
    </row>
    <row r="29" ht="10" customHeight="1">
      <c r="A29" s="84" t="inlineStr">
        <is>
          <t>General Auxiliary</t>
        </is>
      </c>
      <c r="B29" s="84" t="inlineStr">
        <is>
          <t>USN</t>
        </is>
      </c>
      <c r="C29" s="85">
        <f>SUMIFS(JB_27U,JB_B,1,JB_W,"General Auxiliary",JB_S,"",JB_27U,"&lt;&gt;")+SUMIFS(JB_27S,JB_B,1,JB_W,"General Auxiliary",JB_S,"",JB_27U,"")+SUMIFS(JB_27U,JB_B,1,JB_W,"General Auxiliary",JB_S,"[PARENT]",JB_27U,"&lt;&gt;")+SUMIFS(JB_27S,JB_B,1,JB_W,"General Auxiliary",JB_S,"[PARENT]",JB_27U,"")</f>
        <v/>
      </c>
      <c r="D29" s="91">
        <f>IFERROR(C29/C$39,0)</f>
        <v/>
      </c>
    </row>
    <row r="30" ht="10" customHeight="1">
      <c r="A30" s="84" t="inlineStr">
        <is>
          <t>Salvage Ships &amp; Fleet Ocean Tugs</t>
        </is>
      </c>
      <c r="B30" s="84" t="inlineStr">
        <is>
          <t>MSC</t>
        </is>
      </c>
      <c r="C30"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0" s="91">
        <f>IFERROR(C30/C$39,0)</f>
        <v/>
      </c>
    </row>
    <row r="31" ht="10" customHeight="1">
      <c r="A31" s="84" t="inlineStr">
        <is>
          <t>Mine Warfare</t>
        </is>
      </c>
      <c r="B31" s="84" t="inlineStr">
        <is>
          <t>USN</t>
        </is>
      </c>
      <c r="C31" s="85">
        <f>SUMIFS(JB_27U,JB_B,1,JB_W,"Mine Warfare",JB_S,"",JB_27U,"&lt;&gt;")+SUMIFS(JB_27S,JB_B,1,JB_W,"Mine Warfare",JB_S,"",JB_27U,"")+SUMIFS(JB_27U,JB_B,1,JB_W,"Mine Warfare",JB_S,"[PARENT]",JB_27U,"&lt;&gt;")+SUMIFS(JB_27S,JB_B,1,JB_W,"Mine Warfare",JB_S,"[PARENT]",JB_27U,"")</f>
        <v/>
      </c>
      <c r="D31" s="91">
        <f>IFERROR(C31/C$39,0)</f>
        <v/>
      </c>
    </row>
    <row r="32" ht="10" customHeight="1">
      <c r="A32" s="84" t="inlineStr">
        <is>
          <t>National Security Cutters</t>
        </is>
      </c>
      <c r="B32" s="84" t="inlineStr">
        <is>
          <t>USCG</t>
        </is>
      </c>
      <c r="C32" s="85">
        <f>SUMIFS(JB_27U,JB_B,1,JB_W,"National Security Cutters",JB_S,"",JB_27U,"&lt;&gt;")+SUMIFS(JB_27S,JB_B,1,JB_W,"National Security Cutters",JB_S,"",JB_27U,"")+SUMIFS(JB_27U,JB_B,1,JB_W,"National Security Cutters",JB_S,"[PARENT]",JB_27U,"&lt;&gt;")+SUMIFS(JB_27S,JB_B,1,JB_W,"National Security Cutters",JB_S,"[PARENT]",JB_27U,"")</f>
        <v/>
      </c>
      <c r="D32" s="91">
        <f>IFERROR(C32/C$39,0)</f>
        <v/>
      </c>
    </row>
    <row r="33" ht="10" customHeight="1">
      <c r="A33" s="84" t="inlineStr">
        <is>
          <t>Icebreakers, Great Lakes</t>
        </is>
      </c>
      <c r="B33" s="84" t="inlineStr">
        <is>
          <t>USCG</t>
        </is>
      </c>
      <c r="C33" s="85">
        <f>SUMIFS(JB_27U,JB_B,1,JB_W,"Icebreakers, Great Lakes",JB_S,"",JB_27U,"&lt;&gt;")+SUMIFS(JB_27S,JB_B,1,JB_W,"Icebreakers, Great Lakes",JB_S,"",JB_27U,"")+SUMIFS(JB_27U,JB_B,1,JB_W,"Icebreakers, Great Lakes",JB_S,"[PARENT]",JB_27U,"&lt;&gt;")+SUMIFS(JB_27S,JB_B,1,JB_W,"Icebreakers, Great Lakes",JB_S,"[PARENT]",JB_27U,"")</f>
        <v/>
      </c>
      <c r="D33" s="91">
        <f>IFERROR(C33/C$39,0)</f>
        <v/>
      </c>
    </row>
    <row r="34" ht="10" customHeight="1">
      <c r="A34" s="84" t="inlineStr">
        <is>
          <t>Fast Response Cutters</t>
        </is>
      </c>
      <c r="B34" s="84" t="inlineStr">
        <is>
          <t>USCG</t>
        </is>
      </c>
      <c r="C34" s="85">
        <f>SUMIFS(JB_27U,JB_B,1,JB_W,"Fast Response Cutters",JB_S,"",JB_27U,"&lt;&gt;")+SUMIFS(JB_27S,JB_B,1,JB_W,"Fast Response Cutters",JB_S,"",JB_27U,"")+SUMIFS(JB_27U,JB_B,1,JB_W,"Fast Response Cutters",JB_S,"[PARENT]",JB_27U,"&lt;&gt;")+SUMIFS(JB_27S,JB_B,1,JB_W,"Fast Response Cutters",JB_S,"[PARENT]",JB_27U,"")</f>
        <v/>
      </c>
      <c r="D34" s="91">
        <f>IFERROR(C34/C$39,0)</f>
        <v/>
      </c>
    </row>
    <row r="35" ht="10" customHeight="1">
      <c r="A35" s="84" t="inlineStr">
        <is>
          <t>Waterways Commerce Cutters</t>
        </is>
      </c>
      <c r="B35" s="84" t="inlineStr">
        <is>
          <t>USCG</t>
        </is>
      </c>
      <c r="C35" s="85">
        <f>SUMIFS(JB_27U,JB_B,1,JB_W,"Waterways Commerce Cutters",JB_S,"",JB_27U,"&lt;&gt;")+SUMIFS(JB_27S,JB_B,1,JB_W,"Waterways Commerce Cutters",JB_S,"",JB_27U,"")+SUMIFS(JB_27U,JB_B,1,JB_W,"Waterways Commerce Cutters",JB_S,"[PARENT]",JB_27U,"&lt;&gt;")+SUMIFS(JB_27S,JB_B,1,JB_W,"Waterways Commerce Cutters",JB_S,"[PARENT]",JB_27U,"")</f>
        <v/>
      </c>
      <c r="D35" s="91">
        <f>IFERROR(C35/C$39,0)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1">
        <f>IFERROR(C36/C$39,0)</f>
        <v/>
      </c>
    </row>
    <row r="37" ht="10" customHeight="1">
      <c r="A37" s="84" t="inlineStr">
        <is>
          <t>Icebreakers, Oceangoing</t>
        </is>
      </c>
      <c r="B37" s="84" t="inlineStr">
        <is>
          <t>USCG</t>
        </is>
      </c>
      <c r="C37" s="85">
        <f>SUMIFS(JB_27U,JB_B,1,JB_W,"Icebreakers, Oceangoing",JB_S,"",JB_27U,"&lt;&gt;")+SUMIFS(JB_27S,JB_B,1,JB_W,"Icebreakers, Oceangoing",JB_S,"",JB_27U,"")+SUMIFS(JB_27U,JB_B,1,JB_W,"Icebreakers, Oceangoing",JB_S,"[PARENT]",JB_27U,"&lt;&gt;")+SUMIFS(JB_27S,JB_B,1,JB_W,"Icebreakers, Oceangoing",JB_S,"[PARENT]",JB_27U,"")</f>
        <v/>
      </c>
      <c r="D37" s="91">
        <f>IFERROR(C37/C$39,0)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Unmanned Surface Vehicles</t>
        </is>
      </c>
      <c r="B30" s="84" t="inlineStr">
        <is>
          <t>USN</t>
        </is>
      </c>
      <c r="C30"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0" s="91">
        <f>IFERROR(C30/C$51,0)</f>
        <v/>
      </c>
    </row>
    <row r="31" ht="10" customHeight="1">
      <c r="A31" s="84" t="inlineStr">
        <is>
          <t>Research, Survey &amp; Instrumentation Ships</t>
        </is>
      </c>
      <c r="B31" s="84" t="inlineStr">
        <is>
          <t>MSC</t>
        </is>
      </c>
      <c r="C31"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1" s="91">
        <f>IFERROR(C31/C$51,0)</f>
        <v/>
      </c>
    </row>
    <row r="32" ht="10" customHeight="1">
      <c r="A32" s="84" t="inlineStr">
        <is>
          <t>Aviation Logistics Support Ship</t>
        </is>
      </c>
      <c r="B32" s="84" t="inlineStr">
        <is>
          <t>USN</t>
        </is>
      </c>
      <c r="C32"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2" s="91">
        <f>IFERROR(C32/C$51,0)</f>
        <v/>
      </c>
    </row>
    <row r="33" ht="10" customHeight="1">
      <c r="A33" s="84" t="inlineStr">
        <is>
          <t>High Speed Transport</t>
        </is>
      </c>
      <c r="B33" s="84" t="inlineStr">
        <is>
          <t>USN</t>
        </is>
      </c>
      <c r="C33"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3" s="91">
        <f>IFERROR(C33/C$51,0)</f>
        <v/>
      </c>
    </row>
    <row r="34" ht="10" customHeight="1">
      <c r="A34" s="84" t="inlineStr">
        <is>
          <t>Unmanned Undersea Vehicles</t>
        </is>
      </c>
      <c r="B34" s="84" t="inlineStr">
        <is>
          <t>USN</t>
        </is>
      </c>
      <c r="C34"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4" s="91">
        <f>IFERROR(C34/C$51,0)</f>
        <v/>
      </c>
    </row>
    <row r="35" ht="10" customHeight="1">
      <c r="A35" s="84" t="inlineStr">
        <is>
          <t>General Auxiliary</t>
        </is>
      </c>
      <c r="B35" s="84" t="inlineStr">
        <is>
          <t>USN</t>
        </is>
      </c>
      <c r="C35"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5" s="91">
        <f>IFERROR(C35/C$51,0)</f>
        <v/>
      </c>
    </row>
    <row r="36" ht="10" customHeight="1">
      <c r="A36" s="84" t="inlineStr">
        <is>
          <t>Salvage Ships &amp; Fleet Ocean Tugs</t>
        </is>
      </c>
      <c r="B36" s="84" t="inlineStr">
        <is>
          <t>MSC</t>
        </is>
      </c>
      <c r="C36"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6" s="91">
        <f>IFERROR(C36/C$51,0)</f>
        <v/>
      </c>
    </row>
    <row r="37" ht="10" customHeight="1">
      <c r="A37" s="84" t="inlineStr">
        <is>
          <t>Mine Warfare</t>
        </is>
      </c>
      <c r="B37" s="84" t="inlineStr">
        <is>
          <t>USN</t>
        </is>
      </c>
      <c r="C37"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91">
        <f>IFERROR(C37/C$51,0)</f>
        <v/>
      </c>
    </row>
    <row r="38" ht="10" customHeight="1">
      <c r="A38" s="84" t="inlineStr">
        <is>
          <t>Submarine Escort Ship</t>
        </is>
      </c>
      <c r="B38" s="84" t="inlineStr">
        <is>
          <t>USN</t>
        </is>
      </c>
      <c r="C38"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8" s="91">
        <f>IFERROR(C38/C$51,0)</f>
        <v/>
      </c>
    </row>
    <row r="39" ht="10" customHeight="1">
      <c r="A39" s="84" t="inlineStr">
        <is>
          <t>Combat Logistics Ships</t>
        </is>
      </c>
      <c r="B39" s="84" t="inlineStr">
        <is>
          <t>MSC</t>
        </is>
      </c>
      <c r="C39"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9" s="91">
        <f>IFERROR(C39/C$51,0)</f>
        <v/>
      </c>
    </row>
    <row r="40" ht="10" customHeight="1">
      <c r="A40" s="84" t="inlineStr">
        <is>
          <t>Material Support Ships</t>
        </is>
      </c>
      <c r="B40" s="84" t="inlineStr">
        <is>
          <t>USN</t>
        </is>
      </c>
      <c r="C40"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0" s="91">
        <f>IFERROR(C40/C$51,0)</f>
        <v/>
      </c>
    </row>
    <row r="41" ht="10" customHeight="1">
      <c r="A41" s="84" t="inlineStr">
        <is>
          <t>Cargo &amp; Vehicle Cargo Ships</t>
        </is>
      </c>
      <c r="B41" s="84" t="inlineStr">
        <is>
          <t>USN</t>
        </is>
      </c>
      <c r="C41"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41" s="91">
        <f>IFERROR(C41/C$51,0)</f>
        <v/>
      </c>
    </row>
    <row r="42" ht="10" customHeight="1">
      <c r="A42" s="84" t="inlineStr">
        <is>
          <t>Hospital Ship</t>
        </is>
      </c>
      <c r="B42" s="84" t="inlineStr">
        <is>
          <t>MSC</t>
        </is>
      </c>
      <c r="C42"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2" s="91">
        <f>IFERROR(C42/C$51,0)</f>
        <v/>
      </c>
    </row>
    <row r="43" ht="10" customHeight="1">
      <c r="A43" s="84" t="inlineStr">
        <is>
          <t>Crane Ship</t>
        </is>
      </c>
      <c r="B43" s="84" t="inlineStr">
        <is>
          <t>USN</t>
        </is>
      </c>
      <c r="C43"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3" s="91">
        <f>IFERROR(C43/C$51,0)</f>
        <v/>
      </c>
    </row>
    <row r="44" ht="10" customHeight="1">
      <c r="A44" s="84" t="inlineStr">
        <is>
          <t>Fast Response Cutters</t>
        </is>
      </c>
      <c r="B44" s="84" t="inlineStr">
        <is>
          <t>USCG</t>
        </is>
      </c>
      <c r="C44"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4" s="91">
        <f>IFERROR(C44/C$51,0)</f>
        <v/>
      </c>
    </row>
    <row r="45" ht="10" customHeight="1">
      <c r="A45" s="84" t="inlineStr">
        <is>
          <t>Waterways Commerce Cutters</t>
        </is>
      </c>
      <c r="B45" s="84" t="inlineStr">
        <is>
          <t>USCG</t>
        </is>
      </c>
      <c r="C45"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5" s="91">
        <f>IFERROR(C45/C$51,0)</f>
        <v/>
      </c>
    </row>
    <row r="46" ht="10" customHeight="1">
      <c r="A46" s="84" t="inlineStr">
        <is>
          <t>Icebreakers, Oceangoing</t>
        </is>
      </c>
      <c r="B46" s="84" t="inlineStr">
        <is>
          <t>USCG</t>
        </is>
      </c>
      <c r="C46"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6" s="91">
        <f>IFERROR(C46/C$51,0)</f>
        <v/>
      </c>
    </row>
    <row r="47" ht="10" customHeight="1">
      <c r="A47" s="84" t="inlineStr">
        <is>
          <t>Coastal Buoy Tenders</t>
        </is>
      </c>
      <c r="B47" s="84" t="inlineStr">
        <is>
          <t>USCG</t>
        </is>
      </c>
      <c r="C47"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7" s="91">
        <f>IFERROR(C47/C$51,0)</f>
        <v/>
      </c>
    </row>
    <row r="48" ht="10" customHeight="1">
      <c r="A48" s="84" t="inlineStr">
        <is>
          <t>National Security Cutters</t>
        </is>
      </c>
      <c r="B48" s="84" t="inlineStr">
        <is>
          <t>USCG</t>
        </is>
      </c>
      <c r="C48"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91">
        <f>IFERROR(C48/C$51,0)</f>
        <v/>
      </c>
    </row>
    <row r="49" ht="10" customHeight="1">
      <c r="A49" s="84" t="inlineStr">
        <is>
          <t>Icebreakers, Great Lakes</t>
        </is>
      </c>
      <c r="B49" s="84" t="inlineStr">
        <is>
          <t>USCG</t>
        </is>
      </c>
      <c r="C49"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9" s="91">
        <f>IFERROR(C49/C$51,0)</f>
        <v/>
      </c>
    </row>
    <row r="50" ht="10" customHeight="1">
      <c r="A50" s="84" t="inlineStr">
        <is>
          <t>Offshore Patrol Cutter</t>
        </is>
      </c>
      <c r="B50" s="84" t="inlineStr">
        <is>
          <t>USCG</t>
        </is>
      </c>
      <c r="C50"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Unmanned Surface Vehicles</t>
        </is>
      </c>
      <c r="B18" s="84" t="inlineStr">
        <is>
          <t>USN</t>
        </is>
      </c>
      <c r="C18" s="85">
        <f>SUMIFS(JB_27U,JB_B,2,JB_W,"Unmanned Surface Vehicles",JB_S,"",JB_27U,"&lt;&gt;")+SUMIFS(JB_27S,JB_B,2,JB_W,"Unmanned Surface Vehicles",JB_S,"",JB_27U,"")+SUMIFS(JB_27U,JB_B,2,JB_W,"Unmanned Surface Vehicles",JB_S,"[PARENT]",JB_27U,"&lt;&gt;")+SUMIFS(JB_27S,JB_B,2,JB_W,"Unmanned Surface Vehicles",JB_S,"[PARENT]",JB_27U,"")</f>
        <v/>
      </c>
      <c r="D18" s="85">
        <f>SUMIFS(JB_27U,JB_B,4,JB_W,"Unmanned Surface Vehicles",JB_S,"",JB_27U,"&lt;&gt;")+SUMIFS(JB_27S,JB_B,4,JB_W,"Unmanned Surface Vehicles",JB_S,"",JB_27U,"")+SUMIFS(JB_27U,JB_B,4,JB_W,"Unmanned Surface Vehicles",JB_S,"[PARENT]",JB_27U,"&lt;&gt;")+SUMIFS(JB_27S,JB_B,4,JB_W,"Unmanned Surface Vehicles",JB_S,"[PARENT]",JB_27U,"")</f>
        <v/>
      </c>
      <c r="E18" s="85">
        <f>C18+D18</f>
        <v/>
      </c>
      <c r="F18" s="91">
        <f>IFERROR(E18/E$40,0)</f>
        <v/>
      </c>
    </row>
    <row r="19" ht="10" customHeight="1">
      <c r="A19" s="84" t="inlineStr">
        <is>
          <t>Research, Survey &amp; Instrumentation Ships</t>
        </is>
      </c>
      <c r="B19" s="84" t="inlineStr">
        <is>
          <t>MSC</t>
        </is>
      </c>
      <c r="C19"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19"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19" s="85">
        <f>C19+D19</f>
        <v/>
      </c>
      <c r="F19" s="91">
        <f>IFERROR(E19/E$40,0)</f>
        <v/>
      </c>
    </row>
    <row r="20" ht="10" customHeight="1">
      <c r="A20" s="84" t="inlineStr">
        <is>
          <t>Submarine Escort Ship</t>
        </is>
      </c>
      <c r="B20" s="84" t="inlineStr">
        <is>
          <t>USN</t>
        </is>
      </c>
      <c r="C20" s="85">
        <f>SUMIFS(JB_27U,JB_B,2,JB_W,"Submarine Escort Ship",JB_S,"",JB_27U,"&lt;&gt;")+SUMIFS(JB_27S,JB_B,2,JB_W,"Submarine Escort Ship",JB_S,"",JB_27U,"")+SUMIFS(JB_27U,JB_B,2,JB_W,"Submarine Escort Ship",JB_S,"[PARENT]",JB_27U,"&lt;&gt;")+SUMIFS(JB_27S,JB_B,2,JB_W,"Submarine Escort Ship",JB_S,"[PARENT]",JB_27U,"")</f>
        <v/>
      </c>
      <c r="D20" s="85">
        <f>SUMIFS(JB_27U,JB_B,4,JB_W,"Submarine Escort Ship",JB_S,"",JB_27U,"&lt;&gt;")+SUMIFS(JB_27S,JB_B,4,JB_W,"Submarine Escort Ship",JB_S,"",JB_27U,"")+SUMIFS(JB_27U,JB_B,4,JB_W,"Submarine Escort Ship",JB_S,"[PARENT]",JB_27U,"&lt;&gt;")+SUMIFS(JB_27S,JB_B,4,JB_W,"Submarine Escort Ship",JB_S,"[PARENT]",JB_27U,"")</f>
        <v/>
      </c>
      <c r="E20" s="85">
        <f>C20+D20</f>
        <v/>
      </c>
      <c r="F20" s="91">
        <f>IFERROR(E20/E$40,0)</f>
        <v/>
      </c>
    </row>
    <row r="21" ht="10" customHeight="1">
      <c r="A21" s="84" t="inlineStr">
        <is>
          <t>Combat Logistics Ships</t>
        </is>
      </c>
      <c r="B21" s="84" t="inlineStr">
        <is>
          <t>MSC</t>
        </is>
      </c>
      <c r="C21" s="85">
        <f>SUMIFS(JB_27U,JB_B,2,JB_W,"Combat Logistics Ships",JB_S,"",JB_27U,"&lt;&gt;")+SUMIFS(JB_27S,JB_B,2,JB_W,"Combat Logistics Ships",JB_S,"",JB_27U,"")+SUMIFS(JB_27U,JB_B,2,JB_W,"Combat Logistics Ships",JB_S,"[PARENT]",JB_27U,"&lt;&gt;")+SUMIFS(JB_27S,JB_B,2,JB_W,"Combat Logistics Ships",JB_S,"[PARENT]",JB_27U,"")</f>
        <v/>
      </c>
      <c r="D21" s="85">
        <f>SUMIFS(JB_27U,JB_B,4,JB_W,"Combat Logistics Ships",JB_S,"",JB_27U,"&lt;&gt;")+SUMIFS(JB_27S,JB_B,4,JB_W,"Combat Logistics Ships",JB_S,"",JB_27U,"")+SUMIFS(JB_27U,JB_B,4,JB_W,"Combat Logistics Ships",JB_S,"[PARENT]",JB_27U,"&lt;&gt;")+SUMIFS(JB_27S,JB_B,4,JB_W,"Combat Logistics Ships",JB_S,"[PARENT]",JB_27U,"")</f>
        <v/>
      </c>
      <c r="E21" s="85">
        <f>C21+D21</f>
        <v/>
      </c>
      <c r="F21" s="91">
        <f>IFERROR(E21/E$40,0)</f>
        <v/>
      </c>
    </row>
    <row r="22" ht="10" customHeight="1">
      <c r="A22" s="84" t="inlineStr">
        <is>
          <t>Material Support Ships</t>
        </is>
      </c>
      <c r="B22" s="84" t="inlineStr">
        <is>
          <t>USN</t>
        </is>
      </c>
      <c r="C22" s="85">
        <f>SUMIFS(JB_27U,JB_B,2,JB_W,"Material Support Ships",JB_S,"",JB_27U,"&lt;&gt;")+SUMIFS(JB_27S,JB_B,2,JB_W,"Material Support Ships",JB_S,"",JB_27U,"")+SUMIFS(JB_27U,JB_B,2,JB_W,"Material Support Ships",JB_S,"[PARENT]",JB_27U,"&lt;&gt;")+SUMIFS(JB_27S,JB_B,2,JB_W,"Material Support Ships",JB_S,"[PARENT]",JB_27U,"")</f>
        <v/>
      </c>
      <c r="D22" s="85">
        <f>SUMIFS(JB_27U,JB_B,4,JB_W,"Material Support Ships",JB_S,"",JB_27U,"&lt;&gt;")+SUMIFS(JB_27S,JB_B,4,JB_W,"Material Support Ships",JB_S,"",JB_27U,"")+SUMIFS(JB_27U,JB_B,4,JB_W,"Material Support Ships",JB_S,"[PARENT]",JB_27U,"&lt;&gt;")+SUMIFS(JB_27S,JB_B,4,JB_W,"Material Support Ships",JB_S,"[PARENT]",JB_27U,"")</f>
        <v/>
      </c>
      <c r="E22" s="85">
        <f>C22+D22</f>
        <v/>
      </c>
      <c r="F22" s="91">
        <f>IFERROR(E22/E$40,0)</f>
        <v/>
      </c>
    </row>
    <row r="23" ht="10" customHeight="1">
      <c r="A23" s="84" t="inlineStr">
        <is>
          <t>Aviation Logistics Support Ship</t>
        </is>
      </c>
      <c r="B23" s="84" t="inlineStr">
        <is>
          <t>USN</t>
        </is>
      </c>
      <c r="C23"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3"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3" s="85">
        <f>C23+D23</f>
        <v/>
      </c>
      <c r="F23" s="91">
        <f>IFERROR(E23/E$40,0)</f>
        <v/>
      </c>
    </row>
    <row r="24" ht="10" customHeight="1">
      <c r="A24" s="84" t="inlineStr">
        <is>
          <t>High Speed Transport</t>
        </is>
      </c>
      <c r="B24" s="84" t="inlineStr">
        <is>
          <t>USN</t>
        </is>
      </c>
      <c r="C24" s="85">
        <f>SUMIFS(JB_27U,JB_B,2,JB_W,"High Speed Transport",JB_S,"",JB_27U,"&lt;&gt;")+SUMIFS(JB_27S,JB_B,2,JB_W,"High Speed Transport",JB_S,"",JB_27U,"")+SUMIFS(JB_27U,JB_B,2,JB_W,"High Speed Transport",JB_S,"[PARENT]",JB_27U,"&lt;&gt;")+SUMIFS(JB_27S,JB_B,2,JB_W,"High Speed Transport",JB_S,"[PARENT]",JB_27U,"")</f>
        <v/>
      </c>
      <c r="D24" s="85">
        <f>SUMIFS(JB_27U,JB_B,4,JB_W,"High Speed Transport",JB_S,"",JB_27U,"&lt;&gt;")+SUMIFS(JB_27S,JB_B,4,JB_W,"High Speed Transport",JB_S,"",JB_27U,"")+SUMIFS(JB_27U,JB_B,4,JB_W,"High Speed Transport",JB_S,"[PARENT]",JB_27U,"&lt;&gt;")+SUMIFS(JB_27S,JB_B,4,JB_W,"High Speed Transport",JB_S,"[PARENT]",JB_27U,"")</f>
        <v/>
      </c>
      <c r="E24" s="85">
        <f>C24+D24</f>
        <v/>
      </c>
      <c r="F24" s="91">
        <f>IFERROR(E24/E$40,0)</f>
        <v/>
      </c>
    </row>
    <row r="25" ht="10" customHeight="1">
      <c r="A25" s="84" t="inlineStr">
        <is>
          <t>Expeditionary &amp; Seabasing Ships</t>
        </is>
      </c>
      <c r="B25" s="84" t="inlineStr">
        <is>
          <t>USN</t>
        </is>
      </c>
      <c r="C25"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5"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5" s="85">
        <f>C25+D25</f>
        <v/>
      </c>
      <c r="F25" s="91">
        <f>IFERROR(E25/E$40,0)</f>
        <v/>
      </c>
    </row>
    <row r="26" ht="10" customHeight="1">
      <c r="A26" s="84" t="inlineStr">
        <is>
          <t>Command Ships</t>
        </is>
      </c>
      <c r="B26" s="84" t="inlineStr">
        <is>
          <t>USN</t>
        </is>
      </c>
      <c r="C26" s="85">
        <f>SUMIFS(JB_27U,JB_B,2,JB_W,"Command Ships",JB_S,"",JB_27U,"&lt;&gt;")+SUMIFS(JB_27S,JB_B,2,JB_W,"Command Ships",JB_S,"",JB_27U,"")+SUMIFS(JB_27U,JB_B,2,JB_W,"Command Ships",JB_S,"[PARENT]",JB_27U,"&lt;&gt;")+SUMIFS(JB_27S,JB_B,2,JB_W,"Command Ships",JB_S,"[PARENT]",JB_27U,"")</f>
        <v/>
      </c>
      <c r="D26" s="85">
        <f>SUMIFS(JB_27U,JB_B,4,JB_W,"Command Ships",JB_S,"",JB_27U,"&lt;&gt;")+SUMIFS(JB_27S,JB_B,4,JB_W,"Command Ships",JB_S,"",JB_27U,"")+SUMIFS(JB_27U,JB_B,4,JB_W,"Command Ships",JB_S,"[PARENT]",JB_27U,"&lt;&gt;")+SUMIFS(JB_27S,JB_B,4,JB_W,"Command Ships",JB_S,"[PARENT]",JB_27U,"")</f>
        <v/>
      </c>
      <c r="E26" s="85">
        <f>C26+D26</f>
        <v/>
      </c>
      <c r="F26" s="91">
        <f>IFERROR(E26/E$40,0)</f>
        <v/>
      </c>
    </row>
    <row r="27" ht="10" customHeight="1">
      <c r="A27" s="84" t="inlineStr">
        <is>
          <t>Cargo &amp; Vehicle Cargo Ships</t>
        </is>
      </c>
      <c r="B27" s="84" t="inlineStr">
        <is>
          <t>USN</t>
        </is>
      </c>
      <c r="C27" s="85">
        <f>SUMIFS(JB_27U,JB_B,2,JB_W,"Cargo &amp; Vehicle Cargo Ships",JB_S,"",JB_27U,"&lt;&gt;")+SUMIFS(JB_27S,JB_B,2,JB_W,"Cargo &amp; Vehicle Cargo Ships",JB_S,"",JB_27U,"")+SUMIFS(JB_27U,JB_B,2,JB_W,"Cargo &amp; Vehicle Cargo Ships",JB_S,"[PARENT]",JB_27U,"&lt;&gt;")+SUMIFS(JB_27S,JB_B,2,JB_W,"Cargo &amp; Vehicle Cargo Ships",JB_S,"[PARENT]",JB_27U,"")</f>
        <v/>
      </c>
      <c r="D27" s="85">
        <f>SUMIFS(JB_27U,JB_B,4,JB_W,"Cargo &amp; Vehicle Cargo Ships",JB_S,"",JB_27U,"&lt;&gt;")+SUMIFS(JB_27S,JB_B,4,JB_W,"Cargo &amp; Vehicle Cargo Ships",JB_S,"",JB_27U,"")+SUMIFS(JB_27U,JB_B,4,JB_W,"Cargo &amp; Vehicle Cargo Ships",JB_S,"[PARENT]",JB_27U,"&lt;&gt;")+SUMIFS(JB_27S,JB_B,4,JB_W,"Cargo &amp; Vehicle Cargo Ships",JB_S,"[PARENT]",JB_27U,"")</f>
        <v/>
      </c>
      <c r="E27" s="85">
        <f>C27+D27</f>
        <v/>
      </c>
      <c r="F27" s="91">
        <f>IFERROR(E27/E$40,0)</f>
        <v/>
      </c>
    </row>
    <row r="28" ht="10" customHeight="1">
      <c r="A28" s="84" t="inlineStr">
        <is>
          <t>Hospital Ship</t>
        </is>
      </c>
      <c r="B28" s="84" t="inlineStr">
        <is>
          <t>MSC</t>
        </is>
      </c>
      <c r="C28" s="85">
        <f>SUMIFS(JB_27U,JB_B,2,JB_W,"Hospital Ship",JB_S,"",JB_27U,"&lt;&gt;")+SUMIFS(JB_27S,JB_B,2,JB_W,"Hospital Ship",JB_S,"",JB_27U,"")+SUMIFS(JB_27U,JB_B,2,JB_W,"Hospital Ship",JB_S,"[PARENT]",JB_27U,"&lt;&gt;")+SUMIFS(JB_27S,JB_B,2,JB_W,"Hospital Ship",JB_S,"[PARENT]",JB_27U,"")</f>
        <v/>
      </c>
      <c r="D28" s="85">
        <f>SUMIFS(JB_27U,JB_B,4,JB_W,"Hospital Ship",JB_S,"",JB_27U,"&lt;&gt;")+SUMIFS(JB_27S,JB_B,4,JB_W,"Hospital Ship",JB_S,"",JB_27U,"")+SUMIFS(JB_27U,JB_B,4,JB_W,"Hospital Ship",JB_S,"[PARENT]",JB_27U,"&lt;&gt;")+SUMIFS(JB_27S,JB_B,4,JB_W,"Hospital Ship",JB_S,"[PARENT]",JB_27U,"")</f>
        <v/>
      </c>
      <c r="E28" s="85">
        <f>C28+D28</f>
        <v/>
      </c>
      <c r="F28" s="91">
        <f>IFERROR(E28/E$40,0)</f>
        <v/>
      </c>
    </row>
    <row r="29" ht="10" customHeight="1">
      <c r="A29" s="84" t="inlineStr">
        <is>
          <t>Crane Ship</t>
        </is>
      </c>
      <c r="B29" s="84" t="inlineStr">
        <is>
          <t>USN</t>
        </is>
      </c>
      <c r="C29" s="85">
        <f>SUMIFS(JB_27U,JB_B,2,JB_W,"Crane Ship",JB_S,"",JB_27U,"&lt;&gt;")+SUMIFS(JB_27S,JB_B,2,JB_W,"Crane Ship",JB_S,"",JB_27U,"")+SUMIFS(JB_27U,JB_B,2,JB_W,"Crane Ship",JB_S,"[PARENT]",JB_27U,"&lt;&gt;")+SUMIFS(JB_27S,JB_B,2,JB_W,"Crane Ship",JB_S,"[PARENT]",JB_27U,"")</f>
        <v/>
      </c>
      <c r="D29" s="85">
        <f>SUMIFS(JB_27U,JB_B,4,JB_W,"Crane Ship",JB_S,"",JB_27U,"&lt;&gt;")+SUMIFS(JB_27S,JB_B,4,JB_W,"Crane Ship",JB_S,"",JB_27U,"")+SUMIFS(JB_27U,JB_B,4,JB_W,"Crane Ship",JB_S,"[PARENT]",JB_27U,"&lt;&gt;")+SUMIFS(JB_27S,JB_B,4,JB_W,"Crane Ship",JB_S,"[PARENT]",JB_27U,"")</f>
        <v/>
      </c>
      <c r="E29" s="85">
        <f>C29+D29</f>
        <v/>
      </c>
      <c r="F29" s="91">
        <f>IFERROR(E29/E$40,0)</f>
        <v/>
      </c>
    </row>
    <row r="30" ht="10" customHeight="1">
      <c r="A30" s="84" t="inlineStr">
        <is>
          <t>General Auxiliary</t>
        </is>
      </c>
      <c r="B30" s="84" t="inlineStr">
        <is>
          <t>USN</t>
        </is>
      </c>
      <c r="C30" s="85">
        <f>SUMIFS(JB_27U,JB_B,2,JB_W,"General Auxiliary",JB_S,"",JB_27U,"&lt;&gt;")+SUMIFS(JB_27S,JB_B,2,JB_W,"General Auxiliary",JB_S,"",JB_27U,"")+SUMIFS(JB_27U,JB_B,2,JB_W,"General Auxiliary",JB_S,"[PARENT]",JB_27U,"&lt;&gt;")+SUMIFS(JB_27S,JB_B,2,JB_W,"General Auxiliary",JB_S,"[PARENT]",JB_27U,"")</f>
        <v/>
      </c>
      <c r="D30" s="85">
        <f>SUMIFS(JB_27U,JB_B,4,JB_W,"General Auxiliary",JB_S,"",JB_27U,"&lt;&gt;")+SUMIFS(JB_27S,JB_B,4,JB_W,"General Auxiliary",JB_S,"",JB_27U,"")+SUMIFS(JB_27U,JB_B,4,JB_W,"General Auxiliary",JB_S,"[PARENT]",JB_27U,"&lt;&gt;")+SUMIFS(JB_27S,JB_B,4,JB_W,"General Auxiliary",JB_S,"[PARENT]",JB_27U,"")</f>
        <v/>
      </c>
      <c r="E30" s="85">
        <f>C30+D30</f>
        <v/>
      </c>
      <c r="F30" s="91">
        <f>IFERROR(E30/E$40,0)</f>
        <v/>
      </c>
    </row>
    <row r="31" ht="10" customHeight="1">
      <c r="A31" s="84" t="inlineStr">
        <is>
          <t>Salvage Ships &amp; Fleet Ocean Tugs</t>
        </is>
      </c>
      <c r="B31" s="84" t="inlineStr">
        <is>
          <t>MSC</t>
        </is>
      </c>
      <c r="C31"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1"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1" s="85">
        <f>C31+D31</f>
        <v/>
      </c>
      <c r="F31" s="91">
        <f>IFERROR(E31/E$40,0)</f>
        <v/>
      </c>
    </row>
    <row r="32" ht="10" customHeight="1">
      <c r="A32" s="84" t="inlineStr">
        <is>
          <t>Mine Warfare</t>
        </is>
      </c>
      <c r="B32" s="84" t="inlineStr">
        <is>
          <t>USN</t>
        </is>
      </c>
      <c r="C32" s="85">
        <f>SUMIFS(JB_27U,JB_B,2,JB_W,"Mine Warfare",JB_S,"",JB_27U,"&lt;&gt;")+SUMIFS(JB_27S,JB_B,2,JB_W,"Mine Warfare",JB_S,"",JB_27U,"")+SUMIFS(JB_27U,JB_B,2,JB_W,"Mine Warfare",JB_S,"[PARENT]",JB_27U,"&lt;&gt;")+SUMIFS(JB_27S,JB_B,2,JB_W,"Mine Warfare",JB_S,"[PARENT]",JB_27U,"")</f>
        <v/>
      </c>
      <c r="D32" s="85">
        <f>SUMIFS(JB_27U,JB_B,4,JB_W,"Mine Warfare",JB_S,"",JB_27U,"&lt;&gt;")+SUMIFS(JB_27S,JB_B,4,JB_W,"Mine Warfare",JB_S,"",JB_27U,"")+SUMIFS(JB_27U,JB_B,4,JB_W,"Mine Warfare",JB_S,"[PARENT]",JB_27U,"&lt;&gt;")+SUMIFS(JB_27S,JB_B,4,JB_W,"Mine Warfare",JB_S,"[PARENT]",JB_27U,"")</f>
        <v/>
      </c>
      <c r="E32" s="85">
        <f>C32+D32</f>
        <v/>
      </c>
      <c r="F32" s="91">
        <f>IFERROR(E32/E$40,0)</f>
        <v/>
      </c>
    </row>
    <row r="33" ht="10" customHeight="1">
      <c r="A33" s="84" t="inlineStr">
        <is>
          <t>National Security Cutters</t>
        </is>
      </c>
      <c r="B33" s="84" t="inlineStr">
        <is>
          <t>USCG</t>
        </is>
      </c>
      <c r="C33" s="85">
        <f>SUMIFS(JB_27U,JB_B,2,JB_W,"National Security Cutters",JB_S,"",JB_27U,"&lt;&gt;")+SUMIFS(JB_27S,JB_B,2,JB_W,"National Security Cutters",JB_S,"",JB_27U,"")+SUMIFS(JB_27U,JB_B,2,JB_W,"National Security Cutters",JB_S,"[PARENT]",JB_27U,"&lt;&gt;")+SUMIFS(JB_27S,JB_B,2,JB_W,"National Security Cutters",JB_S,"[PARENT]",JB_27U,"")</f>
        <v/>
      </c>
      <c r="D33" s="85">
        <f>SUMIFS(JB_27U,JB_B,4,JB_W,"National Security Cutters",JB_S,"",JB_27U,"&lt;&gt;")+SUMIFS(JB_27S,JB_B,4,JB_W,"National Security Cutters",JB_S,"",JB_27U,"")+SUMIFS(JB_27U,JB_B,4,JB_W,"National Security Cutters",JB_S,"[PARENT]",JB_27U,"&lt;&gt;")+SUMIFS(JB_27S,JB_B,4,JB_W,"National Security Cutters",JB_S,"[PARENT]",JB_27U,"")</f>
        <v/>
      </c>
      <c r="E33" s="85">
        <f>C33+D33</f>
        <v/>
      </c>
      <c r="F33" s="91">
        <f>IFERROR(E33/E$40,0)</f>
        <v/>
      </c>
    </row>
    <row r="34" ht="10" customHeight="1">
      <c r="A34" s="84" t="inlineStr">
        <is>
          <t>Icebreakers, Great Lakes</t>
        </is>
      </c>
      <c r="B34" s="84" t="inlineStr">
        <is>
          <t>USCG</t>
        </is>
      </c>
      <c r="C34" s="85">
        <f>SUMIFS(JB_27U,JB_B,2,JB_W,"Icebreakers, Great Lakes",JB_S,"",JB_27U,"&lt;&gt;")+SUMIFS(JB_27S,JB_B,2,JB_W,"Icebreakers, Great Lakes",JB_S,"",JB_27U,"")+SUMIFS(JB_27U,JB_B,2,JB_W,"Icebreakers, Great Lakes",JB_S,"[PARENT]",JB_27U,"&lt;&gt;")+SUMIFS(JB_27S,JB_B,2,JB_W,"Icebreakers, Great Lakes",JB_S,"[PARENT]",JB_27U,"")</f>
        <v/>
      </c>
      <c r="D34" s="85">
        <f>SUMIFS(JB_27U,JB_B,4,JB_W,"Icebreakers, Great Lakes",JB_S,"",JB_27U,"&lt;&gt;")+SUMIFS(JB_27S,JB_B,4,JB_W,"Icebreakers, Great Lakes",JB_S,"",JB_27U,"")+SUMIFS(JB_27U,JB_B,4,JB_W,"Icebreakers, Great Lakes",JB_S,"[PARENT]",JB_27U,"&lt;&gt;")+SUMIFS(JB_27S,JB_B,4,JB_W,"Icebreakers, Great Lakes",JB_S,"[PARENT]",JB_27U,"")</f>
        <v/>
      </c>
      <c r="E34" s="85">
        <f>C34+D34</f>
        <v/>
      </c>
      <c r="F34" s="91">
        <f>IFERROR(E34/E$40,0)</f>
        <v/>
      </c>
    </row>
    <row r="35" ht="10" customHeight="1">
      <c r="A35" s="84" t="inlineStr">
        <is>
          <t>Fast Response Cutters</t>
        </is>
      </c>
      <c r="B35" s="84" t="inlineStr">
        <is>
          <t>USCG</t>
        </is>
      </c>
      <c r="C35" s="85">
        <f>SUMIFS(JB_27U,JB_B,2,JB_W,"Fast Response Cutters",JB_S,"",JB_27U,"&lt;&gt;")+SUMIFS(JB_27S,JB_B,2,JB_W,"Fast Response Cutters",JB_S,"",JB_27U,"")+SUMIFS(JB_27U,JB_B,2,JB_W,"Fast Response Cutters",JB_S,"[PARENT]",JB_27U,"&lt;&gt;")+SUMIFS(JB_27S,JB_B,2,JB_W,"Fast Response Cutters",JB_S,"[PARENT]",JB_27U,"")</f>
        <v/>
      </c>
      <c r="D35" s="85">
        <f>SUMIFS(JB_27U,JB_B,4,JB_W,"Fast Response Cutters",JB_S,"",JB_27U,"&lt;&gt;")+SUMIFS(JB_27S,JB_B,4,JB_W,"Fast Response Cutters",JB_S,"",JB_27U,"")+SUMIFS(JB_27U,JB_B,4,JB_W,"Fast Response Cutters",JB_S,"[PARENT]",JB_27U,"&lt;&gt;")+SUMIFS(JB_27S,JB_B,4,JB_W,"Fast Response Cutters",JB_S,"[PARENT]",JB_27U,"")</f>
        <v/>
      </c>
      <c r="E35" s="85">
        <f>C35+D35</f>
        <v/>
      </c>
      <c r="F35" s="91">
        <f>IFERROR(E35/E$40,0)</f>
        <v/>
      </c>
    </row>
    <row r="36" ht="10" customHeight="1">
      <c r="A36" s="84" t="inlineStr">
        <is>
          <t>Waterways Commerce Cutters</t>
        </is>
      </c>
      <c r="B36" s="84" t="inlineStr">
        <is>
          <t>USCG</t>
        </is>
      </c>
      <c r="C36" s="85">
        <f>SUMIFS(JB_27U,JB_B,2,JB_W,"Waterways Commerce Cutters",JB_S,"",JB_27U,"&lt;&gt;")+SUMIFS(JB_27S,JB_B,2,JB_W,"Waterways Commerce Cutters",JB_S,"",JB_27U,"")+SUMIFS(JB_27U,JB_B,2,JB_W,"Waterways Commerce Cutters",JB_S,"[PARENT]",JB_27U,"&lt;&gt;")+SUMIFS(JB_27S,JB_B,2,JB_W,"Waterways Commerce Cutters",JB_S,"[PARENT]",JB_27U,"")</f>
        <v/>
      </c>
      <c r="D36" s="85">
        <f>SUMIFS(JB_27U,JB_B,4,JB_W,"Waterways Commerce Cutters",JB_S,"",JB_27U,"&lt;&gt;")+SUMIFS(JB_27S,JB_B,4,JB_W,"Waterways Commerce Cutters",JB_S,"",JB_27U,"")+SUMIFS(JB_27U,JB_B,4,JB_W,"Waterways Commerce Cutters",JB_S,"[PARENT]",JB_27U,"&lt;&gt;")+SUMIFS(JB_27S,JB_B,4,JB_W,"Waterways Commerce Cutters",JB_S,"[PARENT]",JB_27U,"")</f>
        <v/>
      </c>
      <c r="E36" s="85">
        <f>C36+D36</f>
        <v/>
      </c>
      <c r="F36" s="91">
        <f>IFERROR(E36/E$40,0)</f>
        <v/>
      </c>
    </row>
    <row r="37" ht="10" customHeight="1">
      <c r="A37" s="84" t="inlineStr">
        <is>
          <t>Offshore Patrol Cutter</t>
        </is>
      </c>
      <c r="B37" s="84" t="inlineStr">
        <is>
          <t>USCG</t>
        </is>
      </c>
      <c r="C37" s="85">
        <f>SUMIFS(JB_27U,JB_B,2,JB_W,"Offshore Patrol Cutter",JB_S,"",JB_27U,"&lt;&gt;")+SUMIFS(JB_27S,JB_B,2,JB_W,"Offshore Patrol Cutter",JB_S,"",JB_27U,"")+SUMIFS(JB_27U,JB_B,2,JB_W,"Offshore Patrol Cutter",JB_S,"[PARENT]",JB_27U,"&lt;&gt;")+SUMIFS(JB_27S,JB_B,2,JB_W,"Offshore Patrol Cutter",JB_S,"[PARENT]",JB_27U,"")</f>
        <v/>
      </c>
      <c r="D37" s="85">
        <f>SUMIFS(JB_27U,JB_B,4,JB_W,"Offshore Patrol Cutter",JB_S,"",JB_27U,"&lt;&gt;")+SUMIFS(JB_27S,JB_B,4,JB_W,"Offshore Patrol Cutter",JB_S,"",JB_27U,"")+SUMIFS(JB_27U,JB_B,4,JB_W,"Offshore Patrol Cutter",JB_S,"[PARENT]",JB_27U,"&lt;&gt;")+SUMIFS(JB_27S,JB_B,4,JB_W,"Offshore Patrol Cutter",JB_S,"[PARENT]",JB_27U,"")</f>
        <v/>
      </c>
      <c r="E37" s="85">
        <f>C37+D37</f>
        <v/>
      </c>
      <c r="F37" s="91">
        <f>IFERROR(E37/E$40,0)</f>
        <v/>
      </c>
    </row>
    <row r="38" ht="10" customHeight="1">
      <c r="A38" s="84" t="inlineStr">
        <is>
          <t>Icebreakers, Oceangoing</t>
        </is>
      </c>
      <c r="B38" s="84" t="inlineStr">
        <is>
          <t>USCG</t>
        </is>
      </c>
      <c r="C38" s="85">
        <f>SUMIFS(JB_27U,JB_B,2,JB_W,"Icebreakers, Oceangoing",JB_S,"",JB_27U,"&lt;&gt;")+SUMIFS(JB_27S,JB_B,2,JB_W,"Icebreakers, Oceangoing",JB_S,"",JB_27U,"")+SUMIFS(JB_27U,JB_B,2,JB_W,"Icebreakers, Oceangoing",JB_S,"[PARENT]",JB_27U,"&lt;&gt;")+SUMIFS(JB_27S,JB_B,2,JB_W,"Icebreakers, Oceangoing",JB_S,"[PARENT]",JB_27U,"")</f>
        <v/>
      </c>
      <c r="D38" s="85">
        <f>SUMIFS(JB_27U,JB_B,4,JB_W,"Icebreakers, Oceangoing",JB_S,"",JB_27U,"&lt;&gt;")+SUMIFS(JB_27S,JB_B,4,JB_W,"Icebreakers, Oceangoing",JB_S,"",JB_27U,"")+SUMIFS(JB_27U,JB_B,4,JB_W,"Icebreakers, Oceangoing",JB_S,"[PARENT]",JB_27U,"&lt;&gt;")+SUMIFS(JB_27S,JB_B,4,JB_W,"Icebreakers, Oceangoing",JB_S,"[PARENT]",JB_27U,"")</f>
        <v/>
      </c>
      <c r="E38" s="85">
        <f>C38+D38</f>
        <v/>
      </c>
      <c r="F38" s="91">
        <f>IFERROR(E38/E$40,0)</f>
        <v/>
      </c>
    </row>
    <row r="39" ht="10" customHeight="1">
      <c r="A39" s="84" t="inlineStr">
        <is>
          <t>Coastal Buoy Tenders</t>
        </is>
      </c>
      <c r="B39" s="84" t="inlineStr">
        <is>
          <t>USCG</t>
        </is>
      </c>
      <c r="C39" s="85">
        <f>SUMIFS(JB_27U,JB_B,2,JB_W,"Coastal Buoy Tenders",JB_S,"",JB_27U,"&lt;&gt;")+SUMIFS(JB_27S,JB_B,2,JB_W,"Coastal Buoy Tenders",JB_S,"",JB_27U,"")+SUMIFS(JB_27U,JB_B,2,JB_W,"Coastal Buoy Tenders",JB_S,"[PARENT]",JB_27U,"&lt;&gt;")+SUMIFS(JB_27S,JB_B,2,JB_W,"Coastal Buoy Tenders",JB_S,"[PARENT]",JB_27U,"")</f>
        <v/>
      </c>
      <c r="D39" s="85">
        <f>SUMIFS(JB_27U,JB_B,4,JB_W,"Coastal Buoy Tenders",JB_S,"",JB_27U,"&lt;&gt;")+SUMIFS(JB_27S,JB_B,4,JB_W,"Coastal Buoy Tenders",JB_S,"",JB_27U,"")+SUMIFS(JB_27U,JB_B,4,JB_W,"Coastal Buoy Tenders",JB_S,"[PARENT]",JB_27U,"&lt;&gt;")+SUMIFS(JB_27S,JB_B,4,JB_W,"Coastal Buoy Tenders",JB_S,"[PARENT]",JB_27U,"")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2026-04-12T22:38:39Z</dcterms:modified>
  <cp:lastModifiedBy>Brendan Toole</cp:lastModifiedBy>
  <cp:revision>0</cp:revision>
</cp:coreProperties>
</file>