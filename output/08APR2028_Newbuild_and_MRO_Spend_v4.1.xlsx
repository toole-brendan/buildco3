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CE">'J Book Items Cons.'!$AH$5:$AH$3381</definedName>
    <definedName name="JB_EX">'J Book Items Cons.'!$AL$5:$AL$3381</definedName>
    <definedName name="JB_CC">'J Book Items Cons.'!$AM$5:$AM$3381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4">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sz val="8"/>
    </font>
    <font>
      <name val="Arial"/>
      <sz val="8"/>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10">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0" borderId="0" applyAlignment="1" pivotButton="0" quotePrefix="0" xfId="0">
      <alignment horizontal="left" vertical="center"/>
    </xf>
    <xf numFmtId="0" fontId="34" fillId="0" borderId="0" applyAlignment="1" pivotButton="0" quotePrefix="0" xfId="0">
      <alignment horizontal="left" vertical="center"/>
    </xf>
    <xf numFmtId="0" fontId="35" fillId="13" borderId="0" applyAlignment="1" pivotButton="0" quotePrefix="0" xfId="0">
      <alignment vertical="center"/>
    </xf>
    <xf numFmtId="0" fontId="0" fillId="13" borderId="0" applyAlignment="1" pivotButton="0" quotePrefix="0" xfId="0">
      <alignment vertical="center"/>
    </xf>
    <xf numFmtId="0" fontId="36" fillId="0" borderId="0" applyAlignment="1" pivotButton="0" quotePrefix="0" xfId="0">
      <alignment vertical="center"/>
    </xf>
    <xf numFmtId="0" fontId="35" fillId="14" borderId="0" applyAlignment="1" pivotButton="0" quotePrefix="0" xfId="0">
      <alignment vertical="center"/>
    </xf>
    <xf numFmtId="0" fontId="0" fillId="14" borderId="0" applyAlignment="1" pivotButton="0" quotePrefix="0" xfId="0">
      <alignment vertical="center"/>
    </xf>
    <xf numFmtId="0" fontId="37" fillId="0" borderId="6" applyAlignment="1" pivotButton="0" quotePrefix="0" xfId="0">
      <alignment vertical="center"/>
    </xf>
    <xf numFmtId="0" fontId="38" fillId="0" borderId="0" applyAlignment="1" pivotButton="0" quotePrefix="0" xfId="0">
      <alignment vertical="center"/>
    </xf>
    <xf numFmtId="166" fontId="38" fillId="0" borderId="0" applyAlignment="1" pivotButton="0" quotePrefix="0" xfId="0">
      <alignment vertical="center"/>
    </xf>
    <xf numFmtId="0" fontId="37" fillId="0" borderId="7" applyAlignment="1" pivotButton="0" quotePrefix="0" xfId="0">
      <alignment vertical="center"/>
    </xf>
    <xf numFmtId="166" fontId="37" fillId="0" borderId="7" applyAlignment="1" pivotButton="0" quotePrefix="0" xfId="0">
      <alignment vertical="center"/>
    </xf>
    <xf numFmtId="0" fontId="0" fillId="0" borderId="8" pivotButton="0" quotePrefix="0" xfId="0"/>
    <xf numFmtId="0" fontId="39" fillId="15" borderId="0" applyAlignment="1" pivotButton="0" quotePrefix="0" xfId="0">
      <alignment vertical="center"/>
    </xf>
    <xf numFmtId="166" fontId="39" fillId="15" borderId="0" applyAlignment="1" pivotButton="0" quotePrefix="0" xfId="0">
      <alignment vertical="center"/>
    </xf>
    <xf numFmtId="167" fontId="41" fillId="0" borderId="0" applyAlignment="1" pivotButton="0" quotePrefix="0" xfId="0">
      <alignment vertical="center"/>
    </xf>
    <xf numFmtId="167" fontId="40" fillId="0" borderId="7" applyAlignment="1" pivotButton="0" quotePrefix="0" xfId="0">
      <alignment vertical="center"/>
    </xf>
    <xf numFmtId="0" fontId="0" fillId="16" borderId="0" applyAlignment="1" pivotButton="0" quotePrefix="0" xfId="0">
      <alignment vertical="center"/>
    </xf>
    <xf numFmtId="0" fontId="37" fillId="16" borderId="9" applyAlignment="1" pivotButton="0" quotePrefix="0" xfId="0">
      <alignment vertical="center"/>
    </xf>
    <xf numFmtId="0" fontId="0" fillId="16" borderId="9" applyAlignment="1" pivotButton="0" quotePrefix="0" xfId="0">
      <alignment vertical="center"/>
    </xf>
    <xf numFmtId="0" fontId="37" fillId="0" borderId="10" applyAlignment="1" pivotButton="0" quotePrefix="0" xfId="0">
      <alignment vertical="center"/>
    </xf>
    <xf numFmtId="167" fontId="41" fillId="0" borderId="9" applyAlignment="1" pivotButton="0" quotePrefix="0" xfId="0">
      <alignment vertical="center"/>
    </xf>
    <xf numFmtId="166" fontId="37" fillId="0" borderId="11" applyAlignment="1" pivotButton="0" quotePrefix="0" xfId="0">
      <alignment vertical="center"/>
    </xf>
    <xf numFmtId="166" fontId="38" fillId="0" borderId="9" applyAlignment="1" pivotButton="0" quotePrefix="0" xfId="0">
      <alignment vertical="center"/>
    </xf>
    <xf numFmtId="0" fontId="37" fillId="16" borderId="0" applyAlignment="1" pivotButton="0" quotePrefix="0" xfId="0">
      <alignment vertical="center"/>
    </xf>
    <xf numFmtId="166" fontId="39" fillId="15" borderId="9" applyAlignment="1" pivotButton="0" quotePrefix="0" xfId="0">
      <alignment vertical="center"/>
    </xf>
    <xf numFmtId="165" fontId="36" fillId="0" borderId="9" applyAlignment="1" pivotButton="0" quotePrefix="0" xfId="0">
      <alignment vertical="center"/>
    </xf>
    <xf numFmtId="165" fontId="36" fillId="0" borderId="0" applyAlignment="1" pivotButton="0" quotePrefix="0" xfId="0">
      <alignment vertical="center"/>
    </xf>
    <xf numFmtId="166" fontId="43" fillId="0" borderId="0" applyAlignment="1" pivotButton="0" quotePrefix="0" xfId="0">
      <alignment vertical="center"/>
    </xf>
    <xf numFmtId="166" fontId="42" fillId="0" borderId="0" applyAlignment="1" pivotButton="0" quotePrefix="0" xfId="0">
      <alignment vertical="center"/>
    </xf>
    <xf numFmtId="0" fontId="33" fillId="0" borderId="0" pivotButton="0" quotePrefix="0" xfId="0"/>
    <xf numFmtId="0" fontId="34" fillId="0" borderId="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M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c r="AL4" s="78" t="inlineStr">
        <is>
          <t>Exhibit Level</t>
        </is>
      </c>
      <c r="AM4" s="78" t="inlineStr">
        <is>
          <t>Cost Category</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4" s="79" t="inlineStr">
        <is>
          <t>P-5c</t>
        </is>
      </c>
      <c r="AM94" s="79" t="inlineStr">
        <is>
          <t>Plan Costs</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5" s="79" t="inlineStr">
        <is>
          <t>P-5c</t>
        </is>
      </c>
      <c r="AM95" s="79" t="inlineStr">
        <is>
          <t>Basic Construction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6" s="79" t="inlineStr">
        <is>
          <t>P-5c</t>
        </is>
      </c>
      <c r="AM96" s="79" t="inlineStr">
        <is>
          <t>Change Orders</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7" s="79" t="inlineStr">
        <is>
          <t>P-5c</t>
        </is>
      </c>
      <c r="AM97" s="79" t="inlineStr">
        <is>
          <t>Electronics</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8" s="79" t="inlineStr">
        <is>
          <t>P-5c</t>
        </is>
      </c>
      <c r="AM98" s="79" t="inlineStr">
        <is>
          <t>Propulsion Equipment</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99" s="79" t="inlineStr">
        <is>
          <t>P-5c</t>
        </is>
      </c>
      <c r="AM99" s="79" t="inlineStr">
        <is>
          <t>Hull, Mechanical, and Electrical</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0" s="79" t="inlineStr">
        <is>
          <t>P-5c</t>
        </is>
      </c>
      <c r="AM100" s="79" t="inlineStr">
        <is>
          <t>Ordnance</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1" s="79" t="inlineStr">
        <is>
          <t>P-5c</t>
        </is>
      </c>
      <c r="AM101" s="79" t="inlineStr">
        <is>
          <t>Other Cost</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2" s="79" t="inlineStr">
        <is>
          <t>P-8a</t>
        </is>
      </c>
      <c r="AM102" s="79" t="inlineStr">
        <is>
          <t>Electronics</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3" s="79" t="inlineStr">
        <is>
          <t>P-8a</t>
        </is>
      </c>
      <c r="AM103" s="79" t="inlineStr">
        <is>
          <t>Electronics</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4" s="79" t="inlineStr">
        <is>
          <t>P-8a</t>
        </is>
      </c>
      <c r="AM104" s="79" t="inlineStr">
        <is>
          <t>Electronics</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5" s="79" t="inlineStr">
        <is>
          <t>P-8a</t>
        </is>
      </c>
      <c r="AM105" s="79" t="inlineStr">
        <is>
          <t>Electronics</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6" s="79" t="inlineStr">
        <is>
          <t>P-8a</t>
        </is>
      </c>
      <c r="AM106" s="79" t="inlineStr">
        <is>
          <t>Electronics</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7" s="79" t="inlineStr">
        <is>
          <t>P-8a</t>
        </is>
      </c>
      <c r="AM107" s="79" t="inlineStr">
        <is>
          <t>Electronics</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8" s="79" t="inlineStr">
        <is>
          <t>P-8a</t>
        </is>
      </c>
      <c r="AM108" s="79" t="inlineStr">
        <is>
          <t>Electronics</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09" s="79" t="inlineStr">
        <is>
          <t>P-8a</t>
        </is>
      </c>
      <c r="AM109" s="79" t="inlineStr">
        <is>
          <t>Electronics</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0" s="79" t="inlineStr">
        <is>
          <t>P-8a</t>
        </is>
      </c>
      <c r="AM110" s="79" t="inlineStr">
        <is>
          <t>Electronics</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1" s="79" t="inlineStr">
        <is>
          <t>P-8a</t>
        </is>
      </c>
      <c r="AM111" s="79" t="inlineStr">
        <is>
          <t>Electronics</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2" s="79" t="inlineStr">
        <is>
          <t>P-8a</t>
        </is>
      </c>
      <c r="AM112" s="79" t="inlineStr">
        <is>
          <t>Electronics</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3" s="79" t="inlineStr">
        <is>
          <t>P-8a</t>
        </is>
      </c>
      <c r="AM113" s="79" t="inlineStr">
        <is>
          <t>Electronics</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4" s="79" t="inlineStr">
        <is>
          <t>P-8a</t>
        </is>
      </c>
      <c r="AM114" s="79" t="inlineStr">
        <is>
          <t>Electronics</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5" s="79" t="inlineStr">
        <is>
          <t>P-8a</t>
        </is>
      </c>
      <c r="AM115" s="79" t="inlineStr">
        <is>
          <t>Electronics</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6" s="79" t="inlineStr">
        <is>
          <t>P-8a</t>
        </is>
      </c>
      <c r="AM116" s="79" t="inlineStr">
        <is>
          <t>Electronics</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7" s="79" t="inlineStr">
        <is>
          <t>P-8a</t>
        </is>
      </c>
      <c r="AM117" s="79" t="inlineStr">
        <is>
          <t>Hull, Mechanical, and Electrical</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8" s="79" t="inlineStr">
        <is>
          <t>P-8a</t>
        </is>
      </c>
      <c r="AM118" s="79" t="inlineStr">
        <is>
          <t>Hull, Mechanical, and Electrical</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19" s="79" t="inlineStr">
        <is>
          <t>P-8a</t>
        </is>
      </c>
      <c r="AM119" s="79" t="inlineStr">
        <is>
          <t>Hull, Mechanical, and Electrical</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0" s="79" t="inlineStr">
        <is>
          <t>P-8a</t>
        </is>
      </c>
      <c r="AM120" s="79" t="inlineStr">
        <is>
          <t>Hull, Mechanical, and Electrical</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1" s="79" t="inlineStr">
        <is>
          <t>P-8a</t>
        </is>
      </c>
      <c r="AM121" s="79" t="inlineStr">
        <is>
          <t>Hull, Mechanical, and Electrical</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2" s="79" t="inlineStr">
        <is>
          <t>P-8a</t>
        </is>
      </c>
      <c r="AM122" s="79" t="inlineStr">
        <is>
          <t>Hull, Mechanical, and Electrical</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3" s="79" t="inlineStr">
        <is>
          <t>P-8a</t>
        </is>
      </c>
      <c r="AM123" s="79" t="inlineStr">
        <is>
          <t>Ordnance</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4" s="79" t="inlineStr">
        <is>
          <t>P-8a</t>
        </is>
      </c>
      <c r="AM124" s="79" t="inlineStr">
        <is>
          <t>Ordnance</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5" s="79" t="inlineStr">
        <is>
          <t>P-8a</t>
        </is>
      </c>
      <c r="AM125" s="79" t="inlineStr">
        <is>
          <t>Ordnance</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6" s="79" t="inlineStr">
        <is>
          <t>P-8a</t>
        </is>
      </c>
      <c r="AM126" s="79" t="inlineStr">
        <is>
          <t>Ordnance</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7" s="79" t="inlineStr">
        <is>
          <t>P-8a</t>
        </is>
      </c>
      <c r="AM127" s="79" t="inlineStr">
        <is>
          <t>Ordnance</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8" s="79" t="inlineStr">
        <is>
          <t>P-8a</t>
        </is>
      </c>
      <c r="AM128" s="79" t="inlineStr">
        <is>
          <t>Ordnance</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29" s="79" t="inlineStr">
        <is>
          <t>P-8a</t>
        </is>
      </c>
      <c r="AM129" s="79" t="inlineStr">
        <is>
          <t>Ordnance</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0" s="79" t="inlineStr">
        <is>
          <t>P-8a</t>
        </is>
      </c>
      <c r="AM130" s="79" t="inlineStr">
        <is>
          <t>Ordnance</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1" s="79" t="inlineStr">
        <is>
          <t>P-35</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2" s="79" t="inlineStr">
        <is>
          <t>P-35</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3" s="79" t="inlineStr">
        <is>
          <t>P-35</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4" s="79" t="inlineStr">
        <is>
          <t>P-35</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5" s="79" t="inlineStr">
        <is>
          <t>P-35</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6" s="79" t="inlineStr">
        <is>
          <t>P-35</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7" s="79" t="inlineStr">
        <is>
          <t>P-35</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8" s="79" t="inlineStr">
        <is>
          <t>P-35</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39" s="79" t="inlineStr">
        <is>
          <t>P-35</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0" s="79" t="inlineStr">
        <is>
          <t>P-35</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1" s="79" t="inlineStr">
        <is>
          <t>P-35</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2" s="79" t="inlineStr">
        <is>
          <t>P-35</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3" s="79" t="inlineStr">
        <is>
          <t>P-35</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4" s="79" t="inlineStr">
        <is>
          <t>P-35</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5" s="79" t="inlineStr">
        <is>
          <t>P-35</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6" s="79" t="inlineStr">
        <is>
          <t>P-35</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7" s="79" t="inlineStr">
        <is>
          <t>P-35</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8" s="79" t="inlineStr">
        <is>
          <t>P-35</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49" s="79" t="inlineStr">
        <is>
          <t>P-35</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0" s="79" t="inlineStr">
        <is>
          <t>P-35</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1" s="79" t="inlineStr">
        <is>
          <t>P-35</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2" s="79" t="inlineStr">
        <is>
          <t>P-35</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3" s="79" t="inlineStr">
        <is>
          <t>P-35</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4" s="79" t="inlineStr">
        <is>
          <t>P-35</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5" s="79" t="inlineStr">
        <is>
          <t>P-35</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6" s="79" t="inlineStr">
        <is>
          <t>P-35</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7" s="79" t="inlineStr">
        <is>
          <t>P-35</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8" s="79" t="inlineStr">
        <is>
          <t>P-35</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59" s="79" t="inlineStr">
        <is>
          <t>P-35</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0" s="79" t="inlineStr">
        <is>
          <t>P-35</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1" s="79" t="inlineStr">
        <is>
          <t>P-35</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c r="AL162" s="79" t="inlineStr">
        <is>
          <t>P-35</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7" s="79" t="inlineStr">
        <is>
          <t>P-5c</t>
        </is>
      </c>
      <c r="AM347" s="79" t="inlineStr">
        <is>
          <t>Plan Costs</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8" s="79" t="inlineStr">
        <is>
          <t>P-5c</t>
        </is>
      </c>
      <c r="AM348" s="79" t="inlineStr">
        <is>
          <t>Basic Construction</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49" s="79" t="inlineStr">
        <is>
          <t>P-5c</t>
        </is>
      </c>
      <c r="AM349" s="79" t="inlineStr">
        <is>
          <t>Change Orders</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0" s="79" t="inlineStr">
        <is>
          <t>P-5c</t>
        </is>
      </c>
      <c r="AM350" s="79" t="inlineStr">
        <is>
          <t>Electronics</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1" s="79" t="inlineStr">
        <is>
          <t>P-5c</t>
        </is>
      </c>
      <c r="AM351" s="79" t="inlineStr">
        <is>
          <t>Propulsion Equipment</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2" s="79" t="inlineStr">
        <is>
          <t>P-5c</t>
        </is>
      </c>
      <c r="AM352" s="79" t="inlineStr">
        <is>
          <t>Hull, Mechanical, and Electrical</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3" s="79" t="inlineStr">
        <is>
          <t>P-5c</t>
        </is>
      </c>
      <c r="AM353" s="79" t="inlineStr">
        <is>
          <t>Ordnance</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4" s="79" t="inlineStr">
        <is>
          <t>P-5c</t>
        </is>
      </c>
      <c r="AM354" s="79" t="inlineStr">
        <is>
          <t>Other Cost</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5" s="79" t="inlineStr">
        <is>
          <t>P-8a</t>
        </is>
      </c>
      <c r="AM355" s="79" t="inlineStr">
        <is>
          <t>Electronics</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6" s="79" t="inlineStr">
        <is>
          <t>P-8a</t>
        </is>
      </c>
      <c r="AM356" s="79" t="inlineStr">
        <is>
          <t>Electronics</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7" s="79" t="inlineStr">
        <is>
          <t>P-8a</t>
        </is>
      </c>
      <c r="AM357" s="79" t="inlineStr">
        <is>
          <t>Electronics</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8" s="79" t="inlineStr">
        <is>
          <t>P-8a</t>
        </is>
      </c>
      <c r="AM358" s="79" t="inlineStr">
        <is>
          <t>Electronics</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59" s="79" t="inlineStr">
        <is>
          <t>P-8a</t>
        </is>
      </c>
      <c r="AM359" s="79" t="inlineStr">
        <is>
          <t>Electronics</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0" s="79" t="inlineStr">
        <is>
          <t>P-8a</t>
        </is>
      </c>
      <c r="AM360" s="79" t="inlineStr">
        <is>
          <t>Electronics</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1" s="79" t="inlineStr">
        <is>
          <t>P-8a</t>
        </is>
      </c>
      <c r="AM361" s="79" t="inlineStr">
        <is>
          <t>Electronics</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2" s="79" t="inlineStr">
        <is>
          <t>P-8a</t>
        </is>
      </c>
      <c r="AM362" s="79" t="inlineStr">
        <is>
          <t>Electronics</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3" s="79" t="inlineStr">
        <is>
          <t>P-8a</t>
        </is>
      </c>
      <c r="AM363" s="79" t="inlineStr">
        <is>
          <t>Electronics</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4" s="79" t="inlineStr">
        <is>
          <t>P-8a</t>
        </is>
      </c>
      <c r="AM364" s="79" t="inlineStr">
        <is>
          <t>Electronics</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5" s="79" t="inlineStr">
        <is>
          <t>P-8a</t>
        </is>
      </c>
      <c r="AM365" s="79" t="inlineStr">
        <is>
          <t>Electronics</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6" s="79" t="inlineStr">
        <is>
          <t>P-8a</t>
        </is>
      </c>
      <c r="AM366" s="79" t="inlineStr">
        <is>
          <t>Electronics</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7" s="79" t="inlineStr">
        <is>
          <t>P-8a</t>
        </is>
      </c>
      <c r="AM367" s="79" t="inlineStr">
        <is>
          <t>Electronics</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8" s="79" t="inlineStr">
        <is>
          <t>P-8a</t>
        </is>
      </c>
      <c r="AM368" s="79" t="inlineStr">
        <is>
          <t>Electronics</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69" s="79" t="inlineStr">
        <is>
          <t>P-8a</t>
        </is>
      </c>
      <c r="AM369" s="79" t="inlineStr">
        <is>
          <t>Electronics</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0" s="79" t="inlineStr">
        <is>
          <t>P-8a</t>
        </is>
      </c>
      <c r="AM370" s="79" t="inlineStr">
        <is>
          <t>Electronics</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1" s="79" t="inlineStr">
        <is>
          <t>P-8a</t>
        </is>
      </c>
      <c r="AM371" s="79" t="inlineStr">
        <is>
          <t>Electronics</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2" s="79" t="inlineStr">
        <is>
          <t>P-8a</t>
        </is>
      </c>
      <c r="AM372" s="79" t="inlineStr">
        <is>
          <t>Electronics</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3" s="79" t="inlineStr">
        <is>
          <t>P-8a</t>
        </is>
      </c>
      <c r="AM373" s="79" t="inlineStr">
        <is>
          <t>Electronics</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4" s="79" t="inlineStr">
        <is>
          <t>P-8a</t>
        </is>
      </c>
      <c r="AM374" s="79" t="inlineStr">
        <is>
          <t>Electronics</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5" s="79" t="inlineStr">
        <is>
          <t>P-8a</t>
        </is>
      </c>
      <c r="AM375" s="79" t="inlineStr">
        <is>
          <t>Electronics</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6" s="79" t="inlineStr">
        <is>
          <t>P-8a</t>
        </is>
      </c>
      <c r="AM376" s="79" t="inlineStr">
        <is>
          <t>Electronics</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7" s="79" t="inlineStr">
        <is>
          <t>P-8a</t>
        </is>
      </c>
      <c r="AM377" s="79" t="inlineStr">
        <is>
          <t>Electronics</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8" s="79" t="inlineStr">
        <is>
          <t>P-8a</t>
        </is>
      </c>
      <c r="AM378" s="79" t="inlineStr">
        <is>
          <t>Electronics</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79" s="79" t="inlineStr">
        <is>
          <t>P-8a</t>
        </is>
      </c>
      <c r="AM379" s="79" t="inlineStr">
        <is>
          <t>Electronics</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0" s="79" t="inlineStr">
        <is>
          <t>P-8a</t>
        </is>
      </c>
      <c r="AM380" s="79" t="inlineStr">
        <is>
          <t>Electronics</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1" s="79" t="inlineStr">
        <is>
          <t>P-8a</t>
        </is>
      </c>
      <c r="AM381" s="79" t="inlineStr">
        <is>
          <t>Electronics</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2" s="79" t="inlineStr">
        <is>
          <t>P-8a</t>
        </is>
      </c>
      <c r="AM382" s="79" t="inlineStr">
        <is>
          <t>Electronics</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3" s="79" t="inlineStr">
        <is>
          <t>P-8a</t>
        </is>
      </c>
      <c r="AM383" s="79" t="inlineStr">
        <is>
          <t>Electronics</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4" s="79" t="inlineStr">
        <is>
          <t>P-8a</t>
        </is>
      </c>
      <c r="AM384" s="79" t="inlineStr">
        <is>
          <t>Electronics</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5" s="79" t="inlineStr">
        <is>
          <t>P-8a</t>
        </is>
      </c>
      <c r="AM385" s="79" t="inlineStr">
        <is>
          <t>Electronics</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6" s="79" t="inlineStr">
        <is>
          <t>P-8a</t>
        </is>
      </c>
      <c r="AM386" s="79" t="inlineStr">
        <is>
          <t>Electronics</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7" s="79" t="inlineStr">
        <is>
          <t>P-8a</t>
        </is>
      </c>
      <c r="AM387" s="79" t="inlineStr">
        <is>
          <t>Electronics</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8" s="79" t="inlineStr">
        <is>
          <t>P-8a</t>
        </is>
      </c>
      <c r="AM388" s="79" t="inlineStr">
        <is>
          <t>Electronics</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89" s="79" t="inlineStr">
        <is>
          <t>P-8a</t>
        </is>
      </c>
      <c r="AM389" s="79" t="inlineStr">
        <is>
          <t>Electronics</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0" s="79" t="inlineStr">
        <is>
          <t>P-8a</t>
        </is>
      </c>
      <c r="AM390" s="79" t="inlineStr">
        <is>
          <t>Electronics</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1" s="79" t="inlineStr">
        <is>
          <t>P-8a</t>
        </is>
      </c>
      <c r="AM391" s="79" t="inlineStr">
        <is>
          <t>Electronics</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2" s="79" t="inlineStr">
        <is>
          <t>P-8a</t>
        </is>
      </c>
      <c r="AM392" s="79" t="inlineStr">
        <is>
          <t>Electronics</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3" s="79" t="inlineStr">
        <is>
          <t>P-8a</t>
        </is>
      </c>
      <c r="AM393" s="79" t="inlineStr">
        <is>
          <t>Electronics</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4" s="79" t="inlineStr">
        <is>
          <t>P-8a</t>
        </is>
      </c>
      <c r="AM394" s="79" t="inlineStr">
        <is>
          <t>Electronics</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5" s="79" t="inlineStr">
        <is>
          <t>P-8a</t>
        </is>
      </c>
      <c r="AM395" s="79" t="inlineStr">
        <is>
          <t>Electronics</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6" s="79" t="inlineStr">
        <is>
          <t>P-8a</t>
        </is>
      </c>
      <c r="AM396" s="79" t="inlineStr">
        <is>
          <t>Electronics</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7" s="79" t="inlineStr">
        <is>
          <t>P-8a</t>
        </is>
      </c>
      <c r="AM397" s="79" t="inlineStr">
        <is>
          <t>Electronics</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8" s="79" t="inlineStr">
        <is>
          <t>P-8a</t>
        </is>
      </c>
      <c r="AM398" s="79" t="inlineStr">
        <is>
          <t>Electronics</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399" s="79" t="inlineStr">
        <is>
          <t>P-8a</t>
        </is>
      </c>
      <c r="AM399" s="79" t="inlineStr">
        <is>
          <t>Electronics</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0" s="79" t="inlineStr">
        <is>
          <t>P-8a</t>
        </is>
      </c>
      <c r="AM400" s="79" t="inlineStr">
        <is>
          <t>Electronics</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1" s="79" t="inlineStr">
        <is>
          <t>P-8a</t>
        </is>
      </c>
      <c r="AM401" s="79" t="inlineStr">
        <is>
          <t>Electronics</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2" s="79" t="inlineStr">
        <is>
          <t>P-8a</t>
        </is>
      </c>
      <c r="AM402" s="79" t="inlineStr">
        <is>
          <t>Electronics</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3" s="79" t="inlineStr">
        <is>
          <t>P-8a</t>
        </is>
      </c>
      <c r="AM403" s="79" t="inlineStr">
        <is>
          <t>Electronics</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4" s="79" t="inlineStr">
        <is>
          <t>P-8a</t>
        </is>
      </c>
      <c r="AM404" s="79" t="inlineStr">
        <is>
          <t>Electronics</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7" s="79" t="inlineStr">
        <is>
          <t>P-8a</t>
        </is>
      </c>
      <c r="AM407" s="79" t="inlineStr">
        <is>
          <t>Hull, Mechanical, and Electrical</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8" s="79" t="inlineStr">
        <is>
          <t>P-8a</t>
        </is>
      </c>
      <c r="AM408" s="79" t="inlineStr">
        <is>
          <t>Hull, Mechanical, and Electrical</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09" s="79" t="inlineStr">
        <is>
          <t>P-8a</t>
        </is>
      </c>
      <c r="AM409" s="79" t="inlineStr">
        <is>
          <t>Hull, Mechanical, and Electrical</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0" s="79" t="inlineStr">
        <is>
          <t>P-8a</t>
        </is>
      </c>
      <c r="AM410" s="79" t="inlineStr">
        <is>
          <t>Hull, Mechanical, and Electrical</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1" s="79" t="inlineStr">
        <is>
          <t>P-8a</t>
        </is>
      </c>
      <c r="AM411" s="79" t="inlineStr">
        <is>
          <t>Hull, Mechanical, and Electrical</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2" s="79" t="inlineStr">
        <is>
          <t>P-8a</t>
        </is>
      </c>
      <c r="AM412" s="79" t="inlineStr">
        <is>
          <t>Ordnance</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3" s="79" t="inlineStr">
        <is>
          <t>P-8a</t>
        </is>
      </c>
      <c r="AM413" s="79" t="inlineStr">
        <is>
          <t>Ordnance</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4" s="79" t="inlineStr">
        <is>
          <t>P-8a</t>
        </is>
      </c>
      <c r="AM414" s="79" t="inlineStr">
        <is>
          <t>Ordnance</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5" s="79" t="inlineStr">
        <is>
          <t>P-8a</t>
        </is>
      </c>
      <c r="AM415" s="79" t="inlineStr">
        <is>
          <t>Ordnance</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6" s="79" t="inlineStr">
        <is>
          <t>P-8a</t>
        </is>
      </c>
      <c r="AM416" s="79" t="inlineStr">
        <is>
          <t>Ordnance</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7" s="79" t="inlineStr">
        <is>
          <t>P-8a</t>
        </is>
      </c>
      <c r="AM417" s="79" t="inlineStr">
        <is>
          <t>Ordnance</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8" s="79" t="inlineStr">
        <is>
          <t>P-8a</t>
        </is>
      </c>
      <c r="AM418" s="79" t="inlineStr">
        <is>
          <t>Ordnance</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19" s="79" t="inlineStr">
        <is>
          <t>P-8a</t>
        </is>
      </c>
      <c r="AM419" s="79" t="inlineStr">
        <is>
          <t>Ordnance</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0" s="79" t="inlineStr">
        <is>
          <t>P-8a</t>
        </is>
      </c>
      <c r="AM420" s="79" t="inlineStr">
        <is>
          <t>Ordnance</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1" s="79" t="inlineStr">
        <is>
          <t>P-8a</t>
        </is>
      </c>
      <c r="AM421" s="79" t="inlineStr">
        <is>
          <t>Ordnance</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2" s="79" t="inlineStr">
        <is>
          <t>P-8a</t>
        </is>
      </c>
      <c r="AM422" s="79" t="inlineStr">
        <is>
          <t>Ordnance</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3" s="79" t="inlineStr">
        <is>
          <t>P-8a</t>
        </is>
      </c>
      <c r="AM423" s="79" t="inlineStr">
        <is>
          <t>Ordnance</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4" s="79" t="inlineStr">
        <is>
          <t>P-8a</t>
        </is>
      </c>
      <c r="AM424" s="79" t="inlineStr">
        <is>
          <t>Ordnance</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5" s="79" t="inlineStr">
        <is>
          <t>P-8a</t>
        </is>
      </c>
      <c r="AM425" s="79" t="inlineStr">
        <is>
          <t>Ordnance</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6" s="79" t="inlineStr">
        <is>
          <t>P-8a</t>
        </is>
      </c>
      <c r="AM426" s="79" t="inlineStr">
        <is>
          <t>Ordnance</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7" s="79" t="inlineStr">
        <is>
          <t>P-8a</t>
        </is>
      </c>
      <c r="AM427" s="79" t="inlineStr">
        <is>
          <t>Ordnance</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8" s="79" t="inlineStr">
        <is>
          <t>P-8a</t>
        </is>
      </c>
      <c r="AM428" s="79" t="inlineStr">
        <is>
          <t>Ordnance</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29" s="79" t="inlineStr">
        <is>
          <t>P-8a</t>
        </is>
      </c>
      <c r="AM429" s="79" t="inlineStr">
        <is>
          <t>Ordnance</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0" s="79" t="inlineStr">
        <is>
          <t>P-8a</t>
        </is>
      </c>
      <c r="AM430" s="79" t="inlineStr">
        <is>
          <t>Ordnance</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1" s="79" t="inlineStr">
        <is>
          <t>P-8a</t>
        </is>
      </c>
      <c r="AM431" s="79" t="inlineStr">
        <is>
          <t>Ordnance</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2" s="79" t="inlineStr">
        <is>
          <t>P-8a</t>
        </is>
      </c>
      <c r="AM432" s="79" t="inlineStr">
        <is>
          <t>Ordnance</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3" s="79" t="inlineStr">
        <is>
          <t>P-8a</t>
        </is>
      </c>
      <c r="AM433" s="79" t="inlineStr">
        <is>
          <t>Ordnance</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4" s="79" t="inlineStr">
        <is>
          <t>P-8a</t>
        </is>
      </c>
      <c r="AM434" s="79" t="inlineStr">
        <is>
          <t>Ordnance</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5" s="79" t="inlineStr">
        <is>
          <t>P-8a</t>
        </is>
      </c>
      <c r="AM435" s="79" t="inlineStr">
        <is>
          <t>Ordnance</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6" s="79" t="inlineStr">
        <is>
          <t>P-8a</t>
        </is>
      </c>
      <c r="AM436" s="79" t="inlineStr">
        <is>
          <t>Ordnance</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7" s="79" t="inlineStr">
        <is>
          <t>P-35</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8" s="79" t="inlineStr">
        <is>
          <t>P-35</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39" s="79" t="inlineStr">
        <is>
          <t>P-35</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0" s="79" t="inlineStr">
        <is>
          <t>P-35</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1" s="79" t="inlineStr">
        <is>
          <t>P-35</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2" s="79" t="inlineStr">
        <is>
          <t>P-35</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3" s="79" t="inlineStr">
        <is>
          <t>P-35</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4" s="79" t="inlineStr">
        <is>
          <t>P-35</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5" s="79" t="inlineStr">
        <is>
          <t>P-35</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6" s="79" t="inlineStr">
        <is>
          <t>P-35</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7" s="79" t="inlineStr">
        <is>
          <t>P-35</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8" s="79" t="inlineStr">
        <is>
          <t>P-35</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49" s="79" t="inlineStr">
        <is>
          <t>P-35</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0" s="79" t="inlineStr">
        <is>
          <t>P-35</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1" s="79" t="inlineStr">
        <is>
          <t>P-35</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2" s="79" t="inlineStr">
        <is>
          <t>P-35</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3" s="79" t="inlineStr">
        <is>
          <t>P-35</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4" s="79" t="inlineStr">
        <is>
          <t>P-35</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5" s="79" t="inlineStr">
        <is>
          <t>P-35</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6" s="79" t="inlineStr">
        <is>
          <t>P-35</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7" s="79" t="inlineStr">
        <is>
          <t>P-35</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8" s="79" t="inlineStr">
        <is>
          <t>P-35</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59" s="79" t="inlineStr">
        <is>
          <t>P-35</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0" s="79" t="inlineStr">
        <is>
          <t>P-35</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1" s="79" t="inlineStr">
        <is>
          <t>P-35</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2" s="79" t="inlineStr">
        <is>
          <t>P-35</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3" s="79" t="inlineStr">
        <is>
          <t>P-35</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4" s="79" t="inlineStr">
        <is>
          <t>P-35</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5" s="79" t="inlineStr">
        <is>
          <t>P-35</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6" s="79" t="inlineStr">
        <is>
          <t>P-35</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7" s="79" t="inlineStr">
        <is>
          <t>P-35</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8" s="79" t="inlineStr">
        <is>
          <t>P-35</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69" s="79" t="inlineStr">
        <is>
          <t>P-35</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0" s="79" t="inlineStr">
        <is>
          <t>P-35</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1" s="79" t="inlineStr">
        <is>
          <t>P-35</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2" s="79" t="inlineStr">
        <is>
          <t>P-35</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3" s="79" t="inlineStr">
        <is>
          <t>P-35</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4" s="79" t="inlineStr">
        <is>
          <t>P-35</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5" s="79" t="inlineStr">
        <is>
          <t>P-35</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6" s="79" t="inlineStr">
        <is>
          <t>P-35</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7" s="79" t="inlineStr">
        <is>
          <t>P-35</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8" s="79" t="inlineStr">
        <is>
          <t>P-35</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79" s="79" t="inlineStr">
        <is>
          <t>P-35</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0" s="79" t="inlineStr">
        <is>
          <t>P-35</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1" s="79" t="inlineStr">
        <is>
          <t>P-35</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2" s="79" t="inlineStr">
        <is>
          <t>P-35</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3" s="79" t="inlineStr">
        <is>
          <t>P-35</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4" s="79" t="inlineStr">
        <is>
          <t>P-35</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5" s="79" t="inlineStr">
        <is>
          <t>P-35</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6" s="79" t="inlineStr">
        <is>
          <t>P-35</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7" s="79" t="inlineStr">
        <is>
          <t>P-35</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8" s="79" t="inlineStr">
        <is>
          <t>P-35</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89" s="79" t="inlineStr">
        <is>
          <t>P-35</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0" s="79" t="inlineStr">
        <is>
          <t>P-35</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1" s="79" t="inlineStr">
        <is>
          <t>P-35</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2" s="79" t="inlineStr">
        <is>
          <t>P-35</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3" s="79" t="inlineStr">
        <is>
          <t>P-35</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4" s="79" t="inlineStr">
        <is>
          <t>P-35</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5" s="79" t="inlineStr">
        <is>
          <t>P-35</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6" s="79" t="inlineStr">
        <is>
          <t>P-35</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7" s="79" t="inlineStr">
        <is>
          <t>P-35</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8" s="79" t="inlineStr">
        <is>
          <t>P-35</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499" s="79" t="inlineStr">
        <is>
          <t>P-35</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0" s="79" t="inlineStr">
        <is>
          <t>P-35</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1" s="79" t="inlineStr">
        <is>
          <t>P-35</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2" s="79" t="inlineStr">
        <is>
          <t>P-35</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3" s="79" t="inlineStr">
        <is>
          <t>P-35</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4" s="79" t="inlineStr">
        <is>
          <t>P-35</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5" s="79" t="inlineStr">
        <is>
          <t>P-35</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6" s="79" t="inlineStr">
        <is>
          <t>P-35</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7" s="79" t="inlineStr">
        <is>
          <t>P-35</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8" s="79" t="inlineStr">
        <is>
          <t>P-35</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09" s="79" t="inlineStr">
        <is>
          <t>P-35</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0" s="79" t="inlineStr">
        <is>
          <t>P-35</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1" s="79" t="inlineStr">
        <is>
          <t>P-35</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2" s="79" t="inlineStr">
        <is>
          <t>P-35</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c r="AL513" s="79" t="inlineStr">
        <is>
          <t>P-35</t>
        </is>
      </c>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4" s="79" t="inlineStr">
        <is>
          <t>P-35</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5" s="79" t="inlineStr">
        <is>
          <t>P-35</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6" s="79" t="inlineStr">
        <is>
          <t>P-35</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7" s="79" t="inlineStr">
        <is>
          <t>P-35</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8" s="79" t="inlineStr">
        <is>
          <t>P-35</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19" s="79" t="inlineStr">
        <is>
          <t>P-35</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0" s="79" t="inlineStr">
        <is>
          <t>P-35</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1" s="79" t="inlineStr">
        <is>
          <t>P-35</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2" s="79" t="inlineStr">
        <is>
          <t>P-35</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3" s="79" t="inlineStr">
        <is>
          <t>P-35</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4" s="79" t="inlineStr">
        <is>
          <t>P-35</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5" s="79" t="inlineStr">
        <is>
          <t>P-35</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6" s="79" t="inlineStr">
        <is>
          <t>P-35</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7" s="79" t="inlineStr">
        <is>
          <t>P-35</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8" s="79" t="inlineStr">
        <is>
          <t>P-35</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29" s="79" t="inlineStr">
        <is>
          <t>P-35</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0" s="79" t="inlineStr">
        <is>
          <t>P-35</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1" s="79" t="inlineStr">
        <is>
          <t>P-35</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2" s="79" t="inlineStr">
        <is>
          <t>P-35</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3" s="79" t="inlineStr">
        <is>
          <t>P-35</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4" s="79" t="inlineStr">
        <is>
          <t>P-35</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5" s="79" t="inlineStr">
        <is>
          <t>P-35</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6" s="79" t="inlineStr">
        <is>
          <t>P-35</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7" s="79" t="inlineStr">
        <is>
          <t>P-35</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8" s="79" t="inlineStr">
        <is>
          <t>P-35</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39" s="79" t="inlineStr">
        <is>
          <t>P-35</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0" s="79" t="inlineStr">
        <is>
          <t>P-35</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1" s="79" t="inlineStr">
        <is>
          <t>P-35</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2" s="79" t="inlineStr">
        <is>
          <t>P-35</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3" s="79" t="inlineStr">
        <is>
          <t>P-35</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4" s="79" t="inlineStr">
        <is>
          <t>P-35</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5" s="79" t="inlineStr">
        <is>
          <t>P-35</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6" s="79" t="inlineStr">
        <is>
          <t>P-35</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7" s="79" t="inlineStr">
        <is>
          <t>P-35</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8" s="79" t="inlineStr">
        <is>
          <t>P-35</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49" s="79" t="inlineStr">
        <is>
          <t>P-35</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0" s="79" t="inlineStr">
        <is>
          <t>P-35</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1" s="79" t="inlineStr">
        <is>
          <t>P-35</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2" s="79" t="inlineStr">
        <is>
          <t>P-35</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3" s="79" t="inlineStr">
        <is>
          <t>P-35</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4" s="79" t="inlineStr">
        <is>
          <t>P-35</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5" s="79" t="inlineStr">
        <is>
          <t>P-35</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6" s="79" t="inlineStr">
        <is>
          <t>P-35</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7" s="79" t="inlineStr">
        <is>
          <t>P-35</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8" s="79" t="inlineStr">
        <is>
          <t>P-35</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59" s="79" t="inlineStr">
        <is>
          <t>P-35</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0" s="79" t="inlineStr">
        <is>
          <t>P-35</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1" s="79" t="inlineStr">
        <is>
          <t>P-35</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2" s="79" t="inlineStr">
        <is>
          <t>P-35</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3" s="79" t="inlineStr">
        <is>
          <t>P-35</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4" s="79" t="inlineStr">
        <is>
          <t>P-35</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5" s="79" t="inlineStr">
        <is>
          <t>P-35</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6" s="79" t="inlineStr">
        <is>
          <t>P-35</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7" s="79" t="inlineStr">
        <is>
          <t>P-35</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8" s="79" t="inlineStr">
        <is>
          <t>P-35</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69" s="79" t="inlineStr">
        <is>
          <t>P-35</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0" s="79" t="inlineStr">
        <is>
          <t>P-35</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1" s="79" t="inlineStr">
        <is>
          <t>P-35</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2" s="79" t="inlineStr">
        <is>
          <t>P-35</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3" s="79" t="inlineStr">
        <is>
          <t>P-35</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4" s="79" t="inlineStr">
        <is>
          <t>P-35</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5" s="79" t="inlineStr">
        <is>
          <t>P-35</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6" s="79" t="inlineStr">
        <is>
          <t>P-35</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7" s="79" t="inlineStr">
        <is>
          <t>P-35</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8" s="79" t="inlineStr">
        <is>
          <t>P-35</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79" s="79" t="inlineStr">
        <is>
          <t>P-35</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0" s="79" t="inlineStr">
        <is>
          <t>P-35</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1" s="79" t="inlineStr">
        <is>
          <t>P-35</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2" s="79" t="inlineStr">
        <is>
          <t>P-35</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3" s="79" t="inlineStr">
        <is>
          <t>P-35</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4" s="79" t="inlineStr">
        <is>
          <t>P-35</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5" s="79" t="inlineStr">
        <is>
          <t>P-35</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6" s="79" t="inlineStr">
        <is>
          <t>P-35</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7" s="79" t="inlineStr">
        <is>
          <t>P-35</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8" s="79" t="inlineStr">
        <is>
          <t>P-35</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89" s="79" t="inlineStr">
        <is>
          <t>P-35</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c r="AL590" s="79" t="inlineStr">
        <is>
          <t>P-35</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8" s="79" t="inlineStr">
        <is>
          <t>P-5c</t>
        </is>
      </c>
      <c r="AM598" s="79" t="inlineStr">
        <is>
          <t>Basic Construction</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599" s="79" t="inlineStr">
        <is>
          <t>P-5c</t>
        </is>
      </c>
      <c r="AM599" s="79" t="inlineStr">
        <is>
          <t>Change Orders</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0" s="79" t="inlineStr">
        <is>
          <t>P-5c</t>
        </is>
      </c>
      <c r="AM600" s="79" t="inlineStr">
        <is>
          <t>Electronics</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1" s="79" t="inlineStr">
        <is>
          <t>P-5c</t>
        </is>
      </c>
      <c r="AM601" s="79" t="inlineStr">
        <is>
          <t>Propulsion Equipment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2" s="79" t="inlineStr">
        <is>
          <t>P-5c</t>
        </is>
      </c>
      <c r="AM602" s="79" t="inlineStr">
        <is>
          <t>Hull, Mechanical, and Electrical</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3" s="79" t="inlineStr">
        <is>
          <t>P-5c</t>
        </is>
      </c>
      <c r="AM603" s="79" t="inlineStr">
        <is>
          <t>Ordnance</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4" s="79" t="inlineStr">
        <is>
          <t>P-5c</t>
        </is>
      </c>
      <c r="AM604" s="79" t="inlineStr">
        <is>
          <t>Other Cost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5" s="79" t="inlineStr">
        <is>
          <t>P-8a</t>
        </is>
      </c>
      <c r="AM605" s="79" t="inlineStr">
        <is>
          <t>Electronics</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6" s="79" t="inlineStr">
        <is>
          <t>P-8a</t>
        </is>
      </c>
      <c r="AM606" s="79" t="inlineStr">
        <is>
          <t>Electronics</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7" s="79" t="inlineStr">
        <is>
          <t>P-8a</t>
        </is>
      </c>
      <c r="AM607" s="79" t="inlineStr">
        <is>
          <t>Electronics</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8" s="79" t="inlineStr">
        <is>
          <t>P-8a</t>
        </is>
      </c>
      <c r="AM608" s="79" t="inlineStr">
        <is>
          <t>Electronics</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09" s="79" t="inlineStr">
        <is>
          <t>P-8a</t>
        </is>
      </c>
      <c r="AM609" s="79" t="inlineStr">
        <is>
          <t>Electronics</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0" s="79" t="inlineStr">
        <is>
          <t>P-8a</t>
        </is>
      </c>
      <c r="AM610" s="79" t="inlineStr">
        <is>
          <t>Electronics</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1" s="79" t="inlineStr">
        <is>
          <t>P-8a</t>
        </is>
      </c>
      <c r="AM611" s="79" t="inlineStr">
        <is>
          <t>Electronics</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2" s="79" t="inlineStr">
        <is>
          <t>P-8a</t>
        </is>
      </c>
      <c r="AM612" s="79" t="inlineStr">
        <is>
          <t>Electronics</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3" s="79" t="inlineStr">
        <is>
          <t>P-8a</t>
        </is>
      </c>
      <c r="AM613" s="79" t="inlineStr">
        <is>
          <t>Electronics</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4" s="79" t="inlineStr">
        <is>
          <t>P-8a</t>
        </is>
      </c>
      <c r="AM614" s="79" t="inlineStr">
        <is>
          <t>Electronics</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5" s="79" t="inlineStr">
        <is>
          <t>P-8a</t>
        </is>
      </c>
      <c r="AM615" s="79" t="inlineStr">
        <is>
          <t>Electronics</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6" s="79" t="inlineStr">
        <is>
          <t>P-8a</t>
        </is>
      </c>
      <c r="AM616" s="79" t="inlineStr">
        <is>
          <t>Electronics</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7" s="79" t="inlineStr">
        <is>
          <t>P-8a</t>
        </is>
      </c>
      <c r="AM617" s="79" t="inlineStr">
        <is>
          <t>Electronics</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8" s="79" t="inlineStr">
        <is>
          <t>P-8a</t>
        </is>
      </c>
      <c r="AM618" s="79" t="inlineStr">
        <is>
          <t>Electronics</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19" s="79" t="inlineStr">
        <is>
          <t>P-8a</t>
        </is>
      </c>
      <c r="AM619" s="79" t="inlineStr">
        <is>
          <t>Electronics</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0" s="79" t="inlineStr">
        <is>
          <t>P-8a</t>
        </is>
      </c>
      <c r="AM620" s="79" t="inlineStr">
        <is>
          <t>Electronics</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1" s="79" t="inlineStr">
        <is>
          <t>P-8a</t>
        </is>
      </c>
      <c r="AM621" s="79" t="inlineStr">
        <is>
          <t>Electronics</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2" s="79" t="inlineStr">
        <is>
          <t>P-8a</t>
        </is>
      </c>
      <c r="AM622" s="79" t="inlineStr">
        <is>
          <t>Electronics</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3" s="79" t="inlineStr">
        <is>
          <t>P-8a</t>
        </is>
      </c>
      <c r="AM623" s="79" t="inlineStr">
        <is>
          <t>Electronics</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4" s="79" t="inlineStr">
        <is>
          <t>P-8a</t>
        </is>
      </c>
      <c r="AM624" s="79" t="inlineStr">
        <is>
          <t>Electronics</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5" s="79" t="inlineStr">
        <is>
          <t>P-8a</t>
        </is>
      </c>
      <c r="AM625" s="79" t="inlineStr">
        <is>
          <t>Electronics</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6" s="79" t="inlineStr">
        <is>
          <t>P-8a</t>
        </is>
      </c>
      <c r="AM626" s="79" t="inlineStr">
        <is>
          <t>Electronics</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7" s="79" t="inlineStr">
        <is>
          <t>P-8a</t>
        </is>
      </c>
      <c r="AM627" s="79" t="inlineStr">
        <is>
          <t>Electronics</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8" s="79" t="inlineStr">
        <is>
          <t>P-8a</t>
        </is>
      </c>
      <c r="AM628" s="79" t="inlineStr">
        <is>
          <t>Electronics</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29" s="79" t="inlineStr">
        <is>
          <t>P-8a</t>
        </is>
      </c>
      <c r="AM629" s="79" t="inlineStr">
        <is>
          <t>Electronics</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0" s="79" t="inlineStr">
        <is>
          <t>P-8a</t>
        </is>
      </c>
      <c r="AM630" s="79" t="inlineStr">
        <is>
          <t>Electronics</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1" s="79" t="inlineStr">
        <is>
          <t>P-8a</t>
        </is>
      </c>
      <c r="AM631" s="79" t="inlineStr">
        <is>
          <t>Electronics</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2" s="79" t="inlineStr">
        <is>
          <t>P-8a</t>
        </is>
      </c>
      <c r="AM632" s="79" t="inlineStr">
        <is>
          <t>Electronics</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3" s="79" t="inlineStr">
        <is>
          <t>P-8a</t>
        </is>
      </c>
      <c r="AM633" s="79" t="inlineStr">
        <is>
          <t>Electronics</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4" s="79" t="inlineStr">
        <is>
          <t>P-8a</t>
        </is>
      </c>
      <c r="AM634" s="79" t="inlineStr">
        <is>
          <t>Electronics</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5" s="79" t="inlineStr">
        <is>
          <t>P-8a</t>
        </is>
      </c>
      <c r="AM635" s="79" t="inlineStr">
        <is>
          <t>Electronics</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6" s="79" t="inlineStr">
        <is>
          <t>P-8a</t>
        </is>
      </c>
      <c r="AM636" s="79" t="inlineStr">
        <is>
          <t>Electronics</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7" s="79" t="inlineStr">
        <is>
          <t>P-8a</t>
        </is>
      </c>
      <c r="AM637" s="79" t="inlineStr">
        <is>
          <t>Electronics</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8" s="79" t="inlineStr">
        <is>
          <t>P-8a</t>
        </is>
      </c>
      <c r="AM638" s="79" t="inlineStr">
        <is>
          <t>Electronics</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39" s="79" t="inlineStr">
        <is>
          <t>P-8a</t>
        </is>
      </c>
      <c r="AM639" s="79" t="inlineStr">
        <is>
          <t>Electronics</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0" s="79" t="inlineStr">
        <is>
          <t>P-8a</t>
        </is>
      </c>
      <c r="AM640" s="79" t="inlineStr">
        <is>
          <t>Electronics</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1" s="79" t="inlineStr">
        <is>
          <t>P-8a</t>
        </is>
      </c>
      <c r="AM641" s="79" t="inlineStr">
        <is>
          <t>Electronics</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2" s="79" t="inlineStr">
        <is>
          <t>P-8a</t>
        </is>
      </c>
      <c r="AM642" s="79" t="inlineStr">
        <is>
          <t>Electronics</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3" s="79" t="inlineStr">
        <is>
          <t>P-8a</t>
        </is>
      </c>
      <c r="AM643" s="79" t="inlineStr">
        <is>
          <t>Electronics</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4" s="79" t="inlineStr">
        <is>
          <t>P-8a</t>
        </is>
      </c>
      <c r="AM644" s="79" t="inlineStr">
        <is>
          <t>Electronics</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5" s="79" t="inlineStr">
        <is>
          <t>P-8a</t>
        </is>
      </c>
      <c r="AM645" s="79" t="inlineStr">
        <is>
          <t>Electronics</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6" s="79" t="inlineStr">
        <is>
          <t>P-8a</t>
        </is>
      </c>
      <c r="AM646" s="79" t="inlineStr">
        <is>
          <t>Electronics</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7" s="79" t="inlineStr">
        <is>
          <t>P-8a</t>
        </is>
      </c>
      <c r="AM647" s="79" t="inlineStr">
        <is>
          <t>Electronics</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8" s="79" t="inlineStr">
        <is>
          <t>P-8a</t>
        </is>
      </c>
      <c r="AM648" s="79" t="inlineStr">
        <is>
          <t>Hull, Mechanical, and Electrical</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49" s="79" t="inlineStr">
        <is>
          <t>P-8a</t>
        </is>
      </c>
      <c r="AM649" s="79" t="inlineStr">
        <is>
          <t>Hull, Mechanical, and Electrical</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0" s="79" t="inlineStr">
        <is>
          <t>P-8a</t>
        </is>
      </c>
      <c r="AM650" s="79" t="inlineStr">
        <is>
          <t>Hull, Mechanical, and Electrical</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1" s="79" t="inlineStr">
        <is>
          <t>P-8a</t>
        </is>
      </c>
      <c r="AM651" s="79" t="inlineStr">
        <is>
          <t>Hull, Mechanical, and Electrical</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2" s="79" t="inlineStr">
        <is>
          <t>P-8a</t>
        </is>
      </c>
      <c r="AM652" s="79" t="inlineStr">
        <is>
          <t>Hull, Mechanical, and Electrical</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3" s="79" t="inlineStr">
        <is>
          <t>P-8a</t>
        </is>
      </c>
      <c r="AM653" s="79" t="inlineStr">
        <is>
          <t>Ordnance</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4" s="79" t="inlineStr">
        <is>
          <t>P-8a</t>
        </is>
      </c>
      <c r="AM654" s="79" t="inlineStr">
        <is>
          <t>Ordnance</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5" s="79" t="inlineStr">
        <is>
          <t>P-8a</t>
        </is>
      </c>
      <c r="AM655" s="79" t="inlineStr">
        <is>
          <t>Ordnance</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6" s="79" t="inlineStr">
        <is>
          <t>P-8a</t>
        </is>
      </c>
      <c r="AM656" s="79" t="inlineStr">
        <is>
          <t>Ordnance</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7" s="79" t="inlineStr">
        <is>
          <t>P-8a</t>
        </is>
      </c>
      <c r="AM657" s="79" t="inlineStr">
        <is>
          <t>Ordnance</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8" s="79" t="inlineStr">
        <is>
          <t>P-8a</t>
        </is>
      </c>
      <c r="AM658" s="79" t="inlineStr">
        <is>
          <t>Ordnance</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59" s="79" t="inlineStr">
        <is>
          <t>P-8a</t>
        </is>
      </c>
      <c r="AM659" s="79" t="inlineStr">
        <is>
          <t>Ordnance</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0" s="79" t="inlineStr">
        <is>
          <t>P-8a</t>
        </is>
      </c>
      <c r="AM660" s="79" t="inlineStr">
        <is>
          <t>Ordnance</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1" s="79" t="inlineStr">
        <is>
          <t>P-8a</t>
        </is>
      </c>
      <c r="AM661" s="79" t="inlineStr">
        <is>
          <t>Ordnance</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2" s="79" t="inlineStr">
        <is>
          <t>P-8a</t>
        </is>
      </c>
      <c r="AM662" s="79" t="inlineStr">
        <is>
          <t>Ordnance</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3" s="79" t="inlineStr">
        <is>
          <t>P-8a</t>
        </is>
      </c>
      <c r="AM663" s="79" t="inlineStr">
        <is>
          <t>Ordnance</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4" s="79" t="inlineStr">
        <is>
          <t>P-8a</t>
        </is>
      </c>
      <c r="AM664" s="79" t="inlineStr">
        <is>
          <t>Ordnance</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5" s="79" t="inlineStr">
        <is>
          <t>P-8a</t>
        </is>
      </c>
      <c r="AM665" s="79" t="inlineStr">
        <is>
          <t>Ordnance</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6" s="79" t="inlineStr">
        <is>
          <t>P-8a</t>
        </is>
      </c>
      <c r="AM666" s="79" t="inlineStr">
        <is>
          <t>Ordnance</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7" s="79" t="inlineStr">
        <is>
          <t>P-8a</t>
        </is>
      </c>
      <c r="AM667" s="79" t="inlineStr">
        <is>
          <t>Ordnance</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8" s="79" t="inlineStr">
        <is>
          <t>P-8a</t>
        </is>
      </c>
      <c r="AM668" s="79" t="inlineStr">
        <is>
          <t>Ordnance</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69" s="79" t="inlineStr">
        <is>
          <t>P-8a</t>
        </is>
      </c>
      <c r="AM669" s="79" t="inlineStr">
        <is>
          <t>Ordnance</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0" s="79" t="inlineStr">
        <is>
          <t>P-8a</t>
        </is>
      </c>
      <c r="AM670" s="79" t="inlineStr">
        <is>
          <t>Ordnance</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1" s="79" t="inlineStr">
        <is>
          <t>P-8a</t>
        </is>
      </c>
      <c r="AM671" s="79" t="inlineStr">
        <is>
          <t>Ordnance</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2" s="79" t="inlineStr">
        <is>
          <t>P-8a</t>
        </is>
      </c>
      <c r="AM672" s="79" t="inlineStr">
        <is>
          <t>Ordnance</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3" s="79" t="inlineStr">
        <is>
          <t>P-8a</t>
        </is>
      </c>
      <c r="AM673" s="79" t="inlineStr">
        <is>
          <t>Ordnance</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4" s="79" t="inlineStr">
        <is>
          <t>P-35</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5" s="79" t="inlineStr">
        <is>
          <t>P-35</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6" s="79" t="inlineStr">
        <is>
          <t>P-35</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7" s="79" t="inlineStr">
        <is>
          <t>P-35</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8" s="79" t="inlineStr">
        <is>
          <t>P-35</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79" s="79" t="inlineStr">
        <is>
          <t>P-35</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0" s="79" t="inlineStr">
        <is>
          <t>P-35</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1" s="79" t="inlineStr">
        <is>
          <t>P-35</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2" s="79" t="inlineStr">
        <is>
          <t>P-35</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3" s="79" t="inlineStr">
        <is>
          <t>P-35</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4" s="79" t="inlineStr">
        <is>
          <t>P-35</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5" s="79" t="inlineStr">
        <is>
          <t>P-35</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6" s="79" t="inlineStr">
        <is>
          <t>P-35</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7" s="79" t="inlineStr">
        <is>
          <t>P-35</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8" s="79" t="inlineStr">
        <is>
          <t>P-35</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89" s="79" t="inlineStr">
        <is>
          <t>P-35</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0" s="79" t="inlineStr">
        <is>
          <t>P-35</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1" s="79" t="inlineStr">
        <is>
          <t>P-35</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2" s="79" t="inlineStr">
        <is>
          <t>P-35</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3" s="79" t="inlineStr">
        <is>
          <t>P-35</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4" s="79" t="inlineStr">
        <is>
          <t>P-35</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5" s="79" t="inlineStr">
        <is>
          <t>P-35</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6" s="79" t="inlineStr">
        <is>
          <t>P-35</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7" s="79" t="inlineStr">
        <is>
          <t>P-35</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8" s="79" t="inlineStr">
        <is>
          <t>P-35</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699" s="79" t="inlineStr">
        <is>
          <t>P-35</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0" s="79" t="inlineStr">
        <is>
          <t>P-35</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1" s="79" t="inlineStr">
        <is>
          <t>P-35</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2" s="79" t="inlineStr">
        <is>
          <t>P-35</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3" s="79" t="inlineStr">
        <is>
          <t>P-35</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4" s="79" t="inlineStr">
        <is>
          <t>P-35</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5" s="79" t="inlineStr">
        <is>
          <t>P-35</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6" s="79" t="inlineStr">
        <is>
          <t>P-35</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7" s="79" t="inlineStr">
        <is>
          <t>P-35</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8" s="79" t="inlineStr">
        <is>
          <t>P-35</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09" s="79" t="inlineStr">
        <is>
          <t>P-35</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0" s="79" t="inlineStr">
        <is>
          <t>P-35</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1" s="79" t="inlineStr">
        <is>
          <t>P-35</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2" s="79" t="inlineStr">
        <is>
          <t>P-35</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3" s="79" t="inlineStr">
        <is>
          <t>P-35</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4" s="79" t="inlineStr">
        <is>
          <t>P-35</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5" s="79" t="inlineStr">
        <is>
          <t>P-35</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6" s="79" t="inlineStr">
        <is>
          <t>P-35</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7" s="79" t="inlineStr">
        <is>
          <t>P-35</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8" s="79" t="inlineStr">
        <is>
          <t>P-35</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19" s="79" t="inlineStr">
        <is>
          <t>P-35</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0" s="79" t="inlineStr">
        <is>
          <t>P-35</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1" s="79" t="inlineStr">
        <is>
          <t>P-35</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2" s="79" t="inlineStr">
        <is>
          <t>P-35</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3" s="79" t="inlineStr">
        <is>
          <t>P-35</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4" s="79" t="inlineStr">
        <is>
          <t>P-35</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5" s="79" t="inlineStr">
        <is>
          <t>P-35</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6" s="79" t="inlineStr">
        <is>
          <t>P-35</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7" s="79" t="inlineStr">
        <is>
          <t>P-35</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8" s="79" t="inlineStr">
        <is>
          <t>P-35</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29" s="79" t="inlineStr">
        <is>
          <t>P-35</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0" s="79" t="inlineStr">
        <is>
          <t>P-35</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1" s="79" t="inlineStr">
        <is>
          <t>P-35</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2" s="79" t="inlineStr">
        <is>
          <t>P-35</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3" s="79" t="inlineStr">
        <is>
          <t>P-35</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4" s="79" t="inlineStr">
        <is>
          <t>P-35</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5" s="79" t="inlineStr">
        <is>
          <t>P-35</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6" s="79" t="inlineStr">
        <is>
          <t>P-35</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7" s="79" t="inlineStr">
        <is>
          <t>P-35</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8" s="79" t="inlineStr">
        <is>
          <t>P-35</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39" s="79" t="inlineStr">
        <is>
          <t>P-35</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0" s="79" t="inlineStr">
        <is>
          <t>P-35</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1" s="79" t="inlineStr">
        <is>
          <t>P-35</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2" s="79" t="inlineStr">
        <is>
          <t>P-35</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3" s="79" t="inlineStr">
        <is>
          <t>P-35</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4" s="79" t="inlineStr">
        <is>
          <t>P-35</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5" s="79" t="inlineStr">
        <is>
          <t>P-35</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6" s="79" t="inlineStr">
        <is>
          <t>P-35</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7" s="79" t="inlineStr">
        <is>
          <t>P-35</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8" s="79" t="inlineStr">
        <is>
          <t>P-35</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49" s="79" t="inlineStr">
        <is>
          <t>P-35</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0" s="79" t="inlineStr">
        <is>
          <t>P-35</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1" s="79" t="inlineStr">
        <is>
          <t>P-35</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2" s="79" t="inlineStr">
        <is>
          <t>P-35</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3" s="79" t="inlineStr">
        <is>
          <t>P-35</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4" s="79" t="inlineStr">
        <is>
          <t>P-35</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5" s="79" t="inlineStr">
        <is>
          <t>P-35</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6" s="79" t="inlineStr">
        <is>
          <t>P-35</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7" s="79" t="inlineStr">
        <is>
          <t>P-35</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8" s="79" t="inlineStr">
        <is>
          <t>P-35</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59" s="79" t="inlineStr">
        <is>
          <t>P-35</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0" s="79" t="inlineStr">
        <is>
          <t>P-35</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1" s="79" t="inlineStr">
        <is>
          <t>P-35</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2" s="79" t="inlineStr">
        <is>
          <t>P-35</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3" s="79" t="inlineStr">
        <is>
          <t>P-35</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4" s="79" t="inlineStr">
        <is>
          <t>P-35</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5" s="79" t="inlineStr">
        <is>
          <t>P-35</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6" s="79" t="inlineStr">
        <is>
          <t>P-35</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7" s="79" t="inlineStr">
        <is>
          <t>P-35</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8" s="79" t="inlineStr">
        <is>
          <t>P-35</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69" s="79" t="inlineStr">
        <is>
          <t>P-35</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0" s="79" t="inlineStr">
        <is>
          <t>P-35</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1" s="79" t="inlineStr">
        <is>
          <t>P-35</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2" s="79" t="inlineStr">
        <is>
          <t>P-35</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3" s="79" t="inlineStr">
        <is>
          <t>P-35</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4" s="79" t="inlineStr">
        <is>
          <t>P-35</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5" s="79" t="inlineStr">
        <is>
          <t>P-35</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6" s="79" t="inlineStr">
        <is>
          <t>P-35</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7" s="79" t="inlineStr">
        <is>
          <t>P-35</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8" s="79" t="inlineStr">
        <is>
          <t>P-35</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79" s="79" t="inlineStr">
        <is>
          <t>P-35</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0" s="79" t="inlineStr">
        <is>
          <t>P-35</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1" s="79" t="inlineStr">
        <is>
          <t>P-35</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2" s="79" t="inlineStr">
        <is>
          <t>P-35</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3" s="79" t="inlineStr">
        <is>
          <t>P-35</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4" s="79" t="inlineStr">
        <is>
          <t>P-35</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5" s="79" t="inlineStr">
        <is>
          <t>P-35</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6" s="79" t="inlineStr">
        <is>
          <t>P-35</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7" s="79" t="inlineStr">
        <is>
          <t>P-35</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8" s="79" t="inlineStr">
        <is>
          <t>P-35</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89" s="79" t="inlineStr">
        <is>
          <t>P-35</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0" s="79" t="inlineStr">
        <is>
          <t>P-35</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1" s="79" t="inlineStr">
        <is>
          <t>P-35</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2" s="79" t="inlineStr">
        <is>
          <t>P-35</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3" s="79" t="inlineStr">
        <is>
          <t>P-35</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4" s="79" t="inlineStr">
        <is>
          <t>P-35</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5" s="79" t="inlineStr">
        <is>
          <t>P-35</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6" s="79" t="inlineStr">
        <is>
          <t>P-35</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7" s="79" t="inlineStr">
        <is>
          <t>P-35</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8" s="79" t="inlineStr">
        <is>
          <t>P-35</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799" s="79" t="inlineStr">
        <is>
          <t>P-35</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0" s="79" t="inlineStr">
        <is>
          <t>P-35</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1" s="79" t="inlineStr">
        <is>
          <t>P-35</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2" s="79" t="inlineStr">
        <is>
          <t>P-35</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3" s="79" t="inlineStr">
        <is>
          <t>P-35</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4" s="79" t="inlineStr">
        <is>
          <t>P-35</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5" s="79" t="inlineStr">
        <is>
          <t>P-35</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6" s="79" t="inlineStr">
        <is>
          <t>P-35</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7" s="79" t="inlineStr">
        <is>
          <t>P-35</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8" s="79" t="inlineStr">
        <is>
          <t>P-35</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09" s="79" t="inlineStr">
        <is>
          <t>P-35</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0" s="79" t="inlineStr">
        <is>
          <t>P-35</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1" s="79" t="inlineStr">
        <is>
          <t>P-35</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2" s="79" t="inlineStr">
        <is>
          <t>P-35</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3" s="79" t="inlineStr">
        <is>
          <t>P-35</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4" s="79" t="inlineStr">
        <is>
          <t>P-35</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5" s="79" t="inlineStr">
        <is>
          <t>P-35</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6" s="79" t="inlineStr">
        <is>
          <t>P-35</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7" s="79" t="inlineStr">
        <is>
          <t>P-35</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8" s="79" t="inlineStr">
        <is>
          <t>P-35</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19" s="79" t="inlineStr">
        <is>
          <t>P-35</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c r="AL820" s="79" t="inlineStr">
        <is>
          <t>P-35</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1" s="79" t="inlineStr">
        <is>
          <t>P-5c</t>
        </is>
      </c>
      <c r="AM821" s="79" t="inlineStr">
        <is>
          <t>Plan Costs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2" s="79" t="inlineStr">
        <is>
          <t>P-5c</t>
        </is>
      </c>
      <c r="AM822" s="79" t="inlineStr">
        <is>
          <t>Basic Construction</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3" s="79" t="inlineStr">
        <is>
          <t>P-5c</t>
        </is>
      </c>
      <c r="AM823" s="79" t="inlineStr">
        <is>
          <t>Change Orders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4" s="79" t="inlineStr">
        <is>
          <t>P-5c</t>
        </is>
      </c>
      <c r="AM824" s="79" t="inlineStr">
        <is>
          <t>Electronics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5" s="79" t="inlineStr">
        <is>
          <t>P-5c</t>
        </is>
      </c>
      <c r="AM825" s="79" t="inlineStr">
        <is>
          <t>Technology Insertion</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6" s="79" t="inlineStr">
        <is>
          <t>P-5c</t>
        </is>
      </c>
      <c r="AM826" s="79" t="inlineStr">
        <is>
          <t>Propulsion Equipment</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7" s="79" t="inlineStr">
        <is>
          <t>P-5c</t>
        </is>
      </c>
      <c r="AM827" s="79" t="inlineStr">
        <is>
          <t>Other Cost</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8" s="79" t="inlineStr">
        <is>
          <t>P-5c</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29" s="79" t="inlineStr">
        <is>
          <t>P-5c</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0" s="79" t="inlineStr">
        <is>
          <t>P-5c</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1" s="79" t="inlineStr">
        <is>
          <t>P-5c</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2" s="79" t="inlineStr">
        <is>
          <t>P-5c</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3" s="79" t="inlineStr">
        <is>
          <t>P-5c</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4" s="79" t="inlineStr">
        <is>
          <t>P-5c</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5" s="79" t="inlineStr">
        <is>
          <t>P-5c</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6" s="79" t="inlineStr">
        <is>
          <t>P-5c</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7" s="79" t="inlineStr">
        <is>
          <t>P-5c</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8" s="79" t="inlineStr">
        <is>
          <t>P-5c</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39" s="79" t="inlineStr">
        <is>
          <t>P-5c</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0" s="79" t="inlineStr">
        <is>
          <t>P-5c</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1" s="79" t="inlineStr">
        <is>
          <t>P-5c</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2" s="79" t="inlineStr">
        <is>
          <t>P-5c</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3" s="79" t="inlineStr">
        <is>
          <t>P-5c</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4" s="79" t="inlineStr">
        <is>
          <t>P-5c</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5" s="79" t="inlineStr">
        <is>
          <t>P-5c</t>
        </is>
      </c>
      <c r="AM845" s="79" t="inlineStr">
        <is>
          <t>Plan Costs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6" s="79" t="inlineStr">
        <is>
          <t>P-5c</t>
        </is>
      </c>
      <c r="AM846" s="79" t="inlineStr">
        <is>
          <t>Basic Construction</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7" s="79" t="inlineStr">
        <is>
          <t>P-5c</t>
        </is>
      </c>
      <c r="AM847" s="79" t="inlineStr">
        <is>
          <t>Change Orders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8" s="79" t="inlineStr">
        <is>
          <t>P-5c</t>
        </is>
      </c>
      <c r="AM848" s="79" t="inlineStr">
        <is>
          <t>Electronics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49" s="79" t="inlineStr">
        <is>
          <t>P-5c</t>
        </is>
      </c>
      <c r="AM849" s="79" t="inlineStr">
        <is>
          <t>Technology Insertion</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0" s="79" t="inlineStr">
        <is>
          <t>P-5c</t>
        </is>
      </c>
      <c r="AM850" s="79" t="inlineStr">
        <is>
          <t>Propulsion Equipment</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1" s="79" t="inlineStr">
        <is>
          <t>P-5c</t>
        </is>
      </c>
      <c r="AM851" s="79" t="inlineStr">
        <is>
          <t>Hull, Mechanical, and Electrical</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2" s="79" t="inlineStr">
        <is>
          <t>P-5c</t>
        </is>
      </c>
      <c r="AM852" s="79" t="inlineStr">
        <is>
          <t>Other Cost</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3" s="79" t="inlineStr">
        <is>
          <t>P-8a</t>
        </is>
      </c>
      <c r="AM853" s="79" t="inlineStr">
        <is>
          <t>Electronics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4" s="79" t="inlineStr">
        <is>
          <t>P-8a</t>
        </is>
      </c>
      <c r="AM854" s="79" t="inlineStr">
        <is>
          <t>Electronics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5" s="79" t="inlineStr">
        <is>
          <t>P-8a</t>
        </is>
      </c>
      <c r="AM855" s="79" t="inlineStr">
        <is>
          <t>Electronics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6" s="79" t="inlineStr">
        <is>
          <t>P-8a</t>
        </is>
      </c>
      <c r="AM856" s="79" t="inlineStr">
        <is>
          <t>Electronics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7" s="79" t="inlineStr">
        <is>
          <t>P-8a</t>
        </is>
      </c>
      <c r="AM857" s="79" t="inlineStr">
        <is>
          <t>Electronics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8" s="79" t="inlineStr">
        <is>
          <t>P-8a</t>
        </is>
      </c>
      <c r="AM858" s="79" t="inlineStr">
        <is>
          <t>Electronics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59" s="79" t="inlineStr">
        <is>
          <t>P-8a</t>
        </is>
      </c>
      <c r="AM859" s="79" t="inlineStr">
        <is>
          <t>Electronics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0" s="79" t="inlineStr">
        <is>
          <t>P-8a</t>
        </is>
      </c>
      <c r="AM860" s="79" t="inlineStr">
        <is>
          <t>Electronics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1" s="79" t="inlineStr">
        <is>
          <t>P-8a</t>
        </is>
      </c>
      <c r="AM861" s="79" t="inlineStr">
        <is>
          <t>Electronics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2" s="79" t="inlineStr">
        <is>
          <t>P-8a</t>
        </is>
      </c>
      <c r="AM862" s="79" t="inlineStr">
        <is>
          <t>Electronics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3" s="79" t="inlineStr">
        <is>
          <t>P-8a</t>
        </is>
      </c>
      <c r="AM863" s="79" t="inlineStr">
        <is>
          <t>Electronics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4" s="79" t="inlineStr">
        <is>
          <t>P-8a</t>
        </is>
      </c>
      <c r="AM864" s="79" t="inlineStr">
        <is>
          <t>Hull, Mechanical, and Electrical</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5" s="79" t="inlineStr">
        <is>
          <t>P-8a</t>
        </is>
      </c>
      <c r="AM865" s="79" t="inlineStr">
        <is>
          <t>Hull, Mechanical, and Electrical</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6" s="79" t="inlineStr">
        <is>
          <t>P-8a</t>
        </is>
      </c>
      <c r="AM866" s="79" t="inlineStr">
        <is>
          <t>Hull, Mechanical, and Electrical</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7" s="79" t="inlineStr">
        <is>
          <t>P-8a</t>
        </is>
      </c>
      <c r="AM867" s="79" t="inlineStr">
        <is>
          <t>Hull, Mechanical, and Electrical</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8" s="79" t="inlineStr">
        <is>
          <t>P-8a</t>
        </is>
      </c>
      <c r="AM868" s="79" t="inlineStr">
        <is>
          <t>Hull, Mechanical, and Electrical</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69" s="79" t="inlineStr">
        <is>
          <t>P-35</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0" s="79" t="inlineStr">
        <is>
          <t>P-35</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1" s="79" t="inlineStr">
        <is>
          <t>P-35</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2" s="79" t="inlineStr">
        <is>
          <t>P-35</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3" s="79" t="inlineStr">
        <is>
          <t>P-35</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4" s="79" t="inlineStr">
        <is>
          <t>P-35</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5" s="79" t="inlineStr">
        <is>
          <t>P-35</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6" s="79" t="inlineStr">
        <is>
          <t>P-35</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7" s="79" t="inlineStr">
        <is>
          <t>P-35</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8" s="79" t="inlineStr">
        <is>
          <t>P-35</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79" s="79" t="inlineStr">
        <is>
          <t>P-35</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0" s="79" t="inlineStr">
        <is>
          <t>P-35</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1" s="79" t="inlineStr">
        <is>
          <t>P-35</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2" s="79" t="inlineStr">
        <is>
          <t>P-35</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3" s="79" t="inlineStr">
        <is>
          <t>P-35</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4" s="79" t="inlineStr">
        <is>
          <t>P-35</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c r="AL885" s="79" t="inlineStr">
        <is>
          <t>P-35</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8" s="79" t="inlineStr">
        <is>
          <t>P-5c</t>
        </is>
      </c>
      <c r="AM908" s="79" t="inlineStr">
        <is>
          <t>Plan Costs</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09" s="79" t="inlineStr">
        <is>
          <t>P-5c</t>
        </is>
      </c>
      <c r="AM909" s="79" t="inlineStr">
        <is>
          <t>Basic Construction</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0" s="79" t="inlineStr">
        <is>
          <t>P-5c</t>
        </is>
      </c>
      <c r="AM910" s="79" t="inlineStr">
        <is>
          <t>Electronics</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1" s="79" t="inlineStr">
        <is>
          <t>P-5c</t>
        </is>
      </c>
      <c r="AM911" s="79" t="inlineStr">
        <is>
          <t>Propulsion Equipment</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2" s="79" t="inlineStr">
        <is>
          <t>P-5c</t>
        </is>
      </c>
      <c r="AM912" s="79" t="inlineStr">
        <is>
          <t>Hull, Mechanical, and Electrical</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3" s="79" t="inlineStr">
        <is>
          <t>P-5c</t>
        </is>
      </c>
      <c r="AM913" s="79" t="inlineStr">
        <is>
          <t>Ordnance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4" s="79" t="inlineStr">
        <is>
          <t>P-5c</t>
        </is>
      </c>
      <c r="AM914" s="79" t="inlineStr">
        <is>
          <t>Other Cost</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5" s="79" t="inlineStr">
        <is>
          <t>P-8a</t>
        </is>
      </c>
      <c r="AM915" s="79" t="inlineStr">
        <is>
          <t>Electronics</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6" s="79" t="inlineStr">
        <is>
          <t>P-8a</t>
        </is>
      </c>
      <c r="AM916" s="79" t="inlineStr">
        <is>
          <t>Electronics</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7" s="79" t="inlineStr">
        <is>
          <t>P-8a</t>
        </is>
      </c>
      <c r="AM917" s="79" t="inlineStr">
        <is>
          <t>Electronics</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8" s="79" t="inlineStr">
        <is>
          <t>P-8a</t>
        </is>
      </c>
      <c r="AM918" s="79" t="inlineStr">
        <is>
          <t>Electronics</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19" s="79" t="inlineStr">
        <is>
          <t>P-8a</t>
        </is>
      </c>
      <c r="AM919" s="79" t="inlineStr">
        <is>
          <t>Electronics</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0" s="79" t="inlineStr">
        <is>
          <t>P-8a</t>
        </is>
      </c>
      <c r="AM920" s="79" t="inlineStr">
        <is>
          <t>Electronics</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1" s="79" t="inlineStr">
        <is>
          <t>P-8a</t>
        </is>
      </c>
      <c r="AM921" s="79" t="inlineStr">
        <is>
          <t>Electronics</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2" s="79" t="inlineStr">
        <is>
          <t>P-8a</t>
        </is>
      </c>
      <c r="AM922" s="79" t="inlineStr">
        <is>
          <t>Electronics</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3" s="79" t="inlineStr">
        <is>
          <t>P-8a</t>
        </is>
      </c>
      <c r="AM923" s="79" t="inlineStr">
        <is>
          <t>Electronics</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4" s="79" t="inlineStr">
        <is>
          <t>P-8a</t>
        </is>
      </c>
      <c r="AM924" s="79" t="inlineStr">
        <is>
          <t>Electronics</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5" s="79" t="inlineStr">
        <is>
          <t>P-8a</t>
        </is>
      </c>
      <c r="AM925" s="79" t="inlineStr">
        <is>
          <t>Electronics</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6" s="79" t="inlineStr">
        <is>
          <t>P-8a</t>
        </is>
      </c>
      <c r="AM926" s="79" t="inlineStr">
        <is>
          <t>Electronics</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7" s="79" t="inlineStr">
        <is>
          <t>P-8a</t>
        </is>
      </c>
      <c r="AM927" s="79" t="inlineStr">
        <is>
          <t>Electronics</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8" s="79" t="inlineStr">
        <is>
          <t>P-8a</t>
        </is>
      </c>
      <c r="AM928" s="79" t="inlineStr">
        <is>
          <t>Electronics</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29" s="79" t="inlineStr">
        <is>
          <t>P-8a</t>
        </is>
      </c>
      <c r="AM929" s="79" t="inlineStr">
        <is>
          <t>Electronics</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0" s="79" t="inlineStr">
        <is>
          <t>P-8a</t>
        </is>
      </c>
      <c r="AM930" s="79" t="inlineStr">
        <is>
          <t>Hull, Mechanical, and Electrical</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1" s="79" t="inlineStr">
        <is>
          <t>P-8a</t>
        </is>
      </c>
      <c r="AM931" s="79" t="inlineStr">
        <is>
          <t>Hull, Mechanical, and Electrical</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2" s="79" t="inlineStr">
        <is>
          <t>P-8a</t>
        </is>
      </c>
      <c r="AM932" s="79" t="inlineStr">
        <is>
          <t>Hull, Mechanical, and Electrical</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3" s="79" t="inlineStr">
        <is>
          <t>P-8a</t>
        </is>
      </c>
      <c r="AM933" s="79" t="inlineStr">
        <is>
          <t>Hull, Mechanical, and Electrical</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4" s="79" t="inlineStr">
        <is>
          <t>P-8a</t>
        </is>
      </c>
      <c r="AM934" s="79" t="inlineStr">
        <is>
          <t>Hull, Mechanical, and Electrical</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5" s="79" t="inlineStr">
        <is>
          <t>P-8a</t>
        </is>
      </c>
      <c r="AM935" s="79" t="inlineStr">
        <is>
          <t>Hull, Mechanical, and Electrical</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6" s="79" t="inlineStr">
        <is>
          <t>P-8a</t>
        </is>
      </c>
      <c r="AM936" s="79" t="inlineStr">
        <is>
          <t>Hull, Mechanical, and Electrical</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7" s="79" t="inlineStr">
        <is>
          <t>P-8a</t>
        </is>
      </c>
      <c r="AM937" s="79" t="inlineStr">
        <is>
          <t>Hull, Mechanical, and Electrical</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8" s="79" t="inlineStr">
        <is>
          <t>P-8a</t>
        </is>
      </c>
      <c r="AM938" s="79" t="inlineStr">
        <is>
          <t>Hull, Mechanical, and Electrical</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39" s="79" t="inlineStr">
        <is>
          <t>P-8a</t>
        </is>
      </c>
      <c r="AM939" s="79" t="inlineStr">
        <is>
          <t>Hull, Mechanical, and Electrical</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0" s="79" t="inlineStr">
        <is>
          <t>P-8a</t>
        </is>
      </c>
      <c r="AM940" s="79" t="inlineStr">
        <is>
          <t>Hull, Mechanical, and Electrical</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1" s="79" t="inlineStr">
        <is>
          <t>P-8a</t>
        </is>
      </c>
      <c r="AM941" s="79" t="inlineStr">
        <is>
          <t>Hull, Mechanical, and Electrical</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2" s="79" t="inlineStr">
        <is>
          <t>P-8a</t>
        </is>
      </c>
      <c r="AM942" s="79" t="inlineStr">
        <is>
          <t>Hull, Mechanical, and Electrical</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3" s="79" t="inlineStr">
        <is>
          <t>P-8a</t>
        </is>
      </c>
      <c r="AM943" s="79" t="inlineStr">
        <is>
          <t>Hull, Mechanical, and Electrical</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4" s="79" t="inlineStr">
        <is>
          <t>P-8a</t>
        </is>
      </c>
      <c r="AM944" s="79" t="inlineStr">
        <is>
          <t>Hull, Mechanical, and Electrical</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8" s="79" t="inlineStr">
        <is>
          <t>P-8a</t>
        </is>
      </c>
      <c r="AM948" s="79" t="inlineStr">
        <is>
          <t>Ordnance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49" s="79" t="inlineStr">
        <is>
          <t>P-8a</t>
        </is>
      </c>
      <c r="AM949" s="79" t="inlineStr">
        <is>
          <t>Ordnance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0" s="79" t="inlineStr">
        <is>
          <t>P-8a</t>
        </is>
      </c>
      <c r="AM950" s="79" t="inlineStr">
        <is>
          <t>Ordnance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1" s="79" t="inlineStr">
        <is>
          <t>P-8a</t>
        </is>
      </c>
      <c r="AM951" s="79" t="inlineStr">
        <is>
          <t>Ordnance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2" s="79" t="inlineStr">
        <is>
          <t>P-8a</t>
        </is>
      </c>
      <c r="AM952" s="79" t="inlineStr">
        <is>
          <t>Ordnance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3" s="79" t="inlineStr">
        <is>
          <t>P-8a</t>
        </is>
      </c>
      <c r="AM953" s="79" t="inlineStr">
        <is>
          <t>Ordnance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4" s="79" t="inlineStr">
        <is>
          <t>P-8a</t>
        </is>
      </c>
      <c r="AM954" s="79" t="inlineStr">
        <is>
          <t>Ordnance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5" s="79" t="inlineStr">
        <is>
          <t>P-8a</t>
        </is>
      </c>
      <c r="AM955" s="79" t="inlineStr">
        <is>
          <t>Ordnance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6" s="79" t="inlineStr">
        <is>
          <t>P-8a</t>
        </is>
      </c>
      <c r="AM956" s="79" t="inlineStr">
        <is>
          <t>Ordnance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7" s="79" t="inlineStr">
        <is>
          <t>P-8a</t>
        </is>
      </c>
      <c r="AM957" s="79" t="inlineStr">
        <is>
          <t>Ordnance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8" s="79" t="inlineStr">
        <is>
          <t>P-8a</t>
        </is>
      </c>
      <c r="AM958" s="79" t="inlineStr">
        <is>
          <t>Ordnance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59" s="79" t="inlineStr">
        <is>
          <t>P-8a</t>
        </is>
      </c>
      <c r="AM959" s="79" t="inlineStr">
        <is>
          <t>Ordnance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0" s="79" t="inlineStr">
        <is>
          <t>P-8a</t>
        </is>
      </c>
      <c r="AM960" s="79" t="inlineStr">
        <is>
          <t>Ordnance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1" s="79" t="inlineStr">
        <is>
          <t>P-8a</t>
        </is>
      </c>
      <c r="AM961" s="79" t="inlineStr">
        <is>
          <t>Ordnance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2" s="79" t="inlineStr">
        <is>
          <t>P-35</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3" s="79" t="inlineStr">
        <is>
          <t>P-35</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4" s="79" t="inlineStr">
        <is>
          <t>P-35</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5" s="79" t="inlineStr">
        <is>
          <t>P-35</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6" s="79" t="inlineStr">
        <is>
          <t>P-35</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7" s="79" t="inlineStr">
        <is>
          <t>P-35</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8" s="79" t="inlineStr">
        <is>
          <t>P-35</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69" s="79" t="inlineStr">
        <is>
          <t>P-35</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0" s="79" t="inlineStr">
        <is>
          <t>P-35</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1" s="79" t="inlineStr">
        <is>
          <t>P-35</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2" s="79" t="inlineStr">
        <is>
          <t>P-35</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3" s="79" t="inlineStr">
        <is>
          <t>P-35</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4" s="79" t="inlineStr">
        <is>
          <t>P-35</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5" s="79" t="inlineStr">
        <is>
          <t>P-35</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6" s="79" t="inlineStr">
        <is>
          <t>P-35</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7" s="79" t="inlineStr">
        <is>
          <t>P-35</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8" s="79" t="inlineStr">
        <is>
          <t>P-35</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79" s="79" t="inlineStr">
        <is>
          <t>P-35</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0" s="79" t="inlineStr">
        <is>
          <t>P-35</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1" s="79" t="inlineStr">
        <is>
          <t>P-35</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2" s="79" t="inlineStr">
        <is>
          <t>P-35</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3" s="79" t="inlineStr">
        <is>
          <t>P-35</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4" s="79" t="inlineStr">
        <is>
          <t>P-35</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5" s="79" t="inlineStr">
        <is>
          <t>P-35</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6" s="79" t="inlineStr">
        <is>
          <t>P-35</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7" s="79" t="inlineStr">
        <is>
          <t>P-35</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8" s="79" t="inlineStr">
        <is>
          <t>P-35</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89" s="79" t="inlineStr">
        <is>
          <t>P-35</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0" s="79" t="inlineStr">
        <is>
          <t>P-35</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1" s="79" t="inlineStr">
        <is>
          <t>P-35</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2" s="79" t="inlineStr">
        <is>
          <t>P-35</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3" s="79" t="inlineStr">
        <is>
          <t>P-35</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4" s="79" t="inlineStr">
        <is>
          <t>P-35</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5" s="79" t="inlineStr">
        <is>
          <t>P-35</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6" s="79" t="inlineStr">
        <is>
          <t>P-35</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7" s="79" t="inlineStr">
        <is>
          <t>P-35</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8" s="79" t="inlineStr">
        <is>
          <t>P-35</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999" s="79" t="inlineStr">
        <is>
          <t>P-35</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0" s="79" t="inlineStr">
        <is>
          <t>P-35</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1" s="79" t="inlineStr">
        <is>
          <t>P-35</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2" s="79" t="inlineStr">
        <is>
          <t>P-35</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3" s="79" t="inlineStr">
        <is>
          <t>P-35</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4" s="79" t="inlineStr">
        <is>
          <t>P-35</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5" s="79" t="inlineStr">
        <is>
          <t>P-35</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6" s="79" t="inlineStr">
        <is>
          <t>P-35</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7" s="79" t="inlineStr">
        <is>
          <t>P-35</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8" s="79" t="inlineStr">
        <is>
          <t>P-35</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09" s="79" t="inlineStr">
        <is>
          <t>P-35</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0" s="79" t="inlineStr">
        <is>
          <t>P-35</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1" s="79" t="inlineStr">
        <is>
          <t>P-35</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2" s="79" t="inlineStr">
        <is>
          <t>P-35</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3" s="79" t="inlineStr">
        <is>
          <t>P-35</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4" s="79" t="inlineStr">
        <is>
          <t>P-35</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5" s="79" t="inlineStr">
        <is>
          <t>P-35</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6" s="79" t="inlineStr">
        <is>
          <t>P-35</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7" s="79" t="inlineStr">
        <is>
          <t>P-35</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8" s="79" t="inlineStr">
        <is>
          <t>P-35</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19" s="79" t="inlineStr">
        <is>
          <t>P-35</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0" s="79" t="inlineStr">
        <is>
          <t>P-35</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1" s="79" t="inlineStr">
        <is>
          <t>P-35</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2" s="79" t="inlineStr">
        <is>
          <t>P-35</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3" s="79" t="inlineStr">
        <is>
          <t>P-35</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4" s="79" t="inlineStr">
        <is>
          <t>P-35</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5" s="79" t="inlineStr">
        <is>
          <t>P-35</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6" s="79" t="inlineStr">
        <is>
          <t>P-35</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7" s="79" t="inlineStr">
        <is>
          <t>P-35</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8" s="79" t="inlineStr">
        <is>
          <t>P-35</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29" s="79" t="inlineStr">
        <is>
          <t>P-35</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0" s="79" t="inlineStr">
        <is>
          <t>P-35</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1" s="79" t="inlineStr">
        <is>
          <t>P-35</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2" s="79" t="inlineStr">
        <is>
          <t>P-35</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3" s="79" t="inlineStr">
        <is>
          <t>P-35</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4" s="79" t="inlineStr">
        <is>
          <t>P-35</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5" s="79" t="inlineStr">
        <is>
          <t>P-35</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6" s="79" t="inlineStr">
        <is>
          <t>P-35</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7" s="79" t="inlineStr">
        <is>
          <t>P-35</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8" s="79" t="inlineStr">
        <is>
          <t>P-35</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39" s="79" t="inlineStr">
        <is>
          <t>P-35</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0" s="79" t="inlineStr">
        <is>
          <t>P-35</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1" s="79" t="inlineStr">
        <is>
          <t>P-35</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2" s="79" t="inlineStr">
        <is>
          <t>P-35</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3" s="79" t="inlineStr">
        <is>
          <t>P-35</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4" s="79" t="inlineStr">
        <is>
          <t>P-35</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5" s="79" t="inlineStr">
        <is>
          <t>P-35</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6" s="79" t="inlineStr">
        <is>
          <t>P-35</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7" s="79" t="inlineStr">
        <is>
          <t>P-35</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8" s="79" t="inlineStr">
        <is>
          <t>P-35</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49" s="79" t="inlineStr">
        <is>
          <t>P-35</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0" s="79" t="inlineStr">
        <is>
          <t>P-35</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1" s="79" t="inlineStr">
        <is>
          <t>P-35</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2" s="79" t="inlineStr">
        <is>
          <t>P-35</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3" s="79" t="inlineStr">
        <is>
          <t>P-35</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4" s="79" t="inlineStr">
        <is>
          <t>P-35</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5" s="79" t="inlineStr">
        <is>
          <t>P-35</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6" s="79" t="inlineStr">
        <is>
          <t>P-35</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7" s="79" t="inlineStr">
        <is>
          <t>P-35</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8" s="79" t="inlineStr">
        <is>
          <t>P-35</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59" s="79" t="inlineStr">
        <is>
          <t>P-35</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0" s="79" t="inlineStr">
        <is>
          <t>P-35</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1" s="79" t="inlineStr">
        <is>
          <t>P-35</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2" s="79" t="inlineStr">
        <is>
          <t>P-35</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3" s="79" t="inlineStr">
        <is>
          <t>P-35</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4" s="79" t="inlineStr">
        <is>
          <t>P-35</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5" s="79" t="inlineStr">
        <is>
          <t>P-35</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6" s="79" t="inlineStr">
        <is>
          <t>P-35</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7" s="79" t="inlineStr">
        <is>
          <t>P-35</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8" s="79" t="inlineStr">
        <is>
          <t>P-35</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69" s="79" t="inlineStr">
        <is>
          <t>P-35</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0" s="79" t="inlineStr">
        <is>
          <t>P-35</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1" s="79" t="inlineStr">
        <is>
          <t>P-35</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2" s="79" t="inlineStr">
        <is>
          <t>P-35</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3" s="79" t="inlineStr">
        <is>
          <t>P-35</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4" s="79" t="inlineStr">
        <is>
          <t>P-35</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5" s="79" t="inlineStr">
        <is>
          <t>P-35</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6" s="79" t="inlineStr">
        <is>
          <t>P-35</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7" s="79" t="inlineStr">
        <is>
          <t>P-35</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c r="AL1078" s="79" t="inlineStr">
        <is>
          <t>P-35</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8" s="79" t="inlineStr">
        <is>
          <t>P-5c</t>
        </is>
      </c>
      <c r="AM1088" s="79" t="inlineStr">
        <is>
          <t>Plan Costs</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89" s="79" t="inlineStr">
        <is>
          <t>P-5c</t>
        </is>
      </c>
      <c r="AM1089" s="79" t="inlineStr">
        <is>
          <t>Basic Construction</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0" s="79" t="inlineStr">
        <is>
          <t>P-5c</t>
        </is>
      </c>
      <c r="AM1090" s="79" t="inlineStr">
        <is>
          <t>Change Orders</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1" s="79" t="inlineStr">
        <is>
          <t>P-5c</t>
        </is>
      </c>
      <c r="AM1091" s="79" t="inlineStr">
        <is>
          <t>Electronics</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2" s="79" t="inlineStr">
        <is>
          <t>P-5c</t>
        </is>
      </c>
      <c r="AM1092" s="79" t="inlineStr">
        <is>
          <t>Hull, Mechanical, and Electrical</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3" s="79" t="inlineStr">
        <is>
          <t>P-5c</t>
        </is>
      </c>
      <c r="AM1093" s="79" t="inlineStr">
        <is>
          <t>Ordnance</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4" s="79" t="inlineStr">
        <is>
          <t>P-5c</t>
        </is>
      </c>
      <c r="AM1094" s="79" t="inlineStr">
        <is>
          <t>Other Cost</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5" s="79" t="inlineStr">
        <is>
          <t>P-8a</t>
        </is>
      </c>
      <c r="AM1095" s="79" t="inlineStr">
        <is>
          <t>Electronics</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6" s="79" t="inlineStr">
        <is>
          <t>P-8a</t>
        </is>
      </c>
      <c r="AM1096" s="79" t="inlineStr">
        <is>
          <t>Electronics</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7" s="79" t="inlineStr">
        <is>
          <t>P-8a</t>
        </is>
      </c>
      <c r="AM1097" s="79" t="inlineStr">
        <is>
          <t>Electronics</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8" s="79" t="inlineStr">
        <is>
          <t>P-8a</t>
        </is>
      </c>
      <c r="AM1098" s="79" t="inlineStr">
        <is>
          <t>Electronics</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099" s="79" t="inlineStr">
        <is>
          <t>P-8a</t>
        </is>
      </c>
      <c r="AM1099" s="79" t="inlineStr">
        <is>
          <t>Electronics</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0" s="79" t="inlineStr">
        <is>
          <t>P-8a</t>
        </is>
      </c>
      <c r="AM1100" s="79" t="inlineStr">
        <is>
          <t>Electronics</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1" s="79" t="inlineStr">
        <is>
          <t>P-8a</t>
        </is>
      </c>
      <c r="AM1101" s="79" t="inlineStr">
        <is>
          <t>Electronics</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2" s="79" t="inlineStr">
        <is>
          <t>P-8a</t>
        </is>
      </c>
      <c r="AM1102" s="79" t="inlineStr">
        <is>
          <t>Electronics</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3" s="79" t="inlineStr">
        <is>
          <t>P-8a</t>
        </is>
      </c>
      <c r="AM1103" s="79" t="inlineStr">
        <is>
          <t>Electronics</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4" s="79" t="inlineStr">
        <is>
          <t>P-8a</t>
        </is>
      </c>
      <c r="AM1104" s="79" t="inlineStr">
        <is>
          <t>Electronics</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5" s="79" t="inlineStr">
        <is>
          <t>P-8a</t>
        </is>
      </c>
      <c r="AM1105" s="79" t="inlineStr">
        <is>
          <t>Electronics</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6" s="79" t="inlineStr">
        <is>
          <t>P-8a</t>
        </is>
      </c>
      <c r="AM1106" s="79" t="inlineStr">
        <is>
          <t>Electronics</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7" s="79" t="inlineStr">
        <is>
          <t>P-8a</t>
        </is>
      </c>
      <c r="AM1107" s="79" t="inlineStr">
        <is>
          <t>Electronics</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8" s="79" t="inlineStr">
        <is>
          <t>P-8a</t>
        </is>
      </c>
      <c r="AM1108" s="79" t="inlineStr">
        <is>
          <t>Electronics</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09" s="79" t="inlineStr">
        <is>
          <t>P-8a</t>
        </is>
      </c>
      <c r="AM1109" s="79" t="inlineStr">
        <is>
          <t>Electronics</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0" s="79" t="inlineStr">
        <is>
          <t>P-8a</t>
        </is>
      </c>
      <c r="AM1110" s="79" t="inlineStr">
        <is>
          <t>Electronics</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1" s="79" t="inlineStr">
        <is>
          <t>P-8a</t>
        </is>
      </c>
      <c r="AM1111" s="79" t="inlineStr">
        <is>
          <t>Electronics</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2" s="79" t="inlineStr">
        <is>
          <t>P-8a</t>
        </is>
      </c>
      <c r="AM1112" s="79" t="inlineStr">
        <is>
          <t>Hull, Mechanical, and Electrical</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3" s="79" t="inlineStr">
        <is>
          <t>P-8a</t>
        </is>
      </c>
      <c r="AM1113" s="79" t="inlineStr">
        <is>
          <t>Hull, Mechanical, and Electrical</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4" s="79" t="inlineStr">
        <is>
          <t>P-8a</t>
        </is>
      </c>
      <c r="AM1114" s="79" t="inlineStr">
        <is>
          <t>Hull, Mechanical, and Electrical</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5" s="79" t="inlineStr">
        <is>
          <t>P-8a</t>
        </is>
      </c>
      <c r="AM1115" s="79" t="inlineStr">
        <is>
          <t>Hull, Mechanical, and Electrical</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6" s="79" t="inlineStr">
        <is>
          <t>P-8a</t>
        </is>
      </c>
      <c r="AM1116" s="79" t="inlineStr">
        <is>
          <t>Hull, Mechanical, and Electrical</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7" s="79" t="inlineStr">
        <is>
          <t>P-8a</t>
        </is>
      </c>
      <c r="AM1117" s="79" t="inlineStr">
        <is>
          <t>Ordnance</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8" s="79" t="inlineStr">
        <is>
          <t>P-8a</t>
        </is>
      </c>
      <c r="AM1118" s="79" t="inlineStr">
        <is>
          <t>Ordnance</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19" s="79" t="inlineStr">
        <is>
          <t>P-8a</t>
        </is>
      </c>
      <c r="AM1119" s="79" t="inlineStr">
        <is>
          <t>Ordnance</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0" s="79" t="inlineStr">
        <is>
          <t>P-8a</t>
        </is>
      </c>
      <c r="AM1120" s="79" t="inlineStr">
        <is>
          <t>Ordnance</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1" s="79" t="inlineStr">
        <is>
          <t>P-8a</t>
        </is>
      </c>
      <c r="AM1121" s="79" t="inlineStr">
        <is>
          <t>Ordnance</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2" s="79" t="inlineStr">
        <is>
          <t>P-35</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3" s="79" t="inlineStr">
        <is>
          <t>P-35</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4" s="79" t="inlineStr">
        <is>
          <t>P-35</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5" s="79" t="inlineStr">
        <is>
          <t>P-35</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6" s="79" t="inlineStr">
        <is>
          <t>P-35</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7" s="79" t="inlineStr">
        <is>
          <t>P-35</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8" s="79" t="inlineStr">
        <is>
          <t>P-35</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29" s="79" t="inlineStr">
        <is>
          <t>P-35</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0" s="79" t="inlineStr">
        <is>
          <t>P-35</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1" s="79" t="inlineStr">
        <is>
          <t>P-35</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2" s="79" t="inlineStr">
        <is>
          <t>P-35</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3" s="79" t="inlineStr">
        <is>
          <t>P-35</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4" s="79" t="inlineStr">
        <is>
          <t>P-35</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5" s="79" t="inlineStr">
        <is>
          <t>P-35</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6" s="79" t="inlineStr">
        <is>
          <t>P-35</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7" s="79" t="inlineStr">
        <is>
          <t>P-35</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8" s="79" t="inlineStr">
        <is>
          <t>P-35</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39" s="79" t="inlineStr">
        <is>
          <t>P-35</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0" s="79" t="inlineStr">
        <is>
          <t>P-35</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1" s="79" t="inlineStr">
        <is>
          <t>P-35</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2" s="79" t="inlineStr">
        <is>
          <t>P-35</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3" s="79" t="inlineStr">
        <is>
          <t>P-35</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4" s="79" t="inlineStr">
        <is>
          <t>P-35</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5" s="79" t="inlineStr">
        <is>
          <t>P-35</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6" s="79" t="inlineStr">
        <is>
          <t>P-35</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7" s="79" t="inlineStr">
        <is>
          <t>P-35</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c r="AL1148" s="79" t="inlineStr">
        <is>
          <t>P-35</t>
        </is>
      </c>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49" s="79" t="inlineStr">
        <is>
          <t>P-35</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0" s="79" t="inlineStr">
        <is>
          <t>P-35</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1" s="79" t="inlineStr">
        <is>
          <t>P-35</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2" s="79" t="inlineStr">
        <is>
          <t>P-35</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3" s="79" t="inlineStr">
        <is>
          <t>P-35</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4" s="79" t="inlineStr">
        <is>
          <t>P-35</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5" s="79" t="inlineStr">
        <is>
          <t>P-35</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6" s="79" t="inlineStr">
        <is>
          <t>P-35</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7" s="79" t="inlineStr">
        <is>
          <t>P-35</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8" s="79" t="inlineStr">
        <is>
          <t>P-35</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59" s="79" t="inlineStr">
        <is>
          <t>P-35</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0" s="79" t="inlineStr">
        <is>
          <t>P-35</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1" s="79" t="inlineStr">
        <is>
          <t>P-35</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2" s="79" t="inlineStr">
        <is>
          <t>P-35</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3" s="79" t="inlineStr">
        <is>
          <t>P-35</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4" s="79" t="inlineStr">
        <is>
          <t>P-35</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c r="AL1165" s="79" t="inlineStr">
        <is>
          <t>P-35</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6" s="79" t="inlineStr">
        <is>
          <t>P-5c</t>
        </is>
      </c>
      <c r="AM1166" s="79" t="inlineStr">
        <is>
          <t>Plan Costs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7" s="79" t="inlineStr">
        <is>
          <t>P-5c</t>
        </is>
      </c>
      <c r="AM1167" s="79" t="inlineStr">
        <is>
          <t>Basic Construction</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8" s="79" t="inlineStr">
        <is>
          <t>P-5c</t>
        </is>
      </c>
      <c r="AM1168" s="79" t="inlineStr">
        <is>
          <t>Change Orders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69" s="79" t="inlineStr">
        <is>
          <t>P-5c</t>
        </is>
      </c>
      <c r="AM1169" s="79" t="inlineStr">
        <is>
          <t>Electronics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0" s="79" t="inlineStr">
        <is>
          <t>P-5c</t>
        </is>
      </c>
      <c r="AM1170" s="79" t="inlineStr">
        <is>
          <t>Ordnance</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1" s="79" t="inlineStr">
        <is>
          <t>P-5c</t>
        </is>
      </c>
      <c r="AM1171" s="79" t="inlineStr">
        <is>
          <t>Other Cost</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2" s="79" t="inlineStr">
        <is>
          <t>P-5c</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3" s="79" t="inlineStr">
        <is>
          <t>P-5c</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4" s="79" t="inlineStr">
        <is>
          <t>P-5c</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5" s="79" t="inlineStr">
        <is>
          <t>P-5c</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6" s="79" t="inlineStr">
        <is>
          <t>P-5c</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7" s="79" t="inlineStr">
        <is>
          <t>P-5c</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8" s="79" t="inlineStr">
        <is>
          <t>P-5c</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79" s="79" t="inlineStr">
        <is>
          <t>P-5c</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0" s="79" t="inlineStr">
        <is>
          <t>P-5c</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1" s="79" t="inlineStr">
        <is>
          <t>P-5c</t>
        </is>
      </c>
      <c r="AM1181" s="79" t="inlineStr">
        <is>
          <t>Plan Costs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2" s="79" t="inlineStr">
        <is>
          <t>P-5c</t>
        </is>
      </c>
      <c r="AM1182" s="79" t="inlineStr">
        <is>
          <t>Basic Construction</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3" s="79" t="inlineStr">
        <is>
          <t>P-5c</t>
        </is>
      </c>
      <c r="AM1183" s="79" t="inlineStr">
        <is>
          <t>Change Orders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4" s="79" t="inlineStr">
        <is>
          <t>P-5c</t>
        </is>
      </c>
      <c r="AM1184" s="79" t="inlineStr">
        <is>
          <t>Electronics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5" s="79" t="inlineStr">
        <is>
          <t>P-5c</t>
        </is>
      </c>
      <c r="AM1185" s="79" t="inlineStr">
        <is>
          <t>Hull, Mechanical, and Electrical</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6" s="79" t="inlineStr">
        <is>
          <t>P-5c</t>
        </is>
      </c>
      <c r="AM1186" s="79" t="inlineStr">
        <is>
          <t>Ordnance</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7" s="79" t="inlineStr">
        <is>
          <t>P-5c</t>
        </is>
      </c>
      <c r="AM1187" s="79" t="inlineStr">
        <is>
          <t>Other Cost</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8" s="79" t="inlineStr">
        <is>
          <t>P-8a</t>
        </is>
      </c>
      <c r="AM1188" s="79" t="inlineStr">
        <is>
          <t>Electronics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89" s="79" t="inlineStr">
        <is>
          <t>P-8a</t>
        </is>
      </c>
      <c r="AM1189" s="79" t="inlineStr">
        <is>
          <t>Electronics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0" s="79" t="inlineStr">
        <is>
          <t>P-8a</t>
        </is>
      </c>
      <c r="AM1190" s="79" t="inlineStr">
        <is>
          <t>Electronics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1" s="79" t="inlineStr">
        <is>
          <t>P-8a</t>
        </is>
      </c>
      <c r="AM1191" s="79" t="inlineStr">
        <is>
          <t>Electronics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2" s="79" t="inlineStr">
        <is>
          <t>P-8a</t>
        </is>
      </c>
      <c r="AM1192" s="79" t="inlineStr">
        <is>
          <t>Electronics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3" s="79" t="inlineStr">
        <is>
          <t>P-8a</t>
        </is>
      </c>
      <c r="AM1193" s="79" t="inlineStr">
        <is>
          <t>Electronics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4" s="79" t="inlineStr">
        <is>
          <t>P-8a</t>
        </is>
      </c>
      <c r="AM1194" s="79" t="inlineStr">
        <is>
          <t>Electronics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5" s="79" t="inlineStr">
        <is>
          <t>P-8a</t>
        </is>
      </c>
      <c r="AM1195" s="79" t="inlineStr">
        <is>
          <t>Electronics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6" s="79" t="inlineStr">
        <is>
          <t>P-8a</t>
        </is>
      </c>
      <c r="AM1196" s="79" t="inlineStr">
        <is>
          <t>Electronics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7" s="79" t="inlineStr">
        <is>
          <t>P-8a</t>
        </is>
      </c>
      <c r="AM1197" s="79" t="inlineStr">
        <is>
          <t>Electronics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8" s="79" t="inlineStr">
        <is>
          <t>P-8a</t>
        </is>
      </c>
      <c r="AM1198" s="79" t="inlineStr">
        <is>
          <t>Electronics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199" s="79" t="inlineStr">
        <is>
          <t>P-8a</t>
        </is>
      </c>
      <c r="AM1199" s="79" t="inlineStr">
        <is>
          <t>Electronics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0" s="79" t="inlineStr">
        <is>
          <t>P-8a</t>
        </is>
      </c>
      <c r="AM1200" s="79" t="inlineStr">
        <is>
          <t>Electronics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1" s="79" t="inlineStr">
        <is>
          <t>P-8a</t>
        </is>
      </c>
      <c r="AM1201" s="79" t="inlineStr">
        <is>
          <t>Electronics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2" s="79" t="inlineStr">
        <is>
          <t>P-8a</t>
        </is>
      </c>
      <c r="AM1202" s="79" t="inlineStr">
        <is>
          <t>Electronics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3" s="79" t="inlineStr">
        <is>
          <t>P-8a</t>
        </is>
      </c>
      <c r="AM1203" s="79" t="inlineStr">
        <is>
          <t>Hull, Mechanical, and Electrical</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4" s="79" t="inlineStr">
        <is>
          <t>P-8a</t>
        </is>
      </c>
      <c r="AM1204" s="79" t="inlineStr">
        <is>
          <t>Hull, Mechanical, and Electrical</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5" s="79" t="inlineStr">
        <is>
          <t>P-8a</t>
        </is>
      </c>
      <c r="AM1205" s="79" t="inlineStr">
        <is>
          <t>Hull, Mechanical, and Electrical</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6" s="79" t="inlineStr">
        <is>
          <t>P-8a</t>
        </is>
      </c>
      <c r="AM1206" s="79" t="inlineStr">
        <is>
          <t>Hull, Mechanical, and Electrical</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7" s="79" t="inlineStr">
        <is>
          <t>P-8a</t>
        </is>
      </c>
      <c r="AM1207" s="79" t="inlineStr">
        <is>
          <t>Hull, Mechanical, and Electrical</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8" s="79" t="inlineStr">
        <is>
          <t>P-8a</t>
        </is>
      </c>
      <c r="AM1208" s="79" t="inlineStr">
        <is>
          <t>Hull, Mechanical, and Electrical</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09" s="79" t="inlineStr">
        <is>
          <t>P-8a</t>
        </is>
      </c>
      <c r="AM1209" s="79" t="inlineStr">
        <is>
          <t>Ordnance</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0" s="79" t="inlineStr">
        <is>
          <t>P-8a</t>
        </is>
      </c>
      <c r="AM1210" s="79" t="inlineStr">
        <is>
          <t>Ordnance</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1" s="79" t="inlineStr">
        <is>
          <t>P-8a</t>
        </is>
      </c>
      <c r="AM1211" s="79" t="inlineStr">
        <is>
          <t>Ordnance</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2" s="79" t="inlineStr">
        <is>
          <t>P-8a</t>
        </is>
      </c>
      <c r="AM1212" s="79" t="inlineStr">
        <is>
          <t>Ordnance</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3" s="79" t="inlineStr">
        <is>
          <t>P-8a</t>
        </is>
      </c>
      <c r="AM1213" s="79" t="inlineStr">
        <is>
          <t>Ordnance</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4" s="79" t="inlineStr">
        <is>
          <t>P-8a</t>
        </is>
      </c>
      <c r="AM1214" s="79" t="inlineStr">
        <is>
          <t>Ordnance</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5" s="79" t="inlineStr">
        <is>
          <t>P-8a</t>
        </is>
      </c>
      <c r="AM1215" s="79" t="inlineStr">
        <is>
          <t>Ordnance</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6" s="79" t="inlineStr">
        <is>
          <t>P-8a</t>
        </is>
      </c>
      <c r="AM1216" s="79" t="inlineStr">
        <is>
          <t>Ordnance</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7" s="79" t="inlineStr">
        <is>
          <t>P-8a</t>
        </is>
      </c>
      <c r="AM1217" s="79" t="inlineStr">
        <is>
          <t>Ordnance</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8" s="79" t="inlineStr">
        <is>
          <t>P-8a</t>
        </is>
      </c>
      <c r="AM1218" s="79" t="inlineStr">
        <is>
          <t>Ordnance</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19" s="79" t="inlineStr">
        <is>
          <t>P-8a</t>
        </is>
      </c>
      <c r="AM1219" s="79" t="inlineStr">
        <is>
          <t>Ordnance</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0" s="79" t="inlineStr">
        <is>
          <t>P-8a</t>
        </is>
      </c>
      <c r="AM1220" s="79" t="inlineStr">
        <is>
          <t>Ordnance</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1" s="79" t="inlineStr">
        <is>
          <t>P-35</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2" s="79" t="inlineStr">
        <is>
          <t>P-35</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3" s="79" t="inlineStr">
        <is>
          <t>P-35</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4" s="79" t="inlineStr">
        <is>
          <t>P-35</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5" s="79" t="inlineStr">
        <is>
          <t>P-35</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6" s="79" t="inlineStr">
        <is>
          <t>P-35</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7" s="79" t="inlineStr">
        <is>
          <t>P-35</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8" s="79" t="inlineStr">
        <is>
          <t>P-35</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29" s="79" t="inlineStr">
        <is>
          <t>P-35</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0" s="79" t="inlineStr">
        <is>
          <t>P-35</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1" s="79" t="inlineStr">
        <is>
          <t>P-35</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2" s="79" t="inlineStr">
        <is>
          <t>P-35</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3" s="79" t="inlineStr">
        <is>
          <t>P-35</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4" s="79" t="inlineStr">
        <is>
          <t>P-35</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5" s="79" t="inlineStr">
        <is>
          <t>P-35</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6" s="79" t="inlineStr">
        <is>
          <t>P-35</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7" s="79" t="inlineStr">
        <is>
          <t>P-35</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8" s="79" t="inlineStr">
        <is>
          <t>P-35</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39" s="79" t="inlineStr">
        <is>
          <t>P-35</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0" s="79" t="inlineStr">
        <is>
          <t>P-35</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1" s="79" t="inlineStr">
        <is>
          <t>P-35</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2" s="79" t="inlineStr">
        <is>
          <t>P-35</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3" s="79" t="inlineStr">
        <is>
          <t>P-35</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4" s="79" t="inlineStr">
        <is>
          <t>P-35</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5" s="79" t="inlineStr">
        <is>
          <t>P-35</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6" s="79" t="inlineStr">
        <is>
          <t>P-35</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7" s="79" t="inlineStr">
        <is>
          <t>P-35</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8" s="79" t="inlineStr">
        <is>
          <t>P-35</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49" s="79" t="inlineStr">
        <is>
          <t>P-35</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0" s="79" t="inlineStr">
        <is>
          <t>P-35</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1" s="79" t="inlineStr">
        <is>
          <t>P-35</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2" s="79" t="inlineStr">
        <is>
          <t>P-35</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3" s="79" t="inlineStr">
        <is>
          <t>P-35</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4" s="79" t="inlineStr">
        <is>
          <t>P-35</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5" s="79" t="inlineStr">
        <is>
          <t>P-35</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6" s="79" t="inlineStr">
        <is>
          <t>P-35</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7" s="79" t="inlineStr">
        <is>
          <t>P-35</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8" s="79" t="inlineStr">
        <is>
          <t>P-35</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59" s="79" t="inlineStr">
        <is>
          <t>P-35</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0" s="79" t="inlineStr">
        <is>
          <t>P-35</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1" s="79" t="inlineStr">
        <is>
          <t>P-35</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2" s="79" t="inlineStr">
        <is>
          <t>P-35</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3" s="79" t="inlineStr">
        <is>
          <t>P-35</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4" s="79" t="inlineStr">
        <is>
          <t>P-35</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5" s="79" t="inlineStr">
        <is>
          <t>P-35</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6" s="79" t="inlineStr">
        <is>
          <t>P-35</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7" s="79" t="inlineStr">
        <is>
          <t>P-35</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8" s="79" t="inlineStr">
        <is>
          <t>P-35</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69" s="79" t="inlineStr">
        <is>
          <t>P-35</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0" s="79" t="inlineStr">
        <is>
          <t>P-35</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1" s="79" t="inlineStr">
        <is>
          <t>P-35</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2" s="79" t="inlineStr">
        <is>
          <t>P-35</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3" s="79" t="inlineStr">
        <is>
          <t>P-35</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4" s="79" t="inlineStr">
        <is>
          <t>P-35</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5" s="79" t="inlineStr">
        <is>
          <t>P-35</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6" s="79" t="inlineStr">
        <is>
          <t>P-35</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7" s="79" t="inlineStr">
        <is>
          <t>P-35</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8" s="79" t="inlineStr">
        <is>
          <t>P-35</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79" s="79" t="inlineStr">
        <is>
          <t>P-35</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0" s="79" t="inlineStr">
        <is>
          <t>P-35</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1" s="79" t="inlineStr">
        <is>
          <t>P-35</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2" s="79" t="inlineStr">
        <is>
          <t>P-35</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3" s="79" t="inlineStr">
        <is>
          <t>P-35</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4" s="79" t="inlineStr">
        <is>
          <t>P-35</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5" s="79" t="inlineStr">
        <is>
          <t>P-35</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6" s="79" t="inlineStr">
        <is>
          <t>P-35</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7" s="79" t="inlineStr">
        <is>
          <t>P-35</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8" s="79" t="inlineStr">
        <is>
          <t>P-35</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89" s="79" t="inlineStr">
        <is>
          <t>P-35</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0" s="79" t="inlineStr">
        <is>
          <t>P-35</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1" s="79" t="inlineStr">
        <is>
          <t>P-35</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2" s="79" t="inlineStr">
        <is>
          <t>P-35</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3" s="79" t="inlineStr">
        <is>
          <t>P-35</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4" s="79" t="inlineStr">
        <is>
          <t>P-35</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5" s="79" t="inlineStr">
        <is>
          <t>P-35</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6" s="79" t="inlineStr">
        <is>
          <t>P-35</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c r="AL1297" s="79" t="inlineStr">
        <is>
          <t>P-35</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2" s="79" t="inlineStr">
        <is>
          <t>P-5c</t>
        </is>
      </c>
      <c r="AM1332" s="79" t="inlineStr">
        <is>
          <t>Plan Costs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3" s="79" t="inlineStr">
        <is>
          <t>P-5c</t>
        </is>
      </c>
      <c r="AM1333" s="79" t="inlineStr">
        <is>
          <t>Basic Construction</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4" s="79" t="inlineStr">
        <is>
          <t>P-5c</t>
        </is>
      </c>
      <c r="AM1334" s="79" t="inlineStr">
        <is>
          <t>Change Orders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5" s="79" t="inlineStr">
        <is>
          <t>P-5c</t>
        </is>
      </c>
      <c r="AM1335" s="79" t="inlineStr">
        <is>
          <t>Electronics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6" s="79" t="inlineStr">
        <is>
          <t>P-5c</t>
        </is>
      </c>
      <c r="AM1336" s="79" t="inlineStr">
        <is>
          <t>Hull, Mechanical, and Electrical</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7" s="79" t="inlineStr">
        <is>
          <t>P-5c</t>
        </is>
      </c>
      <c r="AM1337" s="79" t="inlineStr">
        <is>
          <t>Ordnance</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c r="AL1338" s="79" t="inlineStr">
        <is>
          <t>P-5c</t>
        </is>
      </c>
      <c r="AM1338" s="79" t="inlineStr">
        <is>
          <t>Other Cost</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39" s="79" t="inlineStr">
        <is>
          <t>P-5c</t>
        </is>
      </c>
      <c r="AM1339" s="79" t="inlineStr">
        <is>
          <t>Plan Costs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0" s="79" t="inlineStr">
        <is>
          <t>P-5c</t>
        </is>
      </c>
      <c r="AM1340" s="79" t="inlineStr">
        <is>
          <t>Basic Construction</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1" s="79" t="inlineStr">
        <is>
          <t>P-5c</t>
        </is>
      </c>
      <c r="AM1341" s="79" t="inlineStr">
        <is>
          <t>Change Orders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2" s="79" t="inlineStr">
        <is>
          <t>P-5c</t>
        </is>
      </c>
      <c r="AM1342" s="79" t="inlineStr">
        <is>
          <t>Electronics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3" s="79" t="inlineStr">
        <is>
          <t>P-5c</t>
        </is>
      </c>
      <c r="AM1343" s="79" t="inlineStr">
        <is>
          <t>Ordnance</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4" s="79" t="inlineStr">
        <is>
          <t>P-5c</t>
        </is>
      </c>
      <c r="AM1344" s="79" t="inlineStr">
        <is>
          <t>Other Cost</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5" s="79" t="inlineStr">
        <is>
          <t>P-5c</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6" s="79" t="inlineStr">
        <is>
          <t>P-5c</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7" s="79" t="inlineStr">
        <is>
          <t>P-8a</t>
        </is>
      </c>
      <c r="AM1347" s="79" t="inlineStr">
        <is>
          <t>Electronics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8" s="79" t="inlineStr">
        <is>
          <t>P-8a</t>
        </is>
      </c>
      <c r="AM1348" s="79" t="inlineStr">
        <is>
          <t>Electronics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49" s="79" t="inlineStr">
        <is>
          <t>P-8a</t>
        </is>
      </c>
      <c r="AM1349" s="79" t="inlineStr">
        <is>
          <t>Electronics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0" s="79" t="inlineStr">
        <is>
          <t>P-8a</t>
        </is>
      </c>
      <c r="AM1350" s="79" t="inlineStr">
        <is>
          <t>Electronics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1" s="79" t="inlineStr">
        <is>
          <t>P-8a</t>
        </is>
      </c>
      <c r="AM1351" s="79" t="inlineStr">
        <is>
          <t>Electronics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2" s="79" t="inlineStr">
        <is>
          <t>P-8a</t>
        </is>
      </c>
      <c r="AM1352" s="79" t="inlineStr">
        <is>
          <t>Electronics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3" s="79" t="inlineStr">
        <is>
          <t>P-8a</t>
        </is>
      </c>
      <c r="AM1353" s="79" t="inlineStr">
        <is>
          <t>Electronics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4" s="79" t="inlineStr">
        <is>
          <t>P-8a</t>
        </is>
      </c>
      <c r="AM1354" s="79" t="inlineStr">
        <is>
          <t>Electronics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5" s="79" t="inlineStr">
        <is>
          <t>P-8a</t>
        </is>
      </c>
      <c r="AM1355" s="79" t="inlineStr">
        <is>
          <t>Hull, Mechanical, and Electrical</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6" s="79" t="inlineStr">
        <is>
          <t>P-8a</t>
        </is>
      </c>
      <c r="AM1356" s="79" t="inlineStr">
        <is>
          <t>Hull, Mechanical, and Electrical</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7" s="79" t="inlineStr">
        <is>
          <t>P-8a</t>
        </is>
      </c>
      <c r="AM1357" s="79" t="inlineStr">
        <is>
          <t>Hull, Mechanical, and Electrical</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8" s="79" t="inlineStr">
        <is>
          <t>P-8a</t>
        </is>
      </c>
      <c r="AM1358" s="79" t="inlineStr">
        <is>
          <t>Hull, Mechanical, and Electrical</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59" s="79" t="inlineStr">
        <is>
          <t>P-8a</t>
        </is>
      </c>
      <c r="AM1359" s="79" t="inlineStr">
        <is>
          <t>Hull, Mechanical, and Electrical</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0" s="79" t="inlineStr">
        <is>
          <t>P-8a</t>
        </is>
      </c>
      <c r="AM1360" s="79" t="inlineStr">
        <is>
          <t>Hull, Mechanical, and Electrical</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1" s="79" t="inlineStr">
        <is>
          <t>P-8a</t>
        </is>
      </c>
      <c r="AM1361" s="79" t="inlineStr">
        <is>
          <t>Hull, Mechanical, and Electrical</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2" s="79" t="inlineStr">
        <is>
          <t>P-8a</t>
        </is>
      </c>
      <c r="AM1362" s="79" t="inlineStr">
        <is>
          <t>Hull, Mechanical, and Electrical</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3" s="79" t="inlineStr">
        <is>
          <t>P-8a</t>
        </is>
      </c>
      <c r="AM1363" s="79" t="inlineStr">
        <is>
          <t>Ordnance</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4" s="79" t="inlineStr">
        <is>
          <t>P-8a</t>
        </is>
      </c>
      <c r="AM1364" s="79" t="inlineStr">
        <is>
          <t>Ordnance</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5" s="79" t="inlineStr">
        <is>
          <t>P-8a</t>
        </is>
      </c>
      <c r="AM1365" s="79" t="inlineStr">
        <is>
          <t>Ordnance</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6" s="79" t="inlineStr">
        <is>
          <t>P-8a</t>
        </is>
      </c>
      <c r="AM1366" s="79" t="inlineStr">
        <is>
          <t>Ordnance</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7" s="79" t="inlineStr">
        <is>
          <t>P-8a</t>
        </is>
      </c>
      <c r="AM1367" s="79" t="inlineStr">
        <is>
          <t>Ordnance</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8" s="79" t="inlineStr">
        <is>
          <t>P-35</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69" s="79" t="inlineStr">
        <is>
          <t>P-35</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0" s="79" t="inlineStr">
        <is>
          <t>P-35</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1" s="79" t="inlineStr">
        <is>
          <t>P-35</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2" s="79" t="inlineStr">
        <is>
          <t>P-35</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3" s="79" t="inlineStr">
        <is>
          <t>P-35</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4" s="79" t="inlineStr">
        <is>
          <t>P-35</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5" s="79" t="inlineStr">
        <is>
          <t>P-35</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6" s="79" t="inlineStr">
        <is>
          <t>P-35</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7" s="79" t="inlineStr">
        <is>
          <t>P-35</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8" s="79" t="inlineStr">
        <is>
          <t>P-35</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79" s="79" t="inlineStr">
        <is>
          <t>P-35</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0" s="79" t="inlineStr">
        <is>
          <t>P-35</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1" s="79" t="inlineStr">
        <is>
          <t>P-35</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2" s="79" t="inlineStr">
        <is>
          <t>P-35</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3" s="79" t="inlineStr">
        <is>
          <t>P-35</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4" s="79" t="inlineStr">
        <is>
          <t>P-35</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5" s="79" t="inlineStr">
        <is>
          <t>P-35</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6" s="79" t="inlineStr">
        <is>
          <t>P-35</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7" s="79" t="inlineStr">
        <is>
          <t>P-35</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8" s="79" t="inlineStr">
        <is>
          <t>P-35</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89" s="79" t="inlineStr">
        <is>
          <t>P-35</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0" s="79" t="inlineStr">
        <is>
          <t>P-35</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1" s="79" t="inlineStr">
        <is>
          <t>P-35</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2" s="79" t="inlineStr">
        <is>
          <t>P-35</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3" s="79" t="inlineStr">
        <is>
          <t>P-35</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4" s="79" t="inlineStr">
        <is>
          <t>P-35</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5" s="79" t="inlineStr">
        <is>
          <t>P-35</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6" s="79" t="inlineStr">
        <is>
          <t>P-35</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7" s="79" t="inlineStr">
        <is>
          <t>P-35</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8" s="79" t="inlineStr">
        <is>
          <t>P-35</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399" s="79" t="inlineStr">
        <is>
          <t>P-35</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0" s="79" t="inlineStr">
        <is>
          <t>P-35</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1" s="79" t="inlineStr">
        <is>
          <t>P-35</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2" s="79" t="inlineStr">
        <is>
          <t>P-35</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3" s="79" t="inlineStr">
        <is>
          <t>P-35</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4" s="79" t="inlineStr">
        <is>
          <t>P-35</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5" s="79" t="inlineStr">
        <is>
          <t>P-35</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6" s="79" t="inlineStr">
        <is>
          <t>P-35</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7" s="79" t="inlineStr">
        <is>
          <t>P-35</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8" s="79" t="inlineStr">
        <is>
          <t>P-35</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09" s="79" t="inlineStr">
        <is>
          <t>P-35</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0" s="79" t="inlineStr">
        <is>
          <t>P-35</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1" s="79" t="inlineStr">
        <is>
          <t>P-35</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2" s="79" t="inlineStr">
        <is>
          <t>P-35</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3" s="79" t="inlineStr">
        <is>
          <t>P-35</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4" s="79" t="inlineStr">
        <is>
          <t>P-35</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5" s="79" t="inlineStr">
        <is>
          <t>P-35</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6" s="79" t="inlineStr">
        <is>
          <t>P-35</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7" s="79" t="inlineStr">
        <is>
          <t>P-35</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8" s="79" t="inlineStr">
        <is>
          <t>P-35</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19" s="79" t="inlineStr">
        <is>
          <t>P-35</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0" s="79" t="inlineStr">
        <is>
          <t>P-35</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1" s="79" t="inlineStr">
        <is>
          <t>P-35</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2" s="79" t="inlineStr">
        <is>
          <t>P-35</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3" s="79" t="inlineStr">
        <is>
          <t>P-35</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4" s="79" t="inlineStr">
        <is>
          <t>P-35</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5" s="79" t="inlineStr">
        <is>
          <t>P-35</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6" s="79" t="inlineStr">
        <is>
          <t>P-35</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7" s="79" t="inlineStr">
        <is>
          <t>P-35</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8" s="79" t="inlineStr">
        <is>
          <t>P-35</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29" s="79" t="inlineStr">
        <is>
          <t>P-35</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0" s="79" t="inlineStr">
        <is>
          <t>P-35</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1" s="79" t="inlineStr">
        <is>
          <t>P-35</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2" s="79" t="inlineStr">
        <is>
          <t>P-35</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3" s="79" t="inlineStr">
        <is>
          <t>P-35</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4" s="79" t="inlineStr">
        <is>
          <t>P-35</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5" s="79" t="inlineStr">
        <is>
          <t>P-35</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6" s="79" t="inlineStr">
        <is>
          <t>P-35</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7" s="79" t="inlineStr">
        <is>
          <t>P-35</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8" s="79" t="inlineStr">
        <is>
          <t>P-35</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39" s="79" t="inlineStr">
        <is>
          <t>P-35</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0" s="79" t="inlineStr">
        <is>
          <t>P-35</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1" s="79" t="inlineStr">
        <is>
          <t>P-35</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2" s="79" t="inlineStr">
        <is>
          <t>P-35</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3" s="79" t="inlineStr">
        <is>
          <t>P-35</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4" s="79" t="inlineStr">
        <is>
          <t>P-35</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5" s="79" t="inlineStr">
        <is>
          <t>P-35</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6" s="79" t="inlineStr">
        <is>
          <t>P-35</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7" s="79" t="inlineStr">
        <is>
          <t>P-35</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8" s="79" t="inlineStr">
        <is>
          <t>P-35</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49" s="79" t="inlineStr">
        <is>
          <t>P-35</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c r="AL1450" s="79" t="inlineStr">
        <is>
          <t>P-35</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1" s="79" t="inlineStr">
        <is>
          <t>P-5c</t>
        </is>
      </c>
      <c r="AM1451" s="79" t="inlineStr">
        <is>
          <t>Basic Construction</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2" s="79" t="inlineStr">
        <is>
          <t>P-5c</t>
        </is>
      </c>
      <c r="AM1452" s="79" t="inlineStr">
        <is>
          <t>Change Orders</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3" s="79" t="inlineStr">
        <is>
          <t>P-5c</t>
        </is>
      </c>
      <c r="AM1453" s="79" t="inlineStr">
        <is>
          <t>Electronics</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4" s="79" t="inlineStr">
        <is>
          <t>P-5c</t>
        </is>
      </c>
      <c r="AM1454" s="79" t="inlineStr">
        <is>
          <t>Hull, Mechanical, and Electrical</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5" s="79" t="inlineStr">
        <is>
          <t>P-5c</t>
        </is>
      </c>
      <c r="AM1455" s="79" t="inlineStr">
        <is>
          <t>Ordnance</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6" s="79" t="inlineStr">
        <is>
          <t>P-5c</t>
        </is>
      </c>
      <c r="AM1456" s="79" t="inlineStr">
        <is>
          <t>Other Cost</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7" s="79" t="inlineStr">
        <is>
          <t>P-8a</t>
        </is>
      </c>
      <c r="AM1457" s="79" t="inlineStr">
        <is>
          <t>Electronics</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8" s="79" t="inlineStr">
        <is>
          <t>P-8a</t>
        </is>
      </c>
      <c r="AM1458" s="79" t="inlineStr">
        <is>
          <t>Electronics</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59" s="79" t="inlineStr">
        <is>
          <t>P-8a</t>
        </is>
      </c>
      <c r="AM1459" s="79" t="inlineStr">
        <is>
          <t>Electronics</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0" s="79" t="inlineStr">
        <is>
          <t>P-8a</t>
        </is>
      </c>
      <c r="AM1460" s="79" t="inlineStr">
        <is>
          <t>Electronics</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1" s="79" t="inlineStr">
        <is>
          <t>P-8a</t>
        </is>
      </c>
      <c r="AM1461" s="79" t="inlineStr">
        <is>
          <t>Electronics</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2" s="79" t="inlineStr">
        <is>
          <t>P-8a</t>
        </is>
      </c>
      <c r="AM1462" s="79" t="inlineStr">
        <is>
          <t>Electronics</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3" s="79" t="inlineStr">
        <is>
          <t>P-8a</t>
        </is>
      </c>
      <c r="AM1463" s="79" t="inlineStr">
        <is>
          <t>Electronics</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4" s="79" t="inlineStr">
        <is>
          <t>P-8a</t>
        </is>
      </c>
      <c r="AM1464" s="79" t="inlineStr">
        <is>
          <t>Electronics</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5" s="79" t="inlineStr">
        <is>
          <t>P-8a</t>
        </is>
      </c>
      <c r="AM1465" s="79" t="inlineStr">
        <is>
          <t>Electronics</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6" s="79" t="inlineStr">
        <is>
          <t>P-8a</t>
        </is>
      </c>
      <c r="AM1466" s="79" t="inlineStr">
        <is>
          <t>Electronics</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7" s="79" t="inlineStr">
        <is>
          <t>P-8a</t>
        </is>
      </c>
      <c r="AM1467" s="79" t="inlineStr">
        <is>
          <t>Electronics</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8" s="79" t="inlineStr">
        <is>
          <t>P-8a</t>
        </is>
      </c>
      <c r="AM1468" s="79" t="inlineStr">
        <is>
          <t>Electronics</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69" s="79" t="inlineStr">
        <is>
          <t>P-8a</t>
        </is>
      </c>
      <c r="AM1469" s="79" t="inlineStr">
        <is>
          <t>Electronics</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0" s="79" t="inlineStr">
        <is>
          <t>P-8a</t>
        </is>
      </c>
      <c r="AM1470" s="79" t="inlineStr">
        <is>
          <t>Electronics</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1" s="79" t="inlineStr">
        <is>
          <t>P-8a</t>
        </is>
      </c>
      <c r="AM1471" s="79" t="inlineStr">
        <is>
          <t>Electronics</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2" s="79" t="inlineStr">
        <is>
          <t>P-8a</t>
        </is>
      </c>
      <c r="AM1472" s="79" t="inlineStr">
        <is>
          <t>Electronics</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3" s="79" t="inlineStr">
        <is>
          <t>P-8a</t>
        </is>
      </c>
      <c r="AM1473" s="79" t="inlineStr">
        <is>
          <t>Electronics</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4" s="79" t="inlineStr">
        <is>
          <t>P-8a</t>
        </is>
      </c>
      <c r="AM1474" s="79" t="inlineStr">
        <is>
          <t>Hull, Mechanical, and Electrical</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5" s="79" t="inlineStr">
        <is>
          <t>P-8a</t>
        </is>
      </c>
      <c r="AM1475" s="79" t="inlineStr">
        <is>
          <t>Hull, Mechanical, and Electrical</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6" s="79" t="inlineStr">
        <is>
          <t>P-8a</t>
        </is>
      </c>
      <c r="AM1476" s="79" t="inlineStr">
        <is>
          <t>Hull, Mechanical, and Electrical</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7" s="79" t="inlineStr">
        <is>
          <t>P-8a</t>
        </is>
      </c>
      <c r="AM1477" s="79" t="inlineStr">
        <is>
          <t>Hull, Mechanical, and Electrical</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8" s="79" t="inlineStr">
        <is>
          <t>P-8a</t>
        </is>
      </c>
      <c r="AM1478" s="79" t="inlineStr">
        <is>
          <t>Hull, Mechanical, and Electrical</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79" s="79" t="inlineStr">
        <is>
          <t>P-8a</t>
        </is>
      </c>
      <c r="AM1479" s="79" t="inlineStr">
        <is>
          <t>Hull, Mechanical, and Electrical</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0" s="79" t="inlineStr">
        <is>
          <t>P-8a</t>
        </is>
      </c>
      <c r="AM1480" s="79" t="inlineStr">
        <is>
          <t>Hull, Mechanical, and Electrical</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1" s="79" t="inlineStr">
        <is>
          <t>P-8a</t>
        </is>
      </c>
      <c r="AM1481" s="79" t="inlineStr">
        <is>
          <t>Hull, Mechanical, and Electrical</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2" s="79" t="inlineStr">
        <is>
          <t>P-8a</t>
        </is>
      </c>
      <c r="AM1482" s="79" t="inlineStr">
        <is>
          <t>Ordnance</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3" s="79" t="inlineStr">
        <is>
          <t>P-8a</t>
        </is>
      </c>
      <c r="AM1483" s="79" t="inlineStr">
        <is>
          <t>Ordnance</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4" s="79" t="inlineStr">
        <is>
          <t>P-8a</t>
        </is>
      </c>
      <c r="AM1484" s="79" t="inlineStr">
        <is>
          <t>Ordnance</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5" s="79" t="inlineStr">
        <is>
          <t>P-8a</t>
        </is>
      </c>
      <c r="AM1485" s="79" t="inlineStr">
        <is>
          <t>Ordnance</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6" s="79" t="inlineStr">
        <is>
          <t>P-8a</t>
        </is>
      </c>
      <c r="AM1486" s="79" t="inlineStr">
        <is>
          <t>Ordnance</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7" s="79" t="inlineStr">
        <is>
          <t>P-8a</t>
        </is>
      </c>
      <c r="AM1487" s="79" t="inlineStr">
        <is>
          <t>Ordnance</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8" s="79" t="inlineStr">
        <is>
          <t>P-8a</t>
        </is>
      </c>
      <c r="AM1488" s="79" t="inlineStr">
        <is>
          <t>Ordnance</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89" s="79" t="inlineStr">
        <is>
          <t>P-8a</t>
        </is>
      </c>
      <c r="AM1489" s="79" t="inlineStr">
        <is>
          <t>Ordnance</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0" s="79" t="inlineStr">
        <is>
          <t>P-35</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1" s="79" t="inlineStr">
        <is>
          <t>P-35</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2" s="79" t="inlineStr">
        <is>
          <t>P-35</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3" s="79" t="inlineStr">
        <is>
          <t>P-35</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4" s="79" t="inlineStr">
        <is>
          <t>P-35</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5" s="79" t="inlineStr">
        <is>
          <t>P-35</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6" s="79" t="inlineStr">
        <is>
          <t>P-35</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7" s="79" t="inlineStr">
        <is>
          <t>P-35</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8" s="79" t="inlineStr">
        <is>
          <t>P-35</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499" s="79" t="inlineStr">
        <is>
          <t>P-35</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0" s="79" t="inlineStr">
        <is>
          <t>P-35</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1" s="79" t="inlineStr">
        <is>
          <t>P-35</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2" s="79" t="inlineStr">
        <is>
          <t>P-35</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3" s="79" t="inlineStr">
        <is>
          <t>P-35</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4" s="79" t="inlineStr">
        <is>
          <t>P-35</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5" s="79" t="inlineStr">
        <is>
          <t>P-35</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6" s="79" t="inlineStr">
        <is>
          <t>P-35</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7" s="79" t="inlineStr">
        <is>
          <t>P-35</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8" s="79" t="inlineStr">
        <is>
          <t>P-35</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09" s="79" t="inlineStr">
        <is>
          <t>P-35</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0" s="79" t="inlineStr">
        <is>
          <t>P-35</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1" s="79" t="inlineStr">
        <is>
          <t>P-35</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2" s="79" t="inlineStr">
        <is>
          <t>P-35</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3" s="79" t="inlineStr">
        <is>
          <t>P-35</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4" s="79" t="inlineStr">
        <is>
          <t>P-35</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5" s="79" t="inlineStr">
        <is>
          <t>P-35</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6" s="79" t="inlineStr">
        <is>
          <t>P-35</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7" s="79" t="inlineStr">
        <is>
          <t>P-35</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8" s="79" t="inlineStr">
        <is>
          <t>P-35</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19" s="79" t="inlineStr">
        <is>
          <t>P-35</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0" s="79" t="inlineStr">
        <is>
          <t>P-35</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1" s="79" t="inlineStr">
        <is>
          <t>P-35</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2" s="79" t="inlineStr">
        <is>
          <t>P-35</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3" s="79" t="inlineStr">
        <is>
          <t>P-35</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4" s="79" t="inlineStr">
        <is>
          <t>P-35</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5" s="79" t="inlineStr">
        <is>
          <t>P-35</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6" s="79" t="inlineStr">
        <is>
          <t>P-35</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7" s="79" t="inlineStr">
        <is>
          <t>P-35</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8" s="79" t="inlineStr">
        <is>
          <t>P-35</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29" s="79" t="inlineStr">
        <is>
          <t>P-35</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0" s="79" t="inlineStr">
        <is>
          <t>P-35</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1" s="79" t="inlineStr">
        <is>
          <t>P-35</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2" s="79" t="inlineStr">
        <is>
          <t>P-35</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3" s="79" t="inlineStr">
        <is>
          <t>P-35</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c r="AL1534" s="79" t="inlineStr">
        <is>
          <t>P-35</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3" s="79" t="inlineStr">
        <is>
          <t>P-5c</t>
        </is>
      </c>
      <c r="AM1543" s="79" t="inlineStr">
        <is>
          <t>Plan Costs</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4" s="79" t="inlineStr">
        <is>
          <t>P-5c</t>
        </is>
      </c>
      <c r="AM1544" s="79" t="inlineStr">
        <is>
          <t>Basic Construction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5" s="79" t="inlineStr">
        <is>
          <t>P-5c</t>
        </is>
      </c>
      <c r="AM1545" s="79" t="inlineStr">
        <is>
          <t>Change Orders</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6" s="79" t="inlineStr">
        <is>
          <t>P-5c</t>
        </is>
      </c>
      <c r="AM1546" s="79" t="inlineStr">
        <is>
          <t>Electronics</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7" s="79" t="inlineStr">
        <is>
          <t>P-5c</t>
        </is>
      </c>
      <c r="AM1547" s="79" t="inlineStr">
        <is>
          <t>Hull, Mechanical, and Electrical</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8" s="79" t="inlineStr">
        <is>
          <t>P-5c</t>
        </is>
      </c>
      <c r="AM1548" s="79" t="inlineStr">
        <is>
          <t>Ordnance</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49" s="79" t="inlineStr">
        <is>
          <t>P-5c</t>
        </is>
      </c>
      <c r="AM1549" s="79" t="inlineStr">
        <is>
          <t>Other Cost</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0" s="79" t="inlineStr">
        <is>
          <t>P-8a</t>
        </is>
      </c>
      <c r="AM1550" s="79" t="inlineStr">
        <is>
          <t>Electronics</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1" s="79" t="inlineStr">
        <is>
          <t>P-8a</t>
        </is>
      </c>
      <c r="AM1551" s="79" t="inlineStr">
        <is>
          <t>Electronics</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2" s="79" t="inlineStr">
        <is>
          <t>P-8a</t>
        </is>
      </c>
      <c r="AM1552" s="79" t="inlineStr">
        <is>
          <t>Electronics</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3" s="79" t="inlineStr">
        <is>
          <t>P-8a</t>
        </is>
      </c>
      <c r="AM1553" s="79" t="inlineStr">
        <is>
          <t>Electronics</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4" s="79" t="inlineStr">
        <is>
          <t>P-8a</t>
        </is>
      </c>
      <c r="AM1554" s="79" t="inlineStr">
        <is>
          <t>Electronics</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5" s="79" t="inlineStr">
        <is>
          <t>P-8a</t>
        </is>
      </c>
      <c r="AM1555" s="79" t="inlineStr">
        <is>
          <t>Electronics</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6" s="79" t="inlineStr">
        <is>
          <t>P-8a</t>
        </is>
      </c>
      <c r="AM1556" s="79" t="inlineStr">
        <is>
          <t>Electronics</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7" s="79" t="inlineStr">
        <is>
          <t>P-8a</t>
        </is>
      </c>
      <c r="AM1557" s="79" t="inlineStr">
        <is>
          <t>Electronics</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8" s="79" t="inlineStr">
        <is>
          <t>P-8a</t>
        </is>
      </c>
      <c r="AM1558" s="79" t="inlineStr">
        <is>
          <t>Electronics</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59" s="79" t="inlineStr">
        <is>
          <t>P-8a</t>
        </is>
      </c>
      <c r="AM1559" s="79" t="inlineStr">
        <is>
          <t>Electronics</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0" s="79" t="inlineStr">
        <is>
          <t>P-8a</t>
        </is>
      </c>
      <c r="AM1560" s="79" t="inlineStr">
        <is>
          <t>Electronics</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1" s="79" t="inlineStr">
        <is>
          <t>P-8a</t>
        </is>
      </c>
      <c r="AM1561" s="79" t="inlineStr">
        <is>
          <t>Electronics</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2" s="79" t="inlineStr">
        <is>
          <t>P-8a</t>
        </is>
      </c>
      <c r="AM1562" s="79" t="inlineStr">
        <is>
          <t>Electronics</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3" s="79" t="inlineStr">
        <is>
          <t>P-8a</t>
        </is>
      </c>
      <c r="AM1563" s="79" t="inlineStr">
        <is>
          <t>Electronics</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4" s="79" t="inlineStr">
        <is>
          <t>P-8a</t>
        </is>
      </c>
      <c r="AM1564" s="79" t="inlineStr">
        <is>
          <t>Electronics</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5" s="79" t="inlineStr">
        <is>
          <t>P-8a</t>
        </is>
      </c>
      <c r="AM1565" s="79" t="inlineStr">
        <is>
          <t>Electronics</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6" s="79" t="inlineStr">
        <is>
          <t>P-8a</t>
        </is>
      </c>
      <c r="AM1566" s="79" t="inlineStr">
        <is>
          <t>Electronics</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7" s="79" t="inlineStr">
        <is>
          <t>P-8a</t>
        </is>
      </c>
      <c r="AM1567" s="79" t="inlineStr">
        <is>
          <t>Electronics</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8" s="79" t="inlineStr">
        <is>
          <t>P-8a</t>
        </is>
      </c>
      <c r="AM1568" s="79" t="inlineStr">
        <is>
          <t>Electronics</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69" s="79" t="inlineStr">
        <is>
          <t>P-8a</t>
        </is>
      </c>
      <c r="AM1569" s="79" t="inlineStr">
        <is>
          <t>Electronics</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0" s="79" t="inlineStr">
        <is>
          <t>P-8a</t>
        </is>
      </c>
      <c r="AM1570" s="79" t="inlineStr">
        <is>
          <t>Electronics</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1" s="79" t="inlineStr">
        <is>
          <t>P-8a</t>
        </is>
      </c>
      <c r="AM1571" s="79" t="inlineStr">
        <is>
          <t>Electronics</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2" s="79" t="inlineStr">
        <is>
          <t>P-8a</t>
        </is>
      </c>
      <c r="AM1572" s="79" t="inlineStr">
        <is>
          <t>Electronics</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3" s="79" t="inlineStr">
        <is>
          <t>P-8a</t>
        </is>
      </c>
      <c r="AM1573" s="79" t="inlineStr">
        <is>
          <t>Electronics</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4" s="79" t="inlineStr">
        <is>
          <t>P-8a</t>
        </is>
      </c>
      <c r="AM1574" s="79" t="inlineStr">
        <is>
          <t>Electronics</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5" s="79" t="inlineStr">
        <is>
          <t>P-8a</t>
        </is>
      </c>
      <c r="AM1575" s="79" t="inlineStr">
        <is>
          <t>Hull, Mechanical, and Electrical</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6" s="79" t="inlineStr">
        <is>
          <t>P-8a</t>
        </is>
      </c>
      <c r="AM1576" s="79" t="inlineStr">
        <is>
          <t>Hull, Mechanical, and Electrical</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7" s="79" t="inlineStr">
        <is>
          <t>P-8a</t>
        </is>
      </c>
      <c r="AM1577" s="79" t="inlineStr">
        <is>
          <t>Hull, Mechanical, and Electrical</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8" s="79" t="inlineStr">
        <is>
          <t>P-8a</t>
        </is>
      </c>
      <c r="AM1578" s="79" t="inlineStr">
        <is>
          <t>Ordnance</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79" s="79" t="inlineStr">
        <is>
          <t>P-8a</t>
        </is>
      </c>
      <c r="AM1579" s="79" t="inlineStr">
        <is>
          <t>Ordnance</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0" s="79" t="inlineStr">
        <is>
          <t>P-8a</t>
        </is>
      </c>
      <c r="AM1580" s="79" t="inlineStr">
        <is>
          <t>Ordnance</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1" s="79" t="inlineStr">
        <is>
          <t>P-8a</t>
        </is>
      </c>
      <c r="AM1581" s="79" t="inlineStr">
        <is>
          <t>Ordnance</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2" s="79" t="inlineStr">
        <is>
          <t>P-8a</t>
        </is>
      </c>
      <c r="AM1582" s="79" t="inlineStr">
        <is>
          <t>Ordnance</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3" s="79" t="inlineStr">
        <is>
          <t>P-8a</t>
        </is>
      </c>
      <c r="AM1583" s="79" t="inlineStr">
        <is>
          <t>Ordnance</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4" s="79" t="inlineStr">
        <is>
          <t>P-8a</t>
        </is>
      </c>
      <c r="AM1584" s="79" t="inlineStr">
        <is>
          <t>Ordnance</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5" s="79" t="inlineStr">
        <is>
          <t>P-8a</t>
        </is>
      </c>
      <c r="AM1585" s="79" t="inlineStr">
        <is>
          <t>Ordnance</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6" s="79" t="inlineStr">
        <is>
          <t>P-8a</t>
        </is>
      </c>
      <c r="AM1586" s="79" t="inlineStr">
        <is>
          <t>Ordnance</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7" s="79" t="inlineStr">
        <is>
          <t>P-8a</t>
        </is>
      </c>
      <c r="AM1587" s="79" t="inlineStr">
        <is>
          <t>Ordnance</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8" s="79" t="inlineStr">
        <is>
          <t>P-8a</t>
        </is>
      </c>
      <c r="AM1588" s="79" t="inlineStr">
        <is>
          <t>Ordnance</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89" s="79" t="inlineStr">
        <is>
          <t>P-35</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0" s="79" t="inlineStr">
        <is>
          <t>P-35</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1" s="79" t="inlineStr">
        <is>
          <t>P-35</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2" s="79" t="inlineStr">
        <is>
          <t>P-35</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3" s="79" t="inlineStr">
        <is>
          <t>P-35</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4" s="79" t="inlineStr">
        <is>
          <t>P-35</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5" s="79" t="inlineStr">
        <is>
          <t>P-35</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6" s="79" t="inlineStr">
        <is>
          <t>P-35</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7" s="79" t="inlineStr">
        <is>
          <t>P-35</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8" s="79" t="inlineStr">
        <is>
          <t>P-35</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599" s="79" t="inlineStr">
        <is>
          <t>P-35</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0" s="79" t="inlineStr">
        <is>
          <t>P-35</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1" s="79" t="inlineStr">
        <is>
          <t>P-35</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2" s="79" t="inlineStr">
        <is>
          <t>P-35</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3" s="79" t="inlineStr">
        <is>
          <t>P-35</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4" s="79" t="inlineStr">
        <is>
          <t>P-35</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5" s="79" t="inlineStr">
        <is>
          <t>P-35</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6" s="79" t="inlineStr">
        <is>
          <t>P-35</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7" s="79" t="inlineStr">
        <is>
          <t>P-35</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8" s="79" t="inlineStr">
        <is>
          <t>P-35</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09" s="79" t="inlineStr">
        <is>
          <t>P-35</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0" s="79" t="inlineStr">
        <is>
          <t>P-35</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1" s="79" t="inlineStr">
        <is>
          <t>P-35</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2" s="79" t="inlineStr">
        <is>
          <t>P-35</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3" s="79" t="inlineStr">
        <is>
          <t>P-35</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4" s="79" t="inlineStr">
        <is>
          <t>P-35</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5" s="79" t="inlineStr">
        <is>
          <t>P-35</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6" s="79" t="inlineStr">
        <is>
          <t>P-35</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7" s="79" t="inlineStr">
        <is>
          <t>P-35</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8" s="79" t="inlineStr">
        <is>
          <t>P-35</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19" s="79" t="inlineStr">
        <is>
          <t>P-35</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0" s="79" t="inlineStr">
        <is>
          <t>P-35</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1" s="79" t="inlineStr">
        <is>
          <t>P-35</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2" s="79" t="inlineStr">
        <is>
          <t>P-35</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3" s="79" t="inlineStr">
        <is>
          <t>P-35</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4" s="79" t="inlineStr">
        <is>
          <t>P-35</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5" s="79" t="inlineStr">
        <is>
          <t>P-35</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6" s="79" t="inlineStr">
        <is>
          <t>P-35</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7" s="79" t="inlineStr">
        <is>
          <t>P-35</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8" s="79" t="inlineStr">
        <is>
          <t>P-35</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29" s="79" t="inlineStr">
        <is>
          <t>P-35</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0" s="79" t="inlineStr">
        <is>
          <t>P-35</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1" s="79" t="inlineStr">
        <is>
          <t>P-35</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2" s="79" t="inlineStr">
        <is>
          <t>P-35</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3" s="79" t="inlineStr">
        <is>
          <t>P-35</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4" s="79" t="inlineStr">
        <is>
          <t>P-35</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5" s="79" t="inlineStr">
        <is>
          <t>P-35</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6" s="79" t="inlineStr">
        <is>
          <t>P-35</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7" s="79" t="inlineStr">
        <is>
          <t>P-35</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8" s="79" t="inlineStr">
        <is>
          <t>P-35</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39" s="79" t="inlineStr">
        <is>
          <t>P-35</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0" s="79" t="inlineStr">
        <is>
          <t>P-35</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1" s="79" t="inlineStr">
        <is>
          <t>P-35</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2" s="79" t="inlineStr">
        <is>
          <t>P-35</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3" s="79" t="inlineStr">
        <is>
          <t>P-35</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4" s="79" t="inlineStr">
        <is>
          <t>P-35</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5" s="79" t="inlineStr">
        <is>
          <t>P-35</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6" s="79" t="inlineStr">
        <is>
          <t>P-35</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7" s="79" t="inlineStr">
        <is>
          <t>P-35</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8" s="79" t="inlineStr">
        <is>
          <t>P-35</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49" s="79" t="inlineStr">
        <is>
          <t>P-35</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0" s="79" t="inlineStr">
        <is>
          <t>P-35</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1" s="79" t="inlineStr">
        <is>
          <t>P-35</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2" s="79" t="inlineStr">
        <is>
          <t>P-35</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3" s="79" t="inlineStr">
        <is>
          <t>P-35</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4" s="79" t="inlineStr">
        <is>
          <t>P-35</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5" s="79" t="inlineStr">
        <is>
          <t>P-35</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6" s="79" t="inlineStr">
        <is>
          <t>P-35</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7" s="79" t="inlineStr">
        <is>
          <t>P-35</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8" s="79" t="inlineStr">
        <is>
          <t>P-35</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59" s="79" t="inlineStr">
        <is>
          <t>P-35</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0" s="79" t="inlineStr">
        <is>
          <t>P-35</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1" s="79" t="inlineStr">
        <is>
          <t>P-35</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2" s="79" t="inlineStr">
        <is>
          <t>P-35</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3" s="79" t="inlineStr">
        <is>
          <t>P-35</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4" s="79" t="inlineStr">
        <is>
          <t>P-35</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5" s="79" t="inlineStr">
        <is>
          <t>P-35</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6" s="79" t="inlineStr">
        <is>
          <t>P-35</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7" s="79" t="inlineStr">
        <is>
          <t>P-35</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8" s="79" t="inlineStr">
        <is>
          <t>P-35</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69" s="79" t="inlineStr">
        <is>
          <t>P-35</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0" s="79" t="inlineStr">
        <is>
          <t>P-35</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1" s="79" t="inlineStr">
        <is>
          <t>P-35</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2" s="79" t="inlineStr">
        <is>
          <t>P-35</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3" s="79" t="inlineStr">
        <is>
          <t>P-35</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4" s="79" t="inlineStr">
        <is>
          <t>P-35</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5" s="79" t="inlineStr">
        <is>
          <t>P-35</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6" s="79" t="inlineStr">
        <is>
          <t>P-35</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7" s="79" t="inlineStr">
        <is>
          <t>P-35</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8" s="79" t="inlineStr">
        <is>
          <t>P-35</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79" s="79" t="inlineStr">
        <is>
          <t>P-35</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0" s="79" t="inlineStr">
        <is>
          <t>P-35</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1" s="79" t="inlineStr">
        <is>
          <t>P-35</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2" s="79" t="inlineStr">
        <is>
          <t>P-35</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c r="AL1683" s="79" t="inlineStr">
        <is>
          <t>P-35</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6" s="79" t="inlineStr">
        <is>
          <t>P-5c</t>
        </is>
      </c>
      <c r="AM1686" s="79" t="inlineStr">
        <is>
          <t>Plan Costs</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7" s="79" t="inlineStr">
        <is>
          <t>P-5c</t>
        </is>
      </c>
      <c r="AM1687" s="79" t="inlineStr">
        <is>
          <t>Electronics</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c r="AL1688" s="79" t="inlineStr">
        <is>
          <t>P-5c</t>
        </is>
      </c>
      <c r="AM1688" s="79" t="inlineStr">
        <is>
          <t>Other Cost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c r="AL1689" s="79" t="inlineStr">
        <is>
          <t>P-5c</t>
        </is>
      </c>
      <c r="AM1689" s="79" t="inlineStr">
        <is>
          <t>Basic Construction</t>
        </is>
      </c>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c r="AL1690" s="79" t="inlineStr">
        <is>
          <t>P-5c</t>
        </is>
      </c>
      <c r="AM1690" s="79" t="inlineStr">
        <is>
          <t>Change Orders</t>
        </is>
      </c>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c r="AL1691" s="79" t="inlineStr">
        <is>
          <t>P-5c</t>
        </is>
      </c>
      <c r="AM1691" s="79" t="inlineStr">
        <is>
          <t>Electronics</t>
        </is>
      </c>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c r="AL1692" s="79" t="inlineStr">
        <is>
          <t>P-5c</t>
        </is>
      </c>
      <c r="AM1692" s="79" t="inlineStr">
        <is>
          <t>Hull, Mechanical, and Electrical</t>
        </is>
      </c>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c r="AL1693" s="79" t="inlineStr">
        <is>
          <t>P-5c</t>
        </is>
      </c>
      <c r="AM1693" s="79" t="inlineStr">
        <is>
          <t>Other Cost</t>
        </is>
      </c>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c r="AL1694" s="79" t="inlineStr">
        <is>
          <t>P-5c</t>
        </is>
      </c>
      <c r="AM1694" s="79" t="inlineStr">
        <is>
          <t>Plan Costs</t>
        </is>
      </c>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c r="AL1695" s="79" t="inlineStr">
        <is>
          <t>P-5c</t>
        </is>
      </c>
      <c r="AM1695" s="79" t="inlineStr">
        <is>
          <t>Basic Construction</t>
        </is>
      </c>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c r="AL1696" s="79" t="inlineStr">
        <is>
          <t>P-5c</t>
        </is>
      </c>
      <c r="AM1696" s="79" t="inlineStr">
        <is>
          <t>Change Orders</t>
        </is>
      </c>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c r="AL1697" s="79" t="inlineStr">
        <is>
          <t>P-5c</t>
        </is>
      </c>
      <c r="AM1697" s="79" t="inlineStr">
        <is>
          <t>Electronics</t>
        </is>
      </c>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c r="AL1698" s="79" t="inlineStr">
        <is>
          <t>P-5c</t>
        </is>
      </c>
      <c r="AM1698" s="79" t="inlineStr">
        <is>
          <t>Hull, Mechanical, and Electrical</t>
        </is>
      </c>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c r="AL1699" s="79" t="inlineStr">
        <is>
          <t>P-5c</t>
        </is>
      </c>
      <c r="AM1699" s="79" t="inlineStr">
        <is>
          <t>Other Cost</t>
        </is>
      </c>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0" s="79" t="inlineStr">
        <is>
          <t>P-5c</t>
        </is>
      </c>
      <c r="AM1700" s="79" t="inlineStr">
        <is>
          <t>Basic Construction</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1" s="79" t="inlineStr">
        <is>
          <t>P-5c</t>
        </is>
      </c>
      <c r="AM1701" s="79" t="inlineStr">
        <is>
          <t>Change Orders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2" s="79" t="inlineStr">
        <is>
          <t>P-5c</t>
        </is>
      </c>
      <c r="AM1702" s="79" t="inlineStr">
        <is>
          <t>Electronics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3" s="79" t="inlineStr">
        <is>
          <t>P-5c</t>
        </is>
      </c>
      <c r="AM1703" s="79" t="inlineStr">
        <is>
          <t>Hull, Mechanical, and Electrical</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4" s="79" t="inlineStr">
        <is>
          <t>P-5c</t>
        </is>
      </c>
      <c r="AM1704" s="79" t="inlineStr">
        <is>
          <t>Other Cost</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5" s="79" t="inlineStr">
        <is>
          <t>P-5c</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6" s="79" t="inlineStr">
        <is>
          <t>P-8a</t>
        </is>
      </c>
      <c r="AM1706" s="79" t="inlineStr">
        <is>
          <t>Electronics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7" s="79" t="inlineStr">
        <is>
          <t>P-8a</t>
        </is>
      </c>
      <c r="AM1707" s="79" t="inlineStr">
        <is>
          <t>Electronics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8" s="79" t="inlineStr">
        <is>
          <t>P-8a</t>
        </is>
      </c>
      <c r="AM1708" s="79" t="inlineStr">
        <is>
          <t>Electronics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09" s="79" t="inlineStr">
        <is>
          <t>P-8a</t>
        </is>
      </c>
      <c r="AM1709" s="79" t="inlineStr">
        <is>
          <t>Electronics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0" s="79" t="inlineStr">
        <is>
          <t>P-8a</t>
        </is>
      </c>
      <c r="AM1710" s="79" t="inlineStr">
        <is>
          <t>Electronics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1" s="79" t="inlineStr">
        <is>
          <t>P-8a</t>
        </is>
      </c>
      <c r="AM1711" s="79" t="inlineStr">
        <is>
          <t>Electronics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2" s="79" t="inlineStr">
        <is>
          <t>P-8a</t>
        </is>
      </c>
      <c r="AM1712" s="79" t="inlineStr">
        <is>
          <t>Electronics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3" s="79" t="inlineStr">
        <is>
          <t>P-8a</t>
        </is>
      </c>
      <c r="AM1713" s="79" t="inlineStr">
        <is>
          <t>Electronics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4" s="79" t="inlineStr">
        <is>
          <t>P-8a</t>
        </is>
      </c>
      <c r="AM1714" s="79" t="inlineStr">
        <is>
          <t>Electronics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5" s="79" t="inlineStr">
        <is>
          <t>P-8a</t>
        </is>
      </c>
      <c r="AM1715" s="79" t="inlineStr">
        <is>
          <t>Hull, Mechanical, and Electrical</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6" s="79" t="inlineStr">
        <is>
          <t>P-8a</t>
        </is>
      </c>
      <c r="AM1716" s="79" t="inlineStr">
        <is>
          <t>Hull, Mechanical, and Electrical</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7" s="79" t="inlineStr">
        <is>
          <t>P-8a</t>
        </is>
      </c>
      <c r="AM1717" s="79" t="inlineStr">
        <is>
          <t>Hull, Mechanical, and Electrical</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8" s="79" t="inlineStr">
        <is>
          <t>P-8a</t>
        </is>
      </c>
      <c r="AM1718" s="79" t="inlineStr">
        <is>
          <t>Hull, Mechanical, and Electrical</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19" s="79" t="inlineStr">
        <is>
          <t>P-8a</t>
        </is>
      </c>
      <c r="AM1719" s="79" t="inlineStr">
        <is>
          <t>Hull, Mechanical, and Electrical</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0" s="79" t="inlineStr">
        <is>
          <t>P-35</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1" s="79" t="inlineStr">
        <is>
          <t>P-35</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2" s="79" t="inlineStr">
        <is>
          <t>P-35</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3" s="79" t="inlineStr">
        <is>
          <t>P-35</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4" s="79" t="inlineStr">
        <is>
          <t>P-35</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5" s="79" t="inlineStr">
        <is>
          <t>P-35</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6" s="79" t="inlineStr">
        <is>
          <t>P-35</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7" s="79" t="inlineStr">
        <is>
          <t>P-35</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8" s="79" t="inlineStr">
        <is>
          <t>P-35</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29" s="79" t="inlineStr">
        <is>
          <t>P-35</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0" s="79" t="inlineStr">
        <is>
          <t>P-35</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c r="AL1731" s="79" t="inlineStr">
        <is>
          <t>P-35</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2" s="79" t="inlineStr">
        <is>
          <t>P-5c</t>
        </is>
      </c>
      <c r="AM1732" s="79" t="inlineStr">
        <is>
          <t>Plan Costs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3" s="79" t="inlineStr">
        <is>
          <t>P-5c</t>
        </is>
      </c>
      <c r="AM1733" s="79" t="inlineStr">
        <is>
          <t>Basic Construction</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4" s="79" t="inlineStr">
        <is>
          <t>P-5c</t>
        </is>
      </c>
      <c r="AM1734" s="79" t="inlineStr">
        <is>
          <t>Change Orders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5" s="79" t="inlineStr">
        <is>
          <t>P-5c</t>
        </is>
      </c>
      <c r="AM1735" s="79" t="inlineStr">
        <is>
          <t>Electronics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6" s="79" t="inlineStr">
        <is>
          <t>P-5c</t>
        </is>
      </c>
      <c r="AM1736" s="79" t="inlineStr">
        <is>
          <t>Hull, Mechanical, and Electrical</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7" s="79" t="inlineStr">
        <is>
          <t>P-8a</t>
        </is>
      </c>
      <c r="AM1737" s="79" t="inlineStr">
        <is>
          <t>Electronics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8" s="79" t="inlineStr">
        <is>
          <t>P-8a</t>
        </is>
      </c>
      <c r="AM1738" s="79" t="inlineStr">
        <is>
          <t>Electronics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39" s="79" t="inlineStr">
        <is>
          <t>P-35</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0" s="79" t="inlineStr">
        <is>
          <t>P-35</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1" s="79" t="inlineStr">
        <is>
          <t>P-35</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2" s="79" t="inlineStr">
        <is>
          <t>P-35</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3" s="79" t="inlineStr">
        <is>
          <t>P-35</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4" s="79" t="inlineStr">
        <is>
          <t>P-35</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5" s="79" t="inlineStr">
        <is>
          <t>P-35</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6" s="79" t="inlineStr">
        <is>
          <t>P-35</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7" s="79" t="inlineStr">
        <is>
          <t>P-35</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c r="AL1748" s="79" t="inlineStr">
        <is>
          <t>P-35</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49" s="79" t="inlineStr">
        <is>
          <t>P-5c</t>
        </is>
      </c>
      <c r="AM1749" s="79" t="inlineStr">
        <is>
          <t>Basic Construction</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0" s="79" t="inlineStr">
        <is>
          <t>P-5c</t>
        </is>
      </c>
      <c r="AM1750" s="79" t="inlineStr">
        <is>
          <t>Change Orders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c r="AL1751" s="79" t="inlineStr">
        <is>
          <t>P-5c</t>
        </is>
      </c>
      <c r="AM1751" s="79" t="inlineStr">
        <is>
          <t>Electronics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2" s="79" t="inlineStr">
        <is>
          <t>P-5c</t>
        </is>
      </c>
      <c r="AM1752" s="79" t="inlineStr">
        <is>
          <t>Basic Construction</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3" s="79" t="inlineStr">
        <is>
          <t>P-5c</t>
        </is>
      </c>
      <c r="AM1753" s="79" t="inlineStr">
        <is>
          <t>Change Orders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4" s="79" t="inlineStr">
        <is>
          <t>P-5c</t>
        </is>
      </c>
      <c r="AM1754" s="79" t="inlineStr">
        <is>
          <t>Electronics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c r="AL1755" s="79" t="inlineStr">
        <is>
          <t>P-5c</t>
        </is>
      </c>
      <c r="AM1755" s="79" t="inlineStr">
        <is>
          <t>Hull, Mechanical, and Electrical</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6" s="79" t="inlineStr">
        <is>
          <t>P-5c</t>
        </is>
      </c>
      <c r="AM1756" s="79" t="inlineStr">
        <is>
          <t>Basic Construction</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7" s="79" t="inlineStr">
        <is>
          <t>P-5c</t>
        </is>
      </c>
      <c r="AM1757" s="79" t="inlineStr">
        <is>
          <t>Change Orders</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8" s="79" t="inlineStr">
        <is>
          <t>P-5c</t>
        </is>
      </c>
      <c r="AM1758" s="79" t="inlineStr">
        <is>
          <t>Electronics</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59" s="79" t="inlineStr">
        <is>
          <t>P-5c</t>
        </is>
      </c>
      <c r="AM1759" s="79" t="inlineStr">
        <is>
          <t>Hull, Mechanical, and Electrical</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c r="AL1760" s="79" t="inlineStr">
        <is>
          <t>P-5c</t>
        </is>
      </c>
      <c r="AM1760" s="79" t="inlineStr">
        <is>
          <t>Other Cost</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1" s="79" t="inlineStr">
        <is>
          <t>P-5c</t>
        </is>
      </c>
      <c r="AM1761" s="79" t="inlineStr">
        <is>
          <t>Basic Construction</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2" s="79" t="inlineStr">
        <is>
          <t>P-5c</t>
        </is>
      </c>
      <c r="AM1762" s="79" t="inlineStr">
        <is>
          <t>Change Orders</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3" s="79" t="inlineStr">
        <is>
          <t>P-5c</t>
        </is>
      </c>
      <c r="AM1763" s="79" t="inlineStr">
        <is>
          <t>Electronics</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4" s="79" t="inlineStr">
        <is>
          <t>P-5c</t>
        </is>
      </c>
      <c r="AM1764" s="79" t="inlineStr">
        <is>
          <t>Other Cost</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5" s="79" t="inlineStr">
        <is>
          <t>P-8a</t>
        </is>
      </c>
      <c r="AM1765" s="79" t="inlineStr">
        <is>
          <t>Hull, Mechanical, and Electrical</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6" s="79" t="inlineStr">
        <is>
          <t>P-8a</t>
        </is>
      </c>
      <c r="AM1766" s="79" t="inlineStr">
        <is>
          <t>Hull, Mechanical, and Electrical</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c r="AL1767" s="79" t="inlineStr">
        <is>
          <t>P-8a</t>
        </is>
      </c>
      <c r="AM1767" s="79" t="inlineStr">
        <is>
          <t>Hull, Mechanical, and Electrical</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8" s="79" t="inlineStr">
        <is>
          <t>P-5c</t>
        </is>
      </c>
      <c r="AM1768" s="79" t="inlineStr">
        <is>
          <t>Basic Construction</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69" s="79" t="inlineStr">
        <is>
          <t>P-5c</t>
        </is>
      </c>
      <c r="AM1769" s="79" t="inlineStr">
        <is>
          <t>Change Orders</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0" s="79" t="inlineStr">
        <is>
          <t>P-5c</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c r="AL1771" s="79" t="inlineStr">
        <is>
          <t>P-5c</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2" s="79" t="inlineStr">
        <is>
          <t>P-5c</t>
        </is>
      </c>
      <c r="AM1772" s="79" t="inlineStr">
        <is>
          <t>Basic Construction</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3" s="79" t="inlineStr">
        <is>
          <t>P-5c</t>
        </is>
      </c>
      <c r="AM1773" s="79" t="inlineStr">
        <is>
          <t>Change Orders</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c r="AL1774" s="79" t="inlineStr">
        <is>
          <t>P-5c</t>
        </is>
      </c>
      <c r="AM1774" s="79" t="inlineStr">
        <is>
          <t>Hull, Mechanical, and Electrical</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5" s="79" t="inlineStr">
        <is>
          <t>P-5c</t>
        </is>
      </c>
      <c r="AM1775" s="79" t="inlineStr">
        <is>
          <t>Basic Construction</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6" s="79" t="inlineStr">
        <is>
          <t>P-5c</t>
        </is>
      </c>
      <c r="AM1776" s="79" t="inlineStr">
        <is>
          <t>Electronics</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7" s="79" t="inlineStr">
        <is>
          <t>P-5c</t>
        </is>
      </c>
      <c r="AM1777" s="79" t="inlineStr">
        <is>
          <t>Hull, Mechanical, and Electrical</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c r="AL1778" s="79" t="inlineStr">
        <is>
          <t>P-5c</t>
        </is>
      </c>
      <c r="AM1778" s="79" t="inlineStr">
        <is>
          <t>Other Cost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c r="AL1779" s="79" t="inlineStr">
        <is>
          <t>P-5c</t>
        </is>
      </c>
      <c r="AM1779" s="79" t="inlineStr">
        <is>
          <t>Basic Construction</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80" t="inlineStr">
        <is>
          <t>FY2026</t>
        </is>
      </c>
      <c r="B1" s="81" t="n"/>
      <c r="C1" s="81" t="n"/>
      <c r="D1" s="81" t="n"/>
      <c r="E1" s="81" t="n"/>
      <c r="F1" s="81"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80" t="inlineStr">
        <is>
          <t>Total Funding</t>
        </is>
      </c>
      <c r="B1" s="81" t="n"/>
      <c r="C1" s="81" t="n"/>
    </row>
    <row r="2" ht="10" customHeight="1">
      <c r="A2" s="82" t="inlineStr">
        <is>
          <t>All Navy + USCG appropriations for vessel-related activity, FY2026 ($K)</t>
        </is>
      </c>
    </row>
    <row r="3" ht="10" customHeight="1"/>
    <row r="4" ht="10" customHeight="1">
      <c r="A4" s="83" t="inlineStr">
        <is>
          <t>(A) FY2026 Total Funding by Work Type</t>
        </is>
      </c>
      <c r="B4" s="84" t="n"/>
    </row>
    <row r="5" ht="10" customHeight="1">
      <c r="A5" s="85" t="inlineStr">
        <is>
          <t>Work Type</t>
        </is>
      </c>
      <c r="B5" s="85" t="inlineStr">
        <is>
          <t>FY2026 ($K)</t>
        </is>
      </c>
    </row>
    <row r="6" ht="10" customHeight="1">
      <c r="A6" s="86" t="inlineStr">
        <is>
          <t>New Construction</t>
        </is>
      </c>
      <c r="B6" s="87">
        <f>SUMIFS(JB_R,JB_B,1,JB_S,"",JB_R,"&lt;&gt;")+SUMIFS(JB_N,JB_B,1,JB_S,"",JB_R,"",JB_N,"&lt;&gt;")+SUMIFS(JB_L,JB_B,1,JB_S,"",JB_R,"",JB_N,"")+SUMIFS(JB_R,JB_B,1,JB_S,"[PARENT]",JB_R,"&lt;&gt;")+SUMIFS(JB_N,JB_B,1,JB_S,"[PARENT]",JB_R,"",JB_N,"&lt;&gt;")+SUMIFS(JB_L,JB_B,1,JB_S,"[PARENT]",JB_R,"",JB_N,"")</f>
        <v/>
      </c>
    </row>
    <row r="7" ht="10" customHeight="1">
      <c r="A7" s="86" t="inlineStr">
        <is>
          <t>Scheduled Depot Maintenance &amp; Repair</t>
        </is>
      </c>
      <c r="B7" s="87">
        <f>SUMIFS(JB_R,JB_B,2,JB_S,"",JB_R,"&lt;&gt;")+SUMIFS(JB_N,JB_B,2,JB_S,"",JB_R,"",JB_N,"&lt;&gt;")+SUMIFS(JB_L,JB_B,2,JB_S,"",JB_R,"",JB_N,"")+SUMIFS(JB_R,JB_B,2,JB_S,"[PARENT]",JB_R,"&lt;&gt;")+SUMIFS(JB_N,JB_B,2,JB_S,"[PARENT]",JB_R,"",JB_N,"&lt;&gt;")+SUMIFS(JB_L,JB_B,2,JB_S,"[PARENT]",JB_R,"",JB_N,"")</f>
        <v/>
      </c>
    </row>
    <row r="8" ht="10" customHeight="1">
      <c r="A8" s="86" t="inlineStr">
        <is>
          <t>Continuous / Intermediate / Emergent Maintenance</t>
        </is>
      </c>
      <c r="B8" s="87">
        <f>SUMIFS(JB_R,JB_B,3,JB_S,"",JB_R,"&lt;&gt;")+SUMIFS(JB_N,JB_B,3,JB_S,"",JB_R,"",JB_N,"&lt;&gt;")+SUMIFS(JB_L,JB_B,3,JB_S,"",JB_R,"",JB_N,"")+SUMIFS(JB_R,JB_B,3,JB_S,"[PARENT]",JB_R,"&lt;&gt;")+SUMIFS(JB_N,JB_B,3,JB_S,"[PARENT]",JB_R,"",JB_N,"&lt;&gt;")+SUMIFS(JB_L,JB_B,3,JB_S,"[PARENT]",JB_R,"",JB_N,"")</f>
        <v/>
      </c>
    </row>
    <row r="9" ht="10" customHeight="1">
      <c r="A9" s="86" t="inlineStr">
        <is>
          <t>Modernization &amp; Alteration Installation</t>
        </is>
      </c>
      <c r="B9" s="87">
        <f>SUMIFS(JB_R,JB_B,4,JB_S,"",JB_R,"&lt;&gt;")+SUMIFS(JB_N,JB_B,4,JB_S,"",JB_R,"",JB_N,"&lt;&gt;")+SUMIFS(JB_L,JB_B,4,JB_S,"",JB_R,"",JB_N,"")+SUMIFS(JB_R,JB_B,4,JB_S,"[PARENT]",JB_R,"&lt;&gt;")+SUMIFS(JB_N,JB_B,4,JB_S,"[PARENT]",JB_R,"",JB_N,"&lt;&gt;")+SUMIFS(JB_L,JB_B,4,JB_S,"[PARENT]",JB_R,"",JB_N,"")</f>
        <v/>
      </c>
    </row>
    <row r="10" ht="10" customHeight="1">
      <c r="A10" s="86" t="inlineStr">
        <is>
          <t>Major Life-Cycle Events / SLEP / MMA / RCOH</t>
        </is>
      </c>
      <c r="B10" s="87">
        <f>SUMIFS(JB_R,JB_B,5,JB_S,"",JB_R,"&lt;&gt;")+SUMIFS(JB_N,JB_B,5,JB_S,"",JB_R,"",JB_N,"&lt;&gt;")+SUMIFS(JB_L,JB_B,5,JB_S,"",JB_R,"",JB_N,"")+SUMIFS(JB_R,JB_B,5,JB_S,"[PARENT]",JB_R,"&lt;&gt;")+SUMIFS(JB_N,JB_B,5,JB_S,"[PARENT]",JB_R,"",JB_N,"&lt;&gt;")+SUMIFS(JB_L,JB_B,5,JB_S,"[PARENT]",JB_R,"",JB_N,"")</f>
        <v/>
      </c>
    </row>
    <row r="11" ht="10" customHeight="1">
      <c r="A11" s="86" t="inlineStr">
        <is>
          <t>Sustainment Engineering / Planning / Obsolescence Support</t>
        </is>
      </c>
      <c r="B11" s="87">
        <f>SUMIFS(JB_R,JB_B,6,JB_S,"",JB_R,"&lt;&gt;")+SUMIFS(JB_N,JB_B,6,JB_S,"",JB_R,"",JB_N,"&lt;&gt;")+SUMIFS(JB_L,JB_B,6,JB_S,"",JB_R,"",JB_N,"")+SUMIFS(JB_R,JB_B,6,JB_S,"[PARENT]",JB_R,"&lt;&gt;")+SUMIFS(JB_N,JB_B,6,JB_S,"[PARENT]",JB_R,"",JB_N,"&lt;&gt;")+SUMIFS(JB_L,JB_B,6,JB_S,"[PARENT]",JB_R,"",JB_N,"")</f>
        <v/>
      </c>
    </row>
    <row r="12" ht="10" customHeight="1">
      <c r="A12" s="86" t="inlineStr">
        <is>
          <t>Availability Support / Husbanding / Port Services</t>
        </is>
      </c>
      <c r="B12" s="87">
        <f>SUMIFS(JB_R,JB_B,7,JB_S,"",JB_R,"&lt;&gt;")+SUMIFS(JB_N,JB_B,7,JB_S,"",JB_R,"",JB_N,"&lt;&gt;")+SUMIFS(JB_L,JB_B,7,JB_S,"",JB_R,"",JB_N,"")+SUMIFS(JB_R,JB_B,7,JB_S,"[PARENT]",JB_R,"&lt;&gt;")+SUMIFS(JB_N,JB_B,7,JB_S,"[PARENT]",JB_R,"",JB_N,"&lt;&gt;")+SUMIFS(JB_L,JB_B,7,JB_S,"[PARENT]",JB_R,"",JB_N,"")</f>
        <v/>
      </c>
    </row>
    <row r="13" ht="10" customHeight="1">
      <c r="A13" s="88" t="inlineStr">
        <is>
          <t>Total</t>
        </is>
      </c>
      <c r="B13" s="89">
        <f>SUM(B6:B12)</f>
        <v/>
      </c>
    </row>
    <row r="14" ht="10" customHeight="1"/>
    <row r="15" ht="10" customHeight="1"/>
    <row r="16" ht="10" customHeight="1">
      <c r="A16" s="83" t="inlineStr">
        <is>
          <t>(B) FY2026 Total Funding by Vessel Category</t>
        </is>
      </c>
      <c r="B16" s="84" t="n"/>
      <c r="C16" s="84" t="n"/>
    </row>
    <row r="17" ht="10" customHeight="1">
      <c r="A17" s="85" t="inlineStr">
        <is>
          <t>Category</t>
        </is>
      </c>
      <c r="B17" s="85" t="inlineStr">
        <is>
          <t>FY2026 ($K)</t>
        </is>
      </c>
      <c r="C17" s="85" t="inlineStr">
        <is>
          <t>TAM Scope</t>
        </is>
      </c>
    </row>
    <row r="18" ht="10" customHeight="1">
      <c r="A18" s="86" t="inlineStr">
        <is>
          <t>Combatant Ships</t>
        </is>
      </c>
      <c r="B18" s="87">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2" t="inlineStr">
        <is>
          <t>YES → TAM</t>
        </is>
      </c>
    </row>
    <row r="19" ht="10" customHeight="1">
      <c r="A19" s="86" t="inlineStr">
        <is>
          <t>Auxiliary Ships</t>
        </is>
      </c>
      <c r="B19" s="87">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2" t="inlineStr">
        <is>
          <t>YES → TAM</t>
        </is>
      </c>
    </row>
    <row r="20" ht="10" customHeight="1">
      <c r="A20" s="86" t="inlineStr">
        <is>
          <t>Cutters</t>
        </is>
      </c>
      <c r="B20" s="87">
        <f>SUMIFS(JB_R,JB_V,"Cutters",JB_S,"",JB_R,"&lt;&gt;")+SUMIFS(JB_N,JB_V,"Cutters",JB_S,"",JB_R,"",JB_N,"&lt;&gt;")+SUMIFS(JB_L,JB_V,"Cutters",JB_S,"",JB_R,"",JB_N,"")+SUMIFS(JB_R,JB_V,"Cutters",JB_S,"[PARENT]",JB_R,"&lt;&gt;")+SUMIFS(JB_N,JB_V,"Cutters",JB_S,"[PARENT]",JB_R,"",JB_N,"&lt;&gt;")+SUMIFS(JB_L,JB_V,"Cutters",JB_S,"[PARENT]",JB_R,"",JB_N,"")</f>
        <v/>
      </c>
      <c r="C20" s="82" t="inlineStr">
        <is>
          <t>YES → TAM</t>
        </is>
      </c>
    </row>
    <row r="21" ht="10" customHeight="1">
      <c r="A21" s="86" t="inlineStr">
        <is>
          <t>Unmanned Maritime Platforms</t>
        </is>
      </c>
      <c r="B21" s="87">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2" t="inlineStr">
        <is>
          <t>YES → TAM</t>
        </is>
      </c>
    </row>
    <row r="22" ht="10" customHeight="1">
      <c r="A22" s="86" t="inlineStr">
        <is>
          <t>Combatant Crafts</t>
        </is>
      </c>
      <c r="B22" s="87">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2" t="inlineStr">
        <is>
          <t>No — small craft</t>
        </is>
      </c>
    </row>
    <row r="23" ht="10" customHeight="1">
      <c r="A23" s="86" t="inlineStr">
        <is>
          <t>Support Crafts</t>
        </is>
      </c>
      <c r="B23" s="87">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2" t="inlineStr">
        <is>
          <t>No — non-oceangoing</t>
        </is>
      </c>
    </row>
    <row r="24" ht="10" customHeight="1">
      <c r="A24" s="86" t="inlineStr">
        <is>
          <t>Boats</t>
        </is>
      </c>
      <c r="B24" s="87">
        <f>SUMIFS(JB_R,JB_V,"Boats",JB_S,"",JB_R,"&lt;&gt;")+SUMIFS(JB_N,JB_V,"Boats",JB_S,"",JB_R,"",JB_N,"&lt;&gt;")+SUMIFS(JB_L,JB_V,"Boats",JB_S,"",JB_R,"",JB_N,"")+SUMIFS(JB_R,JB_V,"Boats",JB_S,"[PARENT]",JB_R,"&lt;&gt;")+SUMIFS(JB_N,JB_V,"Boats",JB_S,"[PARENT]",JB_R,"",JB_N,"&lt;&gt;")+SUMIFS(JB_L,JB_V,"Boats",JB_S,"[PARENT]",JB_R,"",JB_N,"")</f>
        <v/>
      </c>
      <c r="C24" s="82" t="inlineStr">
        <is>
          <t>No — under 65 ft</t>
        </is>
      </c>
    </row>
    <row r="25" ht="10" customHeight="1">
      <c r="A25" s="86" t="inlineStr">
        <is>
          <t>Unattributed (fleet-wide)</t>
        </is>
      </c>
      <c r="B25" s="87">
        <f>SUMIFS(JB_R,JB_V,"",JB_S,"",JB_R,"&lt;&gt;")+SUMIFS(JB_N,JB_V,"",JB_S,"",JB_R,"",JB_N,"&lt;&gt;")+SUMIFS(JB_L,JB_V,"",JB_S,"",JB_R,"",JB_N,"")+SUMIFS(JB_R,JB_V,"",JB_S,"[PARENT]",JB_R,"&lt;&gt;")+SUMIFS(JB_N,JB_V,"",JB_S,"[PARENT]",JB_R,"",JB_N,"&lt;&gt;")+SUMIFS(JB_L,JB_V,"",JB_S,"[PARENT]",JB_R,"",JB_N,"")</f>
        <v/>
      </c>
      <c r="C25" s="82" t="inlineStr">
        <is>
          <t>No — not vessel-specific</t>
        </is>
      </c>
    </row>
    <row r="26" ht="10" customHeight="1">
      <c r="A26" s="88" t="inlineStr">
        <is>
          <t>Total</t>
        </is>
      </c>
      <c r="B26" s="89">
        <f>SUM(B18:B25)</f>
        <v/>
      </c>
      <c r="C26" s="90" t="n"/>
    </row>
    <row r="27" ht="10" customHeight="1">
      <c r="A27" s="91" t="inlineStr">
        <is>
          <t>TAM-eligible</t>
        </is>
      </c>
      <c r="B27" s="92">
        <f>B18+B19+B20+B21</f>
        <v/>
      </c>
    </row>
    <row r="28" ht="10" customHeight="1"/>
    <row r="29" ht="10" customHeight="1"/>
    <row r="30" ht="10" customHeight="1">
      <c r="A30" s="83" t="inlineStr">
        <is>
          <t>(C) FY2026 Total Funding by Source Book</t>
        </is>
      </c>
      <c r="B30" s="84" t="n"/>
    </row>
    <row r="31" ht="10" customHeight="1">
      <c r="A31" s="85" t="inlineStr">
        <is>
          <t>Source Book</t>
        </is>
      </c>
      <c r="B31" s="85" t="inlineStr">
        <is>
          <t>FY2026 ($K)</t>
        </is>
      </c>
    </row>
    <row r="32" ht="10" customHeight="1">
      <c r="A32" s="86" t="inlineStr">
        <is>
          <t>NWCF</t>
        </is>
      </c>
      <c r="B32" s="87">
        <f>SUMIFS(JB_R,JB_A,"NWCF",JB_S,"",JB_R,"&lt;&gt;")+SUMIFS(JB_N,JB_A,"NWCF",JB_S,"",JB_R,"",JB_N,"&lt;&gt;")+SUMIFS(JB_L,JB_A,"NWCF",JB_S,"",JB_R,"",JB_N,"")+SUMIFS(JB_R,JB_A,"NWCF",JB_S,"[PARENT]",JB_R,"&lt;&gt;")+SUMIFS(JB_N,JB_A,"NWCF",JB_S,"[PARENT]",JB_R,"",JB_N,"&lt;&gt;")+SUMIFS(JB_L,JB_A,"NWCF",JB_S,"[PARENT]",JB_R,"",JB_N,"")</f>
        <v/>
      </c>
    </row>
    <row r="33" ht="10" customHeight="1">
      <c r="A33" s="86" t="inlineStr">
        <is>
          <t>OMN_Vol2</t>
        </is>
      </c>
      <c r="B33" s="87">
        <f>SUMIFS(JB_R,JB_A,"OMN_Vol2",JB_S,"",JB_R,"&lt;&gt;")+SUMIFS(JB_N,JB_A,"OMN_Vol2",JB_S,"",JB_R,"",JB_N,"&lt;&gt;")+SUMIFS(JB_L,JB_A,"OMN_Vol2",JB_S,"",JB_R,"",JB_N,"")+SUMIFS(JB_R,JB_A,"OMN_Vol2",JB_S,"[PARENT]",JB_R,"&lt;&gt;")+SUMIFS(JB_N,JB_A,"OMN_Vol2",JB_S,"[PARENT]",JB_R,"",JB_N,"&lt;&gt;")+SUMIFS(JB_L,JB_A,"OMN_Vol2",JB_S,"[PARENT]",JB_R,"",JB_N,"")</f>
        <v/>
      </c>
    </row>
    <row r="34" ht="10" customHeight="1">
      <c r="A34" s="86" t="inlineStr">
        <is>
          <t>SCN</t>
        </is>
      </c>
      <c r="B34" s="87">
        <f>SUMIFS(JB_R,JB_A,"SCN",JB_S,"",JB_R,"&lt;&gt;")+SUMIFS(JB_N,JB_A,"SCN",JB_S,"",JB_R,"",JB_N,"&lt;&gt;")+SUMIFS(JB_L,JB_A,"SCN",JB_S,"",JB_R,"",JB_N,"")+SUMIFS(JB_R,JB_A,"SCN",JB_S,"[PARENT]",JB_R,"&lt;&gt;")+SUMIFS(JB_N,JB_A,"SCN",JB_S,"[PARENT]",JB_R,"",JB_N,"&lt;&gt;")+SUMIFS(JB_L,JB_A,"SCN",JB_S,"[PARENT]",JB_R,"",JB_N,"")</f>
        <v/>
      </c>
    </row>
    <row r="35" ht="10" customHeight="1">
      <c r="A35" s="86" t="inlineStr">
        <is>
          <t>OMN</t>
        </is>
      </c>
      <c r="B35" s="87">
        <f>SUMIFS(JB_R,JB_A,"OMN",JB_S,"",JB_R,"&lt;&gt;")+SUMIFS(JB_N,JB_A,"OMN",JB_S,"",JB_R,"",JB_N,"&lt;&gt;")+SUMIFS(JB_L,JB_A,"OMN",JB_S,"",JB_R,"",JB_N,"")+SUMIFS(JB_R,JB_A,"OMN",JB_S,"[PARENT]",JB_R,"&lt;&gt;")+SUMIFS(JB_N,JB_A,"OMN",JB_S,"[PARENT]",JB_R,"",JB_N,"&lt;&gt;")+SUMIFS(JB_L,JB_A,"OMN",JB_S,"[PARENT]",JB_R,"",JB_N,"")</f>
        <v/>
      </c>
    </row>
    <row r="36" ht="10" customHeight="1">
      <c r="A36" s="86" t="inlineStr">
        <is>
          <t>WPN</t>
        </is>
      </c>
      <c r="B36" s="87">
        <f>SUMIFS(JB_R,JB_A,"WPN",JB_S,"",JB_R,"&lt;&gt;")+SUMIFS(JB_N,JB_A,"WPN",JB_S,"",JB_R,"",JB_N,"&lt;&gt;")+SUMIFS(JB_L,JB_A,"WPN",JB_S,"",JB_R,"",JB_N,"")+SUMIFS(JB_R,JB_A,"WPN",JB_S,"[PARENT]",JB_R,"&lt;&gt;")+SUMIFS(JB_N,JB_A,"WPN",JB_S,"[PARENT]",JB_R,"",JB_N,"&lt;&gt;")+SUMIFS(JB_L,JB_A,"WPN",JB_S,"[PARENT]",JB_R,"",JB_N,"")</f>
        <v/>
      </c>
    </row>
    <row r="37" ht="10" customHeight="1">
      <c r="A37" s="86" t="inlineStr">
        <is>
          <t>OPN_BA1</t>
        </is>
      </c>
      <c r="B37" s="87">
        <f>SUMIFS(JB_R,JB_A,"OPN_BA1",JB_S,"",JB_R,"&lt;&gt;")+SUMIFS(JB_N,JB_A,"OPN_BA1",JB_S,"",JB_R,"",JB_N,"&lt;&gt;")+SUMIFS(JB_L,JB_A,"OPN_BA1",JB_S,"",JB_R,"",JB_N,"")+SUMIFS(JB_R,JB_A,"OPN_BA1",JB_S,"[PARENT]",JB_R,"&lt;&gt;")+SUMIFS(JB_N,JB_A,"OPN_BA1",JB_S,"[PARENT]",JB_R,"",JB_N,"&lt;&gt;")+SUMIFS(JB_L,JB_A,"OPN_BA1",JB_S,"[PARENT]",JB_R,"",JB_N,"")</f>
        <v/>
      </c>
    </row>
    <row r="38" ht="10" customHeight="1">
      <c r="A38" s="86" t="inlineStr">
        <is>
          <t>OPN_BA2</t>
        </is>
      </c>
      <c r="B38" s="87">
        <f>SUMIFS(JB_R,JB_A,"OPN_BA2",JB_S,"",JB_R,"&lt;&gt;")+SUMIFS(JB_N,JB_A,"OPN_BA2",JB_S,"",JB_R,"",JB_N,"&lt;&gt;")+SUMIFS(JB_L,JB_A,"OPN_BA2",JB_S,"",JB_R,"",JB_N,"")+SUMIFS(JB_R,JB_A,"OPN_BA2",JB_S,"[PARENT]",JB_R,"&lt;&gt;")+SUMIFS(JB_N,JB_A,"OPN_BA2",JB_S,"[PARENT]",JB_R,"",JB_N,"&lt;&gt;")+SUMIFS(JB_L,JB_A,"OPN_BA2",JB_S,"[PARENT]",JB_R,"",JB_N,"")</f>
        <v/>
      </c>
    </row>
    <row r="39" ht="10" customHeight="1">
      <c r="A39" s="86" t="inlineStr">
        <is>
          <t>OPN_BA5-8</t>
        </is>
      </c>
      <c r="B39" s="87">
        <f>SUMIFS(JB_R,JB_A,"OPN_BA5-8",JB_S,"",JB_R,"&lt;&gt;")+SUMIFS(JB_N,JB_A,"OPN_BA5-8",JB_S,"",JB_R,"",JB_N,"&lt;&gt;")+SUMIFS(JB_L,JB_A,"OPN_BA5-8",JB_S,"",JB_R,"",JB_N,"")+SUMIFS(JB_R,JB_A,"OPN_BA5-8",JB_S,"[PARENT]",JB_R,"&lt;&gt;")+SUMIFS(JB_N,JB_A,"OPN_BA5-8",JB_S,"[PARENT]",JB_R,"",JB_N,"&lt;&gt;")+SUMIFS(JB_L,JB_A,"OPN_BA5-8",JB_S,"[PARENT]",JB_R,"",JB_N,"")</f>
        <v/>
      </c>
    </row>
    <row r="40" ht="10" customHeight="1">
      <c r="A40" s="86" t="inlineStr">
        <is>
          <t>OPN_BA4</t>
        </is>
      </c>
      <c r="B40" s="87">
        <f>SUMIFS(JB_R,JB_A,"OPN_BA4",JB_S,"",JB_R,"&lt;&gt;")+SUMIFS(JB_N,JB_A,"OPN_BA4",JB_S,"",JB_R,"",JB_N,"&lt;&gt;")+SUMIFS(JB_L,JB_A,"OPN_BA4",JB_S,"",JB_R,"",JB_N,"")+SUMIFS(JB_R,JB_A,"OPN_BA4",JB_S,"[PARENT]",JB_R,"&lt;&gt;")+SUMIFS(JB_N,JB_A,"OPN_BA4",JB_S,"[PARENT]",JB_R,"",JB_N,"&lt;&gt;")+SUMIFS(JB_L,JB_A,"OPN_BA4",JB_S,"[PARENT]",JB_R,"",JB_N,"")</f>
        <v/>
      </c>
    </row>
    <row r="41" ht="10" customHeight="1">
      <c r="A41" s="86" t="inlineStr">
        <is>
          <t>USCG</t>
        </is>
      </c>
      <c r="B41" s="87">
        <f>SUMIFS(JB_R,JB_A,"USCG",JB_S,"",JB_R,"&lt;&gt;")+SUMIFS(JB_N,JB_A,"USCG",JB_S,"",JB_R,"",JB_N,"&lt;&gt;")+SUMIFS(JB_L,JB_A,"USCG",JB_S,"",JB_R,"",JB_N,"")+SUMIFS(JB_R,JB_A,"USCG",JB_S,"[PARENT]",JB_R,"&lt;&gt;")+SUMIFS(JB_N,JB_A,"USCG",JB_S,"[PARENT]",JB_R,"",JB_N,"&lt;&gt;")+SUMIFS(JB_L,JB_A,"USCG",JB_S,"[PARENT]",JB_R,"",JB_N,"")</f>
        <v/>
      </c>
    </row>
    <row r="42" ht="10" customHeight="1">
      <c r="A42" s="86" t="inlineStr">
        <is>
          <t>OPN_BA3</t>
        </is>
      </c>
      <c r="B42" s="87">
        <f>SUMIFS(JB_R,JB_A,"OPN_BA3",JB_S,"",JB_R,"&lt;&gt;")+SUMIFS(JB_N,JB_A,"OPN_BA3",JB_S,"",JB_R,"",JB_N,"&lt;&gt;")+SUMIFS(JB_L,JB_A,"OPN_BA3",JB_S,"",JB_R,"",JB_N,"")+SUMIFS(JB_R,JB_A,"OPN_BA3",JB_S,"[PARENT]",JB_R,"&lt;&gt;")+SUMIFS(JB_N,JB_A,"OPN_BA3",JB_S,"[PARENT]",JB_R,"",JB_N,"&lt;&gt;")+SUMIFS(JB_L,JB_A,"OPN_BA3",JB_S,"[PARENT]",JB_R,"",JB_N,"")</f>
        <v/>
      </c>
    </row>
    <row r="43" ht="10" customHeight="1">
      <c r="A43" s="88" t="inlineStr">
        <is>
          <t>Total</t>
        </is>
      </c>
      <c r="B43" s="89">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80" t="inlineStr">
        <is>
          <t>Newbuild TAM — FY2026 ($K)</t>
        </is>
      </c>
      <c r="B1" s="81" t="n"/>
      <c r="C1" s="81" t="n"/>
      <c r="D1" s="81" t="n"/>
      <c r="E1" s="81" t="n"/>
      <c r="F1" s="81" t="n"/>
      <c r="G1" s="81" t="n"/>
      <c r="H1" s="81" t="n"/>
      <c r="I1" s="81" t="n"/>
      <c r="J1" s="81" t="n"/>
      <c r="K1" s="81" t="n"/>
      <c r="L1" s="81" t="n"/>
      <c r="M1" s="81" t="n"/>
      <c r="N1" s="81" t="n"/>
      <c r="O1" s="81" t="n"/>
      <c r="P1" s="81" t="n"/>
      <c r="Q1" s="81" t="n"/>
      <c r="R1" s="81" t="n"/>
    </row>
    <row r="2" ht="10" customHeight="1">
      <c r="A2" s="82" t="inlineStr">
        <is>
          <t>New Construction scoped to Combatant Ships, Auxiliary Ships, USCG Cutters &amp; Unmanned Platforms</t>
        </is>
      </c>
    </row>
    <row r="3" ht="10" customHeight="1"/>
    <row r="4" ht="10" customHeight="1">
      <c r="A4" s="83" t="inlineStr">
        <is>
          <t>(A) Bridge: Total NC Funding → Newbuild TAM</t>
        </is>
      </c>
      <c r="B4" s="84" t="n"/>
    </row>
    <row r="5" ht="10" customHeight="1">
      <c r="A5" s="86" t="inlineStr">
        <is>
          <t>Total New Construction Funding</t>
        </is>
      </c>
      <c r="B5" s="87">
        <f>SUMIFS(JB_R,JB_B,1,JB_S,"",JB_R,"&lt;&gt;")+SUMIFS(JB_N,JB_B,1,JB_S,"",JB_R,"",JB_N,"&lt;&gt;")+SUMIFS(JB_L,JB_B,1,JB_S,"",JB_R,"",JB_N,"")+SUMIFS(JB_R,JB_B,1,JB_S,"[PARENT]",JB_R,"&lt;&gt;")+SUMIFS(JB_N,JB_B,1,JB_S,"[PARENT]",JB_R,"",JB_N,"&lt;&gt;")+SUMIFS(JB_L,JB_B,1,JB_S,"[PARENT]",JB_R,"",JB_N,"")</f>
        <v/>
      </c>
    </row>
    <row r="6" ht="10" customHeight="1">
      <c r="A6" s="86" t="inlineStr">
        <is>
          <t xml:space="preserve">  Less: Unattributed (fleet-wide NC items)</t>
        </is>
      </c>
      <c r="B6" s="87">
        <f>-(SUMIFS(JB_R,JB_B,1,JB_V,"",JB_S,"",JB_R,"&lt;&gt;")+SUMIFS(JB_N,JB_B,1,JB_V,"",JB_S,"",JB_R,"",JB_N,"&lt;&gt;")+SUMIFS(JB_L,JB_B,1,JB_V,"",JB_S,"",JB_R,"",JB_N,"")+SUMIFS(JB_R,JB_B,1,JB_V,"",JB_S,"[PARENT]",JB_R,"&lt;&gt;")+SUMIFS(JB_N,JB_B,1,JB_V,"",JB_S,"[PARENT]",JB_R,"",JB_N,"&lt;&gt;")+SUMIFS(JB_L,JB_B,1,JB_V,"",JB_S,"[PARENT]",JB_R,"",JB_N,""))</f>
        <v/>
      </c>
    </row>
    <row r="7" ht="10" customHeight="1">
      <c r="A7" s="86" t="inlineStr">
        <is>
          <t xml:space="preserve">  Less: Combatant Crafts</t>
        </is>
      </c>
      <c r="B7" s="87">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6" t="inlineStr">
        <is>
          <t xml:space="preserve">  Less: Support Crafts</t>
        </is>
      </c>
      <c r="B8" s="87">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8" t="inlineStr">
        <is>
          <t>Newbuild TAM</t>
        </is>
      </c>
      <c r="B9" s="89">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3" t="inlineStr">
        <is>
          <t>(B) Newbuild TAM by Vessel Type</t>
        </is>
      </c>
      <c r="B12" s="84" t="n"/>
      <c r="C12" s="84" t="n"/>
      <c r="D12" s="84" t="n"/>
    </row>
    <row r="13" ht="10" customHeight="1">
      <c r="A13" s="85" t="inlineStr">
        <is>
          <t>Vessel Type</t>
        </is>
      </c>
      <c r="B13" s="85" t="inlineStr">
        <is>
          <t>Service</t>
        </is>
      </c>
      <c r="C13" s="85" t="inlineStr">
        <is>
          <t>FY2026 ($K)</t>
        </is>
      </c>
      <c r="D13" s="85" t="inlineStr">
        <is>
          <t>% of TAM</t>
        </is>
      </c>
    </row>
    <row r="14" ht="10" customHeight="1">
      <c r="A14" s="86" t="inlineStr">
        <is>
          <t>Submarines</t>
        </is>
      </c>
      <c r="B14" s="86" t="inlineStr">
        <is>
          <t>USN</t>
        </is>
      </c>
      <c r="C14"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3">
        <f>IFERROR(C14/C$42,0)</f>
        <v/>
      </c>
    </row>
    <row r="15" ht="10" customHeight="1">
      <c r="A15" s="86" t="inlineStr">
        <is>
          <t>Surface Combatants</t>
        </is>
      </c>
      <c r="B15" s="86" t="inlineStr">
        <is>
          <t>USN</t>
        </is>
      </c>
      <c r="C15"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3">
        <f>IFERROR(C15/C$42,0)</f>
        <v/>
      </c>
    </row>
    <row r="16" ht="10" customHeight="1">
      <c r="A16" s="86" t="inlineStr">
        <is>
          <t>Aircraft Carriers</t>
        </is>
      </c>
      <c r="B16" s="86" t="inlineStr">
        <is>
          <t>USN</t>
        </is>
      </c>
      <c r="C16"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3">
        <f>IFERROR(C16/C$42,0)</f>
        <v/>
      </c>
    </row>
    <row r="17" ht="10" customHeight="1">
      <c r="A17" s="86" t="inlineStr">
        <is>
          <t>Expeditionary &amp; Seabasing Ships</t>
        </is>
      </c>
      <c r="B17" s="86" t="inlineStr">
        <is>
          <t>USN</t>
        </is>
      </c>
      <c r="C1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3">
        <f>IFERROR(C17/C$42,0)</f>
        <v/>
      </c>
    </row>
    <row r="18" ht="10" customHeight="1">
      <c r="A18" s="86" t="inlineStr">
        <is>
          <t>Combat Logistics Ships</t>
        </is>
      </c>
      <c r="B18" s="86" t="inlineStr">
        <is>
          <t>MSC</t>
        </is>
      </c>
      <c r="C18"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3">
        <f>IFERROR(C18/C$42,0)</f>
        <v/>
      </c>
    </row>
    <row r="19" ht="10" customHeight="1">
      <c r="A19" s="86" t="inlineStr">
        <is>
          <t>Amphibious Warfare Ships</t>
        </is>
      </c>
      <c r="B19" s="86" t="inlineStr">
        <is>
          <t>USN</t>
        </is>
      </c>
      <c r="C19"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3">
        <f>IFERROR(C19/C$42,0)</f>
        <v/>
      </c>
    </row>
    <row r="20" ht="10" customHeight="1">
      <c r="A20" s="86" t="inlineStr">
        <is>
          <t>Unmanned Surface Vehicles</t>
        </is>
      </c>
      <c r="B20" s="86" t="inlineStr">
        <is>
          <t>USN</t>
        </is>
      </c>
      <c r="C20"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3">
        <f>IFERROR(C20/C$42,0)</f>
        <v/>
      </c>
    </row>
    <row r="21" ht="10" customHeight="1">
      <c r="A21" s="86" t="inlineStr">
        <is>
          <t>Cargo &amp; Vehicle Cargo Ships</t>
        </is>
      </c>
      <c r="B21" s="86" t="inlineStr">
        <is>
          <t>USN</t>
        </is>
      </c>
      <c r="C2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3">
        <f>IFERROR(C21/C$42,0)</f>
        <v/>
      </c>
    </row>
    <row r="22" ht="10" customHeight="1">
      <c r="A22" s="86" t="inlineStr">
        <is>
          <t>Surveillance Ships</t>
        </is>
      </c>
      <c r="B22" s="86" t="inlineStr">
        <is>
          <t>USN</t>
        </is>
      </c>
      <c r="C22"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3">
        <f>IFERROR(C22/C$42,0)</f>
        <v/>
      </c>
    </row>
    <row r="23" ht="10" customHeight="1">
      <c r="A23" s="86" t="inlineStr">
        <is>
          <t>Unmanned Undersea Vehicles</t>
        </is>
      </c>
      <c r="B23" s="86" t="inlineStr">
        <is>
          <t>USN</t>
        </is>
      </c>
      <c r="C23"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3">
        <f>IFERROR(C23/C$42,0)</f>
        <v/>
      </c>
    </row>
    <row r="24" ht="10" customHeight="1">
      <c r="A24" s="86" t="inlineStr">
        <is>
          <t>Salvage Ships &amp; Fleet Ocean Tugs</t>
        </is>
      </c>
      <c r="B24" s="86" t="inlineStr">
        <is>
          <t>MSC</t>
        </is>
      </c>
      <c r="C24"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3">
        <f>IFERROR(C24/C$42,0)</f>
        <v/>
      </c>
    </row>
    <row r="25" ht="10" customHeight="1">
      <c r="A25" s="86" t="inlineStr">
        <is>
          <t>Research, Survey &amp; Instrumentation Ships</t>
        </is>
      </c>
      <c r="B25" s="86" t="inlineStr">
        <is>
          <t>MSC</t>
        </is>
      </c>
      <c r="C25" s="8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5" s="93">
        <f>IFERROR(C25/C$42,0)</f>
        <v/>
      </c>
    </row>
    <row r="26" ht="10" customHeight="1">
      <c r="A26" s="86" t="inlineStr">
        <is>
          <t>Aviation Logistics Support Ship</t>
        </is>
      </c>
      <c r="B26" s="86" t="inlineStr">
        <is>
          <t>USN</t>
        </is>
      </c>
      <c r="C26" s="8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6" s="93">
        <f>IFERROR(C26/C$42,0)</f>
        <v/>
      </c>
    </row>
    <row r="27" ht="10" customHeight="1">
      <c r="A27" s="86" t="inlineStr">
        <is>
          <t>Command Ships</t>
        </is>
      </c>
      <c r="B27" s="86" t="inlineStr">
        <is>
          <t>USN</t>
        </is>
      </c>
      <c r="C27" s="8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7" s="93">
        <f>IFERROR(C27/C$42,0)</f>
        <v/>
      </c>
    </row>
    <row r="28" ht="10" customHeight="1">
      <c r="A28" s="86" t="inlineStr">
        <is>
          <t>Crane Ship</t>
        </is>
      </c>
      <c r="B28" s="86" t="inlineStr">
        <is>
          <t>USN</t>
        </is>
      </c>
      <c r="C28" s="87">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8" s="93">
        <f>IFERROR(C28/C$42,0)</f>
        <v/>
      </c>
    </row>
    <row r="29" ht="10" customHeight="1">
      <c r="A29" s="86" t="inlineStr">
        <is>
          <t>Submarine Escort Ship</t>
        </is>
      </c>
      <c r="B29" s="86" t="inlineStr">
        <is>
          <t>USN</t>
        </is>
      </c>
      <c r="C29" s="8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9" s="93">
        <f>IFERROR(C29/C$42,0)</f>
        <v/>
      </c>
    </row>
    <row r="30" ht="10" customHeight="1">
      <c r="A30" s="86" t="inlineStr">
        <is>
          <t>Mine Warfare</t>
        </is>
      </c>
      <c r="B30" s="86" t="inlineStr">
        <is>
          <t>USN</t>
        </is>
      </c>
      <c r="C30" s="8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30" s="93">
        <f>IFERROR(C30/C$42,0)</f>
        <v/>
      </c>
    </row>
    <row r="31" ht="10" customHeight="1">
      <c r="A31" s="86" t="inlineStr">
        <is>
          <t>Material Support Ships</t>
        </is>
      </c>
      <c r="B31" s="86" t="inlineStr">
        <is>
          <t>USN</t>
        </is>
      </c>
      <c r="C31" s="8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1" s="93">
        <f>IFERROR(C31/C$42,0)</f>
        <v/>
      </c>
    </row>
    <row r="32" ht="10" customHeight="1">
      <c r="A32" s="86" t="inlineStr">
        <is>
          <t>General Auxiliary</t>
        </is>
      </c>
      <c r="B32" s="86" t="inlineStr">
        <is>
          <t>USN</t>
        </is>
      </c>
      <c r="C32" s="8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32" s="93">
        <f>IFERROR(C32/C$42,0)</f>
        <v/>
      </c>
    </row>
    <row r="33" ht="10" customHeight="1">
      <c r="A33" s="86" t="inlineStr">
        <is>
          <t>High Speed Transport</t>
        </is>
      </c>
      <c r="B33" s="86" t="inlineStr">
        <is>
          <t>USN</t>
        </is>
      </c>
      <c r="C33" s="8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3" s="93">
        <f>IFERROR(C33/C$42,0)</f>
        <v/>
      </c>
    </row>
    <row r="34" ht="10" customHeight="1">
      <c r="A34" s="86" t="inlineStr">
        <is>
          <t>Hospital Ship</t>
        </is>
      </c>
      <c r="B34" s="86" t="inlineStr">
        <is>
          <t>MSC</t>
        </is>
      </c>
      <c r="C34" s="8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4" s="93">
        <f>IFERROR(C34/C$42,0)</f>
        <v/>
      </c>
    </row>
    <row r="35" ht="10" customHeight="1">
      <c r="A35" s="86" t="inlineStr">
        <is>
          <t>Offshore Patrol Cutter</t>
        </is>
      </c>
      <c r="B35" s="86" t="inlineStr">
        <is>
          <t>USCG</t>
        </is>
      </c>
      <c r="C35"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3">
        <f>IFERROR(C35/C$42,0)</f>
        <v/>
      </c>
    </row>
    <row r="36" ht="10" customHeight="1">
      <c r="A36" s="86" t="inlineStr">
        <is>
          <t>Fast Response Cutters</t>
        </is>
      </c>
      <c r="B36" s="86" t="inlineStr">
        <is>
          <t>USCG</t>
        </is>
      </c>
      <c r="C36"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3">
        <f>IFERROR(C36/C$42,0)</f>
        <v/>
      </c>
    </row>
    <row r="37" ht="10" customHeight="1">
      <c r="A37" s="86" t="inlineStr">
        <is>
          <t>Icebreakers, Oceangoing</t>
        </is>
      </c>
      <c r="B37" s="86" t="inlineStr">
        <is>
          <t>USCG</t>
        </is>
      </c>
      <c r="C3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3">
        <f>IFERROR(C37/C$42,0)</f>
        <v/>
      </c>
    </row>
    <row r="38" ht="10" customHeight="1">
      <c r="A38" s="86" t="inlineStr">
        <is>
          <t>Waterways Commerce Cutters</t>
        </is>
      </c>
      <c r="B38" s="86" t="inlineStr">
        <is>
          <t>USCG</t>
        </is>
      </c>
      <c r="C38"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3">
        <f>IFERROR(C38/C$42,0)</f>
        <v/>
      </c>
    </row>
    <row r="39" ht="10" customHeight="1">
      <c r="A39" s="86" t="inlineStr">
        <is>
          <t>Coastal Buoy Tenders</t>
        </is>
      </c>
      <c r="B39" s="86" t="inlineStr">
        <is>
          <t>USCG</t>
        </is>
      </c>
      <c r="C39" s="8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9" s="93">
        <f>IFERROR(C39/C$42,0)</f>
        <v/>
      </c>
    </row>
    <row r="40" ht="10" customHeight="1">
      <c r="A40" s="86" t="inlineStr">
        <is>
          <t>Icebreakers, Great Lakes</t>
        </is>
      </c>
      <c r="B40" s="86" t="inlineStr">
        <is>
          <t>USCG</t>
        </is>
      </c>
      <c r="C40" s="8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3">
        <f>IFERROR(C40/C$42,0)</f>
        <v/>
      </c>
    </row>
    <row r="41" ht="10" customHeight="1">
      <c r="A41" s="86" t="inlineStr">
        <is>
          <t>National Security Cutters</t>
        </is>
      </c>
      <c r="B41" s="86" t="inlineStr">
        <is>
          <t>USCG</t>
        </is>
      </c>
      <c r="C41" s="8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41" s="93">
        <f>IFERROR(C41/C$42,0)</f>
        <v/>
      </c>
    </row>
    <row r="42" ht="10" customHeight="1">
      <c r="A42" s="88" t="inlineStr">
        <is>
          <t>Newbuild TAM</t>
        </is>
      </c>
      <c r="B42" s="88" t="inlineStr"/>
      <c r="C42" s="89">
        <f>SUM(C14:C41)</f>
        <v/>
      </c>
      <c r="D42" s="94" t="n">
        <v>1</v>
      </c>
    </row>
    <row r="43" ht="10" customHeight="1"/>
    <row r="44" ht="10" customHeight="1"/>
    <row r="45" ht="10" customHeight="1">
      <c r="A45" s="83" t="inlineStr">
        <is>
          <t>(C) Newbuild TAM — DD&amp;C vs AP/LLTM by Vessel Type (Mekko)</t>
        </is>
      </c>
      <c r="B45" s="84" t="n"/>
      <c r="C45" s="84" t="n"/>
      <c r="D45" s="84" t="n"/>
      <c r="E45" s="84" t="n"/>
      <c r="F45" s="84" t="n"/>
      <c r="G45" s="84" t="n"/>
      <c r="H45" s="84" t="n"/>
      <c r="I45" s="84" t="n"/>
      <c r="J45" s="84" t="n"/>
      <c r="K45" s="84" t="n"/>
      <c r="L45" s="84" t="n"/>
      <c r="M45" s="84" t="n"/>
      <c r="N45" s="84" t="n"/>
      <c r="O45" s="84" t="n"/>
      <c r="P45" s="84" t="n"/>
      <c r="Q45" s="84" t="n"/>
    </row>
    <row r="46" ht="10" customHeight="1">
      <c r="A46" s="95" t="n"/>
      <c r="B46" s="96" t="inlineStr">
        <is>
          <t>USN</t>
        </is>
      </c>
      <c r="C46" s="95" t="n"/>
      <c r="D46" s="95" t="n"/>
      <c r="E46" s="95" t="n"/>
      <c r="F46" s="95" t="n"/>
      <c r="G46" s="95" t="n"/>
      <c r="H46" s="95" t="n"/>
      <c r="I46" s="95" t="n"/>
      <c r="J46" s="95" t="n"/>
      <c r="K46" s="95" t="n"/>
      <c r="L46" s="95" t="n"/>
      <c r="M46" s="96" t="inlineStr">
        <is>
          <t>USCG</t>
        </is>
      </c>
      <c r="N46" s="95" t="n"/>
      <c r="O46" s="95" t="n"/>
      <c r="P46" s="95" t="n"/>
      <c r="Q46" s="97" t="n"/>
    </row>
    <row r="47" ht="10" customHeight="1">
      <c r="A47" s="85" t="inlineStr">
        <is>
          <t>Sub-Category</t>
        </is>
      </c>
      <c r="B47" s="98" t="inlineStr">
        <is>
          <t>Submarines</t>
        </is>
      </c>
      <c r="C47" s="85" t="inlineStr">
        <is>
          <t>Surface Combatants</t>
        </is>
      </c>
      <c r="D47" s="85" t="inlineStr">
        <is>
          <t>Aircraft Carriers</t>
        </is>
      </c>
      <c r="E47" s="85" t="inlineStr">
        <is>
          <t>Expeditionary &amp; Seabasing Ships</t>
        </is>
      </c>
      <c r="F47" s="85" t="inlineStr">
        <is>
          <t>Combat Logistics Ships</t>
        </is>
      </c>
      <c r="G47" s="85" t="inlineStr">
        <is>
          <t>Amphibious Warfare Ships</t>
        </is>
      </c>
      <c r="H47" s="85" t="inlineStr">
        <is>
          <t>Unmanned Surface Vehicles</t>
        </is>
      </c>
      <c r="I47" s="85" t="inlineStr">
        <is>
          <t>Cargo &amp; Vehicle Cargo Ships</t>
        </is>
      </c>
      <c r="J47" s="85" t="inlineStr">
        <is>
          <t>Surveillance Ships</t>
        </is>
      </c>
      <c r="K47" s="85" t="inlineStr">
        <is>
          <t>Unmanned Undersea Vehicles</t>
        </is>
      </c>
      <c r="L47" s="85" t="inlineStr">
        <is>
          <t>Salvage Ships &amp; Fleet Ocean Tugs</t>
        </is>
      </c>
      <c r="M47" s="98" t="inlineStr">
        <is>
          <t>Offshore Patrol Cutter</t>
        </is>
      </c>
      <c r="N47" s="85" t="inlineStr">
        <is>
          <t>Fast Response Cutters</t>
        </is>
      </c>
      <c r="O47" s="85" t="inlineStr">
        <is>
          <t>Icebreakers, Oceangoing</t>
        </is>
      </c>
      <c r="P47" s="85" t="inlineStr">
        <is>
          <t>Waterways Commerce Cutters</t>
        </is>
      </c>
      <c r="Q47" s="98" t="inlineStr">
        <is>
          <t>Total</t>
        </is>
      </c>
    </row>
    <row r="48" ht="10" customHeight="1">
      <c r="A48" s="86" t="inlineStr">
        <is>
          <t>Full Ship DD&amp;C</t>
        </is>
      </c>
      <c r="B48" s="99">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3">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3">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3">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9">
        <f>IFERROR(1-Q49,0)</f>
        <v/>
      </c>
    </row>
    <row r="49" ht="10" customHeight="1">
      <c r="A49" s="86" t="inlineStr">
        <is>
          <t>Advance Procurement / LLTM</t>
        </is>
      </c>
      <c r="B49" s="99">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3">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3">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3">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6" t="inlineStr">
        <is>
          <t>Other NC Sub-Categories</t>
        </is>
      </c>
      <c r="B50" s="99">
        <f>IFERROR(1-B48-B49,0)</f>
        <v/>
      </c>
      <c r="C50" s="93">
        <f>IFERROR(1-C48-C49,0)</f>
        <v/>
      </c>
      <c r="D50" s="93">
        <f>IFERROR(1-D48-D49,0)</f>
        <v/>
      </c>
      <c r="E50" s="93">
        <f>IFERROR(1-E48-E49,0)</f>
        <v/>
      </c>
      <c r="F50" s="93">
        <f>IFERROR(1-F48-F49,0)</f>
        <v/>
      </c>
      <c r="G50" s="93">
        <f>IFERROR(1-G48-G49,0)</f>
        <v/>
      </c>
      <c r="H50" s="93">
        <f>IFERROR(1-H48-H49,0)</f>
        <v/>
      </c>
      <c r="I50" s="93">
        <f>IFERROR(1-I48-I49,0)</f>
        <v/>
      </c>
      <c r="J50" s="93">
        <f>IFERROR(1-J48-J49,0)</f>
        <v/>
      </c>
      <c r="K50" s="93">
        <f>IFERROR(1-K48-K49,0)</f>
        <v/>
      </c>
      <c r="L50" s="93">
        <f>IFERROR(1-L48-L49,0)</f>
        <v/>
      </c>
      <c r="M50" s="99">
        <f>IFERROR(1-M48-M49,0)</f>
        <v/>
      </c>
      <c r="N50" s="93">
        <f>IFERROR(1-N48-N49,0)</f>
        <v/>
      </c>
      <c r="O50" s="93">
        <f>IFERROR(1-O48-O49,0)</f>
        <v/>
      </c>
      <c r="P50" s="93">
        <f>IFERROR(1-P48-P49,0)</f>
        <v/>
      </c>
      <c r="Q50" s="99">
        <f>IFERROR(1-Q48-Q49,0)</f>
        <v/>
      </c>
    </row>
    <row r="51" ht="10" customHeight="1">
      <c r="A51" s="88" t="inlineStr">
        <is>
          <t>Total ($K)</t>
        </is>
      </c>
      <c r="B51" s="100">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10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100">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88"/>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80" t="inlineStr">
        <is>
          <t>Newbuild SAM — FY2026 ($K)</t>
        </is>
      </c>
      <c r="B1" s="81" t="n"/>
      <c r="C1" s="81" t="n"/>
      <c r="D1" s="81" t="n"/>
      <c r="E1" s="81" t="n"/>
      <c r="F1" s="81" t="n"/>
      <c r="G1" s="81" t="n"/>
      <c r="H1" s="81" t="n"/>
      <c r="I1" s="81" t="n"/>
      <c r="J1" s="81" t="n"/>
      <c r="K1" s="81" t="n"/>
      <c r="L1" s="81" t="n"/>
      <c r="M1" s="81" t="n"/>
      <c r="N1" s="81" t="n"/>
      <c r="O1" s="81" t="n"/>
    </row>
    <row r="2" ht="10" customHeight="1">
      <c r="A2" s="82" t="inlineStr">
        <is>
          <t>Newbuild TAM excluding vessel types not addressable by PA</t>
        </is>
      </c>
    </row>
    <row r="3" ht="10" customHeight="1"/>
    <row r="4" ht="10" customHeight="1">
      <c r="A4" s="83" t="inlineStr">
        <is>
          <t>(A) Bridge: Newbuild TAM → Newbuild SAM</t>
        </is>
      </c>
      <c r="B4" s="84" t="n"/>
    </row>
    <row r="5" ht="10" customHeight="1">
      <c r="A5" s="86" t="inlineStr">
        <is>
          <t>Newbuild TAM</t>
        </is>
      </c>
      <c r="B5"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6" t="inlineStr">
        <is>
          <t xml:space="preserve">  Less: Submarines</t>
        </is>
      </c>
      <c r="B6" s="87">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6" t="inlineStr">
        <is>
          <t xml:space="preserve">  Less: Aircraft Carriers</t>
        </is>
      </c>
      <c r="B7"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6" t="inlineStr">
        <is>
          <t xml:space="preserve">  Less: Unmanned Undersea Vehicles</t>
        </is>
      </c>
      <c r="B8"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8" t="inlineStr">
        <is>
          <t>Newbuild SAM</t>
        </is>
      </c>
      <c r="B9" s="89">
        <f>SUM(B5:B8)</f>
        <v/>
      </c>
    </row>
    <row r="10" ht="10" customHeight="1"/>
    <row r="11" ht="10" customHeight="1"/>
    <row r="12" ht="10" customHeight="1">
      <c r="A12" s="83" t="inlineStr">
        <is>
          <t>(B) Newbuild SAM by Vessel Type</t>
        </is>
      </c>
      <c r="B12" s="84" t="n"/>
      <c r="C12" s="84" t="n"/>
      <c r="D12" s="84" t="n"/>
    </row>
    <row r="13" ht="10" customHeight="1">
      <c r="A13" s="85" t="inlineStr">
        <is>
          <t>Vessel Type</t>
        </is>
      </c>
      <c r="B13" s="85" t="inlineStr">
        <is>
          <t>Service</t>
        </is>
      </c>
      <c r="C13" s="85" t="inlineStr">
        <is>
          <t>FY2026 ($K)</t>
        </is>
      </c>
      <c r="D13" s="85" t="inlineStr">
        <is>
          <t>% of SAM</t>
        </is>
      </c>
    </row>
    <row r="14" ht="10" customHeight="1">
      <c r="A14" s="86" t="inlineStr">
        <is>
          <t>Surface Combatants</t>
        </is>
      </c>
      <c r="B14" s="86" t="inlineStr">
        <is>
          <t>USN</t>
        </is>
      </c>
      <c r="C14"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3">
        <f>IFERROR(C14/C$39,0)</f>
        <v/>
      </c>
    </row>
    <row r="15" ht="10" customHeight="1">
      <c r="A15" s="86" t="inlineStr">
        <is>
          <t>Expeditionary &amp; Seabasing Ships</t>
        </is>
      </c>
      <c r="B15" s="86" t="inlineStr">
        <is>
          <t>USN</t>
        </is>
      </c>
      <c r="C15"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3">
        <f>IFERROR(C15/C$39,0)</f>
        <v/>
      </c>
    </row>
    <row r="16" ht="10" customHeight="1">
      <c r="A16" s="86" t="inlineStr">
        <is>
          <t>Combat Logistics Ships</t>
        </is>
      </c>
      <c r="B16" s="86" t="inlineStr">
        <is>
          <t>MSC</t>
        </is>
      </c>
      <c r="C16"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3">
        <f>IFERROR(C16/C$39,0)</f>
        <v/>
      </c>
    </row>
    <row r="17" ht="10" customHeight="1">
      <c r="A17" s="86" t="inlineStr">
        <is>
          <t>Amphibious Warfare Ships</t>
        </is>
      </c>
      <c r="B17" s="86" t="inlineStr">
        <is>
          <t>USN</t>
        </is>
      </c>
      <c r="C1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3">
        <f>IFERROR(C17/C$39,0)</f>
        <v/>
      </c>
    </row>
    <row r="18" ht="10" customHeight="1">
      <c r="A18" s="86" t="inlineStr">
        <is>
          <t>Unmanned Surface Vehicles</t>
        </is>
      </c>
      <c r="B18" s="86" t="inlineStr">
        <is>
          <t>USN</t>
        </is>
      </c>
      <c r="C18"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3">
        <f>IFERROR(C18/C$39,0)</f>
        <v/>
      </c>
    </row>
    <row r="19" ht="10" customHeight="1">
      <c r="A19" s="86" t="inlineStr">
        <is>
          <t>Cargo &amp; Vehicle Cargo Ships</t>
        </is>
      </c>
      <c r="B19" s="86" t="inlineStr">
        <is>
          <t>USN</t>
        </is>
      </c>
      <c r="C19"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3">
        <f>IFERROR(C19/C$39,0)</f>
        <v/>
      </c>
    </row>
    <row r="20" ht="10" customHeight="1">
      <c r="A20" s="86" t="inlineStr">
        <is>
          <t>Surveillance Ships</t>
        </is>
      </c>
      <c r="B20" s="86" t="inlineStr">
        <is>
          <t>USN</t>
        </is>
      </c>
      <c r="C20"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3">
        <f>IFERROR(C20/C$39,0)</f>
        <v/>
      </c>
    </row>
    <row r="21" ht="10" customHeight="1">
      <c r="A21" s="86" t="inlineStr">
        <is>
          <t>Salvage Ships &amp; Fleet Ocean Tugs</t>
        </is>
      </c>
      <c r="B21" s="86" t="inlineStr">
        <is>
          <t>MSC</t>
        </is>
      </c>
      <c r="C2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3">
        <f>IFERROR(C21/C$39,0)</f>
        <v/>
      </c>
    </row>
    <row r="22" ht="10" customHeight="1">
      <c r="A22" s="86" t="inlineStr">
        <is>
          <t>Mine Warfare</t>
        </is>
      </c>
      <c r="B22" s="86" t="inlineStr">
        <is>
          <t>USN</t>
        </is>
      </c>
      <c r="C22" s="87">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2" s="93">
        <f>IFERROR(C22/C$39,0)</f>
        <v/>
      </c>
    </row>
    <row r="23" ht="10" customHeight="1">
      <c r="A23" s="86" t="inlineStr">
        <is>
          <t>Research, Survey &amp; Instrumentation Ships</t>
        </is>
      </c>
      <c r="B23" s="86" t="inlineStr">
        <is>
          <t>MSC</t>
        </is>
      </c>
      <c r="C23" s="87">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3" s="93">
        <f>IFERROR(C23/C$39,0)</f>
        <v/>
      </c>
    </row>
    <row r="24" ht="10" customHeight="1">
      <c r="A24" s="86" t="inlineStr">
        <is>
          <t>Aviation Logistics Support Ship</t>
        </is>
      </c>
      <c r="B24" s="86" t="inlineStr">
        <is>
          <t>USN</t>
        </is>
      </c>
      <c r="C24" s="87">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4" s="93">
        <f>IFERROR(C24/C$39,0)</f>
        <v/>
      </c>
    </row>
    <row r="25" ht="10" customHeight="1">
      <c r="A25" s="86" t="inlineStr">
        <is>
          <t>Material Support Ships</t>
        </is>
      </c>
      <c r="B25" s="86" t="inlineStr">
        <is>
          <t>USN</t>
        </is>
      </c>
      <c r="C25" s="87">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25" s="93">
        <f>IFERROR(C25/C$39,0)</f>
        <v/>
      </c>
    </row>
    <row r="26" ht="10" customHeight="1">
      <c r="A26" s="86" t="inlineStr">
        <is>
          <t>Command Ships</t>
        </is>
      </c>
      <c r="B26" s="86" t="inlineStr">
        <is>
          <t>USN</t>
        </is>
      </c>
      <c r="C26" s="87">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26" s="93">
        <f>IFERROR(C26/C$39,0)</f>
        <v/>
      </c>
    </row>
    <row r="27" ht="10" customHeight="1">
      <c r="A27" s="86" t="inlineStr">
        <is>
          <t>Crane Ship</t>
        </is>
      </c>
      <c r="B27" s="86" t="inlineStr">
        <is>
          <t>USN</t>
        </is>
      </c>
      <c r="C27" s="87">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7" s="93">
        <f>IFERROR(C27/C$39,0)</f>
        <v/>
      </c>
    </row>
    <row r="28" ht="10" customHeight="1">
      <c r="A28" s="86" t="inlineStr">
        <is>
          <t>General Auxiliary</t>
        </is>
      </c>
      <c r="B28" s="86" t="inlineStr">
        <is>
          <t>USN</t>
        </is>
      </c>
      <c r="C28" s="87">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8" s="93">
        <f>IFERROR(C28/C$39,0)</f>
        <v/>
      </c>
    </row>
    <row r="29" ht="10" customHeight="1">
      <c r="A29" s="86" t="inlineStr">
        <is>
          <t>High Speed Transport</t>
        </is>
      </c>
      <c r="B29" s="86" t="inlineStr">
        <is>
          <t>USN</t>
        </is>
      </c>
      <c r="C29" s="87">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9" s="93">
        <f>IFERROR(C29/C$39,0)</f>
        <v/>
      </c>
    </row>
    <row r="30" ht="10" customHeight="1">
      <c r="A30" s="86" t="inlineStr">
        <is>
          <t>Hospital Ship</t>
        </is>
      </c>
      <c r="B30" s="86" t="inlineStr">
        <is>
          <t>MSC</t>
        </is>
      </c>
      <c r="C30" s="87">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30" s="93">
        <f>IFERROR(C30/C$39,0)</f>
        <v/>
      </c>
    </row>
    <row r="31" ht="10" customHeight="1">
      <c r="A31" s="86" t="inlineStr">
        <is>
          <t>Submarine Escort Ship</t>
        </is>
      </c>
      <c r="B31" s="86" t="inlineStr">
        <is>
          <t>USN</t>
        </is>
      </c>
      <c r="C31" s="87">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1" s="93">
        <f>IFERROR(C31/C$39,0)</f>
        <v/>
      </c>
    </row>
    <row r="32" ht="10" customHeight="1">
      <c r="A32" s="86" t="inlineStr">
        <is>
          <t>Offshore Patrol Cutter</t>
        </is>
      </c>
      <c r="B32" s="86" t="inlineStr">
        <is>
          <t>USCG</t>
        </is>
      </c>
      <c r="C32" s="87">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3">
        <f>IFERROR(C32/C$39,0)</f>
        <v/>
      </c>
    </row>
    <row r="33" ht="10" customHeight="1">
      <c r="A33" s="86" t="inlineStr">
        <is>
          <t>Fast Response Cutters</t>
        </is>
      </c>
      <c r="B33" s="86" t="inlineStr">
        <is>
          <t>USCG</t>
        </is>
      </c>
      <c r="C33"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3">
        <f>IFERROR(C33/C$39,0)</f>
        <v/>
      </c>
    </row>
    <row r="34" ht="10" customHeight="1">
      <c r="A34" s="86" t="inlineStr">
        <is>
          <t>Icebreakers, Oceangoing</t>
        </is>
      </c>
      <c r="B34" s="86" t="inlineStr">
        <is>
          <t>USCG</t>
        </is>
      </c>
      <c r="C34"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3">
        <f>IFERROR(C34/C$39,0)</f>
        <v/>
      </c>
    </row>
    <row r="35" ht="10" customHeight="1">
      <c r="A35" s="86" t="inlineStr">
        <is>
          <t>Waterways Commerce Cutters</t>
        </is>
      </c>
      <c r="B35" s="86" t="inlineStr">
        <is>
          <t>USCG</t>
        </is>
      </c>
      <c r="C35"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3">
        <f>IFERROR(C35/C$39,0)</f>
        <v/>
      </c>
    </row>
    <row r="36" ht="10" customHeight="1">
      <c r="A36" s="86" t="inlineStr">
        <is>
          <t>Coastal Buoy Tenders</t>
        </is>
      </c>
      <c r="B36" s="86" t="inlineStr">
        <is>
          <t>USCG</t>
        </is>
      </c>
      <c r="C36" s="87">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6" s="93">
        <f>IFERROR(C36/C$39,0)</f>
        <v/>
      </c>
    </row>
    <row r="37" ht="10" customHeight="1">
      <c r="A37" s="86" t="inlineStr">
        <is>
          <t>Icebreakers, Great Lakes</t>
        </is>
      </c>
      <c r="B37" s="86" t="inlineStr">
        <is>
          <t>USCG</t>
        </is>
      </c>
      <c r="C37" s="87">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3">
        <f>IFERROR(C37/C$39,0)</f>
        <v/>
      </c>
    </row>
    <row r="38" ht="10" customHeight="1">
      <c r="A38" s="86" t="inlineStr">
        <is>
          <t>National Security Cutters</t>
        </is>
      </c>
      <c r="B38" s="86" t="inlineStr">
        <is>
          <t>USCG</t>
        </is>
      </c>
      <c r="C38" s="87">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8" s="93">
        <f>IFERROR(C38/C$39,0)</f>
        <v/>
      </c>
    </row>
    <row r="39" ht="10" customHeight="1">
      <c r="A39" s="88" t="inlineStr">
        <is>
          <t>Newbuild SAM</t>
        </is>
      </c>
      <c r="B39" s="88" t="inlineStr"/>
      <c r="C39" s="89">
        <f>SUM(C14:C38)</f>
        <v/>
      </c>
      <c r="D39" s="94" t="n">
        <v>1</v>
      </c>
    </row>
    <row r="40" ht="10" customHeight="1"/>
    <row r="41" ht="10" customHeight="1"/>
    <row r="42" ht="10" customHeight="1">
      <c r="A42" s="83" t="inlineStr">
        <is>
          <t>(C) Newbuild SAM — DD&amp;C vs AP/LLTM by Vessel Type (Mekko)</t>
        </is>
      </c>
      <c r="B42" s="84" t="n"/>
      <c r="C42" s="84" t="n"/>
      <c r="D42" s="84" t="n"/>
      <c r="E42" s="84" t="n"/>
      <c r="F42" s="84" t="n"/>
      <c r="G42" s="84" t="n"/>
      <c r="H42" s="84" t="n"/>
      <c r="I42" s="84" t="n"/>
      <c r="J42" s="84" t="n"/>
      <c r="K42" s="84" t="n"/>
      <c r="L42" s="84" t="n"/>
      <c r="M42" s="84" t="n"/>
      <c r="N42" s="84" t="n"/>
    </row>
    <row r="43" ht="10" customHeight="1">
      <c r="A43" s="95" t="n"/>
      <c r="B43" s="96" t="inlineStr">
        <is>
          <t>USN</t>
        </is>
      </c>
      <c r="C43" s="95" t="n"/>
      <c r="D43" s="95" t="n"/>
      <c r="E43" s="95" t="n"/>
      <c r="F43" s="95" t="n"/>
      <c r="G43" s="95" t="n"/>
      <c r="H43" s="95" t="n"/>
      <c r="I43" s="95" t="n"/>
      <c r="J43" s="96" t="inlineStr">
        <is>
          <t>USCG</t>
        </is>
      </c>
      <c r="K43" s="95" t="n"/>
      <c r="L43" s="95" t="n"/>
      <c r="M43" s="95" t="n"/>
      <c r="N43" s="97" t="n"/>
    </row>
    <row r="44" ht="10" customHeight="1">
      <c r="A44" s="85" t="inlineStr">
        <is>
          <t>Sub-Category</t>
        </is>
      </c>
      <c r="B44" s="98" t="inlineStr">
        <is>
          <t>Surface Combatants</t>
        </is>
      </c>
      <c r="C44" s="85" t="inlineStr">
        <is>
          <t>Expeditionary &amp; Seabasing Ships</t>
        </is>
      </c>
      <c r="D44" s="85" t="inlineStr">
        <is>
          <t>Combat Logistics Ships</t>
        </is>
      </c>
      <c r="E44" s="85" t="inlineStr">
        <is>
          <t>Amphibious Warfare Ships</t>
        </is>
      </c>
      <c r="F44" s="85" t="inlineStr">
        <is>
          <t>Unmanned Surface Vehicles</t>
        </is>
      </c>
      <c r="G44" s="85" t="inlineStr">
        <is>
          <t>Cargo &amp; Vehicle Cargo Ships</t>
        </is>
      </c>
      <c r="H44" s="85" t="inlineStr">
        <is>
          <t>Surveillance Ships</t>
        </is>
      </c>
      <c r="I44" s="85" t="inlineStr">
        <is>
          <t>Salvage Ships &amp; Fleet Ocean Tugs</t>
        </is>
      </c>
      <c r="J44" s="98" t="inlineStr">
        <is>
          <t>Offshore Patrol Cutter</t>
        </is>
      </c>
      <c r="K44" s="85" t="inlineStr">
        <is>
          <t>Fast Response Cutters</t>
        </is>
      </c>
      <c r="L44" s="85" t="inlineStr">
        <is>
          <t>Icebreakers, Oceangoing</t>
        </is>
      </c>
      <c r="M44" s="85" t="inlineStr">
        <is>
          <t>Waterways Commerce Cutters</t>
        </is>
      </c>
      <c r="N44" s="98" t="inlineStr">
        <is>
          <t>Total</t>
        </is>
      </c>
    </row>
    <row r="45" ht="10" customHeight="1">
      <c r="A45" s="86" t="inlineStr">
        <is>
          <t>Full Ship DD&amp;C</t>
        </is>
      </c>
      <c r="B45" s="99">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3">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3">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3">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3">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3">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3">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3">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9">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3">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3">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3">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9">
        <f>IFERROR(1-N46,0)</f>
        <v/>
      </c>
    </row>
    <row r="46" ht="10" customHeight="1">
      <c r="A46" s="86" t="inlineStr">
        <is>
          <t>Advance Procurement / LLTM</t>
        </is>
      </c>
      <c r="B46" s="99">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3">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3">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3">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3">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3">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3">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3">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9">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3">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3">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3">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9">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8" t="inlineStr">
        <is>
          <t>Total ($K)</t>
        </is>
      </c>
      <c r="B47" s="100">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100">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100">
        <f>SUM(B47:M47)</f>
        <v/>
      </c>
    </row>
    <row r="48" ht="10" customHeight="1"/>
    <row r="49" ht="10" customHeight="1"/>
    <row r="50" ht="10" customHeight="1">
      <c r="A50" s="83" t="inlineStr">
        <is>
          <t>(D) P-5c Gross Cost Category Breakdown by Vessel Type — FY2026 ($K)</t>
        </is>
      </c>
      <c r="B50" s="84" t="n"/>
      <c r="C50" s="84" t="n"/>
      <c r="D50" s="84" t="n"/>
      <c r="E50" s="84" t="n"/>
      <c r="F50" s="84" t="n"/>
      <c r="G50" s="84" t="n"/>
      <c r="H50" s="84" t="n"/>
    </row>
    <row r="51" ht="10" customHeight="1">
      <c r="A51" s="82" t="inlineStr">
        <is>
          <t>Gross total-ship-estimate costs from Exhibit P-5c. These are pre-AP/SFF and will NOT match SAM net totals.</t>
        </is>
      </c>
    </row>
    <row r="52" ht="10" customHeight="1">
      <c r="A52" s="95" t="n"/>
      <c r="B52" s="96" t="inlineStr">
        <is>
          <t>USN</t>
        </is>
      </c>
      <c r="C52" s="95" t="n"/>
      <c r="D52" s="95" t="n"/>
      <c r="E52" s="95" t="n"/>
      <c r="F52" s="95" t="n"/>
      <c r="G52" s="95" t="n"/>
      <c r="H52" s="97" t="n"/>
    </row>
    <row r="53" ht="10" customHeight="1">
      <c r="A53" s="85" t="inlineStr">
        <is>
          <t>Cost Category</t>
        </is>
      </c>
      <c r="B53" s="98" t="inlineStr">
        <is>
          <t>Surface Combatants</t>
        </is>
      </c>
      <c r="C53" s="85" t="inlineStr">
        <is>
          <t>Expeditionary &amp; Seabasing Ships</t>
        </is>
      </c>
      <c r="D53" s="85" t="inlineStr">
        <is>
          <t>Combat Logistics Ships</t>
        </is>
      </c>
      <c r="E53" s="85" t="inlineStr">
        <is>
          <t>Amphibious Warfare Ships</t>
        </is>
      </c>
      <c r="F53" s="85" t="inlineStr">
        <is>
          <t>Surveillance Ships</t>
        </is>
      </c>
      <c r="G53" s="85" t="inlineStr">
        <is>
          <t>Salvage Ships &amp; Fleet Ocean Tugs</t>
        </is>
      </c>
      <c r="H53" s="98" t="inlineStr">
        <is>
          <t>Total</t>
        </is>
      </c>
    </row>
    <row r="54" ht="10" customHeight="1">
      <c r="A54" s="86" t="inlineStr">
        <is>
          <t>Plan Costs</t>
        </is>
      </c>
      <c r="B54" s="101">
        <f>SUMIFS(JB_R,JB_S,"[ALT_VIEW]",JB_B,1,JB_EX,"P-5c",JB_CC,"Plan Costs",JB_W,"Surface Combatants",JB_R,"&lt;&gt;")+SUMIFS(JB_N,JB_S,"[ALT_VIEW]",JB_B,1,JB_EX,"P-5c",JB_CC,"Plan Costs",JB_W,"Surface Combatants",JB_R,"",JB_N,"&lt;&gt;")+SUMIFS(JB_L,JB_S,"[ALT_VIEW]",JB_B,1,JB_EX,"P-5c",JB_CC,"Plan Costs",JB_W,"Surface Combatants",JB_R,"",JB_N,"")</f>
        <v/>
      </c>
      <c r="C54" s="87">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54" s="87">
        <f>SUMIFS(JB_R,JB_S,"[ALT_VIEW]",JB_B,1,JB_EX,"P-5c",JB_CC,"Plan Costs",JB_W,"Combat Logistics Ships",JB_R,"&lt;&gt;")+SUMIFS(JB_N,JB_S,"[ALT_VIEW]",JB_B,1,JB_EX,"P-5c",JB_CC,"Plan Costs",JB_W,"Combat Logistics Ships",JB_R,"",JB_N,"&lt;&gt;")+SUMIFS(JB_L,JB_S,"[ALT_VIEW]",JB_B,1,JB_EX,"P-5c",JB_CC,"Plan Costs",JB_W,"Combat Logistics Ships",JB_R,"",JB_N,"")</f>
        <v/>
      </c>
      <c r="E54" s="87">
        <f>SUMIFS(JB_R,JB_S,"[ALT_VIEW]",JB_B,1,JB_EX,"P-5c",JB_CC,"Plan Costs",JB_W,"Amphibious Warfare Ships",JB_R,"&lt;&gt;")+SUMIFS(JB_N,JB_S,"[ALT_VIEW]",JB_B,1,JB_EX,"P-5c",JB_CC,"Plan Costs",JB_W,"Amphibious Warfare Ships",JB_R,"",JB_N,"&lt;&gt;")+SUMIFS(JB_L,JB_S,"[ALT_VIEW]",JB_B,1,JB_EX,"P-5c",JB_CC,"Plan Costs",JB_W,"Amphibious Warfare Ships",JB_R,"",JB_N,"")</f>
        <v/>
      </c>
      <c r="F54" s="87">
        <f>SUMIFS(JB_R,JB_S,"[ALT_VIEW]",JB_B,1,JB_EX,"P-5c",JB_CC,"Plan Costs",JB_W,"Surveillance Ships",JB_R,"&lt;&gt;")+SUMIFS(JB_N,JB_S,"[ALT_VIEW]",JB_B,1,JB_EX,"P-5c",JB_CC,"Plan Costs",JB_W,"Surveillance Ships",JB_R,"",JB_N,"&lt;&gt;")+SUMIFS(JB_L,JB_S,"[ALT_VIEW]",JB_B,1,JB_EX,"P-5c",JB_CC,"Plan Costs",JB_W,"Surveillance Ships",JB_R,"",JB_N,"")</f>
        <v/>
      </c>
      <c r="G54" s="87">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54" s="101">
        <f>SUM(B54:G54)</f>
        <v/>
      </c>
    </row>
    <row r="55" ht="10" customHeight="1">
      <c r="A55" s="86" t="inlineStr">
        <is>
          <t>Basic Construction</t>
        </is>
      </c>
      <c r="B55" s="101">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55" s="87">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55" s="87">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55" s="87">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55" s="87">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55" s="87">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55" s="101">
        <f>SUM(B55:G55)</f>
        <v/>
      </c>
    </row>
    <row r="56" ht="10" customHeight="1">
      <c r="A56" s="86" t="inlineStr">
        <is>
          <t>Change Orders</t>
        </is>
      </c>
      <c r="B56" s="101">
        <f>SUMIFS(JB_R,JB_S,"[ALT_VIEW]",JB_B,1,JB_EX,"P-5c",JB_CC,"Change Orders",JB_W,"Surface Combatants",JB_R,"&lt;&gt;")+SUMIFS(JB_N,JB_S,"[ALT_VIEW]",JB_B,1,JB_EX,"P-5c",JB_CC,"Change Orders",JB_W,"Surface Combatants",JB_R,"",JB_N,"&lt;&gt;")+SUMIFS(JB_L,JB_S,"[ALT_VIEW]",JB_B,1,JB_EX,"P-5c",JB_CC,"Change Orders",JB_W,"Surface Combatants",JB_R,"",JB_N,"")</f>
        <v/>
      </c>
      <c r="C56" s="87">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56" s="87">
        <f>SUMIFS(JB_R,JB_S,"[ALT_VIEW]",JB_B,1,JB_EX,"P-5c",JB_CC,"Change Orders",JB_W,"Combat Logistics Ships",JB_R,"&lt;&gt;")+SUMIFS(JB_N,JB_S,"[ALT_VIEW]",JB_B,1,JB_EX,"P-5c",JB_CC,"Change Orders",JB_W,"Combat Logistics Ships",JB_R,"",JB_N,"&lt;&gt;")+SUMIFS(JB_L,JB_S,"[ALT_VIEW]",JB_B,1,JB_EX,"P-5c",JB_CC,"Change Orders",JB_W,"Combat Logistics Ships",JB_R,"",JB_N,"")</f>
        <v/>
      </c>
      <c r="E56" s="87">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56" s="87">
        <f>SUMIFS(JB_R,JB_S,"[ALT_VIEW]",JB_B,1,JB_EX,"P-5c",JB_CC,"Change Orders",JB_W,"Surveillance Ships",JB_R,"&lt;&gt;")+SUMIFS(JB_N,JB_S,"[ALT_VIEW]",JB_B,1,JB_EX,"P-5c",JB_CC,"Change Orders",JB_W,"Surveillance Ships",JB_R,"",JB_N,"&lt;&gt;")+SUMIFS(JB_L,JB_S,"[ALT_VIEW]",JB_B,1,JB_EX,"P-5c",JB_CC,"Change Orders",JB_W,"Surveillance Ships",JB_R,"",JB_N,"")</f>
        <v/>
      </c>
      <c r="G56" s="87">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56" s="101">
        <f>SUM(B56:G56)</f>
        <v/>
      </c>
    </row>
    <row r="57" ht="10" customHeight="1">
      <c r="A57" s="86" t="inlineStr">
        <is>
          <t>Electronics</t>
        </is>
      </c>
      <c r="B57" s="101">
        <f>SUMIFS(JB_R,JB_S,"[ALT_VIEW]",JB_B,1,JB_EX,"P-5c",JB_CC,"Electronics",JB_W,"Surface Combatants",JB_R,"&lt;&gt;")+SUMIFS(JB_N,JB_S,"[ALT_VIEW]",JB_B,1,JB_EX,"P-5c",JB_CC,"Electronics",JB_W,"Surface Combatants",JB_R,"",JB_N,"&lt;&gt;")+SUMIFS(JB_L,JB_S,"[ALT_VIEW]",JB_B,1,JB_EX,"P-5c",JB_CC,"Electronics",JB_W,"Surface Combatants",JB_R,"",JB_N,"")</f>
        <v/>
      </c>
      <c r="C57" s="87">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57" s="87">
        <f>SUMIFS(JB_R,JB_S,"[ALT_VIEW]",JB_B,1,JB_EX,"P-5c",JB_CC,"Electronics",JB_W,"Combat Logistics Ships",JB_R,"&lt;&gt;")+SUMIFS(JB_N,JB_S,"[ALT_VIEW]",JB_B,1,JB_EX,"P-5c",JB_CC,"Electronics",JB_W,"Combat Logistics Ships",JB_R,"",JB_N,"&lt;&gt;")+SUMIFS(JB_L,JB_S,"[ALT_VIEW]",JB_B,1,JB_EX,"P-5c",JB_CC,"Electronics",JB_W,"Combat Logistics Ships",JB_R,"",JB_N,"")</f>
        <v/>
      </c>
      <c r="E57" s="87">
        <f>SUMIFS(JB_R,JB_S,"[ALT_VIEW]",JB_B,1,JB_EX,"P-5c",JB_CC,"Electronics",JB_W,"Amphibious Warfare Ships",JB_R,"&lt;&gt;")+SUMIFS(JB_N,JB_S,"[ALT_VIEW]",JB_B,1,JB_EX,"P-5c",JB_CC,"Electronics",JB_W,"Amphibious Warfare Ships",JB_R,"",JB_N,"&lt;&gt;")+SUMIFS(JB_L,JB_S,"[ALT_VIEW]",JB_B,1,JB_EX,"P-5c",JB_CC,"Electronics",JB_W,"Amphibious Warfare Ships",JB_R,"",JB_N,"")</f>
        <v/>
      </c>
      <c r="F57" s="87">
        <f>SUMIFS(JB_R,JB_S,"[ALT_VIEW]",JB_B,1,JB_EX,"P-5c",JB_CC,"Electronics",JB_W,"Surveillance Ships",JB_R,"&lt;&gt;")+SUMIFS(JB_N,JB_S,"[ALT_VIEW]",JB_B,1,JB_EX,"P-5c",JB_CC,"Electronics",JB_W,"Surveillance Ships",JB_R,"",JB_N,"&lt;&gt;")+SUMIFS(JB_L,JB_S,"[ALT_VIEW]",JB_B,1,JB_EX,"P-5c",JB_CC,"Electronics",JB_W,"Surveillance Ships",JB_R,"",JB_N,"")</f>
        <v/>
      </c>
      <c r="G57" s="87">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57" s="101">
        <f>SUM(B57:G57)</f>
        <v/>
      </c>
    </row>
    <row r="58" ht="10" customHeight="1">
      <c r="A58" s="86" t="inlineStr">
        <is>
          <t>Hull, Mechanical, and Electrical</t>
        </is>
      </c>
      <c r="B58" s="101">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58" s="87">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58" s="87">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58" s="87">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58" s="87">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58" s="87">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58" s="101">
        <f>SUM(B58:G58)</f>
        <v/>
      </c>
    </row>
    <row r="59" ht="10" customHeight="1">
      <c r="A59" s="86" t="inlineStr">
        <is>
          <t>Ordnance</t>
        </is>
      </c>
      <c r="B59" s="101">
        <f>SUMIFS(JB_R,JB_S,"[ALT_VIEW]",JB_B,1,JB_EX,"P-5c",JB_CC,"Ordnance",JB_W,"Surface Combatants",JB_R,"&lt;&gt;")+SUMIFS(JB_N,JB_S,"[ALT_VIEW]",JB_B,1,JB_EX,"P-5c",JB_CC,"Ordnance",JB_W,"Surface Combatants",JB_R,"",JB_N,"&lt;&gt;")+SUMIFS(JB_L,JB_S,"[ALT_VIEW]",JB_B,1,JB_EX,"P-5c",JB_CC,"Ordnance",JB_W,"Surface Combatants",JB_R,"",JB_N,"")</f>
        <v/>
      </c>
      <c r="C59" s="87">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59" s="87">
        <f>SUMIFS(JB_R,JB_S,"[ALT_VIEW]",JB_B,1,JB_EX,"P-5c",JB_CC,"Ordnance",JB_W,"Combat Logistics Ships",JB_R,"&lt;&gt;")+SUMIFS(JB_N,JB_S,"[ALT_VIEW]",JB_B,1,JB_EX,"P-5c",JB_CC,"Ordnance",JB_W,"Combat Logistics Ships",JB_R,"",JB_N,"&lt;&gt;")+SUMIFS(JB_L,JB_S,"[ALT_VIEW]",JB_B,1,JB_EX,"P-5c",JB_CC,"Ordnance",JB_W,"Combat Logistics Ships",JB_R,"",JB_N,"")</f>
        <v/>
      </c>
      <c r="E59" s="87">
        <f>SUMIFS(JB_R,JB_S,"[ALT_VIEW]",JB_B,1,JB_EX,"P-5c",JB_CC,"Ordnance",JB_W,"Amphibious Warfare Ships",JB_R,"&lt;&gt;")+SUMIFS(JB_N,JB_S,"[ALT_VIEW]",JB_B,1,JB_EX,"P-5c",JB_CC,"Ordnance",JB_W,"Amphibious Warfare Ships",JB_R,"",JB_N,"&lt;&gt;")+SUMIFS(JB_L,JB_S,"[ALT_VIEW]",JB_B,1,JB_EX,"P-5c",JB_CC,"Ordnance",JB_W,"Amphibious Warfare Ships",JB_R,"",JB_N,"")</f>
        <v/>
      </c>
      <c r="F59" s="87">
        <f>SUMIFS(JB_R,JB_S,"[ALT_VIEW]",JB_B,1,JB_EX,"P-5c",JB_CC,"Ordnance",JB_W,"Surveillance Ships",JB_R,"&lt;&gt;")+SUMIFS(JB_N,JB_S,"[ALT_VIEW]",JB_B,1,JB_EX,"P-5c",JB_CC,"Ordnance",JB_W,"Surveillance Ships",JB_R,"",JB_N,"&lt;&gt;")+SUMIFS(JB_L,JB_S,"[ALT_VIEW]",JB_B,1,JB_EX,"P-5c",JB_CC,"Ordnance",JB_W,"Surveillance Ships",JB_R,"",JB_N,"")</f>
        <v/>
      </c>
      <c r="G59" s="87">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59" s="101">
        <f>SUM(B59:G59)</f>
        <v/>
      </c>
    </row>
    <row r="60" ht="10" customHeight="1">
      <c r="A60" s="86" t="inlineStr">
        <is>
          <t>Other Cost</t>
        </is>
      </c>
      <c r="B60" s="101">
        <f>SUMIFS(JB_R,JB_S,"[ALT_VIEW]",JB_B,1,JB_EX,"P-5c",JB_CC,"Other Cost",JB_W,"Surface Combatants",JB_R,"&lt;&gt;")+SUMIFS(JB_N,JB_S,"[ALT_VIEW]",JB_B,1,JB_EX,"P-5c",JB_CC,"Other Cost",JB_W,"Surface Combatants",JB_R,"",JB_N,"&lt;&gt;")+SUMIFS(JB_L,JB_S,"[ALT_VIEW]",JB_B,1,JB_EX,"P-5c",JB_CC,"Other Cost",JB_W,"Surface Combatants",JB_R,"",JB_N,"")</f>
        <v/>
      </c>
      <c r="C60" s="87">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60" s="87">
        <f>SUMIFS(JB_R,JB_S,"[ALT_VIEW]",JB_B,1,JB_EX,"P-5c",JB_CC,"Other Cost",JB_W,"Combat Logistics Ships",JB_R,"&lt;&gt;")+SUMIFS(JB_N,JB_S,"[ALT_VIEW]",JB_B,1,JB_EX,"P-5c",JB_CC,"Other Cost",JB_W,"Combat Logistics Ships",JB_R,"",JB_N,"&lt;&gt;")+SUMIFS(JB_L,JB_S,"[ALT_VIEW]",JB_B,1,JB_EX,"P-5c",JB_CC,"Other Cost",JB_W,"Combat Logistics Ships",JB_R,"",JB_N,"")</f>
        <v/>
      </c>
      <c r="E60" s="87">
        <f>SUMIFS(JB_R,JB_S,"[ALT_VIEW]",JB_B,1,JB_EX,"P-5c",JB_CC,"Other Cost",JB_W,"Amphibious Warfare Ships",JB_R,"&lt;&gt;")+SUMIFS(JB_N,JB_S,"[ALT_VIEW]",JB_B,1,JB_EX,"P-5c",JB_CC,"Other Cost",JB_W,"Amphibious Warfare Ships",JB_R,"",JB_N,"&lt;&gt;")+SUMIFS(JB_L,JB_S,"[ALT_VIEW]",JB_B,1,JB_EX,"P-5c",JB_CC,"Other Cost",JB_W,"Amphibious Warfare Ships",JB_R,"",JB_N,"")</f>
        <v/>
      </c>
      <c r="F60" s="87">
        <f>SUMIFS(JB_R,JB_S,"[ALT_VIEW]",JB_B,1,JB_EX,"P-5c",JB_CC,"Other Cost",JB_W,"Surveillance Ships",JB_R,"&lt;&gt;")+SUMIFS(JB_N,JB_S,"[ALT_VIEW]",JB_B,1,JB_EX,"P-5c",JB_CC,"Other Cost",JB_W,"Surveillance Ships",JB_R,"",JB_N,"&lt;&gt;")+SUMIFS(JB_L,JB_S,"[ALT_VIEW]",JB_B,1,JB_EX,"P-5c",JB_CC,"Other Cost",JB_W,"Surveillance Ships",JB_R,"",JB_N,"")</f>
        <v/>
      </c>
      <c r="G60" s="87">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60" s="101">
        <f>SUM(B60:G60)</f>
        <v/>
      </c>
    </row>
    <row r="61" ht="10" customHeight="1">
      <c r="A61" s="88" t="inlineStr">
        <is>
          <t>Gross Total ($K)</t>
        </is>
      </c>
      <c r="B61" s="100">
        <f>SUM(B54:B60)</f>
        <v/>
      </c>
      <c r="C61" s="89">
        <f>SUM(C54:C60)</f>
        <v/>
      </c>
      <c r="D61" s="89">
        <f>SUM(D54:D60)</f>
        <v/>
      </c>
      <c r="E61" s="89">
        <f>SUM(E54:E60)</f>
        <v/>
      </c>
      <c r="F61" s="89">
        <f>SUM(F54:F60)</f>
        <v/>
      </c>
      <c r="G61" s="89">
        <f>SUM(G54:G60)</f>
        <v/>
      </c>
      <c r="H61" s="100">
        <f>SUM(H54:H60)</f>
        <v/>
      </c>
    </row>
    <row r="62" ht="10" customHeight="1"/>
    <row r="63" ht="10" customHeight="1">
      <c r="A63" s="102" t="inlineStr">
        <is>
          <t>Cost category mix (% of gross total per vessel type)</t>
        </is>
      </c>
      <c r="B63" s="95" t="n"/>
      <c r="C63" s="95" t="n"/>
      <c r="D63" s="95" t="n"/>
      <c r="E63" s="95" t="n"/>
      <c r="F63" s="95" t="n"/>
      <c r="G63" s="95" t="n"/>
      <c r="H63" s="95" t="n"/>
    </row>
    <row r="64" ht="10" customHeight="1">
      <c r="A64" s="85" t="inlineStr">
        <is>
          <t>Cost Category</t>
        </is>
      </c>
      <c r="B64" s="85" t="inlineStr">
        <is>
          <t>Surface Combatants</t>
        </is>
      </c>
      <c r="C64" s="85" t="inlineStr">
        <is>
          <t>Expeditionary &amp; Seabasing Ships</t>
        </is>
      </c>
      <c r="D64" s="85" t="inlineStr">
        <is>
          <t>Combat Logistics Ships</t>
        </is>
      </c>
      <c r="E64" s="85" t="inlineStr">
        <is>
          <t>Amphibious Warfare Ships</t>
        </is>
      </c>
      <c r="F64" s="85" t="inlineStr">
        <is>
          <t>Surveillance Ships</t>
        </is>
      </c>
      <c r="G64" s="85" t="inlineStr">
        <is>
          <t>Salvage Ships &amp; Fleet Ocean Tugs</t>
        </is>
      </c>
      <c r="H64" s="85" t="inlineStr">
        <is>
          <t>Total</t>
        </is>
      </c>
    </row>
    <row r="65" ht="10" customHeight="1">
      <c r="A65" s="86" t="inlineStr">
        <is>
          <t>Plan Costs</t>
        </is>
      </c>
      <c r="B65" s="93">
        <f>IFERROR(B54/B$61,0)</f>
        <v/>
      </c>
      <c r="C65" s="93">
        <f>IFERROR(C54/C$61,0)</f>
        <v/>
      </c>
      <c r="D65" s="93">
        <f>IFERROR(D54/D$61,0)</f>
        <v/>
      </c>
      <c r="E65" s="93">
        <f>IFERROR(E54/E$61,0)</f>
        <v/>
      </c>
      <c r="F65" s="93">
        <f>IFERROR(F54/F$61,0)</f>
        <v/>
      </c>
      <c r="G65" s="93">
        <f>IFERROR(G54/G$61,0)</f>
        <v/>
      </c>
      <c r="H65" s="93">
        <f>IFERROR(H54/H$61,0)</f>
        <v/>
      </c>
    </row>
    <row r="66" ht="10" customHeight="1">
      <c r="A66" s="86" t="inlineStr">
        <is>
          <t>Basic Construction</t>
        </is>
      </c>
      <c r="B66" s="93">
        <f>IFERROR(B55/B$61,0)</f>
        <v/>
      </c>
      <c r="C66" s="93">
        <f>IFERROR(C55/C$61,0)</f>
        <v/>
      </c>
      <c r="D66" s="93">
        <f>IFERROR(D55/D$61,0)</f>
        <v/>
      </c>
      <c r="E66" s="93">
        <f>IFERROR(E55/E$61,0)</f>
        <v/>
      </c>
      <c r="F66" s="93">
        <f>IFERROR(F55/F$61,0)</f>
        <v/>
      </c>
      <c r="G66" s="93">
        <f>IFERROR(G55/G$61,0)</f>
        <v/>
      </c>
      <c r="H66" s="93">
        <f>IFERROR(H55/H$61,0)</f>
        <v/>
      </c>
    </row>
    <row r="67" ht="10" customHeight="1">
      <c r="A67" s="86" t="inlineStr">
        <is>
          <t>Change Orders</t>
        </is>
      </c>
      <c r="B67" s="93">
        <f>IFERROR(B56/B$61,0)</f>
        <v/>
      </c>
      <c r="C67" s="93">
        <f>IFERROR(C56/C$61,0)</f>
        <v/>
      </c>
      <c r="D67" s="93">
        <f>IFERROR(D56/D$61,0)</f>
        <v/>
      </c>
      <c r="E67" s="93">
        <f>IFERROR(E56/E$61,0)</f>
        <v/>
      </c>
      <c r="F67" s="93">
        <f>IFERROR(F56/F$61,0)</f>
        <v/>
      </c>
      <c r="G67" s="93">
        <f>IFERROR(G56/G$61,0)</f>
        <v/>
      </c>
      <c r="H67" s="93">
        <f>IFERROR(H56/H$61,0)</f>
        <v/>
      </c>
    </row>
    <row r="68" ht="10" customHeight="1">
      <c r="A68" s="86" t="inlineStr">
        <is>
          <t>Electronics</t>
        </is>
      </c>
      <c r="B68" s="93">
        <f>IFERROR(B57/B$61,0)</f>
        <v/>
      </c>
      <c r="C68" s="93">
        <f>IFERROR(C57/C$61,0)</f>
        <v/>
      </c>
      <c r="D68" s="93">
        <f>IFERROR(D57/D$61,0)</f>
        <v/>
      </c>
      <c r="E68" s="93">
        <f>IFERROR(E57/E$61,0)</f>
        <v/>
      </c>
      <c r="F68" s="93">
        <f>IFERROR(F57/F$61,0)</f>
        <v/>
      </c>
      <c r="G68" s="93">
        <f>IFERROR(G57/G$61,0)</f>
        <v/>
      </c>
      <c r="H68" s="93">
        <f>IFERROR(H57/H$61,0)</f>
        <v/>
      </c>
    </row>
    <row r="69" ht="10" customHeight="1">
      <c r="A69" s="86" t="inlineStr">
        <is>
          <t>Hull, Mechanical, and Electrical</t>
        </is>
      </c>
      <c r="B69" s="93">
        <f>IFERROR(B58/B$61,0)</f>
        <v/>
      </c>
      <c r="C69" s="93">
        <f>IFERROR(C58/C$61,0)</f>
        <v/>
      </c>
      <c r="D69" s="93">
        <f>IFERROR(D58/D$61,0)</f>
        <v/>
      </c>
      <c r="E69" s="93">
        <f>IFERROR(E58/E$61,0)</f>
        <v/>
      </c>
      <c r="F69" s="93">
        <f>IFERROR(F58/F$61,0)</f>
        <v/>
      </c>
      <c r="G69" s="93">
        <f>IFERROR(G58/G$61,0)</f>
        <v/>
      </c>
      <c r="H69" s="93">
        <f>IFERROR(H58/H$61,0)</f>
        <v/>
      </c>
    </row>
    <row r="70" ht="10" customHeight="1">
      <c r="A70" s="86" t="inlineStr">
        <is>
          <t>Ordnance</t>
        </is>
      </c>
      <c r="B70" s="93">
        <f>IFERROR(B59/B$61,0)</f>
        <v/>
      </c>
      <c r="C70" s="93">
        <f>IFERROR(C59/C$61,0)</f>
        <v/>
      </c>
      <c r="D70" s="93">
        <f>IFERROR(D59/D$61,0)</f>
        <v/>
      </c>
      <c r="E70" s="93">
        <f>IFERROR(E59/E$61,0)</f>
        <v/>
      </c>
      <c r="F70" s="93">
        <f>IFERROR(F59/F$61,0)</f>
        <v/>
      </c>
      <c r="G70" s="93">
        <f>IFERROR(G59/G$61,0)</f>
        <v/>
      </c>
      <c r="H70" s="93">
        <f>IFERROR(H59/H$61,0)</f>
        <v/>
      </c>
    </row>
    <row r="71" ht="10" customHeight="1">
      <c r="A71" s="86" t="inlineStr">
        <is>
          <t>Other Cost</t>
        </is>
      </c>
      <c r="B71" s="93">
        <f>IFERROR(B60/B$61,0)</f>
        <v/>
      </c>
      <c r="C71" s="93">
        <f>IFERROR(C60/C$61,0)</f>
        <v/>
      </c>
      <c r="D71" s="93">
        <f>IFERROR(D60/D$61,0)</f>
        <v/>
      </c>
      <c r="E71" s="93">
        <f>IFERROR(E60/E$61,0)</f>
        <v/>
      </c>
      <c r="F71" s="93">
        <f>IFERROR(F60/F$61,0)</f>
        <v/>
      </c>
      <c r="G71" s="93">
        <f>IFERROR(G60/G$61,0)</f>
        <v/>
      </c>
      <c r="H71" s="93">
        <f>IFERROR(H60/H$61,0)</f>
        <v/>
      </c>
    </row>
    <row r="72" ht="10" customHeight="1">
      <c r="A72" s="88" t="inlineStr">
        <is>
          <t>Total</t>
        </is>
      </c>
      <c r="B72" s="94" t="n">
        <v>1</v>
      </c>
      <c r="C72" s="94" t="n">
        <v>1</v>
      </c>
      <c r="D72" s="94" t="n">
        <v>1</v>
      </c>
      <c r="E72" s="94" t="n">
        <v>1</v>
      </c>
      <c r="F72" s="94" t="n">
        <v>1</v>
      </c>
      <c r="G72" s="94" t="n">
        <v>1</v>
      </c>
      <c r="H72" s="94" t="n">
        <v>1</v>
      </c>
    </row>
    <row r="73" ht="10" customHeight="1"/>
    <row r="74" ht="10" customHeight="1"/>
    <row r="75" ht="10" customHeight="1">
      <c r="A75" s="83" t="inlineStr">
        <is>
          <t>(E) Proportional Cost Category Allocation to SAM Net Totals — FY2026 ($K)</t>
        </is>
      </c>
      <c r="B75" s="84" t="n"/>
      <c r="C75" s="84" t="n"/>
      <c r="D75" s="84" t="n"/>
      <c r="E75" s="84" t="n"/>
      <c r="F75" s="84" t="n"/>
      <c r="G75" s="84" t="n"/>
      <c r="H75" s="84" t="n"/>
    </row>
    <row r="76" ht="10" customHeight="1">
      <c r="A76" s="82" t="inlineStr">
        <is>
          <t>P-5c percentage mix from (D) applied to SAM net budget-authority totals from (B). Totals reconcile to SAM.</t>
        </is>
      </c>
    </row>
    <row r="77" ht="10" customHeight="1">
      <c r="A77" s="95" t="n"/>
      <c r="B77" s="96" t="inlineStr">
        <is>
          <t>USN</t>
        </is>
      </c>
      <c r="C77" s="95" t="n"/>
      <c r="D77" s="95" t="n"/>
      <c r="E77" s="95" t="n"/>
      <c r="F77" s="95" t="n"/>
      <c r="G77" s="95" t="n"/>
      <c r="H77" s="97" t="n"/>
    </row>
    <row r="78" ht="10" customHeight="1">
      <c r="A78" s="85" t="inlineStr">
        <is>
          <t>Cost Category</t>
        </is>
      </c>
      <c r="B78" s="98" t="inlineStr">
        <is>
          <t>Surface Combatants</t>
        </is>
      </c>
      <c r="C78" s="85" t="inlineStr">
        <is>
          <t>Expeditionary &amp; Seabasing Ships</t>
        </is>
      </c>
      <c r="D78" s="85" t="inlineStr">
        <is>
          <t>Combat Logistics Ships</t>
        </is>
      </c>
      <c r="E78" s="85" t="inlineStr">
        <is>
          <t>Amphibious Warfare Ships</t>
        </is>
      </c>
      <c r="F78" s="85" t="inlineStr">
        <is>
          <t>Surveillance Ships</t>
        </is>
      </c>
      <c r="G78" s="85" t="inlineStr">
        <is>
          <t>Salvage Ships &amp; Fleet Ocean Tugs</t>
        </is>
      </c>
      <c r="H78" s="98" t="inlineStr">
        <is>
          <t>Total</t>
        </is>
      </c>
    </row>
    <row r="79" ht="10" customHeight="1">
      <c r="A79" s="91" t="inlineStr">
        <is>
          <t>SAM Net Total ($K)</t>
        </is>
      </c>
      <c r="B79" s="103">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79" s="92">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79" s="92">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79" s="92">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79" s="92">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G79" s="92">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H79" s="103">
        <f>SUM(B79:G79)</f>
        <v/>
      </c>
    </row>
    <row r="80" ht="10" customHeight="1">
      <c r="A80" s="86" t="inlineStr">
        <is>
          <t>Plan Costs</t>
        </is>
      </c>
      <c r="B80" s="101">
        <f>IFERROR(B$79*B65,0)</f>
        <v/>
      </c>
      <c r="C80" s="87">
        <f>IFERROR(C$79*C65,0)</f>
        <v/>
      </c>
      <c r="D80" s="87">
        <f>IFERROR(D$79*D65,0)</f>
        <v/>
      </c>
      <c r="E80" s="87">
        <f>IFERROR(E$79*E65,0)</f>
        <v/>
      </c>
      <c r="F80" s="87">
        <f>IFERROR(F$79*F65,0)</f>
        <v/>
      </c>
      <c r="G80" s="87">
        <f>IFERROR(G$79*G65,0)</f>
        <v/>
      </c>
      <c r="H80" s="101">
        <f>IFERROR(H$79*H65,0)</f>
        <v/>
      </c>
    </row>
    <row r="81" ht="10" customHeight="1">
      <c r="A81" s="86" t="inlineStr">
        <is>
          <t>Basic Construction</t>
        </is>
      </c>
      <c r="B81" s="101">
        <f>IFERROR(B$79*B66,0)</f>
        <v/>
      </c>
      <c r="C81" s="87">
        <f>IFERROR(C$79*C66,0)</f>
        <v/>
      </c>
      <c r="D81" s="87">
        <f>IFERROR(D$79*D66,0)</f>
        <v/>
      </c>
      <c r="E81" s="87">
        <f>IFERROR(E$79*E66,0)</f>
        <v/>
      </c>
      <c r="F81" s="87">
        <f>IFERROR(F$79*F66,0)</f>
        <v/>
      </c>
      <c r="G81" s="87">
        <f>IFERROR(G$79*G66,0)</f>
        <v/>
      </c>
      <c r="H81" s="101">
        <f>IFERROR(H$79*H66,0)</f>
        <v/>
      </c>
    </row>
    <row r="82" ht="10" customHeight="1">
      <c r="A82" s="86" t="inlineStr">
        <is>
          <t>Change Orders</t>
        </is>
      </c>
      <c r="B82" s="101">
        <f>IFERROR(B$79*B67,0)</f>
        <v/>
      </c>
      <c r="C82" s="87">
        <f>IFERROR(C$79*C67,0)</f>
        <v/>
      </c>
      <c r="D82" s="87">
        <f>IFERROR(D$79*D67,0)</f>
        <v/>
      </c>
      <c r="E82" s="87">
        <f>IFERROR(E$79*E67,0)</f>
        <v/>
      </c>
      <c r="F82" s="87">
        <f>IFERROR(F$79*F67,0)</f>
        <v/>
      </c>
      <c r="G82" s="87">
        <f>IFERROR(G$79*G67,0)</f>
        <v/>
      </c>
      <c r="H82" s="101">
        <f>IFERROR(H$79*H67,0)</f>
        <v/>
      </c>
    </row>
    <row r="83" ht="10" customHeight="1">
      <c r="A83" s="86" t="inlineStr">
        <is>
          <t>Electronics</t>
        </is>
      </c>
      <c r="B83" s="101">
        <f>IFERROR(B$79*B68,0)</f>
        <v/>
      </c>
      <c r="C83" s="87">
        <f>IFERROR(C$79*C68,0)</f>
        <v/>
      </c>
      <c r="D83" s="87">
        <f>IFERROR(D$79*D68,0)</f>
        <v/>
      </c>
      <c r="E83" s="87">
        <f>IFERROR(E$79*E68,0)</f>
        <v/>
      </c>
      <c r="F83" s="87">
        <f>IFERROR(F$79*F68,0)</f>
        <v/>
      </c>
      <c r="G83" s="87">
        <f>IFERROR(G$79*G68,0)</f>
        <v/>
      </c>
      <c r="H83" s="101">
        <f>IFERROR(H$79*H68,0)</f>
        <v/>
      </c>
    </row>
    <row r="84" ht="10" customHeight="1">
      <c r="A84" s="86" t="inlineStr">
        <is>
          <t>Hull, Mechanical, and Electrical</t>
        </is>
      </c>
      <c r="B84" s="101">
        <f>IFERROR(B$79*B69,0)</f>
        <v/>
      </c>
      <c r="C84" s="87">
        <f>IFERROR(C$79*C69,0)</f>
        <v/>
      </c>
      <c r="D84" s="87">
        <f>IFERROR(D$79*D69,0)</f>
        <v/>
      </c>
      <c r="E84" s="87">
        <f>IFERROR(E$79*E69,0)</f>
        <v/>
      </c>
      <c r="F84" s="87">
        <f>IFERROR(F$79*F69,0)</f>
        <v/>
      </c>
      <c r="G84" s="87">
        <f>IFERROR(G$79*G69,0)</f>
        <v/>
      </c>
      <c r="H84" s="101">
        <f>IFERROR(H$79*H69,0)</f>
        <v/>
      </c>
    </row>
    <row r="85" ht="10" customHeight="1">
      <c r="A85" s="86" t="inlineStr">
        <is>
          <t>Ordnance</t>
        </is>
      </c>
      <c r="B85" s="101">
        <f>IFERROR(B$79*B70,0)</f>
        <v/>
      </c>
      <c r="C85" s="87">
        <f>IFERROR(C$79*C70,0)</f>
        <v/>
      </c>
      <c r="D85" s="87">
        <f>IFERROR(D$79*D70,0)</f>
        <v/>
      </c>
      <c r="E85" s="87">
        <f>IFERROR(E$79*E70,0)</f>
        <v/>
      </c>
      <c r="F85" s="87">
        <f>IFERROR(F$79*F70,0)</f>
        <v/>
      </c>
      <c r="G85" s="87">
        <f>IFERROR(G$79*G70,0)</f>
        <v/>
      </c>
      <c r="H85" s="101">
        <f>IFERROR(H$79*H70,0)</f>
        <v/>
      </c>
    </row>
    <row r="86" ht="10" customHeight="1">
      <c r="A86" s="86" t="inlineStr">
        <is>
          <t>Other Cost</t>
        </is>
      </c>
      <c r="B86" s="101">
        <f>IFERROR(B$79*B71,0)</f>
        <v/>
      </c>
      <c r="C86" s="87">
        <f>IFERROR(C$79*C71,0)</f>
        <v/>
      </c>
      <c r="D86" s="87">
        <f>IFERROR(D$79*D71,0)</f>
        <v/>
      </c>
      <c r="E86" s="87">
        <f>IFERROR(E$79*E71,0)</f>
        <v/>
      </c>
      <c r="F86" s="87">
        <f>IFERROR(F$79*F71,0)</f>
        <v/>
      </c>
      <c r="G86" s="87">
        <f>IFERROR(G$79*G71,0)</f>
        <v/>
      </c>
      <c r="H86" s="101">
        <f>IFERROR(H$79*H71,0)</f>
        <v/>
      </c>
    </row>
    <row r="87" ht="10" customHeight="1">
      <c r="A87" s="88" t="inlineStr">
        <is>
          <t>Allocated Total ($K)</t>
        </is>
      </c>
      <c r="B87" s="100">
        <f>SUM(B80:B86)</f>
        <v/>
      </c>
      <c r="C87" s="89">
        <f>SUM(C80:C86)</f>
        <v/>
      </c>
      <c r="D87" s="89">
        <f>SUM(D80:D86)</f>
        <v/>
      </c>
      <c r="E87" s="89">
        <f>SUM(E80:E86)</f>
        <v/>
      </c>
      <c r="F87" s="89">
        <f>SUM(F80:F86)</f>
        <v/>
      </c>
      <c r="G87" s="89">
        <f>SUM(G80:G86)</f>
        <v/>
      </c>
      <c r="H87" s="100">
        <f>SUM(H80:H86)</f>
        <v/>
      </c>
    </row>
    <row r="88" ht="10" customHeight="1">
      <c r="A88" s="82" t="inlineStr">
        <is>
          <t>Check: matches SAM net?</t>
        </is>
      </c>
      <c r="B88" s="104">
        <f>IFERROR(B87/B79-1,0)</f>
        <v/>
      </c>
      <c r="C88" s="105">
        <f>IFERROR(C87/C79-1,0)</f>
        <v/>
      </c>
      <c r="D88" s="105">
        <f>IFERROR(D87/D79-1,0)</f>
        <v/>
      </c>
      <c r="E88" s="105">
        <f>IFERROR(E87/E79-1,0)</f>
        <v/>
      </c>
      <c r="F88" s="105">
        <f>IFERROR(F87/F79-1,0)</f>
        <v/>
      </c>
      <c r="G88" s="105">
        <f>IFERROR(G87/G79-1,0)</f>
        <v/>
      </c>
      <c r="H88" s="104">
        <f>IFERROR(H87/H79-1,0)</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231"/>
  <sheetViews>
    <sheetView showGridLines="0" workbookViewId="0">
      <selection activeCell="A1" sqref="A1"/>
    </sheetView>
  </sheetViews>
  <sheetFormatPr baseColWidth="8" defaultRowHeight="15"/>
  <cols>
    <col width="32" customWidth="1" min="1" max="1"/>
    <col width="22" customWidth="1" min="2" max="2"/>
    <col width="14" customWidth="1" min="3" max="3"/>
    <col width="10" customWidth="1" min="4" max="4"/>
    <col width="40" customWidth="1" min="5" max="5"/>
    <col width="14" customWidth="1" min="6" max="6"/>
    <col width="14" customWidth="1" min="7" max="7"/>
    <col width="14" customWidth="1" min="8" max="8"/>
  </cols>
  <sheetData>
    <row r="1" ht="10" customHeight="1">
      <c r="A1" s="80" t="inlineStr">
        <is>
          <t>Newbuild SAM Cost Detail — FY2026 ($K)</t>
        </is>
      </c>
      <c r="B1" s="81" t="n"/>
      <c r="C1" s="81" t="n"/>
      <c r="D1" s="81" t="n"/>
      <c r="E1" s="81" t="n"/>
      <c r="F1" s="81" t="n"/>
      <c r="G1" s="81" t="n"/>
      <c r="H1" s="81" t="n"/>
    </row>
    <row r="2" ht="10" customHeight="1">
      <c r="A2" s="82" t="inlineStr">
        <is>
          <t>Gross ship-cost breakdown from P-5c and P-8a exhibits. NOT net budget authority — see Newbuild SAM for reconciled values.</t>
        </is>
      </c>
    </row>
    <row r="3" ht="10" customHeight="1"/>
    <row r="4" ht="10" customHeight="1">
      <c r="A4" s="83" t="inlineStr">
        <is>
          <t>(A) P-5c Total Ship Cost by Vessel Type &amp; Cost Category — FY2026 ($K)</t>
        </is>
      </c>
      <c r="B4" s="84" t="n"/>
      <c r="C4" s="84" t="n"/>
      <c r="D4" s="84" t="n"/>
      <c r="E4" s="84" t="n"/>
      <c r="F4" s="84" t="n"/>
      <c r="G4" s="84" t="n"/>
      <c r="H4" s="84" t="n"/>
    </row>
    <row r="5" ht="10" customHeight="1">
      <c r="A5" s="95" t="n"/>
      <c r="B5" s="96" t="inlineStr">
        <is>
          <t>USN</t>
        </is>
      </c>
      <c r="C5" s="95" t="n"/>
      <c r="D5" s="95" t="n"/>
      <c r="E5" s="95" t="n"/>
      <c r="F5" s="95" t="n"/>
      <c r="G5" s="95" t="n"/>
      <c r="H5" s="97" t="n"/>
    </row>
    <row r="6" ht="10" customHeight="1">
      <c r="A6" s="85" t="inlineStr">
        <is>
          <t>Cost Category</t>
        </is>
      </c>
      <c r="B6" s="98" t="inlineStr">
        <is>
          <t>Surface Combatants</t>
        </is>
      </c>
      <c r="C6" s="85" t="inlineStr">
        <is>
          <t>Expeditionary &amp; Seabasing Ships</t>
        </is>
      </c>
      <c r="D6" s="85" t="inlineStr">
        <is>
          <t>Combat Logistics Ships</t>
        </is>
      </c>
      <c r="E6" s="85" t="inlineStr">
        <is>
          <t>Amphibious Warfare Ships</t>
        </is>
      </c>
      <c r="F6" s="85" t="inlineStr">
        <is>
          <t>Surveillance Ships</t>
        </is>
      </c>
      <c r="G6" s="85" t="inlineStr">
        <is>
          <t>Salvage Ships &amp; Fleet Ocean Tugs</t>
        </is>
      </c>
      <c r="H6" s="98" t="inlineStr">
        <is>
          <t>Total</t>
        </is>
      </c>
    </row>
    <row r="7" ht="10" customHeight="1">
      <c r="A7" s="86" t="inlineStr">
        <is>
          <t>Plan Costs</t>
        </is>
      </c>
      <c r="B7" s="101">
        <f>SUMIFS(JB_R,JB_S,"[ALT_VIEW]",JB_B,1,JB_EX,"P-5c",JB_CC,"Plan Costs",JB_W,"Surface Combatants",JB_R,"&lt;&gt;")+SUMIFS(JB_N,JB_S,"[ALT_VIEW]",JB_B,1,JB_EX,"P-5c",JB_CC,"Plan Costs",JB_W,"Surface Combatants",JB_R,"",JB_N,"&lt;&gt;")+SUMIFS(JB_L,JB_S,"[ALT_VIEW]",JB_B,1,JB_EX,"P-5c",JB_CC,"Plan Costs",JB_W,"Surface Combatants",JB_R,"",JB_N,"")</f>
        <v/>
      </c>
      <c r="C7" s="87">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
      </c>
      <c r="D7" s="87">
        <f>SUMIFS(JB_R,JB_S,"[ALT_VIEW]",JB_B,1,JB_EX,"P-5c",JB_CC,"Plan Costs",JB_W,"Combat Logistics Ships",JB_R,"&lt;&gt;")+SUMIFS(JB_N,JB_S,"[ALT_VIEW]",JB_B,1,JB_EX,"P-5c",JB_CC,"Plan Costs",JB_W,"Combat Logistics Ships",JB_R,"",JB_N,"&lt;&gt;")+SUMIFS(JB_L,JB_S,"[ALT_VIEW]",JB_B,1,JB_EX,"P-5c",JB_CC,"Plan Costs",JB_W,"Combat Logistics Ships",JB_R,"",JB_N,"")</f>
        <v/>
      </c>
      <c r="E7" s="87">
        <f>SUMIFS(JB_R,JB_S,"[ALT_VIEW]",JB_B,1,JB_EX,"P-5c",JB_CC,"Plan Costs",JB_W,"Amphibious Warfare Ships",JB_R,"&lt;&gt;")+SUMIFS(JB_N,JB_S,"[ALT_VIEW]",JB_B,1,JB_EX,"P-5c",JB_CC,"Plan Costs",JB_W,"Amphibious Warfare Ships",JB_R,"",JB_N,"&lt;&gt;")+SUMIFS(JB_L,JB_S,"[ALT_VIEW]",JB_B,1,JB_EX,"P-5c",JB_CC,"Plan Costs",JB_W,"Amphibious Warfare Ships",JB_R,"",JB_N,"")</f>
        <v/>
      </c>
      <c r="F7" s="87">
        <f>SUMIFS(JB_R,JB_S,"[ALT_VIEW]",JB_B,1,JB_EX,"P-5c",JB_CC,"Plan Costs",JB_W,"Surveillance Ships",JB_R,"&lt;&gt;")+SUMIFS(JB_N,JB_S,"[ALT_VIEW]",JB_B,1,JB_EX,"P-5c",JB_CC,"Plan Costs",JB_W,"Surveillance Ships",JB_R,"",JB_N,"&lt;&gt;")+SUMIFS(JB_L,JB_S,"[ALT_VIEW]",JB_B,1,JB_EX,"P-5c",JB_CC,"Plan Costs",JB_W,"Surveillance Ships",JB_R,"",JB_N,"")</f>
        <v/>
      </c>
      <c r="G7" s="87">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
      </c>
      <c r="H7" s="101">
        <f>SUM(B7:G7)</f>
        <v/>
      </c>
    </row>
    <row r="8" ht="10" customHeight="1">
      <c r="A8" s="86" t="inlineStr">
        <is>
          <t>Basic Construction</t>
        </is>
      </c>
      <c r="B8" s="101">
        <f>SUMIFS(JB_R,JB_S,"[ALT_VIEW]",JB_B,1,JB_EX,"P-5c",JB_CC,"Basic Construction",JB_W,"Surface Combatants",JB_R,"&lt;&gt;")+SUMIFS(JB_N,JB_S,"[ALT_VIEW]",JB_B,1,JB_EX,"P-5c",JB_CC,"Basic Construction",JB_W,"Surface Combatants",JB_R,"",JB_N,"&lt;&gt;")+SUMIFS(JB_L,JB_S,"[ALT_VIEW]",JB_B,1,JB_EX,"P-5c",JB_CC,"Basic Construction",JB_W,"Surface Combatants",JB_R,"",JB_N,"")</f>
        <v/>
      </c>
      <c r="C8" s="87">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
      </c>
      <c r="D8" s="87">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
      </c>
      <c r="E8" s="87">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
      </c>
      <c r="F8" s="87">
        <f>SUMIFS(JB_R,JB_S,"[ALT_VIEW]",JB_B,1,JB_EX,"P-5c",JB_CC,"Basic Construction",JB_W,"Surveillance Ships",JB_R,"&lt;&gt;")+SUMIFS(JB_N,JB_S,"[ALT_VIEW]",JB_B,1,JB_EX,"P-5c",JB_CC,"Basic Construction",JB_W,"Surveillance Ships",JB_R,"",JB_N,"&lt;&gt;")+SUMIFS(JB_L,JB_S,"[ALT_VIEW]",JB_B,1,JB_EX,"P-5c",JB_CC,"Basic Construction",JB_W,"Surveillance Ships",JB_R,"",JB_N,"")</f>
        <v/>
      </c>
      <c r="G8" s="87">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
      </c>
      <c r="H8" s="101">
        <f>SUM(B8:G8)</f>
        <v/>
      </c>
    </row>
    <row r="9" ht="10" customHeight="1">
      <c r="A9" s="86" t="inlineStr">
        <is>
          <t>Change Orders</t>
        </is>
      </c>
      <c r="B9" s="101">
        <f>SUMIFS(JB_R,JB_S,"[ALT_VIEW]",JB_B,1,JB_EX,"P-5c",JB_CC,"Change Orders",JB_W,"Surface Combatants",JB_R,"&lt;&gt;")+SUMIFS(JB_N,JB_S,"[ALT_VIEW]",JB_B,1,JB_EX,"P-5c",JB_CC,"Change Orders",JB_W,"Surface Combatants",JB_R,"",JB_N,"&lt;&gt;")+SUMIFS(JB_L,JB_S,"[ALT_VIEW]",JB_B,1,JB_EX,"P-5c",JB_CC,"Change Orders",JB_W,"Surface Combatants",JB_R,"",JB_N,"")</f>
        <v/>
      </c>
      <c r="C9" s="87">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
      </c>
      <c r="D9" s="87">
        <f>SUMIFS(JB_R,JB_S,"[ALT_VIEW]",JB_B,1,JB_EX,"P-5c",JB_CC,"Change Orders",JB_W,"Combat Logistics Ships",JB_R,"&lt;&gt;")+SUMIFS(JB_N,JB_S,"[ALT_VIEW]",JB_B,1,JB_EX,"P-5c",JB_CC,"Change Orders",JB_W,"Combat Logistics Ships",JB_R,"",JB_N,"&lt;&gt;")+SUMIFS(JB_L,JB_S,"[ALT_VIEW]",JB_B,1,JB_EX,"P-5c",JB_CC,"Change Orders",JB_W,"Combat Logistics Ships",JB_R,"",JB_N,"")</f>
        <v/>
      </c>
      <c r="E9" s="87">
        <f>SUMIFS(JB_R,JB_S,"[ALT_VIEW]",JB_B,1,JB_EX,"P-5c",JB_CC,"Change Orders",JB_W,"Amphibious Warfare Ships",JB_R,"&lt;&gt;")+SUMIFS(JB_N,JB_S,"[ALT_VIEW]",JB_B,1,JB_EX,"P-5c",JB_CC,"Change Orders",JB_W,"Amphibious Warfare Ships",JB_R,"",JB_N,"&lt;&gt;")+SUMIFS(JB_L,JB_S,"[ALT_VIEW]",JB_B,1,JB_EX,"P-5c",JB_CC,"Change Orders",JB_W,"Amphibious Warfare Ships",JB_R,"",JB_N,"")</f>
        <v/>
      </c>
      <c r="F9" s="87">
        <f>SUMIFS(JB_R,JB_S,"[ALT_VIEW]",JB_B,1,JB_EX,"P-5c",JB_CC,"Change Orders",JB_W,"Surveillance Ships",JB_R,"&lt;&gt;")+SUMIFS(JB_N,JB_S,"[ALT_VIEW]",JB_B,1,JB_EX,"P-5c",JB_CC,"Change Orders",JB_W,"Surveillance Ships",JB_R,"",JB_N,"&lt;&gt;")+SUMIFS(JB_L,JB_S,"[ALT_VIEW]",JB_B,1,JB_EX,"P-5c",JB_CC,"Change Orders",JB_W,"Surveillance Ships",JB_R,"",JB_N,"")</f>
        <v/>
      </c>
      <c r="G9" s="87">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
      </c>
      <c r="H9" s="101">
        <f>SUM(B9:G9)</f>
        <v/>
      </c>
    </row>
    <row r="10" ht="10" customHeight="1">
      <c r="A10" s="86" t="inlineStr">
        <is>
          <t>Electronics</t>
        </is>
      </c>
      <c r="B10" s="101">
        <f>SUMIFS(JB_R,JB_S,"[ALT_VIEW]",JB_B,1,JB_EX,"P-5c",JB_CC,"Electronics",JB_W,"Surface Combatants",JB_R,"&lt;&gt;")+SUMIFS(JB_N,JB_S,"[ALT_VIEW]",JB_B,1,JB_EX,"P-5c",JB_CC,"Electronics",JB_W,"Surface Combatants",JB_R,"",JB_N,"&lt;&gt;")+SUMIFS(JB_L,JB_S,"[ALT_VIEW]",JB_B,1,JB_EX,"P-5c",JB_CC,"Electronics",JB_W,"Surface Combatants",JB_R,"",JB_N,"")</f>
        <v/>
      </c>
      <c r="C10" s="87">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
      </c>
      <c r="D10" s="87">
        <f>SUMIFS(JB_R,JB_S,"[ALT_VIEW]",JB_B,1,JB_EX,"P-5c",JB_CC,"Electronics",JB_W,"Combat Logistics Ships",JB_R,"&lt;&gt;")+SUMIFS(JB_N,JB_S,"[ALT_VIEW]",JB_B,1,JB_EX,"P-5c",JB_CC,"Electronics",JB_W,"Combat Logistics Ships",JB_R,"",JB_N,"&lt;&gt;")+SUMIFS(JB_L,JB_S,"[ALT_VIEW]",JB_B,1,JB_EX,"P-5c",JB_CC,"Electronics",JB_W,"Combat Logistics Ships",JB_R,"",JB_N,"")</f>
        <v/>
      </c>
      <c r="E10" s="87">
        <f>SUMIFS(JB_R,JB_S,"[ALT_VIEW]",JB_B,1,JB_EX,"P-5c",JB_CC,"Electronics",JB_W,"Amphibious Warfare Ships",JB_R,"&lt;&gt;")+SUMIFS(JB_N,JB_S,"[ALT_VIEW]",JB_B,1,JB_EX,"P-5c",JB_CC,"Electronics",JB_W,"Amphibious Warfare Ships",JB_R,"",JB_N,"&lt;&gt;")+SUMIFS(JB_L,JB_S,"[ALT_VIEW]",JB_B,1,JB_EX,"P-5c",JB_CC,"Electronics",JB_W,"Amphibious Warfare Ships",JB_R,"",JB_N,"")</f>
        <v/>
      </c>
      <c r="F10" s="87">
        <f>SUMIFS(JB_R,JB_S,"[ALT_VIEW]",JB_B,1,JB_EX,"P-5c",JB_CC,"Electronics",JB_W,"Surveillance Ships",JB_R,"&lt;&gt;")+SUMIFS(JB_N,JB_S,"[ALT_VIEW]",JB_B,1,JB_EX,"P-5c",JB_CC,"Electronics",JB_W,"Surveillance Ships",JB_R,"",JB_N,"&lt;&gt;")+SUMIFS(JB_L,JB_S,"[ALT_VIEW]",JB_B,1,JB_EX,"P-5c",JB_CC,"Electronics",JB_W,"Surveillance Ships",JB_R,"",JB_N,"")</f>
        <v/>
      </c>
      <c r="G10" s="87">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
      </c>
      <c r="H10" s="101">
        <f>SUM(B10:G10)</f>
        <v/>
      </c>
    </row>
    <row r="11" ht="10" customHeight="1">
      <c r="A11" s="86" t="inlineStr">
        <is>
          <t>Hull, Mechanical, and Electrical</t>
        </is>
      </c>
      <c r="B11" s="101">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
      </c>
      <c r="C11" s="87">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
      </c>
      <c r="D11" s="87">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
      </c>
      <c r="E11" s="87">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
      </c>
      <c r="F11" s="87">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
      </c>
      <c r="G11" s="87">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
      </c>
      <c r="H11" s="101">
        <f>SUM(B11:G11)</f>
        <v/>
      </c>
    </row>
    <row r="12" ht="10" customHeight="1">
      <c r="A12" s="86" t="inlineStr">
        <is>
          <t>Ordnance</t>
        </is>
      </c>
      <c r="B12" s="101">
        <f>SUMIFS(JB_R,JB_S,"[ALT_VIEW]",JB_B,1,JB_EX,"P-5c",JB_CC,"Ordnance",JB_W,"Surface Combatants",JB_R,"&lt;&gt;")+SUMIFS(JB_N,JB_S,"[ALT_VIEW]",JB_B,1,JB_EX,"P-5c",JB_CC,"Ordnance",JB_W,"Surface Combatants",JB_R,"",JB_N,"&lt;&gt;")+SUMIFS(JB_L,JB_S,"[ALT_VIEW]",JB_B,1,JB_EX,"P-5c",JB_CC,"Ordnance",JB_W,"Surface Combatants",JB_R,"",JB_N,"")</f>
        <v/>
      </c>
      <c r="C12" s="87">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
      </c>
      <c r="D12" s="87">
        <f>SUMIFS(JB_R,JB_S,"[ALT_VIEW]",JB_B,1,JB_EX,"P-5c",JB_CC,"Ordnance",JB_W,"Combat Logistics Ships",JB_R,"&lt;&gt;")+SUMIFS(JB_N,JB_S,"[ALT_VIEW]",JB_B,1,JB_EX,"P-5c",JB_CC,"Ordnance",JB_W,"Combat Logistics Ships",JB_R,"",JB_N,"&lt;&gt;")+SUMIFS(JB_L,JB_S,"[ALT_VIEW]",JB_B,1,JB_EX,"P-5c",JB_CC,"Ordnance",JB_W,"Combat Logistics Ships",JB_R,"",JB_N,"")</f>
        <v/>
      </c>
      <c r="E12" s="87">
        <f>SUMIFS(JB_R,JB_S,"[ALT_VIEW]",JB_B,1,JB_EX,"P-5c",JB_CC,"Ordnance",JB_W,"Amphibious Warfare Ships",JB_R,"&lt;&gt;")+SUMIFS(JB_N,JB_S,"[ALT_VIEW]",JB_B,1,JB_EX,"P-5c",JB_CC,"Ordnance",JB_W,"Amphibious Warfare Ships",JB_R,"",JB_N,"&lt;&gt;")+SUMIFS(JB_L,JB_S,"[ALT_VIEW]",JB_B,1,JB_EX,"P-5c",JB_CC,"Ordnance",JB_W,"Amphibious Warfare Ships",JB_R,"",JB_N,"")</f>
        <v/>
      </c>
      <c r="F12" s="87">
        <f>SUMIFS(JB_R,JB_S,"[ALT_VIEW]",JB_B,1,JB_EX,"P-5c",JB_CC,"Ordnance",JB_W,"Surveillance Ships",JB_R,"&lt;&gt;")+SUMIFS(JB_N,JB_S,"[ALT_VIEW]",JB_B,1,JB_EX,"P-5c",JB_CC,"Ordnance",JB_W,"Surveillance Ships",JB_R,"",JB_N,"&lt;&gt;")+SUMIFS(JB_L,JB_S,"[ALT_VIEW]",JB_B,1,JB_EX,"P-5c",JB_CC,"Ordnance",JB_W,"Surveillance Ships",JB_R,"",JB_N,"")</f>
        <v/>
      </c>
      <c r="G12" s="87">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
      </c>
      <c r="H12" s="101">
        <f>SUM(B12:G12)</f>
        <v/>
      </c>
    </row>
    <row r="13" ht="10" customHeight="1">
      <c r="A13" s="86" t="inlineStr">
        <is>
          <t>Other Cost</t>
        </is>
      </c>
      <c r="B13" s="101">
        <f>SUMIFS(JB_R,JB_S,"[ALT_VIEW]",JB_B,1,JB_EX,"P-5c",JB_CC,"Other Cost",JB_W,"Surface Combatants",JB_R,"&lt;&gt;")+SUMIFS(JB_N,JB_S,"[ALT_VIEW]",JB_B,1,JB_EX,"P-5c",JB_CC,"Other Cost",JB_W,"Surface Combatants",JB_R,"",JB_N,"&lt;&gt;")+SUMIFS(JB_L,JB_S,"[ALT_VIEW]",JB_B,1,JB_EX,"P-5c",JB_CC,"Other Cost",JB_W,"Surface Combatants",JB_R,"",JB_N,"")</f>
        <v/>
      </c>
      <c r="C13" s="87">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
      </c>
      <c r="D13" s="87">
        <f>SUMIFS(JB_R,JB_S,"[ALT_VIEW]",JB_B,1,JB_EX,"P-5c",JB_CC,"Other Cost",JB_W,"Combat Logistics Ships",JB_R,"&lt;&gt;")+SUMIFS(JB_N,JB_S,"[ALT_VIEW]",JB_B,1,JB_EX,"P-5c",JB_CC,"Other Cost",JB_W,"Combat Logistics Ships",JB_R,"",JB_N,"&lt;&gt;")+SUMIFS(JB_L,JB_S,"[ALT_VIEW]",JB_B,1,JB_EX,"P-5c",JB_CC,"Other Cost",JB_W,"Combat Logistics Ships",JB_R,"",JB_N,"")</f>
        <v/>
      </c>
      <c r="E13" s="87">
        <f>SUMIFS(JB_R,JB_S,"[ALT_VIEW]",JB_B,1,JB_EX,"P-5c",JB_CC,"Other Cost",JB_W,"Amphibious Warfare Ships",JB_R,"&lt;&gt;")+SUMIFS(JB_N,JB_S,"[ALT_VIEW]",JB_B,1,JB_EX,"P-5c",JB_CC,"Other Cost",JB_W,"Amphibious Warfare Ships",JB_R,"",JB_N,"&lt;&gt;")+SUMIFS(JB_L,JB_S,"[ALT_VIEW]",JB_B,1,JB_EX,"P-5c",JB_CC,"Other Cost",JB_W,"Amphibious Warfare Ships",JB_R,"",JB_N,"")</f>
        <v/>
      </c>
      <c r="F13" s="87">
        <f>SUMIFS(JB_R,JB_S,"[ALT_VIEW]",JB_B,1,JB_EX,"P-5c",JB_CC,"Other Cost",JB_W,"Surveillance Ships",JB_R,"&lt;&gt;")+SUMIFS(JB_N,JB_S,"[ALT_VIEW]",JB_B,1,JB_EX,"P-5c",JB_CC,"Other Cost",JB_W,"Surveillance Ships",JB_R,"",JB_N,"&lt;&gt;")+SUMIFS(JB_L,JB_S,"[ALT_VIEW]",JB_B,1,JB_EX,"P-5c",JB_CC,"Other Cost",JB_W,"Surveillance Ships",JB_R,"",JB_N,"")</f>
        <v/>
      </c>
      <c r="G13" s="87">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
      </c>
      <c r="H13" s="101">
        <f>SUM(B13:G13)</f>
        <v/>
      </c>
    </row>
    <row r="14" ht="10" customHeight="1">
      <c r="A14" s="88" t="inlineStr">
        <is>
          <t>Gross Total ($K)</t>
        </is>
      </c>
      <c r="B14" s="100">
        <f>SUM(B7:B13)</f>
        <v/>
      </c>
      <c r="C14" s="89">
        <f>SUM(C7:C13)</f>
        <v/>
      </c>
      <c r="D14" s="89">
        <f>SUM(D7:D13)</f>
        <v/>
      </c>
      <c r="E14" s="89">
        <f>SUM(E7:E13)</f>
        <v/>
      </c>
      <c r="F14" s="89">
        <f>SUM(F7:F13)</f>
        <v/>
      </c>
      <c r="G14" s="89">
        <f>SUM(G7:G13)</f>
        <v/>
      </c>
      <c r="H14" s="100">
        <f>SUM(H7:H13)</f>
        <v/>
      </c>
    </row>
    <row r="15" ht="10" customHeight="1"/>
    <row r="16" ht="10" customHeight="1"/>
    <row r="17" ht="10" customHeight="1">
      <c r="A17" s="83" t="inlineStr">
        <is>
          <t>(B) P-8a System-Level Detail by Vessel Type — FY2026 ($K)</t>
        </is>
      </c>
      <c r="B17" s="84" t="n"/>
      <c r="C17" s="84" t="n"/>
      <c r="D17" s="84" t="n"/>
    </row>
    <row r="18" ht="10" customHeight="1">
      <c r="A18" s="82" t="inlineStr">
        <is>
          <t>Individual GFE systems from Exhibit P-8a, grouped by cost category within each vessel type.</t>
        </is>
      </c>
    </row>
    <row r="19" ht="10" customHeight="1"/>
    <row r="20" ht="10" customHeight="1">
      <c r="A20" s="102" t="inlineStr">
        <is>
          <t>Surface Combatants</t>
        </is>
      </c>
      <c r="B20" s="95" t="n"/>
      <c r="C20" s="95" t="n"/>
      <c r="D20" s="95" t="n"/>
    </row>
    <row r="21" ht="10" customHeight="1">
      <c r="A21" s="85" t="inlineStr">
        <is>
          <t>System</t>
        </is>
      </c>
      <c r="B21" s="85" t="inlineStr">
        <is>
          <t>Cost Category</t>
        </is>
      </c>
      <c r="C21" s="85" t="inlineStr">
        <is>
          <t>FY2026 ($K)</t>
        </is>
      </c>
      <c r="D21" s="85" t="inlineStr">
        <is>
          <t>% of Type</t>
        </is>
      </c>
    </row>
    <row r="22" ht="10" customHeight="1">
      <c r="A22" s="86" t="inlineStr">
        <is>
          <t>VERTICAL LAUNCHING SYSTEM (VLS) MK 57 4-CELL MODULES</t>
        </is>
      </c>
      <c r="B22" s="82" t="inlineStr">
        <is>
          <t>Electronics</t>
        </is>
      </c>
      <c r="C22" s="106" t="n">
        <v>302815</v>
      </c>
      <c r="D22" s="93">
        <f>IFERROR(C22/C$98,0)</f>
        <v/>
      </c>
    </row>
    <row r="23" ht="10" customHeight="1">
      <c r="A23" s="86" t="inlineStr">
        <is>
          <t>MULTI FUNCTION RADAR (MFR)</t>
        </is>
      </c>
      <c r="B23" s="82" t="inlineStr">
        <is>
          <t>Electronics</t>
        </is>
      </c>
      <c r="C23" s="106" t="n">
        <v>297999</v>
      </c>
      <c r="D23" s="93">
        <f>IFERROR(C23/C$98,0)</f>
        <v/>
      </c>
    </row>
    <row r="24" ht="10" customHeight="1">
      <c r="A24" s="86" t="inlineStr">
        <is>
          <t>TOTAL SHIP COMPUTING ENVIRONMENT (TSCE)</t>
        </is>
      </c>
      <c r="B24" s="82" t="inlineStr">
        <is>
          <t>Electronics</t>
        </is>
      </c>
      <c r="C24" s="106" t="n">
        <v>259191</v>
      </c>
      <c r="D24" s="93">
        <f>IFERROR(C24/C$98,0)</f>
        <v/>
      </c>
    </row>
    <row r="25" ht="10" customHeight="1">
      <c r="A25" s="86" t="inlineStr">
        <is>
          <t>AN/SLQ-32 SEWIP V(7)</t>
        </is>
      </c>
      <c r="B25" s="82" t="inlineStr">
        <is>
          <t>Electronics</t>
        </is>
      </c>
      <c r="C25" s="106" t="n">
        <v>247277</v>
      </c>
      <c r="D25" s="93">
        <f>IFERROR(C25/C$98,0)</f>
        <v/>
      </c>
    </row>
    <row r="26" ht="10" customHeight="1">
      <c r="A26" s="86" t="inlineStr">
        <is>
          <t>EXCOMM</t>
        </is>
      </c>
      <c r="B26" s="82" t="inlineStr">
        <is>
          <t>Electronics</t>
        </is>
      </c>
      <c r="C26" s="106" t="n">
        <v>194160</v>
      </c>
      <c r="D26" s="93">
        <f>IFERROR(C26/C$98,0)</f>
        <v/>
      </c>
    </row>
    <row r="27" ht="10" customHeight="1">
      <c r="A27" s="86" t="inlineStr">
        <is>
          <t>SQQ 89 ASW</t>
        </is>
      </c>
      <c r="B27" s="82" t="inlineStr">
        <is>
          <t>Electronics</t>
        </is>
      </c>
      <c r="C27" s="106" t="n">
        <v>177416</v>
      </c>
      <c r="D27" s="93">
        <f>IFERROR(C27/C$98,0)</f>
        <v/>
      </c>
    </row>
    <row r="28" ht="10" customHeight="1">
      <c r="A28" s="86" t="inlineStr">
        <is>
          <t>MISSION SYSTEM ENGR INTEGR &amp; TEST (MSEIT)</t>
        </is>
      </c>
      <c r="B28" s="82" t="inlineStr">
        <is>
          <t>Electronics</t>
        </is>
      </c>
      <c r="C28" s="106" t="n">
        <v>132510</v>
      </c>
      <c r="D28" s="93">
        <f>IFERROR(C28/C$98,0)</f>
        <v/>
      </c>
    </row>
    <row r="29" ht="10" customHeight="1">
      <c r="A29" s="86" t="inlineStr">
        <is>
          <t>MISSION SYSTEM ACTIVATION</t>
        </is>
      </c>
      <c r="B29" s="82" t="inlineStr">
        <is>
          <t>Electronics</t>
        </is>
      </c>
      <c r="C29" s="106" t="n">
        <v>130838</v>
      </c>
      <c r="D29" s="93">
        <f>IFERROR(C29/C$98,0)</f>
        <v/>
      </c>
    </row>
    <row r="30" ht="10" customHeight="1">
      <c r="A30" s="86" t="inlineStr">
        <is>
          <t>Enterprise Air Surveillance Radar (EASR)</t>
        </is>
      </c>
      <c r="B30" s="82" t="inlineStr">
        <is>
          <t>Electronics</t>
        </is>
      </c>
      <c r="C30" s="106" t="n">
        <v>122605</v>
      </c>
      <c r="D30" s="93">
        <f>IFERROR(C30/C$98,0)</f>
        <v/>
      </c>
    </row>
    <row r="31" ht="10" customHeight="1">
      <c r="A31" s="86" t="inlineStr">
        <is>
          <t>SHIP CONTROL SYSTEM (SCS)</t>
        </is>
      </c>
      <c r="B31" s="82" t="inlineStr">
        <is>
          <t>Electronics</t>
        </is>
      </c>
      <c r="C31" s="106" t="n">
        <v>117229</v>
      </c>
      <c r="D31" s="93">
        <f>IFERROR(C31/C$98,0)</f>
        <v/>
      </c>
    </row>
    <row r="32" ht="10" customHeight="1">
      <c r="A32" s="86" t="inlineStr">
        <is>
          <t>INTEGRATED UNDERSEA WARFARE (IUSW) SYSTEM</t>
        </is>
      </c>
      <c r="B32" s="82" t="inlineStr">
        <is>
          <t>Electronics</t>
        </is>
      </c>
      <c r="C32" s="106" t="n">
        <v>105136</v>
      </c>
      <c r="D32" s="93">
        <f>IFERROR(C32/C$98,0)</f>
        <v/>
      </c>
    </row>
    <row r="33" ht="10" customHeight="1">
      <c r="A33" s="86" t="inlineStr">
        <is>
          <t>MISC. ELECTRONICS</t>
        </is>
      </c>
      <c r="B33" s="82" t="inlineStr">
        <is>
          <t>Electronics</t>
        </is>
      </c>
      <c r="C33" s="106" t="n">
        <v>94317</v>
      </c>
      <c r="D33" s="93">
        <f>IFERROR(C33/C$98,0)</f>
        <v/>
      </c>
    </row>
    <row r="34" ht="10" customHeight="1">
      <c r="A34" s="86" t="inlineStr">
        <is>
          <t>AEGIS Weapon System (AWS)</t>
        </is>
      </c>
      <c r="B34" s="82" t="inlineStr">
        <is>
          <t>Electronics</t>
        </is>
      </c>
      <c r="C34" s="106" t="n">
        <v>92392</v>
      </c>
      <c r="D34" s="93">
        <f>IFERROR(C34/C$98,0)</f>
        <v/>
      </c>
    </row>
    <row r="35" ht="10" customHeight="1">
      <c r="A35" s="86" t="inlineStr">
        <is>
          <t>EXTERIOR COMMUNICATIONS (EXCOMMS)</t>
        </is>
      </c>
      <c r="B35" s="82" t="inlineStr">
        <is>
          <t>Electronics</t>
        </is>
      </c>
      <c r="C35" s="106" t="n">
        <v>79962</v>
      </c>
      <c r="D35" s="93">
        <f>IFERROR(C35/C$98,0)</f>
        <v/>
      </c>
    </row>
    <row r="36" ht="10" customHeight="1">
      <c r="A36" s="86" t="inlineStr">
        <is>
          <t>SPECTRAL</t>
        </is>
      </c>
      <c r="B36" s="82" t="inlineStr">
        <is>
          <t>Electronics</t>
        </is>
      </c>
      <c r="C36" s="106" t="n">
        <v>67250</v>
      </c>
      <c r="D36" s="93">
        <f>IFERROR(C36/C$98,0)</f>
        <v/>
      </c>
    </row>
    <row r="37" ht="10" customHeight="1">
      <c r="A37" s="86" t="inlineStr">
        <is>
          <t>Anti-Submarine Warfare (ASW) Combat Suite</t>
        </is>
      </c>
      <c r="B37" s="82" t="inlineStr">
        <is>
          <t>Electronics</t>
        </is>
      </c>
      <c r="C37" s="106" t="n">
        <v>62571</v>
      </c>
      <c r="D37" s="93">
        <f>IFERROR(C37/C$98,0)</f>
        <v/>
      </c>
    </row>
    <row r="38" ht="10" customHeight="1">
      <c r="A38" s="86" t="inlineStr">
        <is>
          <t>DDG 1002 TSCE MODERNIZATION</t>
        </is>
      </c>
      <c r="B38" s="82" t="inlineStr">
        <is>
          <t>Electronics</t>
        </is>
      </c>
      <c r="C38" s="106" t="n">
        <v>56730</v>
      </c>
      <c r="D38" s="93">
        <f>IFERROR(C38/C$98,0)</f>
        <v/>
      </c>
    </row>
    <row r="39" ht="10" customHeight="1">
      <c r="A39" s="86" t="inlineStr">
        <is>
          <t>USQ 82(V) GEDMS</t>
        </is>
      </c>
      <c r="B39" s="82" t="inlineStr">
        <is>
          <t>Electronics</t>
        </is>
      </c>
      <c r="C39" s="106" t="n">
        <v>48645</v>
      </c>
      <c r="D39" s="93">
        <f>IFERROR(C39/C$98,0)</f>
        <v/>
      </c>
    </row>
    <row r="40" ht="10" customHeight="1">
      <c r="A40" s="86" t="inlineStr">
        <is>
          <t>Tactical COMINT System- Spectral</t>
        </is>
      </c>
      <c r="B40" s="82" t="inlineStr">
        <is>
          <t>Electronics</t>
        </is>
      </c>
      <c r="C40" s="106" t="n">
        <v>39622</v>
      </c>
      <c r="D40" s="93">
        <f>IFERROR(C40/C$98,0)</f>
        <v/>
      </c>
    </row>
    <row r="41" ht="10" customHeight="1">
      <c r="A41" s="86" t="inlineStr">
        <is>
          <t>ELECTRO-OPTICAL / INFRARED (EO/IR)</t>
        </is>
      </c>
      <c r="B41" s="82" t="inlineStr">
        <is>
          <t>Electronics</t>
        </is>
      </c>
      <c r="C41" s="106" t="n">
        <v>31452</v>
      </c>
      <c r="D41" s="93">
        <f>IFERROR(C41/C$98,0)</f>
        <v/>
      </c>
    </row>
    <row r="42" ht="10" customHeight="1">
      <c r="A42" s="86" t="inlineStr">
        <is>
          <t>IDENTIFICATION FRIEND OR FOE (IFF)</t>
        </is>
      </c>
      <c r="B42" s="82" t="inlineStr">
        <is>
          <t>Electronics</t>
        </is>
      </c>
      <c r="C42" s="106" t="n">
        <v>28138</v>
      </c>
      <c r="D42" s="93">
        <f>IFERROR(C42/C$98,0)</f>
        <v/>
      </c>
    </row>
    <row r="43" ht="10" customHeight="1">
      <c r="A43" s="86" t="inlineStr">
        <is>
          <t>DDG 1002 UNIVERSAL CANISTER ELECTRICAL UNITS (UCEU)</t>
        </is>
      </c>
      <c r="B43" s="82" t="inlineStr">
        <is>
          <t>Electronics</t>
        </is>
      </c>
      <c r="C43" s="106" t="n">
        <v>25600</v>
      </c>
      <c r="D43" s="93">
        <f>IFERROR(C43/C$98,0)</f>
        <v/>
      </c>
    </row>
    <row r="44" ht="10" customHeight="1">
      <c r="A44" s="86" t="inlineStr">
        <is>
          <t>AN/UPX 29(V) IFF and TACAN</t>
        </is>
      </c>
      <c r="B44" s="82" t="inlineStr">
        <is>
          <t>Electronics</t>
        </is>
      </c>
      <c r="C44" s="106" t="n">
        <v>24514</v>
      </c>
      <c r="D44" s="93">
        <f>IFERROR(C44/C$98,0)</f>
        <v/>
      </c>
    </row>
    <row r="45" ht="10" customHeight="1">
      <c r="A45" s="86" t="inlineStr">
        <is>
          <t>SRQ 4 LAMPS III</t>
        </is>
      </c>
      <c r="B45" s="82" t="inlineStr">
        <is>
          <t>Electronics</t>
        </is>
      </c>
      <c r="C45" s="106" t="n">
        <v>20323</v>
      </c>
      <c r="D45" s="93">
        <f>IFERROR(C45/C$98,0)</f>
        <v/>
      </c>
    </row>
    <row r="46" ht="10" customHeight="1">
      <c r="A46" s="86" t="inlineStr">
        <is>
          <t>CEC</t>
        </is>
      </c>
      <c r="B46" s="82" t="inlineStr">
        <is>
          <t>Electronics</t>
        </is>
      </c>
      <c r="C46" s="106" t="n">
        <v>20072</v>
      </c>
      <c r="D46" s="93">
        <f>IFERROR(C46/C$98,0)</f>
        <v/>
      </c>
    </row>
    <row r="47" ht="10" customHeight="1">
      <c r="A47" s="86" t="inlineStr">
        <is>
          <t>SURFACE ELECTRONIC WARFARE IMPROVEMENT PROGRAM (SEWIP)</t>
        </is>
      </c>
      <c r="B47" s="82" t="inlineStr">
        <is>
          <t>Electronics</t>
        </is>
      </c>
      <c r="C47" s="106" t="n">
        <v>17682</v>
      </c>
      <c r="D47" s="93">
        <f>IFERROR(C47/C$98,0)</f>
        <v/>
      </c>
    </row>
    <row r="48" ht="10" customHeight="1">
      <c r="A48" s="86" t="inlineStr">
        <is>
          <t>External Communication Suite (EXCOMM)</t>
        </is>
      </c>
      <c r="B48" s="82" t="inlineStr">
        <is>
          <t>Electronics</t>
        </is>
      </c>
      <c r="C48" s="106" t="n">
        <v>17197</v>
      </c>
      <c r="D48" s="93">
        <f>IFERROR(C48/C$98,0)</f>
        <v/>
      </c>
    </row>
    <row r="49" ht="10" customHeight="1">
      <c r="A49" s="86" t="inlineStr">
        <is>
          <t>COMMON ARRAY POWER SYSTEM (CAPS)</t>
        </is>
      </c>
      <c r="B49" s="82" t="inlineStr">
        <is>
          <t>Electronics</t>
        </is>
      </c>
      <c r="C49" s="106" t="n">
        <v>16409</v>
      </c>
      <c r="D49" s="93">
        <f>IFERROR(C49/C$98,0)</f>
        <v/>
      </c>
    </row>
    <row r="50" ht="10" customHeight="1">
      <c r="A50" s="86" t="inlineStr">
        <is>
          <t>Cooperative Engagement Capability (CEC)</t>
        </is>
      </c>
      <c r="B50" s="82" t="inlineStr">
        <is>
          <t>Electronics</t>
        </is>
      </c>
      <c r="C50" s="106" t="n">
        <v>14764</v>
      </c>
      <c r="D50" s="93">
        <f>IFERROR(C50/C$98,0)</f>
        <v/>
      </c>
    </row>
    <row r="51" ht="10" customHeight="1">
      <c r="A51" s="86" t="inlineStr">
        <is>
          <t>NAVIGATION SYSTEM</t>
        </is>
      </c>
      <c r="B51" s="82" t="inlineStr">
        <is>
          <t>Electronics</t>
        </is>
      </c>
      <c r="C51" s="106" t="n">
        <v>13508</v>
      </c>
      <c r="D51" s="93">
        <f>IFERROR(C51/C$98,0)</f>
        <v/>
      </c>
    </row>
    <row r="52" ht="10" customHeight="1">
      <c r="A52" s="86" t="inlineStr">
        <is>
          <t>MIDS</t>
        </is>
      </c>
      <c r="B52" s="82" t="inlineStr">
        <is>
          <t>Electronics</t>
        </is>
      </c>
      <c r="C52" s="106" t="n">
        <v>11662</v>
      </c>
      <c r="D52" s="93">
        <f>IFERROR(C52/C$98,0)</f>
        <v/>
      </c>
    </row>
    <row r="53" ht="10" customHeight="1">
      <c r="A53" s="86" t="inlineStr">
        <is>
          <t>Identification Friend or Foe (IFF) UPX-29</t>
        </is>
      </c>
      <c r="B53" s="82" t="inlineStr">
        <is>
          <t>Electronics</t>
        </is>
      </c>
      <c r="C53" s="106" t="n">
        <v>11447</v>
      </c>
      <c r="D53" s="93">
        <f>IFERROR(C53/C$98,0)</f>
        <v/>
      </c>
    </row>
    <row r="54" ht="10" customHeight="1">
      <c r="A54" s="86" t="inlineStr">
        <is>
          <t>SLQ 25 NIXIE</t>
        </is>
      </c>
      <c r="B54" s="82" t="inlineStr">
        <is>
          <t>Electronics</t>
        </is>
      </c>
      <c r="C54" s="106" t="n">
        <v>9536</v>
      </c>
      <c r="D54" s="93">
        <f>IFERROR(C54/C$98,0)</f>
        <v/>
      </c>
    </row>
    <row r="55" ht="10" customHeight="1">
      <c r="A55" s="86" t="inlineStr">
        <is>
          <t>NGSSR</t>
        </is>
      </c>
      <c r="B55" s="82" t="inlineStr">
        <is>
          <t>Electronics</t>
        </is>
      </c>
      <c r="C55" s="106" t="n">
        <v>8068</v>
      </c>
      <c r="D55" s="93">
        <f>IFERROR(C55/C$98,0)</f>
        <v/>
      </c>
    </row>
    <row r="56" ht="10" customHeight="1">
      <c r="A56" s="86" t="inlineStr">
        <is>
          <t>COOPERATIVE ENGAGEMENT CAPABILITY (CEC)</t>
        </is>
      </c>
      <c r="B56" s="82" t="inlineStr">
        <is>
          <t>Electronics</t>
        </is>
      </c>
      <c r="C56" s="106" t="n">
        <v>7800</v>
      </c>
      <c r="D56" s="93">
        <f>IFERROR(C56/C$98,0)</f>
        <v/>
      </c>
    </row>
    <row r="57" ht="10" customHeight="1">
      <c r="A57" s="86" t="inlineStr">
        <is>
          <t>MK 53 NULKA</t>
        </is>
      </c>
      <c r="B57" s="82" t="inlineStr">
        <is>
          <t>Electronics</t>
        </is>
      </c>
      <c r="C57" s="106" t="n">
        <v>7641</v>
      </c>
      <c r="D57" s="93">
        <f>IFERROR(C57/C$98,0)</f>
        <v/>
      </c>
    </row>
    <row r="58" ht="10" customHeight="1">
      <c r="A58" s="86" t="inlineStr">
        <is>
          <t>TSA ANTENNA</t>
        </is>
      </c>
      <c r="B58" s="82" t="inlineStr">
        <is>
          <t>Electronics</t>
        </is>
      </c>
      <c r="C58" s="106" t="n">
        <v>6582</v>
      </c>
      <c r="D58" s="93">
        <f>IFERROR(C58/C$98,0)</f>
        <v/>
      </c>
    </row>
    <row r="59" ht="10" customHeight="1">
      <c r="A59" s="86" t="inlineStr">
        <is>
          <t>SPARES</t>
        </is>
      </c>
      <c r="B59" s="82" t="inlineStr">
        <is>
          <t>Electronics</t>
        </is>
      </c>
      <c r="C59" s="106" t="n">
        <v>5500</v>
      </c>
      <c r="D59" s="93">
        <f>IFERROR(C59/C$98,0)</f>
        <v/>
      </c>
    </row>
    <row r="60" ht="10" customHeight="1">
      <c r="A60" s="86" t="inlineStr">
        <is>
          <t>COMMON ARRAY COOLING SYSTEM (CACS)</t>
        </is>
      </c>
      <c r="B60" s="82" t="inlineStr">
        <is>
          <t>Electronics</t>
        </is>
      </c>
      <c r="C60" s="106" t="n">
        <v>965</v>
      </c>
      <c r="D60" s="93">
        <f>IFERROR(C60/C$98,0)</f>
        <v/>
      </c>
    </row>
    <row r="61" ht="10" customHeight="1">
      <c r="A61" s="86" t="inlineStr">
        <is>
          <t>MISC. HM&amp;E</t>
        </is>
      </c>
      <c r="B61" s="82" t="inlineStr">
        <is>
          <t>Hull, Mechanical, and Electrical</t>
        </is>
      </c>
      <c r="C61" s="106" t="n">
        <v>52611</v>
      </c>
      <c r="D61" s="93">
        <f>IFERROR(C61/C$98,0)</f>
        <v/>
      </c>
    </row>
    <row r="62" ht="10" customHeight="1">
      <c r="A62" s="86" t="inlineStr">
        <is>
          <t>MAIN TURBINE GENERATOR (MTG)</t>
        </is>
      </c>
      <c r="B62" s="82" t="inlineStr">
        <is>
          <t>Hull, Mechanical, and Electrical</t>
        </is>
      </c>
      <c r="C62" s="106" t="n">
        <v>39412</v>
      </c>
      <c r="D62" s="93">
        <f>IFERROR(C62/C$98,0)</f>
        <v/>
      </c>
    </row>
    <row r="63" ht="10" customHeight="1">
      <c r="A63" s="86" t="inlineStr">
        <is>
          <t>Integrated Bridge Navigation System</t>
        </is>
      </c>
      <c r="B63" s="82" t="inlineStr">
        <is>
          <t>Hull, Mechanical, and Electrical</t>
        </is>
      </c>
      <c r="C63" s="106" t="n">
        <v>26975</v>
      </c>
      <c r="D63" s="93">
        <f>IFERROR(C63/C$98,0)</f>
        <v/>
      </c>
    </row>
    <row r="64" ht="10" customHeight="1">
      <c r="A64" s="86" t="inlineStr">
        <is>
          <t>STC 3 IVCS</t>
        </is>
      </c>
      <c r="B64" s="82" t="inlineStr">
        <is>
          <t>Hull, Mechanical, and Electrical</t>
        </is>
      </c>
      <c r="C64" s="106" t="n">
        <v>26240</v>
      </c>
      <c r="D64" s="93">
        <f>IFERROR(C64/C$98,0)</f>
        <v/>
      </c>
    </row>
    <row r="65" ht="10" customHeight="1">
      <c r="A65" s="86" t="inlineStr">
        <is>
          <t>Machinery Control System</t>
        </is>
      </c>
      <c r="B65" s="82" t="inlineStr">
        <is>
          <t>Hull, Mechanical, and Electrical</t>
        </is>
      </c>
      <c r="C65" s="106" t="n">
        <v>20756</v>
      </c>
      <c r="D65" s="93">
        <f>IFERROR(C65/C$98,0)</f>
        <v/>
      </c>
    </row>
    <row r="66" ht="10" customHeight="1">
      <c r="A66" s="86" t="inlineStr">
        <is>
          <t>Aircraft Ship Integrated Securing and Traversing System (ASIST)</t>
        </is>
      </c>
      <c r="B66" s="82" t="inlineStr">
        <is>
          <t>Hull, Mechanical, and Electrical</t>
        </is>
      </c>
      <c r="C66" s="106" t="n">
        <v>17349</v>
      </c>
      <c r="D66" s="93">
        <f>IFERROR(C66/C$98,0)</f>
        <v/>
      </c>
    </row>
    <row r="67" ht="10" customHeight="1">
      <c r="A67" s="86" t="inlineStr">
        <is>
          <t>CYBER BDC</t>
        </is>
      </c>
      <c r="B67" s="82" t="inlineStr">
        <is>
          <t>Hull, Mechanical, and Electrical</t>
        </is>
      </c>
      <c r="C67" s="106" t="n">
        <v>14411</v>
      </c>
      <c r="D67" s="93">
        <f>IFERROR(C67/C$98,0)</f>
        <v/>
      </c>
    </row>
    <row r="68" ht="10" customHeight="1">
      <c r="A68" s="86" t="inlineStr">
        <is>
          <t>WSN 12</t>
        </is>
      </c>
      <c r="B68" s="82" t="inlineStr">
        <is>
          <t>Hull, Mechanical, and Electrical</t>
        </is>
      </c>
      <c r="C68" s="106" t="n">
        <v>13036</v>
      </c>
      <c r="D68" s="93">
        <f>IFERROR(C68/C$98,0)</f>
        <v/>
      </c>
    </row>
    <row r="69" ht="10" customHeight="1">
      <c r="A69" s="86" t="inlineStr">
        <is>
          <t>HM&amp;E (NGVLA, Moriah Wind Measurement System (WMS), Aviation Integration)</t>
        </is>
      </c>
      <c r="B69" s="82" t="inlineStr">
        <is>
          <t>Hull, Mechanical, and Electrical</t>
        </is>
      </c>
      <c r="C69" s="106" t="n">
        <v>12446</v>
      </c>
      <c r="D69" s="93">
        <f>IFERROR(C69/C$98,0)</f>
        <v/>
      </c>
    </row>
    <row r="70" ht="10" customHeight="1">
      <c r="A70" s="86" t="inlineStr">
        <is>
          <t>Other HM&amp;E</t>
        </is>
      </c>
      <c r="B70" s="82" t="inlineStr">
        <is>
          <t>Hull, Mechanical, and Electrical</t>
        </is>
      </c>
      <c r="C70" s="106" t="n">
        <v>11772</v>
      </c>
      <c r="D70" s="93">
        <f>IFERROR(C70/C$98,0)</f>
        <v/>
      </c>
    </row>
    <row r="71" ht="10" customHeight="1">
      <c r="A71" s="86" t="inlineStr">
        <is>
          <t>INTERIM SPARES</t>
        </is>
      </c>
      <c r="B71" s="82" t="inlineStr">
        <is>
          <t>Hull, Mechanical, and Electrical</t>
        </is>
      </c>
      <c r="C71" s="106" t="n">
        <v>7500</v>
      </c>
      <c r="D71" s="93">
        <f>IFERROR(C71/C$98,0)</f>
        <v/>
      </c>
    </row>
    <row r="72" ht="10" customHeight="1">
      <c r="A72" s="86" t="inlineStr">
        <is>
          <t>Internal Communication (IC) Voice</t>
        </is>
      </c>
      <c r="B72" s="82" t="inlineStr">
        <is>
          <t>Hull, Mechanical, and Electrical</t>
        </is>
      </c>
      <c r="C72" s="106" t="n">
        <v>7168</v>
      </c>
      <c r="D72" s="93">
        <f>IFERROR(C72/C$98,0)</f>
        <v/>
      </c>
    </row>
    <row r="73" ht="10" customHeight="1">
      <c r="A73" s="86" t="inlineStr">
        <is>
          <t>Interior Wireless Communication System (IWCS)</t>
        </is>
      </c>
      <c r="B73" s="82" t="inlineStr">
        <is>
          <t>Hull, Mechanical, and Electrical</t>
        </is>
      </c>
      <c r="C73" s="106" t="n">
        <v>5761</v>
      </c>
      <c r="D73" s="93">
        <f>IFERROR(C73/C$98,0)</f>
        <v/>
      </c>
    </row>
    <row r="74" ht="10" customHeight="1">
      <c r="A74" s="86" t="inlineStr">
        <is>
          <t>Unclassified Video System (UVS)</t>
        </is>
      </c>
      <c r="B74" s="82" t="inlineStr">
        <is>
          <t>Hull, Mechanical, and Electrical</t>
        </is>
      </c>
      <c r="C74" s="106" t="n">
        <v>4853</v>
      </c>
      <c r="D74" s="93">
        <f>IFERROR(C74/C$98,0)</f>
        <v/>
      </c>
    </row>
    <row r="75" ht="10" customHeight="1">
      <c r="A75" s="86" t="inlineStr">
        <is>
          <t>Ship Control System-Government (SCS GOV)</t>
        </is>
      </c>
      <c r="B75" s="82" t="inlineStr">
        <is>
          <t>Hull, Mechanical, and Electrical</t>
        </is>
      </c>
      <c r="C75" s="106" t="n">
        <v>4425</v>
      </c>
      <c r="D75" s="93">
        <f>IFERROR(C75/C$98,0)</f>
        <v/>
      </c>
    </row>
    <row r="76" ht="10" customHeight="1">
      <c r="A76" s="86" t="inlineStr">
        <is>
          <t>Advanced Flight Deck Lighting System (AFDLS)</t>
        </is>
      </c>
      <c r="B76" s="82" t="inlineStr">
        <is>
          <t>Hull, Mechanical, and Electrical</t>
        </is>
      </c>
      <c r="C76" s="106" t="n">
        <v>4423</v>
      </c>
      <c r="D76" s="93">
        <f>IFERROR(C76/C$98,0)</f>
        <v/>
      </c>
    </row>
    <row r="77" ht="10" customHeight="1">
      <c r="A77" s="86" t="inlineStr">
        <is>
          <t>RIGID HULL INFLATABLE BOAT (RHIB)</t>
        </is>
      </c>
      <c r="B77" s="82" t="inlineStr">
        <is>
          <t>Hull, Mechanical, and Electrical</t>
        </is>
      </c>
      <c r="C77" s="106" t="n">
        <v>1100</v>
      </c>
      <c r="D77" s="93">
        <f>IFERROR(C77/C$98,0)</f>
        <v/>
      </c>
    </row>
    <row r="78" ht="10" customHeight="1">
      <c r="A78" s="86" t="inlineStr">
        <is>
          <t>AN/SPY-6(V)1 (AMDR)</t>
        </is>
      </c>
      <c r="B78" s="82" t="inlineStr">
        <is>
          <t>Ordnance</t>
        </is>
      </c>
      <c r="C78" s="106" t="n">
        <v>692876</v>
      </c>
      <c r="D78" s="93">
        <f>IFERROR(C78/C$98,0)</f>
        <v/>
      </c>
    </row>
    <row r="79" ht="10" customHeight="1">
      <c r="A79" s="86" t="inlineStr">
        <is>
          <t>AEGIS WEAPON SYSTEM (MK-7)</t>
        </is>
      </c>
      <c r="B79" s="82" t="inlineStr">
        <is>
          <t>Ordnance</t>
        </is>
      </c>
      <c r="C79" s="106" t="n">
        <v>465717</v>
      </c>
      <c r="D79" s="93">
        <f>IFERROR(C79/C$98,0)</f>
        <v/>
      </c>
    </row>
    <row r="80" ht="10" customHeight="1">
      <c r="A80" s="86" t="inlineStr">
        <is>
          <t>ADVANCED GUN SYSTEM (AGS)</t>
        </is>
      </c>
      <c r="B80" s="82" t="inlineStr">
        <is>
          <t>Ordnance</t>
        </is>
      </c>
      <c r="C80" s="106" t="n">
        <v>248596</v>
      </c>
      <c r="D80" s="93">
        <f>IFERROR(C80/C$98,0)</f>
        <v/>
      </c>
    </row>
    <row r="81" ht="10" customHeight="1">
      <c r="A81" s="86" t="inlineStr">
        <is>
          <t>VLS MK 41</t>
        </is>
      </c>
      <c r="B81" s="82" t="inlineStr">
        <is>
          <t>Ordnance</t>
        </is>
      </c>
      <c r="C81" s="106" t="n">
        <v>219986</v>
      </c>
      <c r="D81" s="93">
        <f>IFERROR(C81/C$98,0)</f>
        <v/>
      </c>
    </row>
    <row r="82" ht="10" customHeight="1">
      <c r="A82" s="86" t="inlineStr">
        <is>
          <t>MISC. ORDNANCE</t>
        </is>
      </c>
      <c r="B82" s="82" t="inlineStr">
        <is>
          <t>Ordnance</t>
        </is>
      </c>
      <c r="C82" s="106" t="n">
        <v>178020</v>
      </c>
      <c r="D82" s="93">
        <f>IFERROR(C82/C$98,0)</f>
        <v/>
      </c>
    </row>
    <row r="83" ht="10" customHeight="1">
      <c r="A83" s="86" t="inlineStr">
        <is>
          <t>MK 45 Light Weight Gun (LWG)</t>
        </is>
      </c>
      <c r="B83" s="82" t="inlineStr">
        <is>
          <t>Ordnance</t>
        </is>
      </c>
      <c r="C83" s="106" t="n">
        <v>90752</v>
      </c>
      <c r="D83" s="93">
        <f>IFERROR(C83/C$98,0)</f>
        <v/>
      </c>
    </row>
    <row r="84" ht="10" customHeight="1">
      <c r="A84" s="86" t="inlineStr">
        <is>
          <t>MK 41 Vertical Launch System (VLS)- 32 Cell</t>
        </is>
      </c>
      <c r="B84" s="82" t="inlineStr">
        <is>
          <t>Ordnance</t>
        </is>
      </c>
      <c r="C84" s="106" t="n">
        <v>53315</v>
      </c>
      <c r="D84" s="93">
        <f>IFERROR(C84/C$98,0)</f>
        <v/>
      </c>
    </row>
    <row r="85" ht="10" customHeight="1">
      <c r="A85" s="86" t="inlineStr">
        <is>
          <t>MK 37 TOMAHAWK</t>
        </is>
      </c>
      <c r="B85" s="82" t="inlineStr">
        <is>
          <t>Ordnance</t>
        </is>
      </c>
      <c r="C85" s="106" t="n">
        <v>51003</v>
      </c>
      <c r="D85" s="93">
        <f>IFERROR(C85/C$98,0)</f>
        <v/>
      </c>
    </row>
    <row r="86" ht="10" customHeight="1">
      <c r="A86" s="86" t="inlineStr">
        <is>
          <t>SPQ-9B Radar</t>
        </is>
      </c>
      <c r="B86" s="82" t="inlineStr">
        <is>
          <t>Ordnance</t>
        </is>
      </c>
      <c r="C86" s="106" t="n">
        <v>32923</v>
      </c>
      <c r="D86" s="93">
        <f>IFERROR(C86/C$98,0)</f>
        <v/>
      </c>
    </row>
    <row r="87" ht="10" customHeight="1">
      <c r="A87" s="86" t="inlineStr">
        <is>
          <t>MK 48 Gun Weapon System (GWS)</t>
        </is>
      </c>
      <c r="B87" s="82" t="inlineStr">
        <is>
          <t>Ordnance</t>
        </is>
      </c>
      <c r="C87" s="106" t="n">
        <v>30918</v>
      </c>
      <c r="D87" s="93">
        <f>IFERROR(C87/C$98,0)</f>
        <v/>
      </c>
    </row>
    <row r="88" ht="10" customHeight="1">
      <c r="A88" s="86" t="inlineStr">
        <is>
          <t>PHALANX (CIWS)</t>
        </is>
      </c>
      <c r="B88" s="82" t="inlineStr">
        <is>
          <t>Ordnance</t>
        </is>
      </c>
      <c r="C88" s="106" t="n">
        <v>29127</v>
      </c>
      <c r="D88" s="93">
        <f>IFERROR(C88/C$98,0)</f>
        <v/>
      </c>
    </row>
    <row r="89" ht="10" customHeight="1">
      <c r="A89" s="86" t="inlineStr">
        <is>
          <t>DDG 1002 Missile Tubes (CPS)</t>
        </is>
      </c>
      <c r="B89" s="82" t="inlineStr">
        <is>
          <t>Ordnance</t>
        </is>
      </c>
      <c r="C89" s="106" t="n">
        <v>26000</v>
      </c>
      <c r="D89" s="93">
        <f>IFERROR(C89/C$98,0)</f>
        <v/>
      </c>
    </row>
    <row r="90" ht="10" customHeight="1">
      <c r="A90" s="86" t="inlineStr">
        <is>
          <t>MK-38 Gun Weapon System (GWS)</t>
        </is>
      </c>
      <c r="B90" s="82" t="inlineStr">
        <is>
          <t>Ordnance</t>
        </is>
      </c>
      <c r="C90" s="106" t="n">
        <v>23031</v>
      </c>
      <c r="D90" s="93">
        <f>IFERROR(C90/C$98,0)</f>
        <v/>
      </c>
    </row>
    <row r="91" ht="10" customHeight="1">
      <c r="A91" s="86" t="inlineStr">
        <is>
          <t>DDG 1002 Rubber Boots, Hatches, Shock Isolation (CPS)</t>
        </is>
      </c>
      <c r="B91" s="82" t="inlineStr">
        <is>
          <t>Ordnance</t>
        </is>
      </c>
      <c r="C91" s="106" t="n">
        <v>14420</v>
      </c>
      <c r="D91" s="93">
        <f>IFERROR(C91/C$98,0)</f>
        <v/>
      </c>
    </row>
    <row r="92" ht="10" customHeight="1">
      <c r="A92" s="86" t="inlineStr">
        <is>
          <t>CLOSE-IN GUN SYSTEM (CIGS)</t>
        </is>
      </c>
      <c r="B92" s="82" t="inlineStr">
        <is>
          <t>Ordnance</t>
        </is>
      </c>
      <c r="C92" s="106" t="n">
        <v>13795</v>
      </c>
      <c r="D92" s="93">
        <f>IFERROR(C92/C$98,0)</f>
        <v/>
      </c>
    </row>
    <row r="93" ht="10" customHeight="1">
      <c r="A93" s="86" t="inlineStr">
        <is>
          <t>MK 160 Gun Fire Control System (GFCS)</t>
        </is>
      </c>
      <c r="B93" s="82" t="inlineStr">
        <is>
          <t>Ordnance</t>
        </is>
      </c>
      <c r="C93" s="106" t="n">
        <v>11568</v>
      </c>
      <c r="D93" s="93">
        <f>IFERROR(C93/C$98,0)</f>
        <v/>
      </c>
    </row>
    <row r="94" ht="10" customHeight="1">
      <c r="A94" s="86" t="inlineStr">
        <is>
          <t>ELECTRO-OPTICAL SYSTEM</t>
        </is>
      </c>
      <c r="B94" s="82" t="inlineStr">
        <is>
          <t>Ordnance</t>
        </is>
      </c>
      <c r="C94" s="106" t="n">
        <v>11125</v>
      </c>
      <c r="D94" s="93">
        <f>IFERROR(C94/C$98,0)</f>
        <v/>
      </c>
    </row>
    <row r="95" ht="10" customHeight="1">
      <c r="A95" s="86" t="inlineStr">
        <is>
          <t>MK 32 Surface Vessel Torpedo Tubes (SVTT)</t>
        </is>
      </c>
      <c r="B95" s="82" t="inlineStr">
        <is>
          <t>Ordnance</t>
        </is>
      </c>
      <c r="C95" s="106" t="n">
        <v>10513</v>
      </c>
      <c r="D95" s="93">
        <f>IFERROR(C95/C$98,0)</f>
        <v/>
      </c>
    </row>
    <row r="96" ht="10" customHeight="1">
      <c r="A96" s="86" t="inlineStr">
        <is>
          <t>Other Ordnance</t>
        </is>
      </c>
      <c r="B96" s="82" t="inlineStr">
        <is>
          <t>Ordnance</t>
        </is>
      </c>
      <c r="C96" s="106" t="n">
        <v>6751</v>
      </c>
      <c r="D96" s="93">
        <f>IFERROR(C96/C$98,0)</f>
        <v/>
      </c>
    </row>
    <row r="97" ht="10" customHeight="1">
      <c r="A97" s="86" t="inlineStr">
        <is>
          <t>MK 53 Decoy Launching System (DLS) (Nulka)- 4 Launcher</t>
        </is>
      </c>
      <c r="B97" s="82" t="inlineStr">
        <is>
          <t>Ordnance</t>
        </is>
      </c>
      <c r="C97" s="106" t="n">
        <v>3098</v>
      </c>
      <c r="D97" s="93">
        <f>IFERROR(C97/C$98,0)</f>
        <v/>
      </c>
    </row>
    <row r="98" ht="10" customHeight="1">
      <c r="A98" s="88" t="inlineStr">
        <is>
          <t>Surface Combatants Total</t>
        </is>
      </c>
      <c r="B98" s="90" t="n"/>
      <c r="C98" s="89">
        <f>SUM(C22:C97)</f>
        <v/>
      </c>
      <c r="D98" s="94" t="n">
        <v>1</v>
      </c>
    </row>
    <row r="99" ht="10" customHeight="1"/>
    <row r="100" ht="10" customHeight="1">
      <c r="A100" s="102" t="inlineStr">
        <is>
          <t>Combat Logistics Ships</t>
        </is>
      </c>
      <c r="B100" s="95" t="n"/>
      <c r="C100" s="95" t="n"/>
      <c r="D100" s="95" t="n"/>
    </row>
    <row r="101" ht="10" customHeight="1">
      <c r="A101" s="85" t="inlineStr">
        <is>
          <t>System</t>
        </is>
      </c>
      <c r="B101" s="85" t="inlineStr">
        <is>
          <t>Cost Category</t>
        </is>
      </c>
      <c r="C101" s="85" t="inlineStr">
        <is>
          <t>FY2026 ($K)</t>
        </is>
      </c>
      <c r="D101" s="85" t="inlineStr">
        <is>
          <t>% of Type</t>
        </is>
      </c>
    </row>
    <row r="102" ht="10" customHeight="1">
      <c r="A102" s="86" t="inlineStr">
        <is>
          <t>Network Management System (NMS) 2.0/Consolidated Afloat Networks and Enterprise Services (CANES) [T-AO 214]</t>
        </is>
      </c>
      <c r="B102" s="82" t="inlineStr">
        <is>
          <t>Electronics</t>
        </is>
      </c>
      <c r="C102" s="106" t="n">
        <v>17829</v>
      </c>
      <c r="D102" s="93">
        <f>IFERROR(C102/C$116,0)</f>
        <v/>
      </c>
    </row>
    <row r="103" ht="10" customHeight="1">
      <c r="A103" s="86" t="inlineStr">
        <is>
          <t>Minor Systems</t>
        </is>
      </c>
      <c r="B103" s="82" t="inlineStr">
        <is>
          <t>Electronics</t>
        </is>
      </c>
      <c r="C103" s="106" t="n">
        <v>7265</v>
      </c>
      <c r="D103" s="93">
        <f>IFERROR(C103/C$116,0)</f>
        <v/>
      </c>
    </row>
    <row r="104" ht="10" customHeight="1">
      <c r="A104" s="86" t="inlineStr">
        <is>
          <t>Radio Communication System (RCS) TURNKEY</t>
        </is>
      </c>
      <c r="B104" s="82" t="inlineStr">
        <is>
          <t>Electronics</t>
        </is>
      </c>
      <c r="C104" s="106" t="n">
        <v>6574</v>
      </c>
      <c r="D104" s="93">
        <f>IFERROR(C104/C$116,0)</f>
        <v/>
      </c>
    </row>
    <row r="105" ht="10" customHeight="1">
      <c r="A105" s="86" t="inlineStr">
        <is>
          <t>AN/SLQ-25 NIXIE</t>
        </is>
      </c>
      <c r="B105" s="82" t="inlineStr">
        <is>
          <t>Electronics</t>
        </is>
      </c>
      <c r="C105" s="106" t="n">
        <v>6213</v>
      </c>
      <c r="D105" s="93">
        <f>IFERROR(C105/C$116,0)</f>
        <v/>
      </c>
    </row>
    <row r="106" ht="10" customHeight="1">
      <c r="A106" s="86" t="inlineStr">
        <is>
          <t>Digital Modular Radio (DMR)</t>
        </is>
      </c>
      <c r="B106" s="82" t="inlineStr">
        <is>
          <t>Electronics</t>
        </is>
      </c>
      <c r="C106" s="106" t="n">
        <v>4624</v>
      </c>
      <c r="D106" s="93">
        <f>IFERROR(C106/C$116,0)</f>
        <v/>
      </c>
    </row>
    <row r="107" ht="10" customHeight="1">
      <c r="A107" s="86" t="inlineStr">
        <is>
          <t>Commercial Broadband Satellite Program (CBSP)</t>
        </is>
      </c>
      <c r="B107" s="82" t="inlineStr">
        <is>
          <t>Electronics</t>
        </is>
      </c>
      <c r="C107" s="106" t="n">
        <v>4184</v>
      </c>
      <c r="D107" s="93">
        <f>IFERROR(C107/C$116,0)</f>
        <v/>
      </c>
    </row>
    <row r="108" ht="10" customHeight="1">
      <c r="A108" s="86" t="inlineStr">
        <is>
          <t>OA-9277A</t>
        </is>
      </c>
      <c r="B108" s="82" t="inlineStr">
        <is>
          <t>Electronics</t>
        </is>
      </c>
      <c r="C108" s="106" t="n">
        <v>1915</v>
      </c>
      <c r="D108" s="93">
        <f>IFERROR(C108/C$116,0)</f>
        <v/>
      </c>
    </row>
    <row r="109" ht="10" customHeight="1">
      <c r="A109" s="86" t="inlineStr">
        <is>
          <t>Battle Force Tactical Network (BFTN)/BFTN Resilient Command and Control System Enhancement (BRSE)</t>
        </is>
      </c>
      <c r="B109" s="82" t="inlineStr">
        <is>
          <t>Electronics</t>
        </is>
      </c>
      <c r="C109" s="106" t="n">
        <v>1533</v>
      </c>
      <c r="D109" s="93">
        <f>IFERROR(C109/C$116,0)</f>
        <v/>
      </c>
    </row>
    <row r="110" ht="10" customHeight="1">
      <c r="A110" s="86" t="inlineStr">
        <is>
          <t>AN/USQ-155 Tactical Variant Switch (TVS)</t>
        </is>
      </c>
      <c r="B110" s="82" t="inlineStr">
        <is>
          <t>Electronics</t>
        </is>
      </c>
      <c r="C110" s="106" t="n">
        <v>1449</v>
      </c>
      <c r="D110" s="93">
        <f>IFERROR(C110/C$116,0)</f>
        <v/>
      </c>
    </row>
    <row r="111" ht="10" customHeight="1">
      <c r="A111" s="86" t="inlineStr">
        <is>
          <t>Engineering Services</t>
        </is>
      </c>
      <c r="B111" s="82" t="inlineStr">
        <is>
          <t>Hull, Mechanical, and Electrical</t>
        </is>
      </c>
      <c r="C111" s="106" t="n">
        <v>10355</v>
      </c>
      <c r="D111" s="93">
        <f>IFERROR(C111/C$116,0)</f>
        <v/>
      </c>
    </row>
    <row r="112" ht="10" customHeight="1">
      <c r="A112" s="86" t="inlineStr">
        <is>
          <t>Logistics Support Services</t>
        </is>
      </c>
      <c r="B112" s="82" t="inlineStr">
        <is>
          <t>Hull, Mechanical, and Electrical</t>
        </is>
      </c>
      <c r="C112" s="106" t="n">
        <v>1729</v>
      </c>
      <c r="D112" s="93">
        <f>IFERROR(C112/C$116,0)</f>
        <v/>
      </c>
    </row>
    <row r="113" ht="10" customHeight="1">
      <c r="A113" s="86" t="inlineStr">
        <is>
          <t>Material Handling Equipment</t>
        </is>
      </c>
      <c r="B113" s="82" t="inlineStr">
        <is>
          <t>Hull, Mechanical, and Electrical</t>
        </is>
      </c>
      <c r="C113" s="106" t="n">
        <v>1157</v>
      </c>
      <c r="D113" s="93">
        <f>IFERROR(C113/C$116,0)</f>
        <v/>
      </c>
    </row>
    <row r="114" ht="10" customHeight="1">
      <c r="A114" s="86" t="inlineStr">
        <is>
          <t>Improved Point Detection System - Lifecycle Replacement (IPDS-LR)</t>
        </is>
      </c>
      <c r="B114" s="82" t="inlineStr">
        <is>
          <t>Hull, Mechanical, and Electrical</t>
        </is>
      </c>
      <c r="C114" s="106" t="n">
        <v>660</v>
      </c>
      <c r="D114" s="93">
        <f>IFERROR(C114/C$116,0)</f>
        <v/>
      </c>
    </row>
    <row r="115" ht="10" customHeight="1">
      <c r="A115" s="86" t="inlineStr">
        <is>
          <t>Shipboard Automated Maintenance Module (SAMM)</t>
        </is>
      </c>
      <c r="B115" s="82" t="inlineStr">
        <is>
          <t>Hull, Mechanical, and Electrical</t>
        </is>
      </c>
      <c r="C115" s="106" t="n">
        <v>475</v>
      </c>
      <c r="D115" s="93">
        <f>IFERROR(C115/C$116,0)</f>
        <v/>
      </c>
    </row>
    <row r="116" ht="10" customHeight="1">
      <c r="A116" s="88" t="inlineStr">
        <is>
          <t>Combat Logistics Ships Total</t>
        </is>
      </c>
      <c r="B116" s="90" t="n"/>
      <c r="C116" s="89">
        <f>SUM(C102:C115)</f>
        <v/>
      </c>
      <c r="D116" s="94" t="n">
        <v>1</v>
      </c>
    </row>
    <row r="117" ht="10" customHeight="1"/>
    <row r="118" ht="10" customHeight="1">
      <c r="A118" s="102" t="inlineStr">
        <is>
          <t>Amphibious Warfare Ships</t>
        </is>
      </c>
      <c r="B118" s="95" t="n"/>
      <c r="C118" s="95" t="n"/>
      <c r="D118" s="95" t="n"/>
    </row>
    <row r="119" ht="10" customHeight="1">
      <c r="A119" s="85" t="inlineStr">
        <is>
          <t>System</t>
        </is>
      </c>
      <c r="B119" s="85" t="inlineStr">
        <is>
          <t>Cost Category</t>
        </is>
      </c>
      <c r="C119" s="85" t="inlineStr">
        <is>
          <t>FY2026 ($K)</t>
        </is>
      </c>
      <c r="D119" s="85" t="inlineStr">
        <is>
          <t>% of Type</t>
        </is>
      </c>
    </row>
    <row r="120" ht="10" customHeight="1">
      <c r="A120" s="86" t="inlineStr">
        <is>
          <t>Command, Control, Communication, Computer Intelligence Surveillance and Reconnaissance (C4ISR)</t>
        </is>
      </c>
      <c r="B120" s="82" t="inlineStr">
        <is>
          <t>Electronics</t>
        </is>
      </c>
      <c r="C120" s="106" t="n">
        <v>169701</v>
      </c>
      <c r="D120" s="93">
        <f>IFERROR(C120/C$189,0)</f>
        <v/>
      </c>
    </row>
    <row r="121" ht="10" customHeight="1">
      <c r="A121" s="86" t="inlineStr">
        <is>
          <t>C4ISR</t>
        </is>
      </c>
      <c r="B121" s="82" t="inlineStr">
        <is>
          <t>Electronics</t>
        </is>
      </c>
      <c r="C121" s="106" t="n">
        <v>83497</v>
      </c>
      <c r="D121" s="93">
        <f>IFERROR(C121/C$189,0)</f>
        <v/>
      </c>
    </row>
    <row r="122" ht="10" customHeight="1">
      <c r="A122" s="86" t="inlineStr">
        <is>
          <t>Mission Systems</t>
        </is>
      </c>
      <c r="B122" s="82" t="inlineStr">
        <is>
          <t>Electronics</t>
        </is>
      </c>
      <c r="C122" s="106" t="n">
        <v>48271</v>
      </c>
      <c r="D122" s="93">
        <f>IFERROR(C122/C$189,0)</f>
        <v/>
      </c>
    </row>
    <row r="123" ht="10" customHeight="1">
      <c r="A123" s="86" t="inlineStr">
        <is>
          <t>Miscellaneous Electronics</t>
        </is>
      </c>
      <c r="B123" s="82" t="inlineStr">
        <is>
          <t>Electronics</t>
        </is>
      </c>
      <c r="C123" s="106" t="n">
        <v>47935</v>
      </c>
      <c r="D123" s="93">
        <f>IFERROR(C123/C$189,0)</f>
        <v/>
      </c>
    </row>
    <row r="124" ht="10" customHeight="1">
      <c r="A124" s="86" t="inlineStr">
        <is>
          <t>MK 2 MOD 4E Ship Self Defense System (SSDS)</t>
        </is>
      </c>
      <c r="B124" s="82" t="inlineStr">
        <is>
          <t>Electronics</t>
        </is>
      </c>
      <c r="C124" s="106" t="n">
        <v>35308</v>
      </c>
      <c r="D124" s="93">
        <f>IFERROR(C124/C$189,0)</f>
        <v/>
      </c>
    </row>
    <row r="125" ht="10" customHeight="1">
      <c r="A125" s="86" t="inlineStr">
        <is>
          <t>Ship Self Defense System (SSDS)</t>
        </is>
      </c>
      <c r="B125" s="82" t="inlineStr">
        <is>
          <t>Electronics</t>
        </is>
      </c>
      <c r="C125" s="106" t="n">
        <v>25090</v>
      </c>
      <c r="D125" s="93">
        <f>IFERROR(C125/C$189,0)</f>
        <v/>
      </c>
    </row>
    <row r="126" ht="10" customHeight="1">
      <c r="A126" s="86" t="inlineStr">
        <is>
          <t>AN/SPN-50 (V)1</t>
        </is>
      </c>
      <c r="B126" s="82" t="inlineStr">
        <is>
          <t>Electronics</t>
        </is>
      </c>
      <c r="C126" s="106" t="n">
        <v>16643</v>
      </c>
      <c r="D126" s="93">
        <f>IFERROR(C126/C$189,0)</f>
        <v/>
      </c>
    </row>
    <row r="127" ht="10" customHeight="1">
      <c r="A127" s="86" t="inlineStr">
        <is>
          <t>AN/SLQ-32(V), Surface Warfare Improvement Program (SEWIP)</t>
        </is>
      </c>
      <c r="B127" s="82" t="inlineStr">
        <is>
          <t>Electronics</t>
        </is>
      </c>
      <c r="C127" s="106" t="n">
        <v>14904</v>
      </c>
      <c r="D127" s="93">
        <f>IFERROR(C127/C$189,0)</f>
        <v/>
      </c>
    </row>
    <row r="128" ht="10" customHeight="1">
      <c r="A128" s="86" t="inlineStr">
        <is>
          <t>AN/SLQ-32(V)6 Surface Electronic Warfare Improvement Program (SEWIP)</t>
        </is>
      </c>
      <c r="B128" s="82" t="inlineStr">
        <is>
          <t>Electronics</t>
        </is>
      </c>
      <c r="C128" s="106" t="n">
        <v>14358</v>
      </c>
      <c r="D128" s="93">
        <f>IFERROR(C128/C$189,0)</f>
        <v/>
      </c>
    </row>
    <row r="129" ht="10" customHeight="1">
      <c r="A129" s="86" t="inlineStr">
        <is>
          <t>Cooperative Engagement Capability (CEC)</t>
        </is>
      </c>
      <c r="B129" s="82" t="inlineStr">
        <is>
          <t>Electronics</t>
        </is>
      </c>
      <c r="C129" s="106" t="n">
        <v>12200</v>
      </c>
      <c r="D129" s="93">
        <f>IFERROR(C129/C$189,0)</f>
        <v/>
      </c>
    </row>
    <row r="130" ht="10" customHeight="1">
      <c r="A130" s="86" t="inlineStr">
        <is>
          <t>Integrated Voice Network (IVN)</t>
        </is>
      </c>
      <c r="B130" s="82" t="inlineStr">
        <is>
          <t>Electronics</t>
        </is>
      </c>
      <c r="C130" s="106" t="n">
        <v>10218</v>
      </c>
      <c r="D130" s="93">
        <f>IFERROR(C130/C$189,0)</f>
        <v/>
      </c>
    </row>
    <row r="131" ht="10" customHeight="1">
      <c r="A131" s="86" t="inlineStr">
        <is>
          <t>AN/UPX-29(V), Identification Friend or Foe (IFF) MK12</t>
        </is>
      </c>
      <c r="B131" s="82" t="inlineStr">
        <is>
          <t>Electronics</t>
        </is>
      </c>
      <c r="C131" s="106" t="n">
        <v>7802</v>
      </c>
      <c r="D131" s="93">
        <f>IFERROR(C131/C$189,0)</f>
        <v/>
      </c>
    </row>
    <row r="132" ht="10" customHeight="1">
      <c r="A132" s="86" t="inlineStr">
        <is>
          <t>AN/USG-2, Cooperative Engagement Transmission Processing Set (CETPS)</t>
        </is>
      </c>
      <c r="B132" s="82" t="inlineStr">
        <is>
          <t>Electronics</t>
        </is>
      </c>
      <c r="C132" s="106" t="n">
        <v>7380</v>
      </c>
      <c r="D132" s="93">
        <f>IFERROR(C132/C$189,0)</f>
        <v/>
      </c>
    </row>
    <row r="133" ht="10" customHeight="1">
      <c r="A133" s="86" t="inlineStr">
        <is>
          <t>Joint Precision Approach and Landing System (JPALS) (AN/USN-3(V)1, SSLS)</t>
        </is>
      </c>
      <c r="B133" s="82" t="inlineStr">
        <is>
          <t>Electronics</t>
        </is>
      </c>
      <c r="C133" s="106" t="n">
        <v>6885</v>
      </c>
      <c r="D133" s="93">
        <f>IFERROR(C133/C$189,0)</f>
        <v/>
      </c>
    </row>
    <row r="134" ht="10" customHeight="1">
      <c r="A134" s="86" t="inlineStr">
        <is>
          <t>USQ-82, Gigabit Ethernet Data Multiplex System (GEDMS)</t>
        </is>
      </c>
      <c r="B134" s="82" t="inlineStr">
        <is>
          <t>Electronics</t>
        </is>
      </c>
      <c r="C134" s="106" t="n">
        <v>6851</v>
      </c>
      <c r="D134" s="93">
        <f>IFERROR(C134/C$189,0)</f>
        <v/>
      </c>
    </row>
    <row r="135" ht="10" customHeight="1">
      <c r="A135" s="86" t="inlineStr">
        <is>
          <t>Interrogator System IFF (Identification Friend or Foe)</t>
        </is>
      </c>
      <c r="B135" s="82" t="inlineStr">
        <is>
          <t>Electronics</t>
        </is>
      </c>
      <c r="C135" s="106" t="n">
        <v>6649</v>
      </c>
      <c r="D135" s="93">
        <f>IFERROR(C135/C$189,0)</f>
        <v/>
      </c>
    </row>
    <row r="136" ht="10" customHeight="1">
      <c r="A136" s="86" t="inlineStr">
        <is>
          <t>Aircraft Control Approach Central AN/SPN-35C</t>
        </is>
      </c>
      <c r="B136" s="82" t="inlineStr">
        <is>
          <t>Electronics</t>
        </is>
      </c>
      <c r="C136" s="106" t="n">
        <v>6273</v>
      </c>
      <c r="D136" s="93">
        <f>IFERROR(C136/C$189,0)</f>
        <v/>
      </c>
    </row>
    <row r="137" ht="10" customHeight="1">
      <c r="A137" s="86" t="inlineStr">
        <is>
          <t>Hierarchical Yet Dynamically Reprogrammable Architecture (HYDRA) AN/SRC-55</t>
        </is>
      </c>
      <c r="B137" s="82" t="inlineStr">
        <is>
          <t>Electronics</t>
        </is>
      </c>
      <c r="C137" s="106" t="n">
        <v>6025</v>
      </c>
      <c r="D137" s="93">
        <f>IFERROR(C137/C$189,0)</f>
        <v/>
      </c>
    </row>
    <row r="138" ht="10" customHeight="1">
      <c r="A138" s="86" t="inlineStr">
        <is>
          <t>AN/SLQ-25C, Torpedo Countermeasures Transmitting Set (NIXIE)</t>
        </is>
      </c>
      <c r="B138" s="82" t="inlineStr">
        <is>
          <t>Electronics</t>
        </is>
      </c>
      <c r="C138" s="106" t="n">
        <v>5993</v>
      </c>
      <c r="D138" s="93">
        <f>IFERROR(C138/C$189,0)</f>
        <v/>
      </c>
    </row>
    <row r="139" ht="10" customHeight="1">
      <c r="A139" s="86" t="inlineStr">
        <is>
          <t>Ring Laser Gyro Navigator (RLGN) AN/WSN-7</t>
        </is>
      </c>
      <c r="B139" s="82" t="inlineStr">
        <is>
          <t>Electronics</t>
        </is>
      </c>
      <c r="C139" s="106" t="n">
        <v>5516</v>
      </c>
      <c r="D139" s="93">
        <f>IFERROR(C139/C$189,0)</f>
        <v/>
      </c>
    </row>
    <row r="140" ht="10" customHeight="1">
      <c r="A140" s="86" t="inlineStr">
        <is>
          <t>Amphibious Air Traffic Control Direct Altitude and Identity Readout (AATC-DAIR)</t>
        </is>
      </c>
      <c r="B140" s="82" t="inlineStr">
        <is>
          <t>Electronics</t>
        </is>
      </c>
      <c r="C140" s="106" t="n">
        <v>5333</v>
      </c>
      <c r="D140" s="93">
        <f>IFERROR(C140/C$189,0)</f>
        <v/>
      </c>
    </row>
    <row r="141" ht="10" customHeight="1">
      <c r="A141" s="86" t="inlineStr">
        <is>
          <t>IWS CSI</t>
        </is>
      </c>
      <c r="B141" s="82" t="inlineStr">
        <is>
          <t>Electronics</t>
        </is>
      </c>
      <c r="C141" s="106" t="n">
        <v>4649</v>
      </c>
      <c r="D141" s="93">
        <f>IFERROR(C141/C$189,0)</f>
        <v/>
      </c>
    </row>
    <row r="142" ht="10" customHeight="1">
      <c r="A142" s="86" t="inlineStr">
        <is>
          <t>Aircraft Approach Control Transmitting Set (AACTS) AN/SPN-41B</t>
        </is>
      </c>
      <c r="B142" s="82" t="inlineStr">
        <is>
          <t>Electronics</t>
        </is>
      </c>
      <c r="C142" s="106" t="n">
        <v>4617</v>
      </c>
      <c r="D142" s="93">
        <f>IFERROR(C142/C$189,0)</f>
        <v/>
      </c>
    </row>
    <row r="143" ht="10" customHeight="1">
      <c r="A143" s="86" t="inlineStr">
        <is>
          <t>AN/WSN-7(RLGN)</t>
        </is>
      </c>
      <c r="B143" s="82" t="inlineStr">
        <is>
          <t>Electronics</t>
        </is>
      </c>
      <c r="C143" s="106" t="n">
        <v>4365</v>
      </c>
      <c r="D143" s="93">
        <f>IFERROR(C143/C$189,0)</f>
        <v/>
      </c>
    </row>
    <row r="144" ht="10" customHeight="1">
      <c r="A144" s="86" t="inlineStr">
        <is>
          <t>HM&amp;E Condition System (HMECS)</t>
        </is>
      </c>
      <c r="B144" s="82" t="inlineStr">
        <is>
          <t>Electronics</t>
        </is>
      </c>
      <c r="C144" s="106" t="n">
        <v>3900</v>
      </c>
      <c r="D144" s="93">
        <f>IFERROR(C144/C$189,0)</f>
        <v/>
      </c>
    </row>
    <row r="145" ht="10" customHeight="1">
      <c r="A145" s="86" t="inlineStr">
        <is>
          <t>Announcing Systems AN/SIA-127H</t>
        </is>
      </c>
      <c r="B145" s="82" t="inlineStr">
        <is>
          <t>Electronics</t>
        </is>
      </c>
      <c r="C145" s="106" t="n">
        <v>2656</v>
      </c>
      <c r="D145" s="93">
        <f>IFERROR(C145/C$189,0)</f>
        <v/>
      </c>
    </row>
    <row r="146" ht="10" customHeight="1">
      <c r="A146" s="86" t="inlineStr">
        <is>
          <t>Amphibious Assault Direction System (AADS)</t>
        </is>
      </c>
      <c r="B146" s="82" t="inlineStr">
        <is>
          <t>Electronics</t>
        </is>
      </c>
      <c r="C146" s="106" t="n">
        <v>2616</v>
      </c>
      <c r="D146" s="93">
        <f>IFERROR(C146/C$189,0)</f>
        <v/>
      </c>
    </row>
    <row r="147" ht="10" customHeight="1">
      <c r="A147" s="86" t="inlineStr">
        <is>
          <t>SATCC</t>
        </is>
      </c>
      <c r="B147" s="82" t="inlineStr">
        <is>
          <t>Electronics</t>
        </is>
      </c>
      <c r="C147" s="106" t="n">
        <v>2106</v>
      </c>
      <c r="D147" s="93">
        <f>IFERROR(C147/C$189,0)</f>
        <v/>
      </c>
    </row>
    <row r="148" ht="10" customHeight="1">
      <c r="A148" s="86" t="inlineStr">
        <is>
          <t>Electronic Charting Display and Information Systems-Navy (ECDIS-N)</t>
        </is>
      </c>
      <c r="B148" s="82" t="inlineStr">
        <is>
          <t>Electronics</t>
        </is>
      </c>
      <c r="C148" s="106" t="n">
        <v>1970</v>
      </c>
      <c r="D148" s="93">
        <f>IFERROR(C148/C$189,0)</f>
        <v/>
      </c>
    </row>
    <row r="149" ht="10" customHeight="1">
      <c r="A149" s="86" t="inlineStr">
        <is>
          <t>Nulka Decoy Launching System (DLS)</t>
        </is>
      </c>
      <c r="B149" s="82" t="inlineStr">
        <is>
          <t>Electronics</t>
        </is>
      </c>
      <c r="C149" s="106" t="n">
        <v>1596</v>
      </c>
      <c r="D149" s="93">
        <f>IFERROR(C149/C$189,0)</f>
        <v/>
      </c>
    </row>
    <row r="150" ht="10" customHeight="1">
      <c r="A150" s="86" t="inlineStr">
        <is>
          <t>Advanced Training Domain (ATD)</t>
        </is>
      </c>
      <c r="B150" s="82" t="inlineStr">
        <is>
          <t>Electronics</t>
        </is>
      </c>
      <c r="C150" s="106" t="n">
        <v>1407</v>
      </c>
      <c r="D150" s="93">
        <f>IFERROR(C150/C$189,0)</f>
        <v/>
      </c>
    </row>
    <row r="151" ht="10" customHeight="1">
      <c r="A151" s="86" t="inlineStr">
        <is>
          <t>30 TV</t>
        </is>
      </c>
      <c r="B151" s="82" t="inlineStr">
        <is>
          <t>Electronics</t>
        </is>
      </c>
      <c r="C151" s="106" t="n">
        <v>1326</v>
      </c>
      <c r="D151" s="93">
        <f>IFERROR(C151/C$189,0)</f>
        <v/>
      </c>
    </row>
    <row r="152" ht="10" customHeight="1">
      <c r="A152" s="86" t="inlineStr">
        <is>
          <t>MK 53 NULKA Decoy Launching System (DLS) Mod 3</t>
        </is>
      </c>
      <c r="B152" s="82" t="inlineStr">
        <is>
          <t>Electronics</t>
        </is>
      </c>
      <c r="C152" s="106" t="n">
        <v>1264</v>
      </c>
      <c r="D152" s="93">
        <f>IFERROR(C152/C$189,0)</f>
        <v/>
      </c>
    </row>
    <row r="153" ht="10" customHeight="1">
      <c r="A153" s="86" t="inlineStr">
        <is>
          <t>Next Generation Navigational Radar</t>
        </is>
      </c>
      <c r="B153" s="82" t="inlineStr">
        <is>
          <t>Electronics</t>
        </is>
      </c>
      <c r="C153" s="106" t="n">
        <v>1232</v>
      </c>
      <c r="D153" s="93">
        <f>IFERROR(C153/C$189,0)</f>
        <v/>
      </c>
    </row>
    <row r="154" ht="10" customHeight="1">
      <c r="A154" s="86" t="inlineStr">
        <is>
          <t>AN/USQ-T46(V), Battle Force Tactical Training (BFTT)</t>
        </is>
      </c>
      <c r="B154" s="82" t="inlineStr">
        <is>
          <t>Electronics</t>
        </is>
      </c>
      <c r="C154" s="106" t="n">
        <v>1103</v>
      </c>
      <c r="D154" s="93">
        <f>IFERROR(C154/C$189,0)</f>
        <v/>
      </c>
    </row>
    <row r="155" ht="10" customHeight="1">
      <c r="A155" s="86" t="inlineStr">
        <is>
          <t>Digital Photo Lab</t>
        </is>
      </c>
      <c r="B155" s="82" t="inlineStr">
        <is>
          <t>Electronics</t>
        </is>
      </c>
      <c r="C155" s="106" t="n">
        <v>623</v>
      </c>
      <c r="D155" s="93">
        <f>IFERROR(C155/C$189,0)</f>
        <v/>
      </c>
    </row>
    <row r="156" ht="10" customHeight="1">
      <c r="A156" s="86" t="inlineStr">
        <is>
          <t>Print Shop</t>
        </is>
      </c>
      <c r="B156" s="82" t="inlineStr">
        <is>
          <t>Electronics</t>
        </is>
      </c>
      <c r="C156" s="106" t="n">
        <v>566</v>
      </c>
      <c r="D156" s="93">
        <f>IFERROR(C156/C$189,0)</f>
        <v/>
      </c>
    </row>
    <row r="157" ht="10" customHeight="1">
      <c r="A157" s="86" t="inlineStr">
        <is>
          <t>DHYSL</t>
        </is>
      </c>
      <c r="B157" s="82" t="inlineStr">
        <is>
          <t>Electronics</t>
        </is>
      </c>
      <c r="C157" s="106" t="n">
        <v>420</v>
      </c>
      <c r="D157" s="93">
        <f>IFERROR(C157/C$189,0)</f>
        <v/>
      </c>
    </row>
    <row r="158" ht="10" customHeight="1">
      <c r="A158" s="86" t="inlineStr">
        <is>
          <t>AN/UQN-10</t>
        </is>
      </c>
      <c r="B158" s="82" t="inlineStr">
        <is>
          <t>Electronics</t>
        </is>
      </c>
      <c r="C158" s="106" t="n">
        <v>229</v>
      </c>
      <c r="D158" s="93">
        <f>IFERROR(C158/C$189,0)</f>
        <v/>
      </c>
    </row>
    <row r="159" ht="10" customHeight="1">
      <c r="A159" s="86" t="inlineStr">
        <is>
          <t>RADIAC</t>
        </is>
      </c>
      <c r="B159" s="82" t="inlineStr">
        <is>
          <t>Electronics</t>
        </is>
      </c>
      <c r="C159" s="106" t="n">
        <v>115</v>
      </c>
      <c r="D159" s="93">
        <f>IFERROR(C159/C$189,0)</f>
        <v/>
      </c>
    </row>
    <row r="160" ht="10" customHeight="1">
      <c r="A160" s="86" t="inlineStr">
        <is>
          <t>Equipment &amp; Engineering</t>
        </is>
      </c>
      <c r="B160" s="82" t="inlineStr">
        <is>
          <t>Hull, Mechanical, and Electrical</t>
        </is>
      </c>
      <c r="C160" s="106" t="n">
        <v>47605</v>
      </c>
      <c r="D160" s="93">
        <f>IFERROR(C160/C$189,0)</f>
        <v/>
      </c>
    </row>
    <row r="161" ht="10" customHeight="1">
      <c r="A161" s="86" t="inlineStr">
        <is>
          <t>Test &amp; Instrumentation</t>
        </is>
      </c>
      <c r="B161" s="82" t="inlineStr">
        <is>
          <t>Hull, Mechanical, and Electrical</t>
        </is>
      </c>
      <c r="C161" s="106" t="n">
        <v>9464</v>
      </c>
      <c r="D161" s="93">
        <f>IFERROR(C161/C$189,0)</f>
        <v/>
      </c>
    </row>
    <row r="162" ht="10" customHeight="1">
      <c r="A162" s="86" t="inlineStr">
        <is>
          <t>SUPSHIP Material/Services</t>
        </is>
      </c>
      <c r="B162" s="82" t="inlineStr">
        <is>
          <t>Hull, Mechanical, and Electrical</t>
        </is>
      </c>
      <c r="C162" s="106" t="n">
        <v>4813</v>
      </c>
      <c r="D162" s="93">
        <f>IFERROR(C162/C$189,0)</f>
        <v/>
      </c>
    </row>
    <row r="163" ht="10" customHeight="1">
      <c r="A163" s="86" t="inlineStr">
        <is>
          <t>Unclassified Video System (UVS)</t>
        </is>
      </c>
      <c r="B163" s="82" t="inlineStr">
        <is>
          <t>Hull, Mechanical, and Electrical</t>
        </is>
      </c>
      <c r="C163" s="106" t="n">
        <v>2801</v>
      </c>
      <c r="D163" s="93">
        <f>IFERROR(C163/C$189,0)</f>
        <v/>
      </c>
    </row>
    <row r="164" ht="10" customHeight="1">
      <c r="A164" s="86" t="inlineStr">
        <is>
          <t>Forklift Trucks</t>
        </is>
      </c>
      <c r="B164" s="82" t="inlineStr">
        <is>
          <t>Hull, Mechanical, and Electrical</t>
        </is>
      </c>
      <c r="C164" s="106" t="n">
        <v>2424</v>
      </c>
      <c r="D164" s="93">
        <f>IFERROR(C164/C$189,0)</f>
        <v/>
      </c>
    </row>
    <row r="165" ht="10" customHeight="1">
      <c r="A165" s="86" t="inlineStr">
        <is>
          <t>Chemical Warfare Detectors</t>
        </is>
      </c>
      <c r="B165" s="82" t="inlineStr">
        <is>
          <t>Hull, Mechanical, and Electrical</t>
        </is>
      </c>
      <c r="C165" s="106" t="n">
        <v>1016</v>
      </c>
      <c r="D165" s="93">
        <f>IFERROR(C165/C$189,0)</f>
        <v/>
      </c>
    </row>
    <row r="166" ht="10" customHeight="1">
      <c r="A166" s="86" t="inlineStr">
        <is>
          <t>Motor Operated Pilot Valve (MOPV)</t>
        </is>
      </c>
      <c r="B166" s="82" t="inlineStr">
        <is>
          <t>Hull, Mechanical, and Electrical</t>
        </is>
      </c>
      <c r="C166" s="106" t="n">
        <v>839</v>
      </c>
      <c r="D166" s="93">
        <f>IFERROR(C166/C$189,0)</f>
        <v/>
      </c>
    </row>
    <row r="167" ht="10" customHeight="1">
      <c r="A167" s="86" t="inlineStr">
        <is>
          <t>Plastic Waste Processing EQP</t>
        </is>
      </c>
      <c r="B167" s="82" t="inlineStr">
        <is>
          <t>Hull, Mechanical, and Electrical</t>
        </is>
      </c>
      <c r="C167" s="106" t="n">
        <v>836</v>
      </c>
      <c r="D167" s="93">
        <f>IFERROR(C167/C$189,0)</f>
        <v/>
      </c>
    </row>
    <row r="168" ht="10" customHeight="1">
      <c r="A168" s="86" t="inlineStr">
        <is>
          <t>Boats (Rigid Inflatable Boat, 7 meter)</t>
        </is>
      </c>
      <c r="B168" s="82" t="inlineStr">
        <is>
          <t>Hull, Mechanical, and Electrical</t>
        </is>
      </c>
      <c r="C168" s="106" t="n">
        <v>722</v>
      </c>
      <c r="D168" s="93">
        <f>IFERROR(C168/C$189,0)</f>
        <v/>
      </c>
    </row>
    <row r="169" ht="10" customHeight="1">
      <c r="A169" s="86" t="inlineStr">
        <is>
          <t>Military Payroll System</t>
        </is>
      </c>
      <c r="B169" s="82" t="inlineStr">
        <is>
          <t>Hull, Mechanical, and Electrical</t>
        </is>
      </c>
      <c r="C169" s="106" t="n">
        <v>686</v>
      </c>
      <c r="D169" s="93">
        <f>IFERROR(C169/C$189,0)</f>
        <v/>
      </c>
    </row>
    <row r="170" ht="10" customHeight="1">
      <c r="A170" s="86" t="inlineStr">
        <is>
          <t>Oily Water Separator</t>
        </is>
      </c>
      <c r="B170" s="82" t="inlineStr">
        <is>
          <t>Hull, Mechanical, and Electrical</t>
        </is>
      </c>
      <c r="C170" s="106" t="n">
        <v>345</v>
      </c>
      <c r="D170" s="93">
        <f>IFERROR(C170/C$189,0)</f>
        <v/>
      </c>
    </row>
    <row r="171" ht="10" customHeight="1">
      <c r="A171" s="86" t="inlineStr">
        <is>
          <t>EASR</t>
        </is>
      </c>
      <c r="B171" s="82" t="inlineStr">
        <is>
          <t>Ordnance</t>
        </is>
      </c>
      <c r="C171" s="106" t="n">
        <v>41004</v>
      </c>
      <c r="D171" s="93">
        <f>IFERROR(C171/C$189,0)</f>
        <v/>
      </c>
    </row>
    <row r="172" ht="10" customHeight="1">
      <c r="A172" s="86" t="inlineStr">
        <is>
          <t>Enterprise Air Surveillance Radar (EASR)</t>
        </is>
      </c>
      <c r="B172" s="82" t="inlineStr">
        <is>
          <t>Ordnance</t>
        </is>
      </c>
      <c r="C172" s="106" t="n">
        <v>38262</v>
      </c>
      <c r="D172" s="93">
        <f>IFERROR(C172/C$189,0)</f>
        <v/>
      </c>
    </row>
    <row r="173" ht="10" customHeight="1">
      <c r="A173" s="86" t="inlineStr">
        <is>
          <t>NATO Sea Sparrow Missile System (NSSMS) MK 57 Mod 14</t>
        </is>
      </c>
      <c r="B173" s="82" t="inlineStr">
        <is>
          <t>Ordnance</t>
        </is>
      </c>
      <c r="C173" s="106" t="n">
        <v>34125</v>
      </c>
      <c r="D173" s="93">
        <f>IFERROR(C173/C$189,0)</f>
        <v/>
      </c>
    </row>
    <row r="174" ht="10" customHeight="1">
      <c r="A174" s="86" t="inlineStr">
        <is>
          <t>MK31 Mod 3, Rolling Airframe Missile (RAM) (Tech Refresh)</t>
        </is>
      </c>
      <c r="B174" s="82" t="inlineStr">
        <is>
          <t>Ordnance</t>
        </is>
      </c>
      <c r="C174" s="106" t="n">
        <v>22290</v>
      </c>
      <c r="D174" s="93">
        <f>IFERROR(C174/C$189,0)</f>
        <v/>
      </c>
    </row>
    <row r="175" ht="10" customHeight="1">
      <c r="A175" s="86" t="inlineStr">
        <is>
          <t>RAM BLOCK II</t>
        </is>
      </c>
      <c r="B175" s="82" t="inlineStr">
        <is>
          <t>Ordnance</t>
        </is>
      </c>
      <c r="C175" s="106" t="n">
        <v>19956</v>
      </c>
      <c r="D175" s="93">
        <f>IFERROR(C175/C$189,0)</f>
        <v/>
      </c>
    </row>
    <row r="176" ht="10" customHeight="1">
      <c r="A176" s="86" t="inlineStr">
        <is>
          <t>PHALANX Block 1B MK15 Mod 21 &amp; 22, Close-in Weapon System (CIWS)</t>
        </is>
      </c>
      <c r="B176" s="82" t="inlineStr">
        <is>
          <t>Ordnance</t>
        </is>
      </c>
      <c r="C176" s="106" t="n">
        <v>18458</v>
      </c>
      <c r="D176" s="93">
        <f>IFERROR(C176/C$189,0)</f>
        <v/>
      </c>
    </row>
    <row r="177" ht="10" customHeight="1">
      <c r="A177" s="86" t="inlineStr">
        <is>
          <t>MISCELLANEOUS ORDNANCE</t>
        </is>
      </c>
      <c r="B177" s="82" t="inlineStr">
        <is>
          <t>Ordnance</t>
        </is>
      </c>
      <c r="C177" s="106" t="n">
        <v>15509</v>
      </c>
      <c r="D177" s="93">
        <f>IFERROR(C177/C$189,0)</f>
        <v/>
      </c>
    </row>
    <row r="178" ht="10" customHeight="1">
      <c r="A178" s="86" t="inlineStr">
        <is>
          <t>AN/SPQ-9B Radar Set</t>
        </is>
      </c>
      <c r="B178" s="82" t="inlineStr">
        <is>
          <t>Ordnance</t>
        </is>
      </c>
      <c r="C178" s="106" t="n">
        <v>15321</v>
      </c>
      <c r="D178" s="93">
        <f>IFERROR(C178/C$189,0)</f>
        <v/>
      </c>
    </row>
    <row r="179" ht="10" customHeight="1">
      <c r="A179" s="86" t="inlineStr">
        <is>
          <t>Vertical/Stationary Take-Off Landing Optical Landing System (VSTOL OLS)</t>
        </is>
      </c>
      <c r="B179" s="82" t="inlineStr">
        <is>
          <t>Ordnance</t>
        </is>
      </c>
      <c r="C179" s="106" t="n">
        <v>15265</v>
      </c>
      <c r="D179" s="93">
        <f>IFERROR(C179/C$189,0)</f>
        <v/>
      </c>
    </row>
    <row r="180" ht="10" customHeight="1">
      <c r="A180" s="86" t="inlineStr">
        <is>
          <t>MK 46 GUN</t>
        </is>
      </c>
      <c r="B180" s="82" t="inlineStr">
        <is>
          <t>Ordnance</t>
        </is>
      </c>
      <c r="C180" s="106" t="n">
        <v>9778</v>
      </c>
      <c r="D180" s="93">
        <f>IFERROR(C180/C$189,0)</f>
        <v/>
      </c>
    </row>
    <row r="181" ht="10" customHeight="1">
      <c r="A181" s="86" t="inlineStr">
        <is>
          <t>Aviation Support</t>
        </is>
      </c>
      <c r="B181" s="82" t="inlineStr">
        <is>
          <t>Ordnance</t>
        </is>
      </c>
      <c r="C181" s="106" t="n">
        <v>8202</v>
      </c>
      <c r="D181" s="93">
        <f>IFERROR(C181/C$189,0)</f>
        <v/>
      </c>
    </row>
    <row r="182" ht="10" customHeight="1">
      <c r="A182" s="86" t="inlineStr">
        <is>
          <t>MK 38 Mod 2 Stabilized Gun Stand Assembly</t>
        </is>
      </c>
      <c r="B182" s="82" t="inlineStr">
        <is>
          <t>Ordnance</t>
        </is>
      </c>
      <c r="C182" s="106" t="n">
        <v>7143</v>
      </c>
      <c r="D182" s="93">
        <f>IFERROR(C182/C$189,0)</f>
        <v/>
      </c>
    </row>
    <row r="183" ht="10" customHeight="1">
      <c r="A183" s="86" t="inlineStr">
        <is>
          <t>ASGSI/HOSS/MWS Fit Control &amp; Inst Land Sys</t>
        </is>
      </c>
      <c r="B183" s="82" t="inlineStr">
        <is>
          <t>Ordnance</t>
        </is>
      </c>
      <c r="C183" s="106" t="n">
        <v>3808</v>
      </c>
      <c r="D183" s="93">
        <f>IFERROR(C183/C$189,0)</f>
        <v/>
      </c>
    </row>
    <row r="184" ht="10" customHeight="1">
      <c r="A184" s="86" t="inlineStr">
        <is>
          <t>Next Generation Surface Search Radar (NGSSR)</t>
        </is>
      </c>
      <c r="B184" s="82" t="inlineStr">
        <is>
          <t>Ordnance</t>
        </is>
      </c>
      <c r="C184" s="106" t="n">
        <v>3228</v>
      </c>
      <c r="D184" s="93">
        <f>IFERROR(C184/C$189,0)</f>
        <v/>
      </c>
    </row>
    <row r="185" ht="10" customHeight="1">
      <c r="A185" s="86" t="inlineStr">
        <is>
          <t>Miscellaneous Ordnance</t>
        </is>
      </c>
      <c r="B185" s="82" t="inlineStr">
        <is>
          <t>Ordnance</t>
        </is>
      </c>
      <c r="C185" s="106" t="n">
        <v>2964</v>
      </c>
      <c r="D185" s="93">
        <f>IFERROR(C185/C$189,0)</f>
        <v/>
      </c>
    </row>
    <row r="186" ht="10" customHeight="1">
      <c r="A186" s="86" t="inlineStr">
        <is>
          <t>MORIAH</t>
        </is>
      </c>
      <c r="B186" s="82" t="inlineStr">
        <is>
          <t>Ordnance</t>
        </is>
      </c>
      <c r="C186" s="106" t="n">
        <v>2395</v>
      </c>
      <c r="D186" s="93">
        <f>IFERROR(C186/C$189,0)</f>
        <v/>
      </c>
    </row>
    <row r="187" ht="10" customHeight="1">
      <c r="A187" s="86" t="inlineStr">
        <is>
          <t>AN/SPQ-14</t>
        </is>
      </c>
      <c r="B187" s="82" t="inlineStr">
        <is>
          <t>Ordnance</t>
        </is>
      </c>
      <c r="C187" s="106" t="n">
        <v>947</v>
      </c>
      <c r="D187" s="93">
        <f>IFERROR(C187/C$189,0)</f>
        <v/>
      </c>
    </row>
    <row r="188" ht="10" customHeight="1">
      <c r="A188" s="86" t="inlineStr">
        <is>
          <t>ORDNANCE HANDLING EQUIPMENT</t>
        </is>
      </c>
      <c r="B188" s="82" t="inlineStr">
        <is>
          <t>Ordnance</t>
        </is>
      </c>
      <c r="C188" s="106" t="n">
        <v>496</v>
      </c>
      <c r="D188" s="93">
        <f>IFERROR(C188/C$189,0)</f>
        <v/>
      </c>
    </row>
    <row r="189" ht="10" customHeight="1">
      <c r="A189" s="88" t="inlineStr">
        <is>
          <t>Amphibious Warfare Ships Total</t>
        </is>
      </c>
      <c r="B189" s="90" t="n"/>
      <c r="C189" s="89">
        <f>SUM(C120:C188)</f>
        <v/>
      </c>
      <c r="D189" s="94" t="n">
        <v>1</v>
      </c>
    </row>
    <row r="190" ht="10" customHeight="1"/>
    <row r="191" ht="10" customHeight="1">
      <c r="A191" s="102" t="inlineStr">
        <is>
          <t>Surveillance Ships</t>
        </is>
      </c>
      <c r="B191" s="95" t="n"/>
      <c r="C191" s="95" t="n"/>
      <c r="D191" s="95" t="n"/>
    </row>
    <row r="192" ht="10" customHeight="1">
      <c r="A192" s="85" t="inlineStr">
        <is>
          <t>System</t>
        </is>
      </c>
      <c r="B192" s="85" t="inlineStr">
        <is>
          <t>Cost Category</t>
        </is>
      </c>
      <c r="C192" s="85" t="inlineStr">
        <is>
          <t>FY2026 ($K)</t>
        </is>
      </c>
      <c r="D192" s="85" t="inlineStr">
        <is>
          <t>% of Type</t>
        </is>
      </c>
    </row>
    <row r="193" ht="10" customHeight="1">
      <c r="A193" s="86" t="inlineStr">
        <is>
          <t>Surveillance Towed Array Sensor System (SURTASS)</t>
        </is>
      </c>
      <c r="B193" s="82" t="inlineStr">
        <is>
          <t>Electronics</t>
        </is>
      </c>
      <c r="C193" s="106" t="n">
        <v>89515</v>
      </c>
      <c r="D193" s="93">
        <f>IFERROR(C193/C$195,0)</f>
        <v/>
      </c>
    </row>
    <row r="194" ht="10" customHeight="1">
      <c r="A194" s="86" t="inlineStr">
        <is>
          <t>Command, Control, Communications, Computers and Intelligence (C4I)</t>
        </is>
      </c>
      <c r="B194" s="82" t="inlineStr">
        <is>
          <t>Electronics</t>
        </is>
      </c>
      <c r="C194" s="106" t="n">
        <v>26468</v>
      </c>
      <c r="D194" s="93">
        <f>IFERROR(C194/C$195,0)</f>
        <v/>
      </c>
    </row>
    <row r="195" ht="10" customHeight="1">
      <c r="A195" s="88" t="inlineStr">
        <is>
          <t>Surveillance Ships Total</t>
        </is>
      </c>
      <c r="B195" s="90" t="n"/>
      <c r="C195" s="89">
        <f>SUM(C193:C194)</f>
        <v/>
      </c>
      <c r="D195" s="94" t="n">
        <v>1</v>
      </c>
    </row>
    <row r="196" ht="10" customHeight="1"/>
    <row r="197" ht="10" customHeight="1"/>
    <row r="198" ht="10" customHeight="1">
      <c r="A198" s="83" t="inlineStr">
        <is>
          <t>(C) Top P-8a Systems — Cross-Program Summary — FY2026 ($K)</t>
        </is>
      </c>
      <c r="B198" s="84" t="n"/>
      <c r="C198" s="84" t="n"/>
      <c r="D198" s="84" t="n"/>
      <c r="E198" s="84" t="n"/>
    </row>
    <row r="199" ht="10" customHeight="1">
      <c r="A199" s="82" t="inlineStr">
        <is>
          <t>Largest GFE systems aggregated across all SAM vessel types.</t>
        </is>
      </c>
    </row>
    <row r="200" ht="10" customHeight="1">
      <c r="A200" s="85" t="inlineStr">
        <is>
          <t>System</t>
        </is>
      </c>
      <c r="B200" s="85" t="inlineStr">
        <is>
          <t>Cost Category</t>
        </is>
      </c>
      <c r="C200" s="85" t="inlineStr">
        <is>
          <t>FY2026 ($K)</t>
        </is>
      </c>
      <c r="D200" s="85" t="inlineStr">
        <is>
          <t># Programs</t>
        </is>
      </c>
      <c r="E200" s="85" t="inlineStr">
        <is>
          <t>Vessel Types</t>
        </is>
      </c>
    </row>
    <row r="201" ht="10" customHeight="1">
      <c r="A201" s="86" t="inlineStr">
        <is>
          <t>AN/SPY-6(V)1 (AMDR)</t>
        </is>
      </c>
      <c r="B201" s="82" t="inlineStr">
        <is>
          <t>Ordnance</t>
        </is>
      </c>
      <c r="C201" s="106" t="n">
        <v>692876</v>
      </c>
      <c r="D201" s="86" t="n">
        <v>1</v>
      </c>
      <c r="E201" s="82" t="inlineStr">
        <is>
          <t>Surface Combatants</t>
        </is>
      </c>
    </row>
    <row r="202" ht="10" customHeight="1">
      <c r="A202" s="86" t="inlineStr">
        <is>
          <t>AEGIS WEAPON SYSTEM (MK-7)</t>
        </is>
      </c>
      <c r="B202" s="82" t="inlineStr">
        <is>
          <t>Ordnance</t>
        </is>
      </c>
      <c r="C202" s="106" t="n">
        <v>465717</v>
      </c>
      <c r="D202" s="86" t="n">
        <v>1</v>
      </c>
      <c r="E202" s="82" t="inlineStr">
        <is>
          <t>Surface Combatants</t>
        </is>
      </c>
    </row>
    <row r="203" ht="10" customHeight="1">
      <c r="A203" s="86" t="inlineStr">
        <is>
          <t>VERTICAL LAUNCHING SYSTEM (VLS) MK 57 4-CELL MODULES</t>
        </is>
      </c>
      <c r="B203" s="82" t="inlineStr">
        <is>
          <t>Electronics</t>
        </is>
      </c>
      <c r="C203" s="106" t="n">
        <v>302815</v>
      </c>
      <c r="D203" s="86" t="n">
        <v>1</v>
      </c>
      <c r="E203" s="82" t="inlineStr">
        <is>
          <t>Surface Combatants</t>
        </is>
      </c>
    </row>
    <row r="204" ht="10" customHeight="1">
      <c r="A204" s="86" t="inlineStr">
        <is>
          <t>MULTI FUNCTION RADAR (MFR)</t>
        </is>
      </c>
      <c r="B204" s="82" t="inlineStr">
        <is>
          <t>Electronics</t>
        </is>
      </c>
      <c r="C204" s="106" t="n">
        <v>297999</v>
      </c>
      <c r="D204" s="86" t="n">
        <v>1</v>
      </c>
      <c r="E204" s="82" t="inlineStr">
        <is>
          <t>Surface Combatants</t>
        </is>
      </c>
    </row>
    <row r="205" ht="10" customHeight="1">
      <c r="A205" s="86" t="inlineStr">
        <is>
          <t>TOTAL SHIP COMPUTING ENVIRONMENT (TSCE)</t>
        </is>
      </c>
      <c r="B205" s="82" t="inlineStr">
        <is>
          <t>Electronics</t>
        </is>
      </c>
      <c r="C205" s="106" t="n">
        <v>259191</v>
      </c>
      <c r="D205" s="86" t="n">
        <v>1</v>
      </c>
      <c r="E205" s="82" t="inlineStr">
        <is>
          <t>Surface Combatants</t>
        </is>
      </c>
    </row>
    <row r="206" ht="10" customHeight="1">
      <c r="A206" s="86" t="inlineStr">
        <is>
          <t>ADVANCED GUN SYSTEM (AGS)</t>
        </is>
      </c>
      <c r="B206" s="82" t="inlineStr">
        <is>
          <t>Ordnance</t>
        </is>
      </c>
      <c r="C206" s="106" t="n">
        <v>248596</v>
      </c>
      <c r="D206" s="86" t="n">
        <v>1</v>
      </c>
      <c r="E206" s="82" t="inlineStr">
        <is>
          <t>Surface Combatants</t>
        </is>
      </c>
    </row>
    <row r="207" ht="10" customHeight="1">
      <c r="A207" s="86" t="inlineStr">
        <is>
          <t>AN/SLQ-32 SEWIP V(7)</t>
        </is>
      </c>
      <c r="B207" s="82" t="inlineStr">
        <is>
          <t>Electronics</t>
        </is>
      </c>
      <c r="C207" s="106" t="n">
        <v>247277</v>
      </c>
      <c r="D207" s="86" t="n">
        <v>1</v>
      </c>
      <c r="E207" s="82" t="inlineStr">
        <is>
          <t>Surface Combatants</t>
        </is>
      </c>
    </row>
    <row r="208" ht="10" customHeight="1">
      <c r="A208" s="86" t="inlineStr">
        <is>
          <t>VLS MK 41</t>
        </is>
      </c>
      <c r="B208" s="82" t="inlineStr">
        <is>
          <t>Ordnance</t>
        </is>
      </c>
      <c r="C208" s="106" t="n">
        <v>219986</v>
      </c>
      <c r="D208" s="86" t="n">
        <v>1</v>
      </c>
      <c r="E208" s="82" t="inlineStr">
        <is>
          <t>Surface Combatants</t>
        </is>
      </c>
    </row>
    <row r="209" ht="10" customHeight="1">
      <c r="A209" s="86" t="inlineStr">
        <is>
          <t>EXCOMM</t>
        </is>
      </c>
      <c r="B209" s="82" t="inlineStr">
        <is>
          <t>Electronics</t>
        </is>
      </c>
      <c r="C209" s="106" t="n">
        <v>194160</v>
      </c>
      <c r="D209" s="86" t="n">
        <v>1</v>
      </c>
      <c r="E209" s="82" t="inlineStr">
        <is>
          <t>Surface Combatants</t>
        </is>
      </c>
    </row>
    <row r="210" ht="10" customHeight="1">
      <c r="A210" s="86" t="inlineStr">
        <is>
          <t>MISC. ORDNANCE</t>
        </is>
      </c>
      <c r="B210" s="82" t="inlineStr">
        <is>
          <t>Ordnance</t>
        </is>
      </c>
      <c r="C210" s="106" t="n">
        <v>178020</v>
      </c>
      <c r="D210" s="86" t="n">
        <v>1</v>
      </c>
      <c r="E210" s="82" t="inlineStr">
        <is>
          <t>Surface Combatants</t>
        </is>
      </c>
    </row>
    <row r="211" ht="10" customHeight="1">
      <c r="A211" s="86" t="inlineStr">
        <is>
          <t>SQQ 89 ASW</t>
        </is>
      </c>
      <c r="B211" s="82" t="inlineStr">
        <is>
          <t>Electronics</t>
        </is>
      </c>
      <c r="C211" s="106" t="n">
        <v>177416</v>
      </c>
      <c r="D211" s="86" t="n">
        <v>1</v>
      </c>
      <c r="E211" s="82" t="inlineStr">
        <is>
          <t>Surface Combatants</t>
        </is>
      </c>
    </row>
    <row r="212" ht="10" customHeight="1">
      <c r="A212" s="86" t="inlineStr">
        <is>
          <t>Command, Control, Communication, Computer Intelligence Surveillance and Reconnaissance (C4ISR)</t>
        </is>
      </c>
      <c r="B212" s="82" t="inlineStr">
        <is>
          <t>Electronics</t>
        </is>
      </c>
      <c r="C212" s="106" t="n">
        <v>169701</v>
      </c>
      <c r="D212" s="86" t="n">
        <v>1</v>
      </c>
      <c r="E212" s="82" t="inlineStr">
        <is>
          <t>Amphibious Warfare Ships</t>
        </is>
      </c>
    </row>
    <row r="213" ht="10" customHeight="1">
      <c r="A213" s="86" t="inlineStr">
        <is>
          <t>Enterprise Air Surveillance Radar (EASR)</t>
        </is>
      </c>
      <c r="B213" s="82" t="inlineStr">
        <is>
          <t>Ordnance</t>
        </is>
      </c>
      <c r="C213" s="106" t="n">
        <v>160867</v>
      </c>
      <c r="D213" s="86" t="n">
        <v>2</v>
      </c>
      <c r="E213" s="82" t="inlineStr">
        <is>
          <t>Amphibious Warfare Ships, Surface Combatants</t>
        </is>
      </c>
    </row>
    <row r="214" ht="10" customHeight="1">
      <c r="A214" s="86" t="inlineStr">
        <is>
          <t>MISSION SYSTEM ENGR INTEGR &amp; TEST (MSEIT)</t>
        </is>
      </c>
      <c r="B214" s="82" t="inlineStr">
        <is>
          <t>Electronics</t>
        </is>
      </c>
      <c r="C214" s="106" t="n">
        <v>132510</v>
      </c>
      <c r="D214" s="86" t="n">
        <v>1</v>
      </c>
      <c r="E214" s="82" t="inlineStr">
        <is>
          <t>Surface Combatants</t>
        </is>
      </c>
    </row>
    <row r="215" ht="10" customHeight="1">
      <c r="A215" s="86" t="inlineStr">
        <is>
          <t>MISSION SYSTEM ACTIVATION</t>
        </is>
      </c>
      <c r="B215" s="82" t="inlineStr">
        <is>
          <t>Electronics</t>
        </is>
      </c>
      <c r="C215" s="106" t="n">
        <v>130838</v>
      </c>
      <c r="D215" s="86" t="n">
        <v>1</v>
      </c>
      <c r="E215" s="82" t="inlineStr">
        <is>
          <t>Surface Combatants</t>
        </is>
      </c>
    </row>
    <row r="216" ht="10" customHeight="1">
      <c r="A216" s="86" t="inlineStr">
        <is>
          <t>SHIP CONTROL SYSTEM (SCS)</t>
        </is>
      </c>
      <c r="B216" s="82" t="inlineStr">
        <is>
          <t>Electronics</t>
        </is>
      </c>
      <c r="C216" s="106" t="n">
        <v>117229</v>
      </c>
      <c r="D216" s="86" t="n">
        <v>1</v>
      </c>
      <c r="E216" s="82" t="inlineStr">
        <is>
          <t>Surface Combatants</t>
        </is>
      </c>
    </row>
    <row r="217" ht="10" customHeight="1">
      <c r="A217" s="86" t="inlineStr">
        <is>
          <t>INTEGRATED UNDERSEA WARFARE (IUSW) SYSTEM</t>
        </is>
      </c>
      <c r="B217" s="82" t="inlineStr">
        <is>
          <t>Electronics</t>
        </is>
      </c>
      <c r="C217" s="106" t="n">
        <v>105136</v>
      </c>
      <c r="D217" s="86" t="n">
        <v>1</v>
      </c>
      <c r="E217" s="82" t="inlineStr">
        <is>
          <t>Surface Combatants</t>
        </is>
      </c>
    </row>
    <row r="218" ht="10" customHeight="1">
      <c r="A218" s="86" t="inlineStr">
        <is>
          <t>MISC. ELECTRONICS</t>
        </is>
      </c>
      <c r="B218" s="82" t="inlineStr">
        <is>
          <t>Electronics</t>
        </is>
      </c>
      <c r="C218" s="106" t="n">
        <v>94317</v>
      </c>
      <c r="D218" s="86" t="n">
        <v>1</v>
      </c>
      <c r="E218" s="82" t="inlineStr">
        <is>
          <t>Surface Combatants</t>
        </is>
      </c>
    </row>
    <row r="219" ht="10" customHeight="1">
      <c r="A219" s="86" t="inlineStr">
        <is>
          <t>AEGIS Weapon System (AWS)</t>
        </is>
      </c>
      <c r="B219" s="82" t="inlineStr">
        <is>
          <t>Electronics</t>
        </is>
      </c>
      <c r="C219" s="106" t="n">
        <v>92392</v>
      </c>
      <c r="D219" s="86" t="n">
        <v>1</v>
      </c>
      <c r="E219" s="82" t="inlineStr">
        <is>
          <t>Surface Combatants</t>
        </is>
      </c>
    </row>
    <row r="220" ht="10" customHeight="1">
      <c r="A220" s="86" t="inlineStr">
        <is>
          <t>MK 45 Light Weight Gun (LWG)</t>
        </is>
      </c>
      <c r="B220" s="82" t="inlineStr">
        <is>
          <t>Ordnance</t>
        </is>
      </c>
      <c r="C220" s="106" t="n">
        <v>90752</v>
      </c>
      <c r="D220" s="86" t="n">
        <v>1</v>
      </c>
      <c r="E220" s="82" t="inlineStr">
        <is>
          <t>Surface Combatants</t>
        </is>
      </c>
    </row>
    <row r="221" ht="10" customHeight="1">
      <c r="A221" s="86" t="inlineStr">
        <is>
          <t>Surveillance Towed Array Sensor System (SURTASS)</t>
        </is>
      </c>
      <c r="B221" s="82" t="inlineStr">
        <is>
          <t>Electronics</t>
        </is>
      </c>
      <c r="C221" s="106" t="n">
        <v>89515</v>
      </c>
      <c r="D221" s="86" t="n">
        <v>1</v>
      </c>
      <c r="E221" s="82" t="inlineStr">
        <is>
          <t>Surveillance Ships</t>
        </is>
      </c>
    </row>
    <row r="222" ht="10" customHeight="1">
      <c r="A222" s="86" t="inlineStr">
        <is>
          <t>C4ISR</t>
        </is>
      </c>
      <c r="B222" s="82" t="inlineStr">
        <is>
          <t>Electronics</t>
        </is>
      </c>
      <c r="C222" s="106" t="n">
        <v>83497</v>
      </c>
      <c r="D222" s="86" t="n">
        <v>1</v>
      </c>
      <c r="E222" s="82" t="inlineStr">
        <is>
          <t>Amphibious Warfare Ships</t>
        </is>
      </c>
    </row>
    <row r="223" ht="10" customHeight="1">
      <c r="A223" s="86" t="inlineStr">
        <is>
          <t>EXTERIOR COMMUNICATIONS (EXCOMMS)</t>
        </is>
      </c>
      <c r="B223" s="82" t="inlineStr">
        <is>
          <t>Electronics</t>
        </is>
      </c>
      <c r="C223" s="106" t="n">
        <v>79962</v>
      </c>
      <c r="D223" s="86" t="n">
        <v>1</v>
      </c>
      <c r="E223" s="82" t="inlineStr">
        <is>
          <t>Surface Combatants</t>
        </is>
      </c>
    </row>
    <row r="224" ht="10" customHeight="1">
      <c r="A224" s="86" t="inlineStr">
        <is>
          <t>SPECTRAL</t>
        </is>
      </c>
      <c r="B224" s="82" t="inlineStr">
        <is>
          <t>Electronics</t>
        </is>
      </c>
      <c r="C224" s="106" t="n">
        <v>67250</v>
      </c>
      <c r="D224" s="86" t="n">
        <v>1</v>
      </c>
      <c r="E224" s="82" t="inlineStr">
        <is>
          <t>Surface Combatants</t>
        </is>
      </c>
    </row>
    <row r="225" ht="10" customHeight="1">
      <c r="A225" s="86" t="inlineStr">
        <is>
          <t>Anti-Submarine Warfare (ASW) Combat Suite</t>
        </is>
      </c>
      <c r="B225" s="82" t="inlineStr">
        <is>
          <t>Electronics</t>
        </is>
      </c>
      <c r="C225" s="106" t="n">
        <v>62571</v>
      </c>
      <c r="D225" s="86" t="n">
        <v>1</v>
      </c>
      <c r="E225" s="82" t="inlineStr">
        <is>
          <t>Surface Combatants</t>
        </is>
      </c>
    </row>
    <row r="226" ht="10" customHeight="1">
      <c r="A226" s="86" t="inlineStr">
        <is>
          <t>DDG 1002 TSCE MODERNIZATION</t>
        </is>
      </c>
      <c r="B226" s="82" t="inlineStr">
        <is>
          <t>Electronics</t>
        </is>
      </c>
      <c r="C226" s="106" t="n">
        <v>56730</v>
      </c>
      <c r="D226" s="86" t="n">
        <v>1</v>
      </c>
      <c r="E226" s="82" t="inlineStr">
        <is>
          <t>Surface Combatants</t>
        </is>
      </c>
    </row>
    <row r="227" ht="10" customHeight="1">
      <c r="A227" s="86" t="inlineStr">
        <is>
          <t>MK 41 Vertical Launch System (VLS)- 32 Cell</t>
        </is>
      </c>
      <c r="B227" s="82" t="inlineStr">
        <is>
          <t>Ordnance</t>
        </is>
      </c>
      <c r="C227" s="106" t="n">
        <v>53315</v>
      </c>
      <c r="D227" s="86" t="n">
        <v>1</v>
      </c>
      <c r="E227" s="82" t="inlineStr">
        <is>
          <t>Surface Combatants</t>
        </is>
      </c>
    </row>
    <row r="228" ht="10" customHeight="1">
      <c r="A228" s="86" t="inlineStr">
        <is>
          <t>MISC. HM&amp;E</t>
        </is>
      </c>
      <c r="B228" s="82" t="inlineStr">
        <is>
          <t>Hull, Mechanical, and Electrical</t>
        </is>
      </c>
      <c r="C228" s="106" t="n">
        <v>52611</v>
      </c>
      <c r="D228" s="86" t="n">
        <v>1</v>
      </c>
      <c r="E228" s="82" t="inlineStr">
        <is>
          <t>Surface Combatants</t>
        </is>
      </c>
    </row>
    <row r="229" ht="10" customHeight="1">
      <c r="A229" s="86" t="inlineStr">
        <is>
          <t>MK 37 TOMAHAWK</t>
        </is>
      </c>
      <c r="B229" s="82" t="inlineStr">
        <is>
          <t>Ordnance</t>
        </is>
      </c>
      <c r="C229" s="106" t="n">
        <v>51003</v>
      </c>
      <c r="D229" s="86" t="n">
        <v>1</v>
      </c>
      <c r="E229" s="82" t="inlineStr">
        <is>
          <t>Surface Combatants</t>
        </is>
      </c>
    </row>
    <row r="230" ht="10" customHeight="1">
      <c r="A230" s="86" t="inlineStr">
        <is>
          <t>USQ 82(V) GEDMS</t>
        </is>
      </c>
      <c r="B230" s="82" t="inlineStr">
        <is>
          <t>Electronics</t>
        </is>
      </c>
      <c r="C230" s="106" t="n">
        <v>48645</v>
      </c>
      <c r="D230" s="86" t="n">
        <v>1</v>
      </c>
      <c r="E230" s="82" t="inlineStr">
        <is>
          <t>Surface Combatants</t>
        </is>
      </c>
    </row>
    <row r="231" ht="10" customHeight="1">
      <c r="A231" s="88" t="inlineStr">
        <is>
          <t>Total (top systems)</t>
        </is>
      </c>
      <c r="B231" s="90" t="n"/>
      <c r="C231" s="89">
        <f>SUM(C201:C230)</f>
        <v/>
      </c>
      <c r="D231" s="90" t="n"/>
      <c r="E231" s="90" t="n"/>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80" t="inlineStr">
        <is>
          <t>MRO TAM — FY2026 ($K)</t>
        </is>
      </c>
      <c r="B1" s="81" t="n"/>
      <c r="C1" s="81" t="n"/>
      <c r="D1" s="81" t="n"/>
      <c r="E1" s="81" t="n"/>
      <c r="F1" s="81" t="n"/>
      <c r="G1" s="81" t="n"/>
      <c r="H1" s="81" t="n"/>
      <c r="I1" s="81" t="n"/>
      <c r="J1" s="81" t="n"/>
      <c r="K1" s="81" t="n"/>
      <c r="L1" s="81" t="n"/>
    </row>
    <row r="2" ht="10" customHeight="1">
      <c r="A2" s="82" t="inlineStr">
        <is>
          <t>MRO &amp; sustainment scoped to Combatant Ships, Auxiliary Ships, USCG Cutters &amp; Unmanned Platforms</t>
        </is>
      </c>
    </row>
    <row r="3" ht="10" customHeight="1"/>
    <row r="4" ht="10" customHeight="1">
      <c r="A4" s="83" t="inlineStr">
        <is>
          <t>(A) Bridge: Total MRO Funding → MRO TAM</t>
        </is>
      </c>
      <c r="B4" s="84" t="n"/>
    </row>
    <row r="5" ht="10" customHeight="1">
      <c r="A5" s="86" t="inlineStr">
        <is>
          <t>Total MRO Funding (Buckets 2–7)</t>
        </is>
      </c>
      <c r="B5" s="87">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6" t="inlineStr">
        <is>
          <t xml:space="preserve">  Less: Unattributed (fleet-wide MRO items)</t>
        </is>
      </c>
      <c r="B6" s="87">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6" t="inlineStr">
        <is>
          <t xml:space="preserve">  Less: Combatant Crafts</t>
        </is>
      </c>
      <c r="B7" s="87">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6" t="inlineStr">
        <is>
          <t xml:space="preserve">  Less: Support Crafts</t>
        </is>
      </c>
      <c r="B8" s="87">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8" t="inlineStr">
        <is>
          <t>MRO TAM</t>
        </is>
      </c>
      <c r="B9" s="89">
        <f>B20</f>
        <v/>
      </c>
    </row>
    <row r="10" ht="10" customHeight="1"/>
    <row r="11" ht="10" customHeight="1"/>
    <row r="12" ht="10" customHeight="1">
      <c r="A12" s="83" t="inlineStr">
        <is>
          <t>(B) MRO TAM by Work Type</t>
        </is>
      </c>
      <c r="B12" s="84" t="n"/>
      <c r="C12" s="84" t="n"/>
    </row>
    <row r="13" ht="10" customHeight="1">
      <c r="A13" s="85" t="inlineStr">
        <is>
          <t>Work Type</t>
        </is>
      </c>
      <c r="B13" s="85" t="inlineStr">
        <is>
          <t>FY2026 ($K)</t>
        </is>
      </c>
      <c r="C13" s="85" t="inlineStr">
        <is>
          <t>% of TAM</t>
        </is>
      </c>
    </row>
    <row r="14" ht="10" customHeight="1">
      <c r="A14" s="86" t="inlineStr">
        <is>
          <t>Scheduled Depot Maintenance</t>
        </is>
      </c>
      <c r="B14"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3">
        <f>IFERROR(B14/B$20,0)</f>
        <v/>
      </c>
    </row>
    <row r="15" ht="10" customHeight="1">
      <c r="A15" s="86" t="inlineStr">
        <is>
          <t>Continuous / Emergent Maintenance</t>
        </is>
      </c>
      <c r="B15" s="87">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3">
        <f>IFERROR(B15/B$20,0)</f>
        <v/>
      </c>
    </row>
    <row r="16" ht="10" customHeight="1">
      <c r="A16" s="86" t="inlineStr">
        <is>
          <t>Modernization</t>
        </is>
      </c>
      <c r="B16" s="87">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3">
        <f>IFERROR(B16/B$20,0)</f>
        <v/>
      </c>
    </row>
    <row r="17" ht="10" customHeight="1">
      <c r="A17" s="86" t="inlineStr">
        <is>
          <t>Major Life-Cycle Events / RCOH</t>
        </is>
      </c>
      <c r="B17" s="87">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3">
        <f>IFERROR(B17/B$20,0)</f>
        <v/>
      </c>
    </row>
    <row r="18" ht="10" customHeight="1">
      <c r="A18" s="86" t="inlineStr">
        <is>
          <t>Sustainment Engineering</t>
        </is>
      </c>
      <c r="B18" s="87">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3">
        <f>IFERROR(B18/B$20,0)</f>
        <v/>
      </c>
    </row>
    <row r="19" ht="10" customHeight="1">
      <c r="A19" s="86" t="inlineStr">
        <is>
          <t>Availability Support</t>
        </is>
      </c>
      <c r="B19" s="87">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3">
        <f>IFERROR(B19/B$20,0)</f>
        <v/>
      </c>
    </row>
    <row r="20" ht="10" customHeight="1">
      <c r="A20" s="88" t="inlineStr">
        <is>
          <t>MRO TAM</t>
        </is>
      </c>
      <c r="B20" s="89">
        <f>SUM(B14:B19)</f>
        <v/>
      </c>
      <c r="C20" s="94" t="n">
        <v>1</v>
      </c>
    </row>
    <row r="21" ht="10" customHeight="1"/>
    <row r="22" ht="10" customHeight="1"/>
    <row r="23" ht="10" customHeight="1">
      <c r="A23" s="83" t="inlineStr">
        <is>
          <t>(C) MRO TAM by Vessel Type</t>
        </is>
      </c>
      <c r="B23" s="84" t="n"/>
      <c r="C23" s="84" t="n"/>
      <c r="D23" s="84" t="n"/>
    </row>
    <row r="24" ht="10" customHeight="1">
      <c r="A24" s="85" t="inlineStr">
        <is>
          <t>Vessel Type</t>
        </is>
      </c>
      <c r="B24" s="85" t="inlineStr">
        <is>
          <t>Service</t>
        </is>
      </c>
      <c r="C24" s="85" t="inlineStr">
        <is>
          <t>FY2026 ($K)</t>
        </is>
      </c>
      <c r="D24" s="85" t="inlineStr">
        <is>
          <t>% of TAM</t>
        </is>
      </c>
    </row>
    <row r="25" ht="10" customHeight="1">
      <c r="A25" s="86" t="inlineStr">
        <is>
          <t>Submarines</t>
        </is>
      </c>
      <c r="B25" s="86" t="inlineStr">
        <is>
          <t>USN</t>
        </is>
      </c>
      <c r="C25"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3">
        <f>IFERROR(C25/C$53,0)</f>
        <v/>
      </c>
    </row>
    <row r="26" ht="10" customHeight="1">
      <c r="A26" s="86" t="inlineStr">
        <is>
          <t>Surface Combatants</t>
        </is>
      </c>
      <c r="B26" s="86" t="inlineStr">
        <is>
          <t>USN</t>
        </is>
      </c>
      <c r="C26"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3">
        <f>IFERROR(C26/C$53,0)</f>
        <v/>
      </c>
    </row>
    <row r="27" ht="10" customHeight="1">
      <c r="A27" s="86" t="inlineStr">
        <is>
          <t>Aircraft Carriers</t>
        </is>
      </c>
      <c r="B27" s="86" t="inlineStr">
        <is>
          <t>USN</t>
        </is>
      </c>
      <c r="C27"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3">
        <f>IFERROR(C27/C$53,0)</f>
        <v/>
      </c>
    </row>
    <row r="28" ht="10" customHeight="1">
      <c r="A28" s="86" t="inlineStr">
        <is>
          <t>Amphibious Warfare Ships</t>
        </is>
      </c>
      <c r="B28" s="86" t="inlineStr">
        <is>
          <t>USN</t>
        </is>
      </c>
      <c r="C2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3">
        <f>IFERROR(C28/C$53,0)</f>
        <v/>
      </c>
    </row>
    <row r="29" ht="10" customHeight="1">
      <c r="A29" s="86" t="inlineStr">
        <is>
          <t>Expeditionary &amp; Seabasing Ships</t>
        </is>
      </c>
      <c r="B29" s="86" t="inlineStr">
        <is>
          <t>USN</t>
        </is>
      </c>
      <c r="C29"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3">
        <f>IFERROR(C29/C$53,0)</f>
        <v/>
      </c>
    </row>
    <row r="30" ht="10" customHeight="1">
      <c r="A30" s="86" t="inlineStr">
        <is>
          <t>Command Ships</t>
        </is>
      </c>
      <c r="B30" s="86" t="inlineStr">
        <is>
          <t>USN</t>
        </is>
      </c>
      <c r="C30"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3">
        <f>IFERROR(C30/C$53,0)</f>
        <v/>
      </c>
    </row>
    <row r="31" ht="10" customHeight="1">
      <c r="A31" s="86" t="inlineStr">
        <is>
          <t>Surveillance Ships</t>
        </is>
      </c>
      <c r="B31" s="86" t="inlineStr">
        <is>
          <t>USN</t>
        </is>
      </c>
      <c r="C31"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3">
        <f>IFERROR(C31/C$53,0)</f>
        <v/>
      </c>
    </row>
    <row r="32" ht="10" customHeight="1">
      <c r="A32" s="86" t="inlineStr">
        <is>
          <t>Mine Warfare</t>
        </is>
      </c>
      <c r="B32" s="86" t="inlineStr">
        <is>
          <t>USN</t>
        </is>
      </c>
      <c r="C32"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3">
        <f>IFERROR(C32/C$53,0)</f>
        <v/>
      </c>
    </row>
    <row r="33" ht="10" customHeight="1">
      <c r="A33" s="86" t="inlineStr">
        <is>
          <t>Research, Survey &amp; Instrumentation Ships</t>
        </is>
      </c>
      <c r="B33" s="86" t="inlineStr">
        <is>
          <t>MSC</t>
        </is>
      </c>
      <c r="C33" s="8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3" s="93">
        <f>IFERROR(C33/C$53,0)</f>
        <v/>
      </c>
    </row>
    <row r="34" ht="10" customHeight="1">
      <c r="A34" s="86" t="inlineStr">
        <is>
          <t>Aviation Logistics Support Ship</t>
        </is>
      </c>
      <c r="B34" s="86" t="inlineStr">
        <is>
          <t>USN</t>
        </is>
      </c>
      <c r="C34" s="8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34" s="93">
        <f>IFERROR(C34/C$53,0)</f>
        <v/>
      </c>
    </row>
    <row r="35" ht="10" customHeight="1">
      <c r="A35" s="86" t="inlineStr">
        <is>
          <t>Crane Ship</t>
        </is>
      </c>
      <c r="B35" s="86" t="inlineStr">
        <is>
          <t>USN</t>
        </is>
      </c>
      <c r="C35" s="87">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5" s="93">
        <f>IFERROR(C35/C$53,0)</f>
        <v/>
      </c>
    </row>
    <row r="36" ht="10" customHeight="1">
      <c r="A36" s="86" t="inlineStr">
        <is>
          <t>Unmanned Surface Vehicles</t>
        </is>
      </c>
      <c r="B36" s="86" t="inlineStr">
        <is>
          <t>USN</t>
        </is>
      </c>
      <c r="C36" s="8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6" s="93">
        <f>IFERROR(C36/C$53,0)</f>
        <v/>
      </c>
    </row>
    <row r="37" ht="10" customHeight="1">
      <c r="A37" s="86" t="inlineStr">
        <is>
          <t>Cargo &amp; Vehicle Cargo Ships</t>
        </is>
      </c>
      <c r="B37" s="86" t="inlineStr">
        <is>
          <t>USN</t>
        </is>
      </c>
      <c r="C37" s="8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7" s="93">
        <f>IFERROR(C37/C$53,0)</f>
        <v/>
      </c>
    </row>
    <row r="38" ht="10" customHeight="1">
      <c r="A38" s="86" t="inlineStr">
        <is>
          <t>Combat Logistics Ships</t>
        </is>
      </c>
      <c r="B38" s="86" t="inlineStr">
        <is>
          <t>MSC</t>
        </is>
      </c>
      <c r="C38" s="8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8" s="93">
        <f>IFERROR(C38/C$53,0)</f>
        <v/>
      </c>
    </row>
    <row r="39" ht="10" customHeight="1">
      <c r="A39" s="86" t="inlineStr">
        <is>
          <t>Submarine Escort Ship</t>
        </is>
      </c>
      <c r="B39" s="86" t="inlineStr">
        <is>
          <t>USN</t>
        </is>
      </c>
      <c r="C39" s="8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39" s="93">
        <f>IFERROR(C39/C$53,0)</f>
        <v/>
      </c>
    </row>
    <row r="40" ht="10" customHeight="1">
      <c r="A40" s="86" t="inlineStr">
        <is>
          <t>Unmanned Undersea Vehicles</t>
        </is>
      </c>
      <c r="B40" s="86" t="inlineStr">
        <is>
          <t>USN</t>
        </is>
      </c>
      <c r="C40" s="8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0" s="93">
        <f>IFERROR(C40/C$53,0)</f>
        <v/>
      </c>
    </row>
    <row r="41" ht="10" customHeight="1">
      <c r="A41" s="86" t="inlineStr">
        <is>
          <t>Material Support Ships</t>
        </is>
      </c>
      <c r="B41" s="86" t="inlineStr">
        <is>
          <t>USN</t>
        </is>
      </c>
      <c r="C41" s="8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1" s="93">
        <f>IFERROR(C41/C$53,0)</f>
        <v/>
      </c>
    </row>
    <row r="42" ht="10" customHeight="1">
      <c r="A42" s="86" t="inlineStr">
        <is>
          <t>General Auxiliary</t>
        </is>
      </c>
      <c r="B42" s="86" t="inlineStr">
        <is>
          <t>USN</t>
        </is>
      </c>
      <c r="C42" s="8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42" s="93">
        <f>IFERROR(C42/C$53,0)</f>
        <v/>
      </c>
    </row>
    <row r="43" ht="10" customHeight="1">
      <c r="A43" s="86" t="inlineStr">
        <is>
          <t>High Speed Transport</t>
        </is>
      </c>
      <c r="B43" s="86" t="inlineStr">
        <is>
          <t>USN</t>
        </is>
      </c>
      <c r="C43" s="8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3" s="93">
        <f>IFERROR(C43/C$53,0)</f>
        <v/>
      </c>
    </row>
    <row r="44" ht="10" customHeight="1">
      <c r="A44" s="86" t="inlineStr">
        <is>
          <t>Hospital Ship</t>
        </is>
      </c>
      <c r="B44" s="86" t="inlineStr">
        <is>
          <t>MSC</t>
        </is>
      </c>
      <c r="C44" s="8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4" s="93">
        <f>IFERROR(C44/C$53,0)</f>
        <v/>
      </c>
    </row>
    <row r="45" ht="10" customHeight="1">
      <c r="A45" s="86" t="inlineStr">
        <is>
          <t>Salvage Ships &amp; Fleet Ocean Tugs</t>
        </is>
      </c>
      <c r="B45" s="86" t="inlineStr">
        <is>
          <t>MSC</t>
        </is>
      </c>
      <c r="C45" s="8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45" s="93">
        <f>IFERROR(C45/C$53,0)</f>
        <v/>
      </c>
    </row>
    <row r="46" ht="10" customHeight="1">
      <c r="A46" s="86" t="inlineStr">
        <is>
          <t>National Security Cutters</t>
        </is>
      </c>
      <c r="B46" s="86" t="inlineStr">
        <is>
          <t>USCG</t>
        </is>
      </c>
      <c r="C46"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3">
        <f>IFERROR(C46/C$53,0)</f>
        <v/>
      </c>
    </row>
    <row r="47" ht="10" customHeight="1">
      <c r="A47" s="86" t="inlineStr">
        <is>
          <t>Waterways Commerce Cutters</t>
        </is>
      </c>
      <c r="B47" s="86" t="inlineStr">
        <is>
          <t>USCG</t>
        </is>
      </c>
      <c r="C47" s="8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47" s="93">
        <f>IFERROR(C47/C$53,0)</f>
        <v/>
      </c>
    </row>
    <row r="48" ht="10" customHeight="1">
      <c r="A48" s="86" t="inlineStr">
        <is>
          <t>Coastal Buoy Tenders</t>
        </is>
      </c>
      <c r="B48" s="86" t="inlineStr">
        <is>
          <t>USCG</t>
        </is>
      </c>
      <c r="C48" s="8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48" s="93">
        <f>IFERROR(C48/C$53,0)</f>
        <v/>
      </c>
    </row>
    <row r="49" ht="10" customHeight="1">
      <c r="A49" s="86" t="inlineStr">
        <is>
          <t>Fast Response Cutters</t>
        </is>
      </c>
      <c r="B49" s="86" t="inlineStr">
        <is>
          <t>USCG</t>
        </is>
      </c>
      <c r="C49" s="8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9" s="93">
        <f>IFERROR(C49/C$53,0)</f>
        <v/>
      </c>
    </row>
    <row r="50" ht="10" customHeight="1">
      <c r="A50" s="86" t="inlineStr">
        <is>
          <t>Icebreakers, Oceangoing</t>
        </is>
      </c>
      <c r="B50" s="86" t="inlineStr">
        <is>
          <t>USCG</t>
        </is>
      </c>
      <c r="C50" s="8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50" s="93">
        <f>IFERROR(C50/C$53,0)</f>
        <v/>
      </c>
    </row>
    <row r="51" ht="10" customHeight="1">
      <c r="A51" s="86" t="inlineStr">
        <is>
          <t>Offshore Patrol Cutter</t>
        </is>
      </c>
      <c r="B51" s="86" t="inlineStr">
        <is>
          <t>USCG</t>
        </is>
      </c>
      <c r="C51" s="8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51" s="93">
        <f>IFERROR(C51/C$53,0)</f>
        <v/>
      </c>
    </row>
    <row r="52" ht="10" customHeight="1">
      <c r="A52" s="86" t="inlineStr">
        <is>
          <t>Icebreakers, Great Lakes</t>
        </is>
      </c>
      <c r="B52" s="86" t="inlineStr">
        <is>
          <t>USCG</t>
        </is>
      </c>
      <c r="C52" s="8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2" s="93">
        <f>IFERROR(C52/C$53,0)</f>
        <v/>
      </c>
    </row>
    <row r="53" ht="10" customHeight="1">
      <c r="A53" s="88" t="inlineStr">
        <is>
          <t>MRO TAM</t>
        </is>
      </c>
      <c r="B53" s="88" t="inlineStr"/>
      <c r="C53" s="89">
        <f>SUM(C25:C52)</f>
        <v/>
      </c>
      <c r="D53" s="94" t="n">
        <v>1</v>
      </c>
    </row>
    <row r="54" ht="10" customHeight="1"/>
    <row r="55" ht="10" customHeight="1"/>
    <row r="56" ht="10" customHeight="1">
      <c r="A56" s="83" t="inlineStr">
        <is>
          <t>(D) MRO TAM — Work Type by Vessel Type (Mekko)</t>
        </is>
      </c>
      <c r="B56" s="84" t="n"/>
      <c r="C56" s="84" t="n"/>
      <c r="D56" s="84" t="n"/>
      <c r="E56" s="84" t="n"/>
      <c r="F56" s="84" t="n"/>
      <c r="G56" s="84" t="n"/>
      <c r="H56" s="84" t="n"/>
      <c r="I56" s="84" t="n"/>
      <c r="J56" s="84" t="n"/>
      <c r="K56" s="84" t="n"/>
    </row>
    <row r="57" ht="10" customHeight="1">
      <c r="A57" s="95" t="n"/>
      <c r="B57" s="96" t="inlineStr">
        <is>
          <t>USN</t>
        </is>
      </c>
      <c r="C57" s="95" t="n"/>
      <c r="D57" s="95" t="n"/>
      <c r="E57" s="95" t="n"/>
      <c r="F57" s="95" t="n"/>
      <c r="G57" s="95" t="n"/>
      <c r="H57" s="95" t="n"/>
      <c r="I57" s="95" t="n"/>
      <c r="J57" s="96" t="inlineStr">
        <is>
          <t>USCG</t>
        </is>
      </c>
      <c r="K57" s="97" t="n"/>
    </row>
    <row r="58" ht="10" customHeight="1">
      <c r="A58" s="85" t="inlineStr">
        <is>
          <t>Work Type</t>
        </is>
      </c>
      <c r="B58" s="98" t="inlineStr">
        <is>
          <t>Submarines</t>
        </is>
      </c>
      <c r="C58" s="85" t="inlineStr">
        <is>
          <t>Surface Combatants</t>
        </is>
      </c>
      <c r="D58" s="85" t="inlineStr">
        <is>
          <t>Aircraft Carriers</t>
        </is>
      </c>
      <c r="E58" s="85" t="inlineStr">
        <is>
          <t>Amphibious Warfare Ships</t>
        </is>
      </c>
      <c r="F58" s="85" t="inlineStr">
        <is>
          <t>Expeditionary &amp; Seabasing Ships</t>
        </is>
      </c>
      <c r="G58" s="85" t="inlineStr">
        <is>
          <t>Command Ships</t>
        </is>
      </c>
      <c r="H58" s="85" t="inlineStr">
        <is>
          <t>Surveillance Ships</t>
        </is>
      </c>
      <c r="I58" s="85" t="inlineStr">
        <is>
          <t>Mine Warfare</t>
        </is>
      </c>
      <c r="J58" s="98" t="inlineStr">
        <is>
          <t>National Security Cutters</t>
        </is>
      </c>
      <c r="K58" s="98" t="inlineStr">
        <is>
          <t>Total</t>
        </is>
      </c>
    </row>
    <row r="59" ht="10" customHeight="1">
      <c r="A59" s="86" t="inlineStr">
        <is>
          <t>Scheduled Depot Maintenance</t>
        </is>
      </c>
      <c r="B59" s="99">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3">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3">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9">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6" t="inlineStr">
        <is>
          <t>Continuous / Emergent Maintenance</t>
        </is>
      </c>
      <c r="B60" s="99">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3">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3">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3">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3">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3">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3">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3">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9">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9">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6" t="inlineStr">
        <is>
          <t>Modernization</t>
        </is>
      </c>
      <c r="B61" s="99">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3">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3">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9">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6" t="inlineStr">
        <is>
          <t>Major Life-Cycle Events / RCOH</t>
        </is>
      </c>
      <c r="B62" s="99">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3">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3">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3">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3">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3">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3">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3">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9">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9">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6" t="inlineStr">
        <is>
          <t>Sustainment Engineering</t>
        </is>
      </c>
      <c r="B63" s="99">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3">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3">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3">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3">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3">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3">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3">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9">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9">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6" t="inlineStr">
        <is>
          <t>Availability Support</t>
        </is>
      </c>
      <c r="B64" s="99">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3">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3">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3">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3">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3">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3">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3">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9">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9">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8" t="inlineStr">
        <is>
          <t>Total ($K)</t>
        </is>
      </c>
      <c r="B65" s="100">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10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100">
        <f>SUM(B65:J65)</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80" t="inlineStr">
        <is>
          <t>MRO SAM — FY2026 ($K)</t>
        </is>
      </c>
      <c r="B1" s="81" t="n"/>
      <c r="C1" s="81" t="n"/>
      <c r="D1" s="81" t="n"/>
      <c r="E1" s="81" t="n"/>
      <c r="F1" s="81" t="n"/>
      <c r="G1" s="81" t="n"/>
      <c r="H1" s="81" t="n"/>
      <c r="I1" s="81" t="n"/>
      <c r="J1" s="81" t="n"/>
    </row>
    <row r="2" ht="10" customHeight="1">
      <c r="A2" s="82" t="inlineStr">
        <is>
          <t>Outsourceable MRO: SDM + Modernization, excluding non-addressable vessel types</t>
        </is>
      </c>
    </row>
    <row r="3" ht="10" customHeight="1"/>
    <row r="4" ht="10" customHeight="1">
      <c r="A4" s="83" t="inlineStr">
        <is>
          <t>(A) Bridge: MRO TAM → MRO SAM</t>
        </is>
      </c>
      <c r="B4" s="84" t="n"/>
    </row>
    <row r="5" ht="10" customHeight="1">
      <c r="A5" s="86" t="inlineStr">
        <is>
          <t>MRO TAM</t>
        </is>
      </c>
      <c r="B5" s="107">
        <f>'FY26 MRO TAM'!B20</f>
        <v/>
      </c>
    </row>
    <row r="6" ht="10" customHeight="1">
      <c r="A6" s="86" t="inlineStr">
        <is>
          <t xml:space="preserve">  Less: Submarines</t>
        </is>
      </c>
      <c r="B6" s="87">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6" t="inlineStr">
        <is>
          <t xml:space="preserve">  Less: Aircraft Carriers</t>
        </is>
      </c>
      <c r="B7"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6" t="inlineStr">
        <is>
          <t xml:space="preserve">  Less: Unmanned Undersea Vehicles</t>
        </is>
      </c>
      <c r="B8" s="87">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6" t="inlineStr">
        <is>
          <t xml:space="preserve">  Less: Non-outsourceable work types</t>
        </is>
      </c>
      <c r="B9" s="87">
        <f>-(B5+B6+B7+B8-B10)</f>
        <v/>
      </c>
    </row>
    <row r="10" ht="10" customHeight="1">
      <c r="A10" s="88" t="inlineStr">
        <is>
          <t>MRO SAM</t>
        </is>
      </c>
      <c r="B10" s="89">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3" t="inlineStr">
        <is>
          <t>(B) MRO SAM by Vessel Type</t>
        </is>
      </c>
      <c r="B13" s="84" t="n"/>
      <c r="C13" s="84" t="n"/>
      <c r="D13" s="84" t="n"/>
      <c r="E13" s="84" t="n"/>
      <c r="F13" s="84" t="n"/>
    </row>
    <row r="14" ht="10" customHeight="1">
      <c r="A14" s="85" t="inlineStr">
        <is>
          <t>Vessel Type</t>
        </is>
      </c>
      <c r="B14" s="85" t="inlineStr">
        <is>
          <t>Service</t>
        </is>
      </c>
      <c r="C14" s="85" t="inlineStr">
        <is>
          <t>SDM ($K)</t>
        </is>
      </c>
      <c r="D14" s="85" t="inlineStr">
        <is>
          <t>Mod ($K)</t>
        </is>
      </c>
      <c r="E14" s="85" t="inlineStr">
        <is>
          <t>Total ($K)</t>
        </is>
      </c>
      <c r="F14" s="85" t="inlineStr">
        <is>
          <t>% of SAM</t>
        </is>
      </c>
    </row>
    <row r="15" ht="10" customHeight="1">
      <c r="A15" s="86" t="inlineStr">
        <is>
          <t>Surface Combatants</t>
        </is>
      </c>
      <c r="B15" s="86" t="inlineStr">
        <is>
          <t>USN</t>
        </is>
      </c>
      <c r="C1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7">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7">
        <f>C15+D15</f>
        <v/>
      </c>
      <c r="F15" s="93">
        <f>IFERROR(E15/E$40,0)</f>
        <v/>
      </c>
    </row>
    <row r="16" ht="10" customHeight="1">
      <c r="A16" s="86" t="inlineStr">
        <is>
          <t>Amphibious Warfare Ships</t>
        </is>
      </c>
      <c r="B16" s="86" t="inlineStr">
        <is>
          <t>USN</t>
        </is>
      </c>
      <c r="C16"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7">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7">
        <f>C16+D16</f>
        <v/>
      </c>
      <c r="F16" s="93">
        <f>IFERROR(E16/E$40,0)</f>
        <v/>
      </c>
    </row>
    <row r="17" ht="10" customHeight="1">
      <c r="A17" s="86" t="inlineStr">
        <is>
          <t>Surveillance Ships</t>
        </is>
      </c>
      <c r="B17" s="86" t="inlineStr">
        <is>
          <t>USN</t>
        </is>
      </c>
      <c r="C17"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7">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7">
        <f>C17+D17</f>
        <v/>
      </c>
      <c r="F17" s="93">
        <f>IFERROR(E17/E$40,0)</f>
        <v/>
      </c>
    </row>
    <row r="18" ht="10" customHeight="1">
      <c r="A18" s="86" t="inlineStr">
        <is>
          <t>Expeditionary &amp; Seabasing Ships</t>
        </is>
      </c>
      <c r="B18" s="86" t="inlineStr">
        <is>
          <t>USN</t>
        </is>
      </c>
      <c r="C1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7">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7">
        <f>C18+D18</f>
        <v/>
      </c>
      <c r="F18" s="93">
        <f>IFERROR(E18/E$40,0)</f>
        <v/>
      </c>
    </row>
    <row r="19" ht="10" customHeight="1">
      <c r="A19" s="86" t="inlineStr">
        <is>
          <t>Mine Warfare</t>
        </is>
      </c>
      <c r="B19" s="86" t="inlineStr">
        <is>
          <t>USN</t>
        </is>
      </c>
      <c r="C19"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7">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7">
        <f>C19+D19</f>
        <v/>
      </c>
      <c r="F19" s="93">
        <f>IFERROR(E19/E$40,0)</f>
        <v/>
      </c>
    </row>
    <row r="20" ht="10" customHeight="1">
      <c r="A20" s="86" t="inlineStr">
        <is>
          <t>Command Ships</t>
        </is>
      </c>
      <c r="B20" s="86" t="inlineStr">
        <is>
          <t>USN</t>
        </is>
      </c>
      <c r="C20"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7">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7">
        <f>C20+D20</f>
        <v/>
      </c>
      <c r="F20" s="93">
        <f>IFERROR(E20/E$40,0)</f>
        <v/>
      </c>
    </row>
    <row r="21" ht="10" customHeight="1">
      <c r="A21" s="86" t="inlineStr">
        <is>
          <t>Research, Survey &amp; Instrumentation Ships</t>
        </is>
      </c>
      <c r="B21" s="86" t="inlineStr">
        <is>
          <t>MSC</t>
        </is>
      </c>
      <c r="C21" s="87">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1" s="87">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1" s="87">
        <f>C21+D21</f>
        <v/>
      </c>
      <c r="F21" s="93">
        <f>IFERROR(E21/E$40,0)</f>
        <v/>
      </c>
    </row>
    <row r="22" ht="10" customHeight="1">
      <c r="A22" s="86" t="inlineStr">
        <is>
          <t>Aviation Logistics Support Ship</t>
        </is>
      </c>
      <c r="B22" s="86" t="inlineStr">
        <is>
          <t>USN</t>
        </is>
      </c>
      <c r="C22" s="87">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2" s="87">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2" s="87">
        <f>C22+D22</f>
        <v/>
      </c>
      <c r="F22" s="93">
        <f>IFERROR(E22/E$40,0)</f>
        <v/>
      </c>
    </row>
    <row r="23" ht="10" customHeight="1">
      <c r="A23" s="86" t="inlineStr">
        <is>
          <t>Material Support Ships</t>
        </is>
      </c>
      <c r="B23" s="86" t="inlineStr">
        <is>
          <t>USN</t>
        </is>
      </c>
      <c r="C23" s="87">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23" s="87">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23" s="87">
        <f>C23+D23</f>
        <v/>
      </c>
      <c r="F23" s="93">
        <f>IFERROR(E23/E$40,0)</f>
        <v/>
      </c>
    </row>
    <row r="24" ht="10" customHeight="1">
      <c r="A24" s="86" t="inlineStr">
        <is>
          <t>Crane Ship</t>
        </is>
      </c>
      <c r="B24" s="86" t="inlineStr">
        <is>
          <t>USN</t>
        </is>
      </c>
      <c r="C24" s="87">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4" s="87">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4" s="87">
        <f>C24+D24</f>
        <v/>
      </c>
      <c r="F24" s="93">
        <f>IFERROR(E24/E$40,0)</f>
        <v/>
      </c>
    </row>
    <row r="25" ht="10" customHeight="1">
      <c r="A25" s="86" t="inlineStr">
        <is>
          <t>Unmanned Surface Vehicles</t>
        </is>
      </c>
      <c r="B25" s="86" t="inlineStr">
        <is>
          <t>USN</t>
        </is>
      </c>
      <c r="C25" s="87">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5" s="87">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5" s="87">
        <f>C25+D25</f>
        <v/>
      </c>
      <c r="F25" s="93">
        <f>IFERROR(E25/E$40,0)</f>
        <v/>
      </c>
    </row>
    <row r="26" ht="10" customHeight="1">
      <c r="A26" s="86" t="inlineStr">
        <is>
          <t>General Auxiliary</t>
        </is>
      </c>
      <c r="B26" s="86" t="inlineStr">
        <is>
          <t>USN</t>
        </is>
      </c>
      <c r="C26" s="87">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6" s="87">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6" s="87">
        <f>C26+D26</f>
        <v/>
      </c>
      <c r="F26" s="93">
        <f>IFERROR(E26/E$40,0)</f>
        <v/>
      </c>
    </row>
    <row r="27" ht="10" customHeight="1">
      <c r="A27" s="86" t="inlineStr">
        <is>
          <t>Cargo &amp; Vehicle Cargo Ships</t>
        </is>
      </c>
      <c r="B27" s="86" t="inlineStr">
        <is>
          <t>USN</t>
        </is>
      </c>
      <c r="C27" s="87">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7" s="87">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7" s="87">
        <f>C27+D27</f>
        <v/>
      </c>
      <c r="F27" s="93">
        <f>IFERROR(E27/E$40,0)</f>
        <v/>
      </c>
    </row>
    <row r="28" ht="10" customHeight="1">
      <c r="A28" s="86" t="inlineStr">
        <is>
          <t>Combat Logistics Ships</t>
        </is>
      </c>
      <c r="B28" s="86" t="inlineStr">
        <is>
          <t>MSC</t>
        </is>
      </c>
      <c r="C28" s="87">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8" s="87">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8" s="87">
        <f>C28+D28</f>
        <v/>
      </c>
      <c r="F28" s="93">
        <f>IFERROR(E28/E$40,0)</f>
        <v/>
      </c>
    </row>
    <row r="29" ht="10" customHeight="1">
      <c r="A29" s="86" t="inlineStr">
        <is>
          <t>High Speed Transport</t>
        </is>
      </c>
      <c r="B29" s="86" t="inlineStr">
        <is>
          <t>USN</t>
        </is>
      </c>
      <c r="C29" s="87">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9" s="87">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9" s="87">
        <f>C29+D29</f>
        <v/>
      </c>
      <c r="F29" s="93">
        <f>IFERROR(E29/E$40,0)</f>
        <v/>
      </c>
    </row>
    <row r="30" ht="10" customHeight="1">
      <c r="A30" s="86" t="inlineStr">
        <is>
          <t>Hospital Ship</t>
        </is>
      </c>
      <c r="B30" s="86" t="inlineStr">
        <is>
          <t>MSC</t>
        </is>
      </c>
      <c r="C30" s="87">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0" s="87">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0" s="87">
        <f>C30+D30</f>
        <v/>
      </c>
      <c r="F30" s="93">
        <f>IFERROR(E30/E$40,0)</f>
        <v/>
      </c>
    </row>
    <row r="31" ht="10" customHeight="1">
      <c r="A31" s="86" t="inlineStr">
        <is>
          <t>Submarine Escort Ship</t>
        </is>
      </c>
      <c r="B31" s="86" t="inlineStr">
        <is>
          <t>USN</t>
        </is>
      </c>
      <c r="C31" s="87">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31" s="87">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31" s="87">
        <f>C31+D31</f>
        <v/>
      </c>
      <c r="F31" s="93">
        <f>IFERROR(E31/E$40,0)</f>
        <v/>
      </c>
    </row>
    <row r="32" ht="10" customHeight="1">
      <c r="A32" s="86" t="inlineStr">
        <is>
          <t>Salvage Ships &amp; Fleet Ocean Tugs</t>
        </is>
      </c>
      <c r="B32" s="86" t="inlineStr">
        <is>
          <t>MSC</t>
        </is>
      </c>
      <c r="C32" s="87">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32" s="87">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32" s="87">
        <f>C32+D32</f>
        <v/>
      </c>
      <c r="F32" s="93">
        <f>IFERROR(E32/E$40,0)</f>
        <v/>
      </c>
    </row>
    <row r="33" ht="10" customHeight="1">
      <c r="A33" s="86" t="inlineStr">
        <is>
          <t>National Security Cutters</t>
        </is>
      </c>
      <c r="B33" s="86" t="inlineStr">
        <is>
          <t>USCG</t>
        </is>
      </c>
      <c r="C33" s="87">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7">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7">
        <f>C33+D33</f>
        <v/>
      </c>
      <c r="F33" s="93">
        <f>IFERROR(E33/E$40,0)</f>
        <v/>
      </c>
    </row>
    <row r="34" ht="10" customHeight="1">
      <c r="A34" s="86" t="inlineStr">
        <is>
          <t>Waterways Commerce Cutters</t>
        </is>
      </c>
      <c r="B34" s="86" t="inlineStr">
        <is>
          <t>USCG</t>
        </is>
      </c>
      <c r="C34" s="87">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4" s="87">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4" s="87">
        <f>C34+D34</f>
        <v/>
      </c>
      <c r="F34" s="93">
        <f>IFERROR(E34/E$40,0)</f>
        <v/>
      </c>
    </row>
    <row r="35" ht="10" customHeight="1">
      <c r="A35" s="86" t="inlineStr">
        <is>
          <t>Fast Response Cutters</t>
        </is>
      </c>
      <c r="B35" s="86" t="inlineStr">
        <is>
          <t>USCG</t>
        </is>
      </c>
      <c r="C35" s="87">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5" s="87">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5" s="87">
        <f>C35+D35</f>
        <v/>
      </c>
      <c r="F35" s="93">
        <f>IFERROR(E35/E$40,0)</f>
        <v/>
      </c>
    </row>
    <row r="36" ht="10" customHeight="1">
      <c r="A36" s="86" t="inlineStr">
        <is>
          <t>Icebreakers, Oceangoing</t>
        </is>
      </c>
      <c r="B36" s="86" t="inlineStr">
        <is>
          <t>USCG</t>
        </is>
      </c>
      <c r="C36" s="87">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6" s="87">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6" s="87">
        <f>C36+D36</f>
        <v/>
      </c>
      <c r="F36" s="93">
        <f>IFERROR(E36/E$40,0)</f>
        <v/>
      </c>
    </row>
    <row r="37" ht="10" customHeight="1">
      <c r="A37" s="86" t="inlineStr">
        <is>
          <t>Offshore Patrol Cutter</t>
        </is>
      </c>
      <c r="B37" s="86" t="inlineStr">
        <is>
          <t>USCG</t>
        </is>
      </c>
      <c r="C37" s="87">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7" s="87">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7" s="87">
        <f>C37+D37</f>
        <v/>
      </c>
      <c r="F37" s="93">
        <f>IFERROR(E37/E$40,0)</f>
        <v/>
      </c>
    </row>
    <row r="38" ht="10" customHeight="1">
      <c r="A38" s="86" t="inlineStr">
        <is>
          <t>Coastal Buoy Tenders</t>
        </is>
      </c>
      <c r="B38" s="86" t="inlineStr">
        <is>
          <t>USCG</t>
        </is>
      </c>
      <c r="C38" s="87">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8" s="87">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8" s="87">
        <f>C38+D38</f>
        <v/>
      </c>
      <c r="F38" s="93">
        <f>IFERROR(E38/E$40,0)</f>
        <v/>
      </c>
    </row>
    <row r="39" ht="10" customHeight="1">
      <c r="A39" s="86" t="inlineStr">
        <is>
          <t>Icebreakers, Great Lakes</t>
        </is>
      </c>
      <c r="B39" s="86" t="inlineStr">
        <is>
          <t>USCG</t>
        </is>
      </c>
      <c r="C39" s="87">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9" s="87">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9" s="87">
        <f>C39+D39</f>
        <v/>
      </c>
      <c r="F39" s="93">
        <f>IFERROR(E39/E$40,0)</f>
        <v/>
      </c>
    </row>
    <row r="40" ht="10" customHeight="1">
      <c r="A40" s="88" t="inlineStr">
        <is>
          <t>MRO SAM</t>
        </is>
      </c>
      <c r="B40" s="88" t="inlineStr"/>
      <c r="C40" s="89">
        <f>SUM(C15:C39)</f>
        <v/>
      </c>
      <c r="D40" s="89">
        <f>SUM(D15:D39)</f>
        <v/>
      </c>
      <c r="E40" s="89">
        <f>SUM(E15:E39)</f>
        <v/>
      </c>
      <c r="F40" s="94" t="n">
        <v>1</v>
      </c>
    </row>
    <row r="41" ht="10" customHeight="1"/>
    <row r="42" ht="10" customHeight="1"/>
    <row r="43" ht="10" customHeight="1">
      <c r="A43" s="83" t="inlineStr">
        <is>
          <t>(C) MRO SAM — SDM vs Modernization by Vessel Type (Mekko)</t>
        </is>
      </c>
      <c r="B43" s="84" t="n"/>
      <c r="C43" s="84" t="n"/>
      <c r="D43" s="84" t="n"/>
      <c r="E43" s="84" t="n"/>
      <c r="F43" s="84" t="n"/>
      <c r="G43" s="84" t="n"/>
      <c r="H43" s="84" t="n"/>
      <c r="I43" s="84" t="n"/>
    </row>
    <row r="44" ht="10" customHeight="1">
      <c r="A44" s="95" t="n"/>
      <c r="B44" s="96" t="inlineStr">
        <is>
          <t>USN</t>
        </is>
      </c>
      <c r="C44" s="95" t="n"/>
      <c r="D44" s="95" t="n"/>
      <c r="E44" s="95" t="n"/>
      <c r="F44" s="95" t="n"/>
      <c r="G44" s="95" t="n"/>
      <c r="H44" s="96" t="inlineStr">
        <is>
          <t>USCG</t>
        </is>
      </c>
      <c r="I44" s="97" t="n"/>
    </row>
    <row r="45" ht="10" customHeight="1">
      <c r="A45" s="85" t="inlineStr">
        <is>
          <t>Work Type</t>
        </is>
      </c>
      <c r="B45" s="98" t="inlineStr">
        <is>
          <t>Surface Combatants</t>
        </is>
      </c>
      <c r="C45" s="85" t="inlineStr">
        <is>
          <t>Amphibious Warfare Ships</t>
        </is>
      </c>
      <c r="D45" s="85" t="inlineStr">
        <is>
          <t>Expeditionary &amp; Seabasing Ships</t>
        </is>
      </c>
      <c r="E45" s="85" t="inlineStr">
        <is>
          <t>Command Ships</t>
        </is>
      </c>
      <c r="F45" s="85" t="inlineStr">
        <is>
          <t>Surveillance Ships</t>
        </is>
      </c>
      <c r="G45" s="85" t="inlineStr">
        <is>
          <t>Mine Warfare</t>
        </is>
      </c>
      <c r="H45" s="98" t="inlineStr">
        <is>
          <t>National Security Cutters</t>
        </is>
      </c>
      <c r="I45" s="98" t="inlineStr">
        <is>
          <t>Total</t>
        </is>
      </c>
    </row>
    <row r="46" ht="10" customHeight="1">
      <c r="A46" s="86" t="inlineStr">
        <is>
          <t>Scheduled Depot Maintenance</t>
        </is>
      </c>
      <c r="B46" s="99">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3">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3">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3">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3">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3">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9">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9">
        <f>IFERROR(1-I47,0)</f>
        <v/>
      </c>
    </row>
    <row r="47" ht="10" customHeight="1">
      <c r="A47" s="86" t="inlineStr">
        <is>
          <t>Modernization</t>
        </is>
      </c>
      <c r="B47" s="9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3">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3">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3">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3">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3">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9">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9">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8" t="inlineStr">
        <is>
          <t>Total ($K)</t>
        </is>
      </c>
      <c r="B48" s="100">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100">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100">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80" t="inlineStr">
        <is>
          <t>FY2027</t>
        </is>
      </c>
      <c r="B1" s="81" t="n"/>
      <c r="C1" s="81" t="n"/>
      <c r="D1" s="81" t="n"/>
      <c r="E1" s="81" t="n"/>
      <c r="F1" s="81"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80" t="inlineStr">
        <is>
          <t>Total Funding</t>
        </is>
      </c>
      <c r="B1" s="81" t="n"/>
      <c r="C1" s="81" t="n"/>
    </row>
    <row r="2" ht="10" customHeight="1">
      <c r="A2" s="82" t="inlineStr">
        <is>
          <t>All Navy + USCG appropriations for vessel-related activity, FY2027 ($K)</t>
        </is>
      </c>
    </row>
    <row r="3" ht="10" customHeight="1"/>
    <row r="4" ht="10" customHeight="1">
      <c r="A4" s="83" t="inlineStr">
        <is>
          <t>(A) FY2027 Total Funding by Work Type</t>
        </is>
      </c>
      <c r="B4" s="84" t="n"/>
    </row>
    <row r="5" ht="10" customHeight="1">
      <c r="A5" s="85" t="inlineStr">
        <is>
          <t>Work Type</t>
        </is>
      </c>
      <c r="B5" s="85" t="inlineStr">
        <is>
          <t>FY2027 ($K)</t>
        </is>
      </c>
    </row>
    <row r="6" ht="10" customHeight="1">
      <c r="A6" s="86" t="inlineStr">
        <is>
          <t>New Construction</t>
        </is>
      </c>
      <c r="B6" s="87">
        <f>SUMIFS(JB_27U,JB_B,1,JB_S,"",JB_27U,"&lt;&gt;")+SUMIFS(JB_27S,JB_B,1,JB_S,"",JB_27U,"")+SUMIFS(JB_27U,JB_B,1,JB_S,"[PARENT]",JB_27U,"&lt;&gt;")+SUMIFS(JB_27S,JB_B,1,JB_S,"[PARENT]",JB_27U,"")</f>
        <v/>
      </c>
    </row>
    <row r="7" ht="10" customHeight="1">
      <c r="A7" s="86" t="inlineStr">
        <is>
          <t>Scheduled Depot Maintenance &amp; Repair</t>
        </is>
      </c>
      <c r="B7" s="87">
        <f>SUMIFS(JB_27U,JB_B,2,JB_S,"",JB_27U,"&lt;&gt;")+SUMIFS(JB_27S,JB_B,2,JB_S,"",JB_27U,"")+SUMIFS(JB_27U,JB_B,2,JB_S,"[PARENT]",JB_27U,"&lt;&gt;")+SUMIFS(JB_27S,JB_B,2,JB_S,"[PARENT]",JB_27U,"")</f>
        <v/>
      </c>
    </row>
    <row r="8" ht="10" customHeight="1">
      <c r="A8" s="86" t="inlineStr">
        <is>
          <t>Continuous / Intermediate / Emergent Maintenance</t>
        </is>
      </c>
      <c r="B8" s="87">
        <f>SUMIFS(JB_27U,JB_B,3,JB_S,"",JB_27U,"&lt;&gt;")+SUMIFS(JB_27S,JB_B,3,JB_S,"",JB_27U,"")+SUMIFS(JB_27U,JB_B,3,JB_S,"[PARENT]",JB_27U,"&lt;&gt;")+SUMIFS(JB_27S,JB_B,3,JB_S,"[PARENT]",JB_27U,"")</f>
        <v/>
      </c>
    </row>
    <row r="9" ht="10" customHeight="1">
      <c r="A9" s="86" t="inlineStr">
        <is>
          <t>Modernization &amp; Alteration Installation</t>
        </is>
      </c>
      <c r="B9" s="87">
        <f>SUMIFS(JB_27U,JB_B,4,JB_S,"",JB_27U,"&lt;&gt;")+SUMIFS(JB_27S,JB_B,4,JB_S,"",JB_27U,"")+SUMIFS(JB_27U,JB_B,4,JB_S,"[PARENT]",JB_27U,"&lt;&gt;")+SUMIFS(JB_27S,JB_B,4,JB_S,"[PARENT]",JB_27U,"")</f>
        <v/>
      </c>
    </row>
    <row r="10" ht="10" customHeight="1">
      <c r="A10" s="86" t="inlineStr">
        <is>
          <t>Major Life-Cycle Events / SLEP / MMA / RCOH</t>
        </is>
      </c>
      <c r="B10" s="87">
        <f>SUMIFS(JB_27U,JB_B,5,JB_S,"",JB_27U,"&lt;&gt;")+SUMIFS(JB_27S,JB_B,5,JB_S,"",JB_27U,"")+SUMIFS(JB_27U,JB_B,5,JB_S,"[PARENT]",JB_27U,"&lt;&gt;")+SUMIFS(JB_27S,JB_B,5,JB_S,"[PARENT]",JB_27U,"")</f>
        <v/>
      </c>
    </row>
    <row r="11" ht="10" customHeight="1">
      <c r="A11" s="86" t="inlineStr">
        <is>
          <t>Sustainment Engineering / Planning / Obsolescence Support</t>
        </is>
      </c>
      <c r="B11" s="87">
        <f>SUMIFS(JB_27U,JB_B,6,JB_S,"",JB_27U,"&lt;&gt;")+SUMIFS(JB_27S,JB_B,6,JB_S,"",JB_27U,"")+SUMIFS(JB_27U,JB_B,6,JB_S,"[PARENT]",JB_27U,"&lt;&gt;")+SUMIFS(JB_27S,JB_B,6,JB_S,"[PARENT]",JB_27U,"")</f>
        <v/>
      </c>
    </row>
    <row r="12" ht="10" customHeight="1">
      <c r="A12" s="86" t="inlineStr">
        <is>
          <t>Availability Support / Husbanding / Port Services</t>
        </is>
      </c>
      <c r="B12" s="87">
        <f>SUMIFS(JB_27U,JB_B,7,JB_S,"",JB_27U,"&lt;&gt;")+SUMIFS(JB_27S,JB_B,7,JB_S,"",JB_27U,"")+SUMIFS(JB_27U,JB_B,7,JB_S,"[PARENT]",JB_27U,"&lt;&gt;")+SUMIFS(JB_27S,JB_B,7,JB_S,"[PARENT]",JB_27U,"")</f>
        <v/>
      </c>
    </row>
    <row r="13" ht="10" customHeight="1">
      <c r="A13" s="88" t="inlineStr">
        <is>
          <t>Total</t>
        </is>
      </c>
      <c r="B13" s="89">
        <f>SUM(B6:B12)</f>
        <v/>
      </c>
    </row>
    <row r="14" ht="10" customHeight="1"/>
    <row r="15" ht="10" customHeight="1"/>
    <row r="16" ht="10" customHeight="1">
      <c r="A16" s="83" t="inlineStr">
        <is>
          <t>(B) FY2027 Total Funding by Vessel Category</t>
        </is>
      </c>
      <c r="B16" s="84" t="n"/>
      <c r="C16" s="84" t="n"/>
    </row>
    <row r="17" ht="10" customHeight="1">
      <c r="A17" s="85" t="inlineStr">
        <is>
          <t>Category</t>
        </is>
      </c>
      <c r="B17" s="85" t="inlineStr">
        <is>
          <t>FY2027 ($K)</t>
        </is>
      </c>
      <c r="C17" s="85" t="inlineStr">
        <is>
          <t>TAM Scope</t>
        </is>
      </c>
    </row>
    <row r="18" ht="10" customHeight="1">
      <c r="A18" s="86" t="inlineStr">
        <is>
          <t>Combatant Ships</t>
        </is>
      </c>
      <c r="B18" s="87">
        <f>SUMIFS(JB_27U,JB_V,"Combatant Ships",JB_S,"",JB_27U,"&lt;&gt;")+SUMIFS(JB_27S,JB_V,"Combatant Ships",JB_S,"",JB_27U,"")+SUMIFS(JB_27U,JB_V,"Combatant Ships",JB_S,"[PARENT]",JB_27U,"&lt;&gt;")+SUMIFS(JB_27S,JB_V,"Combatant Ships",JB_S,"[PARENT]",JB_27U,"")</f>
        <v/>
      </c>
      <c r="C18" s="82" t="inlineStr">
        <is>
          <t>YES → TAM</t>
        </is>
      </c>
    </row>
    <row r="19" ht="10" customHeight="1">
      <c r="A19" s="86" t="inlineStr">
        <is>
          <t>Auxiliary Ships</t>
        </is>
      </c>
      <c r="B19" s="87">
        <f>SUMIFS(JB_27U,JB_V,"Auxiliary Ships",JB_S,"",JB_27U,"&lt;&gt;")+SUMIFS(JB_27S,JB_V,"Auxiliary Ships",JB_S,"",JB_27U,"")+SUMIFS(JB_27U,JB_V,"Auxiliary Ships",JB_S,"[PARENT]",JB_27U,"&lt;&gt;")+SUMIFS(JB_27S,JB_V,"Auxiliary Ships",JB_S,"[PARENT]",JB_27U,"")</f>
        <v/>
      </c>
      <c r="C19" s="82" t="inlineStr">
        <is>
          <t>YES → TAM</t>
        </is>
      </c>
    </row>
    <row r="20" ht="10" customHeight="1">
      <c r="A20" s="86" t="inlineStr">
        <is>
          <t>Cutters</t>
        </is>
      </c>
      <c r="B20" s="87">
        <f>SUMIFS(JB_27U,JB_V,"Cutters",JB_S,"",JB_27U,"&lt;&gt;")+SUMIFS(JB_27S,JB_V,"Cutters",JB_S,"",JB_27U,"")+SUMIFS(JB_27U,JB_V,"Cutters",JB_S,"[PARENT]",JB_27U,"&lt;&gt;")+SUMIFS(JB_27S,JB_V,"Cutters",JB_S,"[PARENT]",JB_27U,"")</f>
        <v/>
      </c>
      <c r="C20" s="82" t="inlineStr">
        <is>
          <t>YES → TAM</t>
        </is>
      </c>
    </row>
    <row r="21" ht="10" customHeight="1">
      <c r="A21" s="86" t="inlineStr">
        <is>
          <t>Unmanned Maritime Platforms</t>
        </is>
      </c>
      <c r="B21" s="87">
        <f>SUMIFS(JB_27U,JB_V,"Unmanned Maritime Platforms",JB_S,"",JB_27U,"&lt;&gt;")+SUMIFS(JB_27S,JB_V,"Unmanned Maritime Platforms",JB_S,"",JB_27U,"")+SUMIFS(JB_27U,JB_V,"Unmanned Maritime Platforms",JB_S,"[PARENT]",JB_27U,"&lt;&gt;")+SUMIFS(JB_27S,JB_V,"Unmanned Maritime Platforms",JB_S,"[PARENT]",JB_27U,"")</f>
        <v/>
      </c>
      <c r="C21" s="82" t="inlineStr">
        <is>
          <t>YES → TAM</t>
        </is>
      </c>
    </row>
    <row r="22" ht="10" customHeight="1">
      <c r="A22" s="86" t="inlineStr">
        <is>
          <t>Combatant Crafts</t>
        </is>
      </c>
      <c r="B22" s="87">
        <f>SUMIFS(JB_27U,JB_V,"Combatant Crafts",JB_S,"",JB_27U,"&lt;&gt;")+SUMIFS(JB_27S,JB_V,"Combatant Crafts",JB_S,"",JB_27U,"")+SUMIFS(JB_27U,JB_V,"Combatant Crafts",JB_S,"[PARENT]",JB_27U,"&lt;&gt;")+SUMIFS(JB_27S,JB_V,"Combatant Crafts",JB_S,"[PARENT]",JB_27U,"")</f>
        <v/>
      </c>
      <c r="C22" s="82" t="inlineStr">
        <is>
          <t>No — small craft</t>
        </is>
      </c>
    </row>
    <row r="23" ht="10" customHeight="1">
      <c r="A23" s="86" t="inlineStr">
        <is>
          <t>Support Crafts</t>
        </is>
      </c>
      <c r="B23" s="87">
        <f>SUMIFS(JB_27U,JB_V,"Support Crafts",JB_S,"",JB_27U,"&lt;&gt;")+SUMIFS(JB_27S,JB_V,"Support Crafts",JB_S,"",JB_27U,"")+SUMIFS(JB_27U,JB_V,"Support Crafts",JB_S,"[PARENT]",JB_27U,"&lt;&gt;")+SUMIFS(JB_27S,JB_V,"Support Crafts",JB_S,"[PARENT]",JB_27U,"")</f>
        <v/>
      </c>
      <c r="C23" s="82" t="inlineStr">
        <is>
          <t>No — non-oceangoing</t>
        </is>
      </c>
    </row>
    <row r="24" ht="10" customHeight="1">
      <c r="A24" s="86" t="inlineStr">
        <is>
          <t>Boats</t>
        </is>
      </c>
      <c r="B24" s="87">
        <f>SUMIFS(JB_27U,JB_V,"Boats",JB_S,"",JB_27U,"&lt;&gt;")+SUMIFS(JB_27S,JB_V,"Boats",JB_S,"",JB_27U,"")+SUMIFS(JB_27U,JB_V,"Boats",JB_S,"[PARENT]",JB_27U,"&lt;&gt;")+SUMIFS(JB_27S,JB_V,"Boats",JB_S,"[PARENT]",JB_27U,"")</f>
        <v/>
      </c>
      <c r="C24" s="82" t="inlineStr">
        <is>
          <t>No — under 65 ft</t>
        </is>
      </c>
    </row>
    <row r="25" ht="10" customHeight="1">
      <c r="A25" s="86" t="inlineStr">
        <is>
          <t>Unattributed (fleet-wide)</t>
        </is>
      </c>
      <c r="B25" s="87">
        <f>SUMIFS(JB_27U,JB_V,"",JB_S,"",JB_27U,"&lt;&gt;")+SUMIFS(JB_27S,JB_V,"",JB_S,"",JB_27U,"")+SUMIFS(JB_27U,JB_V,"",JB_S,"[PARENT]",JB_27U,"&lt;&gt;")+SUMIFS(JB_27S,JB_V,"",JB_S,"[PARENT]",JB_27U,"")</f>
        <v/>
      </c>
      <c r="C25" s="82" t="inlineStr">
        <is>
          <t>No — not vessel-specific</t>
        </is>
      </c>
    </row>
    <row r="26" ht="10" customHeight="1">
      <c r="A26" s="88" t="inlineStr">
        <is>
          <t>Total</t>
        </is>
      </c>
      <c r="B26" s="89">
        <f>SUM(B18:B25)</f>
        <v/>
      </c>
      <c r="C26" s="90" t="n"/>
    </row>
    <row r="27" ht="10" customHeight="1">
      <c r="A27" s="91" t="inlineStr">
        <is>
          <t>TAM-eligible</t>
        </is>
      </c>
      <c r="B27" s="92">
        <f>B18+B19+B20+B21</f>
        <v/>
      </c>
    </row>
    <row r="28" ht="10" customHeight="1"/>
    <row r="29" ht="10" customHeight="1"/>
    <row r="30" ht="10" customHeight="1">
      <c r="A30" s="83" t="inlineStr">
        <is>
          <t>(C) FY2027 Total Funding by Source Book</t>
        </is>
      </c>
      <c r="B30" s="84" t="n"/>
    </row>
    <row r="31" ht="10" customHeight="1">
      <c r="A31" s="85" t="inlineStr">
        <is>
          <t>Source Book</t>
        </is>
      </c>
      <c r="B31" s="85" t="inlineStr">
        <is>
          <t>FY2027 ($K)</t>
        </is>
      </c>
    </row>
    <row r="32" ht="10" customHeight="1">
      <c r="A32" s="86" t="inlineStr">
        <is>
          <t>SCN</t>
        </is>
      </c>
      <c r="B32" s="87">
        <f>SUMIFS(JB_27U,JB_A,"SCN",JB_S,"",JB_27U,"&lt;&gt;")+SUMIFS(JB_27S,JB_A,"SCN",JB_S,"",JB_27U,"")+SUMIFS(JB_27U,JB_A,"SCN",JB_S,"[PARENT]",JB_27U,"&lt;&gt;")+SUMIFS(JB_27S,JB_A,"SCN",JB_S,"[PARENT]",JB_27U,"")</f>
        <v/>
      </c>
    </row>
    <row r="33" ht="10" customHeight="1">
      <c r="A33" s="86" t="inlineStr">
        <is>
          <t>WPN</t>
        </is>
      </c>
      <c r="B33" s="87">
        <f>SUMIFS(JB_27U,JB_A,"WPN",JB_S,"",JB_27U,"&lt;&gt;")+SUMIFS(JB_27S,JB_A,"WPN",JB_S,"",JB_27U,"")+SUMIFS(JB_27U,JB_A,"WPN",JB_S,"[PARENT]",JB_27U,"&lt;&gt;")+SUMIFS(JB_27S,JB_A,"WPN",JB_S,"[PARENT]",JB_27U,"")</f>
        <v/>
      </c>
    </row>
    <row r="34" ht="10" customHeight="1">
      <c r="A34" s="86" t="inlineStr">
        <is>
          <t>OPN_BA2</t>
        </is>
      </c>
      <c r="B34" s="87">
        <f>SUMIFS(JB_27U,JB_A,"OPN_BA2",JB_S,"",JB_27U,"&lt;&gt;")+SUMIFS(JB_27S,JB_A,"OPN_BA2",JB_S,"",JB_27U,"")+SUMIFS(JB_27U,JB_A,"OPN_BA2",JB_S,"[PARENT]",JB_27U,"&lt;&gt;")+SUMIFS(JB_27S,JB_A,"OPN_BA2",JB_S,"[PARENT]",JB_27U,"")</f>
        <v/>
      </c>
    </row>
    <row r="35" ht="10" customHeight="1">
      <c r="A35" s="86" t="inlineStr">
        <is>
          <t>OPN_BA1</t>
        </is>
      </c>
      <c r="B35" s="87">
        <f>SUMIFS(JB_27U,JB_A,"OPN_BA1",JB_S,"",JB_27U,"&lt;&gt;")+SUMIFS(JB_27S,JB_A,"OPN_BA1",JB_S,"",JB_27U,"")+SUMIFS(JB_27U,JB_A,"OPN_BA1",JB_S,"[PARENT]",JB_27U,"&lt;&gt;")+SUMIFS(JB_27S,JB_A,"OPN_BA1",JB_S,"[PARENT]",JB_27U,"")</f>
        <v/>
      </c>
    </row>
    <row r="36" ht="10" customHeight="1">
      <c r="A36" s="86" t="inlineStr">
        <is>
          <t>OPN_BA4</t>
        </is>
      </c>
      <c r="B36" s="87">
        <f>SUMIFS(JB_27U,JB_A,"OPN_BA4",JB_S,"",JB_27U,"&lt;&gt;")+SUMIFS(JB_27S,JB_A,"OPN_BA4",JB_S,"",JB_27U,"")+SUMIFS(JB_27U,JB_A,"OPN_BA4",JB_S,"[PARENT]",JB_27U,"&lt;&gt;")+SUMIFS(JB_27S,JB_A,"OPN_BA4",JB_S,"[PARENT]",JB_27U,"")</f>
        <v/>
      </c>
    </row>
    <row r="37" ht="10" customHeight="1">
      <c r="A37" s="86" t="inlineStr">
        <is>
          <t>OPN_BA3</t>
        </is>
      </c>
      <c r="B37" s="87">
        <f>SUMIFS(JB_27U,JB_A,"OPN_BA3",JB_S,"",JB_27U,"&lt;&gt;")+SUMIFS(JB_27S,JB_A,"OPN_BA3",JB_S,"",JB_27U,"")+SUMIFS(JB_27U,JB_A,"OPN_BA3",JB_S,"[PARENT]",JB_27U,"&lt;&gt;")+SUMIFS(JB_27S,JB_A,"OPN_BA3",JB_S,"[PARENT]",JB_27U,"")</f>
        <v/>
      </c>
    </row>
    <row r="38" ht="10" customHeight="1">
      <c r="A38" s="86" t="inlineStr">
        <is>
          <t>OPN_BA5-8</t>
        </is>
      </c>
      <c r="B38" s="87">
        <f>SUMIFS(JB_27U,JB_A,"OPN_BA5-8",JB_S,"",JB_27U,"&lt;&gt;")+SUMIFS(JB_27S,JB_A,"OPN_BA5-8",JB_S,"",JB_27U,"")+SUMIFS(JB_27U,JB_A,"OPN_BA5-8",JB_S,"[PARENT]",JB_27U,"&lt;&gt;")+SUMIFS(JB_27S,JB_A,"OPN_BA5-8",JB_S,"[PARENT]",JB_27U,"")</f>
        <v/>
      </c>
    </row>
    <row r="39" ht="10" customHeight="1">
      <c r="A39" s="86" t="inlineStr">
        <is>
          <t>NWCF</t>
        </is>
      </c>
      <c r="B39" s="87">
        <f>SUMIFS(JB_27U,JB_A,"NWCF",JB_S,"",JB_27U,"&lt;&gt;")+SUMIFS(JB_27S,JB_A,"NWCF",JB_S,"",JB_27U,"")+SUMIFS(JB_27U,JB_A,"NWCF",JB_S,"[PARENT]",JB_27U,"&lt;&gt;")+SUMIFS(JB_27S,JB_A,"NWCF",JB_S,"[PARENT]",JB_27U,"")</f>
        <v/>
      </c>
    </row>
    <row r="40" ht="10" customHeight="1">
      <c r="A40" s="86" t="inlineStr">
        <is>
          <t>OMN</t>
        </is>
      </c>
      <c r="B40" s="87">
        <f>SUMIFS(JB_27U,JB_A,"OMN",JB_S,"",JB_27U,"&lt;&gt;")+SUMIFS(JB_27S,JB_A,"OMN",JB_S,"",JB_27U,"")+SUMIFS(JB_27U,JB_A,"OMN",JB_S,"[PARENT]",JB_27U,"&lt;&gt;")+SUMIFS(JB_27S,JB_A,"OMN",JB_S,"[PARENT]",JB_27U,"")</f>
        <v/>
      </c>
    </row>
    <row r="41" ht="10" customHeight="1">
      <c r="A41" s="86" t="inlineStr">
        <is>
          <t>OMN_Vol2</t>
        </is>
      </c>
      <c r="B41" s="87">
        <f>SUMIFS(JB_27U,JB_A,"OMN_Vol2",JB_S,"",JB_27U,"&lt;&gt;")+SUMIFS(JB_27S,JB_A,"OMN_Vol2",JB_S,"",JB_27U,"")+SUMIFS(JB_27U,JB_A,"OMN_Vol2",JB_S,"[PARENT]",JB_27U,"&lt;&gt;")+SUMIFS(JB_27S,JB_A,"OMN_Vol2",JB_S,"[PARENT]",JB_27U,"")</f>
        <v/>
      </c>
    </row>
    <row r="42" ht="10" customHeight="1">
      <c r="A42" s="86" t="inlineStr">
        <is>
          <t>USCG</t>
        </is>
      </c>
      <c r="B42" s="87">
        <f>SUMIFS(JB_27U,JB_A,"USCG",JB_S,"",JB_27U,"&lt;&gt;")+SUMIFS(JB_27S,JB_A,"USCG",JB_S,"",JB_27U,"")+SUMIFS(JB_27U,JB_A,"USCG",JB_S,"[PARENT]",JB_27U,"&lt;&gt;")+SUMIFS(JB_27S,JB_A,"USCG",JB_S,"[PARENT]",JB_27U,"")</f>
        <v/>
      </c>
    </row>
    <row r="43" ht="10" customHeight="1">
      <c r="A43" s="88" t="inlineStr">
        <is>
          <t>Total</t>
        </is>
      </c>
      <c r="B43" s="89">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80" t="inlineStr">
        <is>
          <t>Newbuild TAM — FY2027 ($K)</t>
        </is>
      </c>
      <c r="B1" s="81" t="n"/>
      <c r="C1" s="81" t="n"/>
      <c r="D1" s="81" t="n"/>
      <c r="E1" s="81" t="n"/>
      <c r="F1" s="81" t="n"/>
      <c r="G1" s="81" t="n"/>
      <c r="H1" s="81" t="n"/>
      <c r="I1" s="81" t="n"/>
      <c r="J1" s="81" t="n"/>
      <c r="K1" s="81" t="n"/>
      <c r="L1" s="81" t="n"/>
      <c r="M1" s="81" t="n"/>
      <c r="N1" s="81" t="n"/>
      <c r="O1" s="81" t="n"/>
    </row>
    <row r="2" ht="10" customHeight="1">
      <c r="A2" s="82" t="inlineStr">
        <is>
          <t>New Construction scoped to Combatant Ships, Auxiliary Ships, USCG Cutters &amp; Unmanned Platforms</t>
        </is>
      </c>
    </row>
    <row r="3" ht="10" customHeight="1"/>
    <row r="4" ht="10" customHeight="1">
      <c r="A4" s="83" t="inlineStr">
        <is>
          <t>(A) Bridge: Total NC Funding → Newbuild TAM</t>
        </is>
      </c>
      <c r="B4" s="84" t="n"/>
    </row>
    <row r="5" ht="10" customHeight="1">
      <c r="A5" s="86" t="inlineStr">
        <is>
          <t>Total New Construction Funding</t>
        </is>
      </c>
      <c r="B5" s="87">
        <f>SUMIFS(JB_27U,JB_B,1,JB_S,"",JB_27U,"&lt;&gt;")+SUMIFS(JB_27S,JB_B,1,JB_S,"",JB_27U,"")+SUMIFS(JB_27U,JB_B,1,JB_S,"[PARENT]",JB_27U,"&lt;&gt;")+SUMIFS(JB_27S,JB_B,1,JB_S,"[PARENT]",JB_27U,"")</f>
        <v/>
      </c>
    </row>
    <row r="6" ht="10" customHeight="1">
      <c r="A6" s="86" t="inlineStr">
        <is>
          <t xml:space="preserve">  Less: Unattributed (fleet-wide NC items)</t>
        </is>
      </c>
      <c r="B6" s="87">
        <f>-(SUMIFS(JB_27U,JB_B,1,JB_V,"",JB_S,"",JB_27U,"&lt;&gt;")+SUMIFS(JB_27S,JB_B,1,JB_V,"",JB_S,"",JB_27U,"")+SUMIFS(JB_27U,JB_B,1,JB_V,"",JB_S,"[PARENT]",JB_27U,"&lt;&gt;")+SUMIFS(JB_27S,JB_B,1,JB_V,"",JB_S,"[PARENT]",JB_27U,""))</f>
        <v/>
      </c>
    </row>
    <row r="7" ht="10" customHeight="1">
      <c r="A7" s="86" t="inlineStr">
        <is>
          <t xml:space="preserve">  Less: Combatant Crafts</t>
        </is>
      </c>
      <c r="B7" s="87">
        <f>-(SUMIFS(JB_27U,JB_B,1,JB_V,"Combatant Crafts",JB_S,"",JB_27U,"&lt;&gt;")+SUMIFS(JB_27S,JB_B,1,JB_V,"Combatant Crafts",JB_S,"",JB_27U,"")+SUMIFS(JB_27U,JB_B,1,JB_V,"Combatant Crafts",JB_S,"[PARENT]",JB_27U,"&lt;&gt;")+SUMIFS(JB_27S,JB_B,1,JB_V,"Combatant Crafts",JB_S,"[PARENT]",JB_27U,""))</f>
        <v/>
      </c>
    </row>
    <row r="8" ht="10" customHeight="1">
      <c r="A8" s="86" t="inlineStr">
        <is>
          <t xml:space="preserve">  Less: Support Crafts</t>
        </is>
      </c>
      <c r="B8" s="87">
        <f>-(SUMIFS(JB_27U,JB_B,1,JB_V,"Support Crafts",JB_S,"",JB_27U,"&lt;&gt;")+SUMIFS(JB_27S,JB_B,1,JB_V,"Support Crafts",JB_S,"",JB_27U,"")+SUMIFS(JB_27U,JB_B,1,JB_V,"Support Crafts",JB_S,"[PARENT]",JB_27U,"&lt;&gt;")+SUMIFS(JB_27S,JB_B,1,JB_V,"Support Crafts",JB_S,"[PARENT]",JB_27U,""))</f>
        <v/>
      </c>
    </row>
    <row r="9" ht="10" customHeight="1">
      <c r="A9" s="88" t="inlineStr">
        <is>
          <t>Newbuild TAM</t>
        </is>
      </c>
      <c r="B9" s="89">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3" t="inlineStr">
        <is>
          <t>(B) Newbuild TAM by Vessel Type</t>
        </is>
      </c>
      <c r="B12" s="84" t="n"/>
      <c r="C12" s="84" t="n"/>
      <c r="D12" s="84" t="n"/>
    </row>
    <row r="13" ht="10" customHeight="1">
      <c r="A13" s="85" t="inlineStr">
        <is>
          <t>Vessel Type</t>
        </is>
      </c>
      <c r="B13" s="85" t="inlineStr">
        <is>
          <t>Service</t>
        </is>
      </c>
      <c r="C13" s="85" t="inlineStr">
        <is>
          <t>FY2027 ($K)</t>
        </is>
      </c>
      <c r="D13" s="85" t="inlineStr">
        <is>
          <t>% of TAM</t>
        </is>
      </c>
    </row>
    <row r="14" ht="10" customHeight="1">
      <c r="A14" s="86" t="inlineStr">
        <is>
          <t>Submarines</t>
        </is>
      </c>
      <c r="B14" s="86" t="inlineStr">
        <is>
          <t>USN</t>
        </is>
      </c>
      <c r="C14" s="87">
        <f>SUMIFS(JB_27U,JB_B,1,JB_W,"Submarines",JB_S,"",JB_27U,"&lt;&gt;")+SUMIFS(JB_27S,JB_B,1,JB_W,"Submarines",JB_S,"",JB_27U,"")+SUMIFS(JB_27U,JB_B,1,JB_W,"Submarines",JB_S,"[PARENT]",JB_27U,"&lt;&gt;")+SUMIFS(JB_27S,JB_B,1,JB_W,"Submarines",JB_S,"[PARENT]",JB_27U,"")</f>
        <v/>
      </c>
      <c r="D14" s="93">
        <f>IFERROR(C14/C$42,0)</f>
        <v/>
      </c>
    </row>
    <row r="15" ht="10" customHeight="1">
      <c r="A15" s="86" t="inlineStr">
        <is>
          <t>Amphibious Warfare Ships</t>
        </is>
      </c>
      <c r="B15" s="86" t="inlineStr">
        <is>
          <t>USN</t>
        </is>
      </c>
      <c r="C15" s="87">
        <f>SUMIFS(JB_27U,JB_B,1,JB_W,"Amphibious Warfare Ships",JB_S,"",JB_27U,"&lt;&gt;")+SUMIFS(JB_27S,JB_B,1,JB_W,"Amphibious Warfare Ships",JB_S,"",JB_27U,"")+SUMIFS(JB_27U,JB_B,1,JB_W,"Amphibious Warfare Ships",JB_S,"[PARENT]",JB_27U,"&lt;&gt;")+SUMIFS(JB_27S,JB_B,1,JB_W,"Amphibious Warfare Ships",JB_S,"[PARENT]",JB_27U,"")</f>
        <v/>
      </c>
      <c r="D15" s="93">
        <f>IFERROR(C15/C$42,0)</f>
        <v/>
      </c>
    </row>
    <row r="16" ht="10" customHeight="1">
      <c r="A16" s="86" t="inlineStr">
        <is>
          <t>Surface Combatants</t>
        </is>
      </c>
      <c r="B16" s="86" t="inlineStr">
        <is>
          <t>USN</t>
        </is>
      </c>
      <c r="C16" s="87">
        <f>SUMIFS(JB_27U,JB_B,1,JB_W,"Surface Combatants",JB_S,"",JB_27U,"&lt;&gt;")+SUMIFS(JB_27S,JB_B,1,JB_W,"Surface Combatants",JB_S,"",JB_27U,"")+SUMIFS(JB_27U,JB_B,1,JB_W,"Surface Combatants",JB_S,"[PARENT]",JB_27U,"&lt;&gt;")+SUMIFS(JB_27S,JB_B,1,JB_W,"Surface Combatants",JB_S,"[PARENT]",JB_27U,"")</f>
        <v/>
      </c>
      <c r="D16" s="93">
        <f>IFERROR(C16/C$42,0)</f>
        <v/>
      </c>
    </row>
    <row r="17" ht="10" customHeight="1">
      <c r="A17" s="86" t="inlineStr">
        <is>
          <t>Material Support Ships</t>
        </is>
      </c>
      <c r="B17" s="86" t="inlineStr">
        <is>
          <t>USN</t>
        </is>
      </c>
      <c r="C17" s="87">
        <f>SUMIFS(JB_27U,JB_B,1,JB_W,"Material Support Ships",JB_S,"",JB_27U,"&lt;&gt;")+SUMIFS(JB_27S,JB_B,1,JB_W,"Material Support Ships",JB_S,"",JB_27U,"")+SUMIFS(JB_27U,JB_B,1,JB_W,"Material Support Ships",JB_S,"[PARENT]",JB_27U,"&lt;&gt;")+SUMIFS(JB_27S,JB_B,1,JB_W,"Material Support Ships",JB_S,"[PARENT]",JB_27U,"")</f>
        <v/>
      </c>
      <c r="D17" s="93">
        <f>IFERROR(C17/C$42,0)</f>
        <v/>
      </c>
    </row>
    <row r="18" ht="10" customHeight="1">
      <c r="A18" s="86" t="inlineStr">
        <is>
          <t>Aircraft Carriers</t>
        </is>
      </c>
      <c r="B18" s="86" t="inlineStr">
        <is>
          <t>USN</t>
        </is>
      </c>
      <c r="C18" s="87">
        <f>SUMIFS(JB_27U,JB_B,1,JB_W,"Aircraft Carriers",JB_S,"",JB_27U,"&lt;&gt;")+SUMIFS(JB_27S,JB_B,1,JB_W,"Aircraft Carriers",JB_S,"",JB_27U,"")+SUMIFS(JB_27U,JB_B,1,JB_W,"Aircraft Carriers",JB_S,"[PARENT]",JB_27U,"&lt;&gt;")+SUMIFS(JB_27S,JB_B,1,JB_W,"Aircraft Carriers",JB_S,"[PARENT]",JB_27U,"")</f>
        <v/>
      </c>
      <c r="D18" s="93">
        <f>IFERROR(C18/C$42,0)</f>
        <v/>
      </c>
    </row>
    <row r="19" ht="10" customHeight="1">
      <c r="A19" s="86" t="inlineStr">
        <is>
          <t>Combat Logistics Ships</t>
        </is>
      </c>
      <c r="B19" s="86" t="inlineStr">
        <is>
          <t>MSC</t>
        </is>
      </c>
      <c r="C19" s="87">
        <f>SUMIFS(JB_27U,JB_B,1,JB_W,"Combat Logistics Ships",JB_S,"",JB_27U,"&lt;&gt;")+SUMIFS(JB_27S,JB_B,1,JB_W,"Combat Logistics Ships",JB_S,"",JB_27U,"")+SUMIFS(JB_27U,JB_B,1,JB_W,"Combat Logistics Ships",JB_S,"[PARENT]",JB_27U,"&lt;&gt;")+SUMIFS(JB_27S,JB_B,1,JB_W,"Combat Logistics Ships",JB_S,"[PARENT]",JB_27U,"")</f>
        <v/>
      </c>
      <c r="D19" s="93">
        <f>IFERROR(C19/C$42,0)</f>
        <v/>
      </c>
    </row>
    <row r="20" ht="10" customHeight="1">
      <c r="A20" s="86" t="inlineStr">
        <is>
          <t>Expeditionary &amp; Seabasing Ships</t>
        </is>
      </c>
      <c r="B20" s="86" t="inlineStr">
        <is>
          <t>USN</t>
        </is>
      </c>
      <c r="C20"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3">
        <f>IFERROR(C20/C$42,0)</f>
        <v/>
      </c>
    </row>
    <row r="21" ht="10" customHeight="1">
      <c r="A21" s="86" t="inlineStr">
        <is>
          <t>Surveillance Ships</t>
        </is>
      </c>
      <c r="B21" s="86" t="inlineStr">
        <is>
          <t>USN</t>
        </is>
      </c>
      <c r="C21" s="87">
        <f>SUMIFS(JB_27U,JB_B,1,JB_W,"Surveillance Ships",JB_S,"",JB_27U,"&lt;&gt;")+SUMIFS(JB_27S,JB_B,1,JB_W,"Surveillance Ships",JB_S,"",JB_27U,"")+SUMIFS(JB_27U,JB_B,1,JB_W,"Surveillance Ships",JB_S,"[PARENT]",JB_27U,"&lt;&gt;")+SUMIFS(JB_27S,JB_B,1,JB_W,"Surveillance Ships",JB_S,"[PARENT]",JB_27U,"")</f>
        <v/>
      </c>
      <c r="D21" s="93">
        <f>IFERROR(C21/C$42,0)</f>
        <v/>
      </c>
    </row>
    <row r="22" ht="10" customHeight="1">
      <c r="A22" s="86" t="inlineStr">
        <is>
          <t>Hospital Ship</t>
        </is>
      </c>
      <c r="B22" s="86" t="inlineStr">
        <is>
          <t>MSC</t>
        </is>
      </c>
      <c r="C22" s="87">
        <f>SUMIFS(JB_27U,JB_B,1,JB_W,"Hospital Ship",JB_S,"",JB_27U,"&lt;&gt;")+SUMIFS(JB_27S,JB_B,1,JB_W,"Hospital Ship",JB_S,"",JB_27U,"")+SUMIFS(JB_27U,JB_B,1,JB_W,"Hospital Ship",JB_S,"[PARENT]",JB_27U,"&lt;&gt;")+SUMIFS(JB_27S,JB_B,1,JB_W,"Hospital Ship",JB_S,"[PARENT]",JB_27U,"")</f>
        <v/>
      </c>
      <c r="D22" s="93">
        <f>IFERROR(C22/C$42,0)</f>
        <v/>
      </c>
    </row>
    <row r="23" ht="10" customHeight="1">
      <c r="A23" s="86" t="inlineStr">
        <is>
          <t>Cargo &amp; Vehicle Cargo Ships</t>
        </is>
      </c>
      <c r="B23" s="86" t="inlineStr">
        <is>
          <t>USN</t>
        </is>
      </c>
      <c r="C23" s="87">
        <f>SUMIFS(JB_27U,JB_B,1,JB_W,"Cargo &amp; Vehicle Cargo Ships",JB_S,"",JB_27U,"&lt;&gt;")+SUMIFS(JB_27S,JB_B,1,JB_W,"Cargo &amp; Vehicle Cargo Ships",JB_S,"",JB_27U,"")+SUMIFS(JB_27U,JB_B,1,JB_W,"Cargo &amp; Vehicle Cargo Ships",JB_S,"[PARENT]",JB_27U,"&lt;&gt;")+SUMIFS(JB_27S,JB_B,1,JB_W,"Cargo &amp; Vehicle Cargo Ships",JB_S,"[PARENT]",JB_27U,"")</f>
        <v/>
      </c>
      <c r="D23" s="93">
        <f>IFERROR(C23/C$42,0)</f>
        <v/>
      </c>
    </row>
    <row r="24" ht="10" customHeight="1">
      <c r="A24" s="86" t="inlineStr">
        <is>
          <t>Unmanned Undersea Vehicles</t>
        </is>
      </c>
      <c r="B24" s="86" t="inlineStr">
        <is>
          <t>USN</t>
        </is>
      </c>
      <c r="C24" s="87">
        <f>SUMIFS(JB_27U,JB_B,1,JB_W,"Unmanned Undersea Vehicles",JB_S,"",JB_27U,"&lt;&gt;")+SUMIFS(JB_27S,JB_B,1,JB_W,"Unmanned Undersea Vehicles",JB_S,"",JB_27U,"")+SUMIFS(JB_27U,JB_B,1,JB_W,"Unmanned Undersea Vehicles",JB_S,"[PARENT]",JB_27U,"&lt;&gt;")+SUMIFS(JB_27S,JB_B,1,JB_W,"Unmanned Undersea Vehicles",JB_S,"[PARENT]",JB_27U,"")</f>
        <v/>
      </c>
      <c r="D24" s="93">
        <f>IFERROR(C24/C$42,0)</f>
        <v/>
      </c>
    </row>
    <row r="25" ht="10" customHeight="1">
      <c r="A25" s="86" t="inlineStr">
        <is>
          <t>Unmanned Surface Vehicles</t>
        </is>
      </c>
      <c r="B25" s="86" t="inlineStr">
        <is>
          <t>USN</t>
        </is>
      </c>
      <c r="C25" s="87">
        <f>SUMIFS(JB_27U,JB_B,1,JB_W,"Unmanned Surface Vehicles",JB_S,"",JB_27U,"&lt;&gt;")+SUMIFS(JB_27S,JB_B,1,JB_W,"Unmanned Surface Vehicles",JB_S,"",JB_27U,"")+SUMIFS(JB_27U,JB_B,1,JB_W,"Unmanned Surface Vehicles",JB_S,"[PARENT]",JB_27U,"&lt;&gt;")+SUMIFS(JB_27S,JB_B,1,JB_W,"Unmanned Surface Vehicles",JB_S,"[PARENT]",JB_27U,"")</f>
        <v/>
      </c>
      <c r="D25" s="93">
        <f>IFERROR(C25/C$42,0)</f>
        <v/>
      </c>
    </row>
    <row r="26" ht="10" customHeight="1">
      <c r="A26" s="86" t="inlineStr">
        <is>
          <t>Research, Survey &amp; Instrumentation Ships</t>
        </is>
      </c>
      <c r="B26" s="86" t="inlineStr">
        <is>
          <t>MSC</t>
        </is>
      </c>
      <c r="C26" s="8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6" s="93">
        <f>IFERROR(C26/C$42,0)</f>
        <v/>
      </c>
    </row>
    <row r="27" ht="10" customHeight="1">
      <c r="A27" s="86" t="inlineStr">
        <is>
          <t>Aviation Logistics Support Ship</t>
        </is>
      </c>
      <c r="B27" s="86" t="inlineStr">
        <is>
          <t>USN</t>
        </is>
      </c>
      <c r="C27" s="87">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3">
        <f>IFERROR(C27/C$42,0)</f>
        <v/>
      </c>
    </row>
    <row r="28" ht="10" customHeight="1">
      <c r="A28" s="86" t="inlineStr">
        <is>
          <t>Command Ships</t>
        </is>
      </c>
      <c r="B28" s="86" t="inlineStr">
        <is>
          <t>USN</t>
        </is>
      </c>
      <c r="C28" s="87">
        <f>SUMIFS(JB_27U,JB_B,1,JB_W,"Command Ships",JB_S,"",JB_27U,"&lt;&gt;")+SUMIFS(JB_27S,JB_B,1,JB_W,"Command Ships",JB_S,"",JB_27U,"")+SUMIFS(JB_27U,JB_B,1,JB_W,"Command Ships",JB_S,"[PARENT]",JB_27U,"&lt;&gt;")+SUMIFS(JB_27S,JB_B,1,JB_W,"Command Ships",JB_S,"[PARENT]",JB_27U,"")</f>
        <v/>
      </c>
      <c r="D28" s="93">
        <f>IFERROR(C28/C$42,0)</f>
        <v/>
      </c>
    </row>
    <row r="29" ht="10" customHeight="1">
      <c r="A29" s="86" t="inlineStr">
        <is>
          <t>Crane Ship</t>
        </is>
      </c>
      <c r="B29" s="86" t="inlineStr">
        <is>
          <t>USN</t>
        </is>
      </c>
      <c r="C29" s="87">
        <f>SUMIFS(JB_27U,JB_B,1,JB_W,"Crane Ship",JB_S,"",JB_27U,"&lt;&gt;")+SUMIFS(JB_27S,JB_B,1,JB_W,"Crane Ship",JB_S,"",JB_27U,"")+SUMIFS(JB_27U,JB_B,1,JB_W,"Crane Ship",JB_S,"[PARENT]",JB_27U,"&lt;&gt;")+SUMIFS(JB_27S,JB_B,1,JB_W,"Crane Ship",JB_S,"[PARENT]",JB_27U,"")</f>
        <v/>
      </c>
      <c r="D29" s="93">
        <f>IFERROR(C29/C$42,0)</f>
        <v/>
      </c>
    </row>
    <row r="30" ht="10" customHeight="1">
      <c r="A30" s="86" t="inlineStr">
        <is>
          <t>Submarine Escort Ship</t>
        </is>
      </c>
      <c r="B30" s="86" t="inlineStr">
        <is>
          <t>USN</t>
        </is>
      </c>
      <c r="C30" s="87">
        <f>SUMIFS(JB_27U,JB_B,1,JB_W,"Submarine Escort Ship",JB_S,"",JB_27U,"&lt;&gt;")+SUMIFS(JB_27S,JB_B,1,JB_W,"Submarine Escort Ship",JB_S,"",JB_27U,"")+SUMIFS(JB_27U,JB_B,1,JB_W,"Submarine Escort Ship",JB_S,"[PARENT]",JB_27U,"&lt;&gt;")+SUMIFS(JB_27S,JB_B,1,JB_W,"Submarine Escort Ship",JB_S,"[PARENT]",JB_27U,"")</f>
        <v/>
      </c>
      <c r="D30" s="93">
        <f>IFERROR(C30/C$42,0)</f>
        <v/>
      </c>
    </row>
    <row r="31" ht="10" customHeight="1">
      <c r="A31" s="86" t="inlineStr">
        <is>
          <t>Mine Warfare</t>
        </is>
      </c>
      <c r="B31" s="86" t="inlineStr">
        <is>
          <t>USN</t>
        </is>
      </c>
      <c r="C31" s="87">
        <f>SUMIFS(JB_27U,JB_B,1,JB_W,"Mine Warfare",JB_S,"",JB_27U,"&lt;&gt;")+SUMIFS(JB_27S,JB_B,1,JB_W,"Mine Warfare",JB_S,"",JB_27U,"")+SUMIFS(JB_27U,JB_B,1,JB_W,"Mine Warfare",JB_S,"[PARENT]",JB_27U,"&lt;&gt;")+SUMIFS(JB_27S,JB_B,1,JB_W,"Mine Warfare",JB_S,"[PARENT]",JB_27U,"")</f>
        <v/>
      </c>
      <c r="D31" s="93">
        <f>IFERROR(C31/C$42,0)</f>
        <v/>
      </c>
    </row>
    <row r="32" ht="10" customHeight="1">
      <c r="A32" s="86" t="inlineStr">
        <is>
          <t>General Auxiliary</t>
        </is>
      </c>
      <c r="B32" s="86" t="inlineStr">
        <is>
          <t>USN</t>
        </is>
      </c>
      <c r="C32" s="87">
        <f>SUMIFS(JB_27U,JB_B,1,JB_W,"General Auxiliary",JB_S,"",JB_27U,"&lt;&gt;")+SUMIFS(JB_27S,JB_B,1,JB_W,"General Auxiliary",JB_S,"",JB_27U,"")+SUMIFS(JB_27U,JB_B,1,JB_W,"General Auxiliary",JB_S,"[PARENT]",JB_27U,"&lt;&gt;")+SUMIFS(JB_27S,JB_B,1,JB_W,"General Auxiliary",JB_S,"[PARENT]",JB_27U,"")</f>
        <v/>
      </c>
      <c r="D32" s="93">
        <f>IFERROR(C32/C$42,0)</f>
        <v/>
      </c>
    </row>
    <row r="33" ht="10" customHeight="1">
      <c r="A33" s="86" t="inlineStr">
        <is>
          <t>High Speed Transport</t>
        </is>
      </c>
      <c r="B33" s="86" t="inlineStr">
        <is>
          <t>USN</t>
        </is>
      </c>
      <c r="C33" s="87">
        <f>SUMIFS(JB_27U,JB_B,1,JB_W,"High Speed Transport",JB_S,"",JB_27U,"&lt;&gt;")+SUMIFS(JB_27S,JB_B,1,JB_W,"High Speed Transport",JB_S,"",JB_27U,"")+SUMIFS(JB_27U,JB_B,1,JB_W,"High Speed Transport",JB_S,"[PARENT]",JB_27U,"&lt;&gt;")+SUMIFS(JB_27S,JB_B,1,JB_W,"High Speed Transport",JB_S,"[PARENT]",JB_27U,"")</f>
        <v/>
      </c>
      <c r="D33" s="93">
        <f>IFERROR(C33/C$42,0)</f>
        <v/>
      </c>
    </row>
    <row r="34" ht="10" customHeight="1">
      <c r="A34" s="86" t="inlineStr">
        <is>
          <t>Salvage Ships &amp; Fleet Ocean Tugs</t>
        </is>
      </c>
      <c r="B34" s="86" t="inlineStr">
        <is>
          <t>MSC</t>
        </is>
      </c>
      <c r="C34" s="8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4" s="93">
        <f>IFERROR(C34/C$42,0)</f>
        <v/>
      </c>
    </row>
    <row r="35" ht="10" customHeight="1">
      <c r="A35" s="86" t="inlineStr">
        <is>
          <t>Waterways Commerce Cutters</t>
        </is>
      </c>
      <c r="B35" s="86" t="inlineStr">
        <is>
          <t>USCG</t>
        </is>
      </c>
      <c r="C35" s="87">
        <f>SUMIFS(JB_27U,JB_B,1,JB_W,"Waterways Commerce Cutters",JB_S,"",JB_27U,"&lt;&gt;")+SUMIFS(JB_27S,JB_B,1,JB_W,"Waterways Commerce Cutters",JB_S,"",JB_27U,"")+SUMIFS(JB_27U,JB_B,1,JB_W,"Waterways Commerce Cutters",JB_S,"[PARENT]",JB_27U,"&lt;&gt;")+SUMIFS(JB_27S,JB_B,1,JB_W,"Waterways Commerce Cutters",JB_S,"[PARENT]",JB_27U,"")</f>
        <v/>
      </c>
      <c r="D35" s="93">
        <f>IFERROR(C35/C$42,0)</f>
        <v/>
      </c>
    </row>
    <row r="36" ht="10" customHeight="1">
      <c r="A36" s="86" t="inlineStr">
        <is>
          <t>Coastal Buoy Tenders</t>
        </is>
      </c>
      <c r="B36" s="86" t="inlineStr">
        <is>
          <t>USCG</t>
        </is>
      </c>
      <c r="C36" s="87">
        <f>SUMIFS(JB_27U,JB_B,1,JB_W,"Coastal Buoy Tenders",JB_S,"",JB_27U,"&lt;&gt;")+SUMIFS(JB_27S,JB_B,1,JB_W,"Coastal Buoy Tenders",JB_S,"",JB_27U,"")+SUMIFS(JB_27U,JB_B,1,JB_W,"Coastal Buoy Tenders",JB_S,"[PARENT]",JB_27U,"&lt;&gt;")+SUMIFS(JB_27S,JB_B,1,JB_W,"Coastal Buoy Tenders",JB_S,"[PARENT]",JB_27U,"")</f>
        <v/>
      </c>
      <c r="D36" s="93">
        <f>IFERROR(C36/C$42,0)</f>
        <v/>
      </c>
    </row>
    <row r="37" ht="10" customHeight="1">
      <c r="A37" s="86" t="inlineStr">
        <is>
          <t>Fast Response Cutters</t>
        </is>
      </c>
      <c r="B37" s="86" t="inlineStr">
        <is>
          <t>USCG</t>
        </is>
      </c>
      <c r="C37" s="87">
        <f>SUMIFS(JB_27U,JB_B,1,JB_W,"Fast Response Cutters",JB_S,"",JB_27U,"&lt;&gt;")+SUMIFS(JB_27S,JB_B,1,JB_W,"Fast Response Cutters",JB_S,"",JB_27U,"")+SUMIFS(JB_27U,JB_B,1,JB_W,"Fast Response Cutters",JB_S,"[PARENT]",JB_27U,"&lt;&gt;")+SUMIFS(JB_27S,JB_B,1,JB_W,"Fast Response Cutters",JB_S,"[PARENT]",JB_27U,"")</f>
        <v/>
      </c>
      <c r="D37" s="93">
        <f>IFERROR(C37/C$42,0)</f>
        <v/>
      </c>
    </row>
    <row r="38" ht="10" customHeight="1">
      <c r="A38" s="86" t="inlineStr">
        <is>
          <t>Icebreakers, Oceangoing</t>
        </is>
      </c>
      <c r="B38" s="86" t="inlineStr">
        <is>
          <t>USCG</t>
        </is>
      </c>
      <c r="C38" s="87">
        <f>SUMIFS(JB_27U,JB_B,1,JB_W,"Icebreakers, Oceangoing",JB_S,"",JB_27U,"&lt;&gt;")+SUMIFS(JB_27S,JB_B,1,JB_W,"Icebreakers, Oceangoing",JB_S,"",JB_27U,"")+SUMIFS(JB_27U,JB_B,1,JB_W,"Icebreakers, Oceangoing",JB_S,"[PARENT]",JB_27U,"&lt;&gt;")+SUMIFS(JB_27S,JB_B,1,JB_W,"Icebreakers, Oceangoing",JB_S,"[PARENT]",JB_27U,"")</f>
        <v/>
      </c>
      <c r="D38" s="93">
        <f>IFERROR(C38/C$42,0)</f>
        <v/>
      </c>
    </row>
    <row r="39" ht="10" customHeight="1">
      <c r="A39" s="86" t="inlineStr">
        <is>
          <t>Offshore Patrol Cutter</t>
        </is>
      </c>
      <c r="B39" s="86" t="inlineStr">
        <is>
          <t>USCG</t>
        </is>
      </c>
      <c r="C39" s="87">
        <f>SUMIFS(JB_27U,JB_B,1,JB_W,"Offshore Patrol Cutter",JB_S,"",JB_27U,"&lt;&gt;")+SUMIFS(JB_27S,JB_B,1,JB_W,"Offshore Patrol Cutter",JB_S,"",JB_27U,"")+SUMIFS(JB_27U,JB_B,1,JB_W,"Offshore Patrol Cutter",JB_S,"[PARENT]",JB_27U,"&lt;&gt;")+SUMIFS(JB_27S,JB_B,1,JB_W,"Offshore Patrol Cutter",JB_S,"[PARENT]",JB_27U,"")</f>
        <v/>
      </c>
      <c r="D39" s="93">
        <f>IFERROR(C39/C$42,0)</f>
        <v/>
      </c>
    </row>
    <row r="40" ht="10" customHeight="1">
      <c r="A40" s="86" t="inlineStr">
        <is>
          <t>Icebreakers, Great Lakes</t>
        </is>
      </c>
      <c r="B40" s="86" t="inlineStr">
        <is>
          <t>USCG</t>
        </is>
      </c>
      <c r="C40" s="87">
        <f>SUMIFS(JB_27U,JB_B,1,JB_W,"Icebreakers, Great Lakes",JB_S,"",JB_27U,"&lt;&gt;")+SUMIFS(JB_27S,JB_B,1,JB_W,"Icebreakers, Great Lakes",JB_S,"",JB_27U,"")+SUMIFS(JB_27U,JB_B,1,JB_W,"Icebreakers, Great Lakes",JB_S,"[PARENT]",JB_27U,"&lt;&gt;")+SUMIFS(JB_27S,JB_B,1,JB_W,"Icebreakers, Great Lakes",JB_S,"[PARENT]",JB_27U,"")</f>
        <v/>
      </c>
      <c r="D40" s="93">
        <f>IFERROR(C40/C$42,0)</f>
        <v/>
      </c>
    </row>
    <row r="41" ht="10" customHeight="1">
      <c r="A41" s="86" t="inlineStr">
        <is>
          <t>National Security Cutters</t>
        </is>
      </c>
      <c r="B41" s="86" t="inlineStr">
        <is>
          <t>USCG</t>
        </is>
      </c>
      <c r="C41" s="87">
        <f>SUMIFS(JB_27U,JB_B,1,JB_W,"National Security Cutters",JB_S,"",JB_27U,"&lt;&gt;")+SUMIFS(JB_27S,JB_B,1,JB_W,"National Security Cutters",JB_S,"",JB_27U,"")+SUMIFS(JB_27U,JB_B,1,JB_W,"National Security Cutters",JB_S,"[PARENT]",JB_27U,"&lt;&gt;")+SUMIFS(JB_27S,JB_B,1,JB_W,"National Security Cutters",JB_S,"[PARENT]",JB_27U,"")</f>
        <v/>
      </c>
      <c r="D41" s="93">
        <f>IFERROR(C41/C$42,0)</f>
        <v/>
      </c>
    </row>
    <row r="42" ht="10" customHeight="1">
      <c r="A42" s="88" t="inlineStr">
        <is>
          <t>Newbuild TAM</t>
        </is>
      </c>
      <c r="B42" s="88" t="inlineStr"/>
      <c r="C42" s="89">
        <f>SUM(C14:C41)</f>
        <v/>
      </c>
      <c r="D42" s="94" t="n">
        <v>1</v>
      </c>
    </row>
    <row r="43" ht="10" customHeight="1"/>
    <row r="44" ht="10" customHeight="1"/>
    <row r="45" ht="10" customHeight="1">
      <c r="A45" s="83" t="inlineStr">
        <is>
          <t>(C) Newbuild TAM — DD&amp;C vs AP/LLTM by Vessel Type (Mekko)</t>
        </is>
      </c>
      <c r="B45" s="84" t="n"/>
      <c r="C45" s="84" t="n"/>
      <c r="D45" s="84" t="n"/>
      <c r="E45" s="84" t="n"/>
      <c r="F45" s="84" t="n"/>
      <c r="G45" s="84" t="n"/>
      <c r="H45" s="84" t="n"/>
      <c r="I45" s="84" t="n"/>
      <c r="J45" s="84" t="n"/>
      <c r="K45" s="84" t="n"/>
      <c r="L45" s="84" t="n"/>
      <c r="M45" s="84" t="n"/>
      <c r="N45" s="84" t="n"/>
    </row>
    <row r="46" ht="10" customHeight="1">
      <c r="A46" s="95" t="n"/>
      <c r="B46" s="96" t="inlineStr">
        <is>
          <t>USN</t>
        </is>
      </c>
      <c r="C46" s="95" t="n"/>
      <c r="D46" s="95" t="n"/>
      <c r="E46" s="95" t="n"/>
      <c r="F46" s="95" t="n"/>
      <c r="G46" s="95" t="n"/>
      <c r="H46" s="95" t="n"/>
      <c r="I46" s="95" t="n"/>
      <c r="J46" s="95" t="n"/>
      <c r="K46" s="95" t="n"/>
      <c r="L46" s="95" t="n"/>
      <c r="M46" s="95" t="n"/>
      <c r="N46" s="97" t="n"/>
    </row>
    <row r="47" ht="10" customHeight="1">
      <c r="A47" s="85" t="inlineStr">
        <is>
          <t>Sub-Category</t>
        </is>
      </c>
      <c r="B47" s="98" t="inlineStr">
        <is>
          <t>Submarines</t>
        </is>
      </c>
      <c r="C47" s="85" t="inlineStr">
        <is>
          <t>Amphibious Warfare Ships</t>
        </is>
      </c>
      <c r="D47" s="85" t="inlineStr">
        <is>
          <t>Surface Combatants</t>
        </is>
      </c>
      <c r="E47" s="85" t="inlineStr">
        <is>
          <t>Material Support Ships</t>
        </is>
      </c>
      <c r="F47" s="85" t="inlineStr">
        <is>
          <t>Aircraft Carriers</t>
        </is>
      </c>
      <c r="G47" s="85" t="inlineStr">
        <is>
          <t>Combat Logistics Ships</t>
        </is>
      </c>
      <c r="H47" s="85" t="inlineStr">
        <is>
          <t>Expeditionary &amp; Seabasing Ships</t>
        </is>
      </c>
      <c r="I47" s="85" t="inlineStr">
        <is>
          <t>Surveillance Ships</t>
        </is>
      </c>
      <c r="J47" s="85" t="inlineStr">
        <is>
          <t>Hospital Ship</t>
        </is>
      </c>
      <c r="K47" s="85" t="inlineStr">
        <is>
          <t>Cargo &amp; Vehicle Cargo Ships</t>
        </is>
      </c>
      <c r="L47" s="85" t="inlineStr">
        <is>
          <t>Unmanned Undersea Vehicles</t>
        </is>
      </c>
      <c r="M47" s="85" t="inlineStr">
        <is>
          <t>Unmanned Surface Vehicles</t>
        </is>
      </c>
      <c r="N47" s="98" t="inlineStr">
        <is>
          <t>Total</t>
        </is>
      </c>
    </row>
    <row r="48" ht="10" customHeight="1">
      <c r="A48" s="86" t="inlineStr">
        <is>
          <t>Full Ship DD&amp;C</t>
        </is>
      </c>
      <c r="B48" s="99">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3">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3">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3">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9">
        <f>IFERROR(1-N49,0)</f>
        <v/>
      </c>
    </row>
    <row r="49" ht="10" customHeight="1">
      <c r="A49" s="86" t="inlineStr">
        <is>
          <t>Advance Procurement / LLTM</t>
        </is>
      </c>
      <c r="B49" s="99">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3">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3">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3">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6" t="inlineStr">
        <is>
          <t>Other NC Sub-Categories</t>
        </is>
      </c>
      <c r="B50" s="99">
        <f>IFERROR(1-B48-B49,0)</f>
        <v/>
      </c>
      <c r="C50" s="93">
        <f>IFERROR(1-C48-C49,0)</f>
        <v/>
      </c>
      <c r="D50" s="93">
        <f>IFERROR(1-D48-D49,0)</f>
        <v/>
      </c>
      <c r="E50" s="93">
        <f>IFERROR(1-E48-E49,0)</f>
        <v/>
      </c>
      <c r="F50" s="93">
        <f>IFERROR(1-F48-F49,0)</f>
        <v/>
      </c>
      <c r="G50" s="93">
        <f>IFERROR(1-G48-G49,0)</f>
        <v/>
      </c>
      <c r="H50" s="93">
        <f>IFERROR(1-H48-H49,0)</f>
        <v/>
      </c>
      <c r="I50" s="93">
        <f>IFERROR(1-I48-I49,0)</f>
        <v/>
      </c>
      <c r="J50" s="93">
        <f>IFERROR(1-J48-J49,0)</f>
        <v/>
      </c>
      <c r="K50" s="93">
        <f>IFERROR(1-K48-K49,0)</f>
        <v/>
      </c>
      <c r="L50" s="93">
        <f>IFERROR(1-L48-L49,0)</f>
        <v/>
      </c>
      <c r="M50" s="93">
        <f>IFERROR(1-M48-M49,0)</f>
        <v/>
      </c>
      <c r="N50" s="99">
        <f>IFERROR(1-N48-N49,0)</f>
        <v/>
      </c>
    </row>
    <row r="51" ht="10" customHeight="1">
      <c r="A51" s="88" t="inlineStr">
        <is>
          <t>Total ($K)</t>
        </is>
      </c>
      <c r="B51" s="100">
        <f>SUMIFS(JB_27U,JB_B,1,JB_W,"Submarines",JB_S,"",JB_27U,"&lt;&gt;")+SUMIFS(JB_27S,JB_B,1,JB_W,"Submarines",JB_S,"",JB_27U,"")+SUMIFS(JB_27U,JB_B,1,JB_W,"Submarines",JB_S,"[PARENT]",JB_27U,"&lt;&gt;")+SUMIFS(JB_27S,JB_B,1,JB_W,"Submarines",JB_S,"[PARENT]",JB_27U,"")</f>
        <v/>
      </c>
      <c r="C51" s="89">
        <f>SUMIFS(JB_27U,JB_B,1,JB_W,"Amphibious Warfare Ships",JB_S,"",JB_27U,"&lt;&gt;")+SUMIFS(JB_27S,JB_B,1,JB_W,"Amphibious Warfare Ships",JB_S,"",JB_27U,"")+SUMIFS(JB_27U,JB_B,1,JB_W,"Amphibious Warfare Ships",JB_S,"[PARENT]",JB_27U,"&lt;&gt;")+SUMIFS(JB_27S,JB_B,1,JB_W,"Amphibious Warfare Ships",JB_S,"[PARENT]",JB_27U,"")</f>
        <v/>
      </c>
      <c r="D51" s="89">
        <f>SUMIFS(JB_27U,JB_B,1,JB_W,"Surface Combatants",JB_S,"",JB_27U,"&lt;&gt;")+SUMIFS(JB_27S,JB_B,1,JB_W,"Surface Combatants",JB_S,"",JB_27U,"")+SUMIFS(JB_27U,JB_B,1,JB_W,"Surface Combatants",JB_S,"[PARENT]",JB_27U,"&lt;&gt;")+SUMIFS(JB_27S,JB_B,1,JB_W,"Surface Combatants",JB_S,"[PARENT]",JB_27U,"")</f>
        <v/>
      </c>
      <c r="E51" s="89">
        <f>SUMIFS(JB_27U,JB_B,1,JB_W,"Material Support Ships",JB_S,"",JB_27U,"&lt;&gt;")+SUMIFS(JB_27S,JB_B,1,JB_W,"Material Support Ships",JB_S,"",JB_27U,"")+SUMIFS(JB_27U,JB_B,1,JB_W,"Material Support Ships",JB_S,"[PARENT]",JB_27U,"&lt;&gt;")+SUMIFS(JB_27S,JB_B,1,JB_W,"Material Support Ships",JB_S,"[PARENT]",JB_27U,"")</f>
        <v/>
      </c>
      <c r="F51" s="89">
        <f>SUMIFS(JB_27U,JB_B,1,JB_W,"Aircraft Carriers",JB_S,"",JB_27U,"&lt;&gt;")+SUMIFS(JB_27S,JB_B,1,JB_W,"Aircraft Carriers",JB_S,"",JB_27U,"")+SUMIFS(JB_27U,JB_B,1,JB_W,"Aircraft Carriers",JB_S,"[PARENT]",JB_27U,"&lt;&gt;")+SUMIFS(JB_27S,JB_B,1,JB_W,"Aircraft Carriers",JB_S,"[PARENT]",JB_27U,"")</f>
        <v/>
      </c>
      <c r="G51" s="89">
        <f>SUMIFS(JB_27U,JB_B,1,JB_W,"Combat Logistics Ships",JB_S,"",JB_27U,"&lt;&gt;")+SUMIFS(JB_27S,JB_B,1,JB_W,"Combat Logistics Ships",JB_S,"",JB_27U,"")+SUMIFS(JB_27U,JB_B,1,JB_W,"Combat Logistics Ships",JB_S,"[PARENT]",JB_27U,"&lt;&gt;")+SUMIFS(JB_27S,JB_B,1,JB_W,"Combat Logistics Ships",JB_S,"[PARENT]",JB_27U,"")</f>
        <v/>
      </c>
      <c r="H51" s="8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9">
        <f>SUMIFS(JB_27U,JB_B,1,JB_W,"Surveillance Ships",JB_S,"",JB_27U,"&lt;&gt;")+SUMIFS(JB_27S,JB_B,1,JB_W,"Surveillance Ships",JB_S,"",JB_27U,"")+SUMIFS(JB_27U,JB_B,1,JB_W,"Surveillance Ships",JB_S,"[PARENT]",JB_27U,"&lt;&gt;")+SUMIFS(JB_27S,JB_B,1,JB_W,"Surveillance Ships",JB_S,"[PARENT]",JB_27U,"")</f>
        <v/>
      </c>
      <c r="J51" s="89">
        <f>SUMIFS(JB_27U,JB_B,1,JB_W,"Hospital Ship",JB_S,"",JB_27U,"&lt;&gt;")+SUMIFS(JB_27S,JB_B,1,JB_W,"Hospital Ship",JB_S,"",JB_27U,"")+SUMIFS(JB_27U,JB_B,1,JB_W,"Hospital Ship",JB_S,"[PARENT]",JB_27U,"&lt;&gt;")+SUMIFS(JB_27S,JB_B,1,JB_W,"Hospital Ship",JB_S,"[PARENT]",JB_27U,"")</f>
        <v/>
      </c>
      <c r="K51" s="89">
        <f>SUMIFS(JB_27U,JB_B,1,JB_W,"Cargo &amp; Vehicle Cargo Ships",JB_S,"",JB_27U,"&lt;&gt;")+SUMIFS(JB_27S,JB_B,1,JB_W,"Cargo &amp; Vehicle Cargo Ships",JB_S,"",JB_27U,"")+SUMIFS(JB_27U,JB_B,1,JB_W,"Cargo &amp; Vehicle Cargo Ships",JB_S,"[PARENT]",JB_27U,"&lt;&gt;")+SUMIFS(JB_27S,JB_B,1,JB_W,"Cargo &amp; Vehicle Cargo Ships",JB_S,"[PARENT]",JB_27U,"")</f>
        <v/>
      </c>
      <c r="L51" s="89">
        <f>SUMIFS(JB_27U,JB_B,1,JB_W,"Unmanned Undersea Vehicles",JB_S,"",JB_27U,"&lt;&gt;")+SUMIFS(JB_27S,JB_B,1,JB_W,"Unmanned Undersea Vehicles",JB_S,"",JB_27U,"")+SUMIFS(JB_27U,JB_B,1,JB_W,"Unmanned Undersea Vehicles",JB_S,"[PARENT]",JB_27U,"&lt;&gt;")+SUMIFS(JB_27S,JB_B,1,JB_W,"Unmanned Undersea Vehicles",JB_S,"[PARENT]",JB_27U,"")</f>
        <v/>
      </c>
      <c r="M51" s="89">
        <f>SUMIFS(JB_27U,JB_B,1,JB_W,"Unmanned Surface Vehicles",JB_S,"",JB_27U,"&lt;&gt;")+SUMIFS(JB_27S,JB_B,1,JB_W,"Unmanned Surface Vehicles",JB_S,"",JB_27U,"")+SUMIFS(JB_27U,JB_B,1,JB_W,"Unmanned Surface Vehicles",JB_S,"[PARENT]",JB_27U,"&lt;&gt;")+SUMIFS(JB_27S,JB_B,1,JB_W,"Unmanned Surface Vehicles",JB_S,"[PARENT]",JB_27U,"")</f>
        <v/>
      </c>
      <c r="N51" s="100">
        <f>SUM(B51:M51)</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80" t="inlineStr">
        <is>
          <t>Newbuild SAM — FY2027 ($K)</t>
        </is>
      </c>
      <c r="B1" s="81" t="n"/>
      <c r="C1" s="81" t="n"/>
      <c r="D1" s="81" t="n"/>
      <c r="E1" s="81" t="n"/>
      <c r="F1" s="81" t="n"/>
      <c r="G1" s="81" t="n"/>
      <c r="H1" s="81" t="n"/>
      <c r="I1" s="81" t="n"/>
      <c r="J1" s="81" t="n"/>
      <c r="K1" s="81" t="n"/>
      <c r="L1" s="81" t="n"/>
    </row>
    <row r="2" ht="10" customHeight="1">
      <c r="A2" s="82" t="inlineStr">
        <is>
          <t>Newbuild TAM excluding vessel types not addressable by PA</t>
        </is>
      </c>
    </row>
    <row r="3" ht="10" customHeight="1"/>
    <row r="4" ht="10" customHeight="1">
      <c r="A4" s="83" t="inlineStr">
        <is>
          <t>(A) Bridge: Newbuild TAM → Newbuild SAM</t>
        </is>
      </c>
      <c r="B4" s="84" t="n"/>
    </row>
    <row r="5" ht="10" customHeight="1">
      <c r="A5" s="86" t="inlineStr">
        <is>
          <t>Newbuild TAM</t>
        </is>
      </c>
      <c r="B5"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6" t="inlineStr">
        <is>
          <t xml:space="preserve">  Less: Submarines</t>
        </is>
      </c>
      <c r="B6" s="87">
        <f>-(SUMIFS(JB_27U,JB_B,1,JB_W,"Submarines",JB_S,"",JB_27U,"&lt;&gt;")+SUMIFS(JB_27S,JB_B,1,JB_W,"Submarines",JB_S,"",JB_27U,"")+SUMIFS(JB_27U,JB_B,1,JB_W,"Submarines",JB_S,"[PARENT]",JB_27U,"&lt;&gt;")+SUMIFS(JB_27S,JB_B,1,JB_W,"Submarines",JB_S,"[PARENT]",JB_27U,""))</f>
        <v/>
      </c>
    </row>
    <row r="7" ht="10" customHeight="1">
      <c r="A7" s="86" t="inlineStr">
        <is>
          <t xml:space="preserve">  Less: Aircraft Carriers</t>
        </is>
      </c>
      <c r="B7" s="87">
        <f>-(SUMIFS(JB_27U,JB_B,1,JB_W,"Aircraft Carriers",JB_S,"",JB_27U,"&lt;&gt;")+SUMIFS(JB_27S,JB_B,1,JB_W,"Aircraft Carriers",JB_S,"",JB_27U,"")+SUMIFS(JB_27U,JB_B,1,JB_W,"Aircraft Carriers",JB_S,"[PARENT]",JB_27U,"&lt;&gt;")+SUMIFS(JB_27S,JB_B,1,JB_W,"Aircraft Carriers",JB_S,"[PARENT]",JB_27U,""))</f>
        <v/>
      </c>
    </row>
    <row r="8" ht="10" customHeight="1">
      <c r="A8" s="86" t="inlineStr">
        <is>
          <t xml:space="preserve">  Less: Unmanned Undersea Vehicles</t>
        </is>
      </c>
      <c r="B8" s="87">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8" t="inlineStr">
        <is>
          <t>Newbuild SAM</t>
        </is>
      </c>
      <c r="B9" s="89">
        <f>SUM(B5:B8)</f>
        <v/>
      </c>
    </row>
    <row r="10" ht="10" customHeight="1"/>
    <row r="11" ht="10" customHeight="1"/>
    <row r="12" ht="10" customHeight="1">
      <c r="A12" s="83" t="inlineStr">
        <is>
          <t>(B) Newbuild SAM by Vessel Type</t>
        </is>
      </c>
      <c r="B12" s="84" t="n"/>
      <c r="C12" s="84" t="n"/>
      <c r="D12" s="84" t="n"/>
    </row>
    <row r="13" ht="10" customHeight="1">
      <c r="A13" s="85" t="inlineStr">
        <is>
          <t>Vessel Type</t>
        </is>
      </c>
      <c r="B13" s="85" t="inlineStr">
        <is>
          <t>Service</t>
        </is>
      </c>
      <c r="C13" s="85" t="inlineStr">
        <is>
          <t>FY2027 ($K)</t>
        </is>
      </c>
      <c r="D13" s="85" t="inlineStr">
        <is>
          <t>% of SAM</t>
        </is>
      </c>
    </row>
    <row r="14" ht="10" customHeight="1">
      <c r="A14" s="86" t="inlineStr">
        <is>
          <t>Amphibious Warfare Ships</t>
        </is>
      </c>
      <c r="B14" s="86" t="inlineStr">
        <is>
          <t>USN</t>
        </is>
      </c>
      <c r="C14" s="87">
        <f>SUMIFS(JB_27U,JB_B,1,JB_W,"Amphibious Warfare Ships",JB_S,"",JB_27U,"&lt;&gt;")+SUMIFS(JB_27S,JB_B,1,JB_W,"Amphibious Warfare Ships",JB_S,"",JB_27U,"")+SUMIFS(JB_27U,JB_B,1,JB_W,"Amphibious Warfare Ships",JB_S,"[PARENT]",JB_27U,"&lt;&gt;")+SUMIFS(JB_27S,JB_B,1,JB_W,"Amphibious Warfare Ships",JB_S,"[PARENT]",JB_27U,"")</f>
        <v/>
      </c>
      <c r="D14" s="93">
        <f>IFERROR(C14/C$39,0)</f>
        <v/>
      </c>
    </row>
    <row r="15" ht="10" customHeight="1">
      <c r="A15" s="86" t="inlineStr">
        <is>
          <t>Surface Combatants</t>
        </is>
      </c>
      <c r="B15" s="86" t="inlineStr">
        <is>
          <t>USN</t>
        </is>
      </c>
      <c r="C15" s="87">
        <f>SUMIFS(JB_27U,JB_B,1,JB_W,"Surface Combatants",JB_S,"",JB_27U,"&lt;&gt;")+SUMIFS(JB_27S,JB_B,1,JB_W,"Surface Combatants",JB_S,"",JB_27U,"")+SUMIFS(JB_27U,JB_B,1,JB_W,"Surface Combatants",JB_S,"[PARENT]",JB_27U,"&lt;&gt;")+SUMIFS(JB_27S,JB_B,1,JB_W,"Surface Combatants",JB_S,"[PARENT]",JB_27U,"")</f>
        <v/>
      </c>
      <c r="D15" s="93">
        <f>IFERROR(C15/C$39,0)</f>
        <v/>
      </c>
    </row>
    <row r="16" ht="10" customHeight="1">
      <c r="A16" s="86" t="inlineStr">
        <is>
          <t>Material Support Ships</t>
        </is>
      </c>
      <c r="B16" s="86" t="inlineStr">
        <is>
          <t>USN</t>
        </is>
      </c>
      <c r="C16" s="87">
        <f>SUMIFS(JB_27U,JB_B,1,JB_W,"Material Support Ships",JB_S,"",JB_27U,"&lt;&gt;")+SUMIFS(JB_27S,JB_B,1,JB_W,"Material Support Ships",JB_S,"",JB_27U,"")+SUMIFS(JB_27U,JB_B,1,JB_W,"Material Support Ships",JB_S,"[PARENT]",JB_27U,"&lt;&gt;")+SUMIFS(JB_27S,JB_B,1,JB_W,"Material Support Ships",JB_S,"[PARENT]",JB_27U,"")</f>
        <v/>
      </c>
      <c r="D16" s="93">
        <f>IFERROR(C16/C$39,0)</f>
        <v/>
      </c>
    </row>
    <row r="17" ht="10" customHeight="1">
      <c r="A17" s="86" t="inlineStr">
        <is>
          <t>Combat Logistics Ships</t>
        </is>
      </c>
      <c r="B17" s="86" t="inlineStr">
        <is>
          <t>MSC</t>
        </is>
      </c>
      <c r="C17" s="87">
        <f>SUMIFS(JB_27U,JB_B,1,JB_W,"Combat Logistics Ships",JB_S,"",JB_27U,"&lt;&gt;")+SUMIFS(JB_27S,JB_B,1,JB_W,"Combat Logistics Ships",JB_S,"",JB_27U,"")+SUMIFS(JB_27U,JB_B,1,JB_W,"Combat Logistics Ships",JB_S,"[PARENT]",JB_27U,"&lt;&gt;")+SUMIFS(JB_27S,JB_B,1,JB_W,"Combat Logistics Ships",JB_S,"[PARENT]",JB_27U,"")</f>
        <v/>
      </c>
      <c r="D17" s="93">
        <f>IFERROR(C17/C$39,0)</f>
        <v/>
      </c>
    </row>
    <row r="18" ht="10" customHeight="1">
      <c r="A18" s="86" t="inlineStr">
        <is>
          <t>Expeditionary &amp; Seabasing Ships</t>
        </is>
      </c>
      <c r="B18" s="86" t="inlineStr">
        <is>
          <t>USN</t>
        </is>
      </c>
      <c r="C18"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3">
        <f>IFERROR(C18/C$39,0)</f>
        <v/>
      </c>
    </row>
    <row r="19" ht="10" customHeight="1">
      <c r="A19" s="86" t="inlineStr">
        <is>
          <t>Surveillance Ships</t>
        </is>
      </c>
      <c r="B19" s="86" t="inlineStr">
        <is>
          <t>USN</t>
        </is>
      </c>
      <c r="C19" s="87">
        <f>SUMIFS(JB_27U,JB_B,1,JB_W,"Surveillance Ships",JB_S,"",JB_27U,"&lt;&gt;")+SUMIFS(JB_27S,JB_B,1,JB_W,"Surveillance Ships",JB_S,"",JB_27U,"")+SUMIFS(JB_27U,JB_B,1,JB_W,"Surveillance Ships",JB_S,"[PARENT]",JB_27U,"&lt;&gt;")+SUMIFS(JB_27S,JB_B,1,JB_W,"Surveillance Ships",JB_S,"[PARENT]",JB_27U,"")</f>
        <v/>
      </c>
      <c r="D19" s="93">
        <f>IFERROR(C19/C$39,0)</f>
        <v/>
      </c>
    </row>
    <row r="20" ht="10" customHeight="1">
      <c r="A20" s="86" t="inlineStr">
        <is>
          <t>Hospital Ship</t>
        </is>
      </c>
      <c r="B20" s="86" t="inlineStr">
        <is>
          <t>MSC</t>
        </is>
      </c>
      <c r="C20" s="87">
        <f>SUMIFS(JB_27U,JB_B,1,JB_W,"Hospital Ship",JB_S,"",JB_27U,"&lt;&gt;")+SUMIFS(JB_27S,JB_B,1,JB_W,"Hospital Ship",JB_S,"",JB_27U,"")+SUMIFS(JB_27U,JB_B,1,JB_W,"Hospital Ship",JB_S,"[PARENT]",JB_27U,"&lt;&gt;")+SUMIFS(JB_27S,JB_B,1,JB_W,"Hospital Ship",JB_S,"[PARENT]",JB_27U,"")</f>
        <v/>
      </c>
      <c r="D20" s="93">
        <f>IFERROR(C20/C$39,0)</f>
        <v/>
      </c>
    </row>
    <row r="21" ht="10" customHeight="1">
      <c r="A21" s="86" t="inlineStr">
        <is>
          <t>Cargo &amp; Vehicle Cargo Ships</t>
        </is>
      </c>
      <c r="B21" s="86" t="inlineStr">
        <is>
          <t>USN</t>
        </is>
      </c>
      <c r="C21" s="87">
        <f>SUMIFS(JB_27U,JB_B,1,JB_W,"Cargo &amp; Vehicle Cargo Ships",JB_S,"",JB_27U,"&lt;&gt;")+SUMIFS(JB_27S,JB_B,1,JB_W,"Cargo &amp; Vehicle Cargo Ships",JB_S,"",JB_27U,"")+SUMIFS(JB_27U,JB_B,1,JB_W,"Cargo &amp; Vehicle Cargo Ships",JB_S,"[PARENT]",JB_27U,"&lt;&gt;")+SUMIFS(JB_27S,JB_B,1,JB_W,"Cargo &amp; Vehicle Cargo Ships",JB_S,"[PARENT]",JB_27U,"")</f>
        <v/>
      </c>
      <c r="D21" s="93">
        <f>IFERROR(C21/C$39,0)</f>
        <v/>
      </c>
    </row>
    <row r="22" ht="10" customHeight="1">
      <c r="A22" s="86" t="inlineStr">
        <is>
          <t>Unmanned Surface Vehicles</t>
        </is>
      </c>
      <c r="B22" s="86" t="inlineStr">
        <is>
          <t>USN</t>
        </is>
      </c>
      <c r="C22" s="87">
        <f>SUMIFS(JB_27U,JB_B,1,JB_W,"Unmanned Surface Vehicles",JB_S,"",JB_27U,"&lt;&gt;")+SUMIFS(JB_27S,JB_B,1,JB_W,"Unmanned Surface Vehicles",JB_S,"",JB_27U,"")+SUMIFS(JB_27U,JB_B,1,JB_W,"Unmanned Surface Vehicles",JB_S,"[PARENT]",JB_27U,"&lt;&gt;")+SUMIFS(JB_27S,JB_B,1,JB_W,"Unmanned Surface Vehicles",JB_S,"[PARENT]",JB_27U,"")</f>
        <v/>
      </c>
      <c r="D22" s="93">
        <f>IFERROR(C22/C$39,0)</f>
        <v/>
      </c>
    </row>
    <row r="23" ht="10" customHeight="1">
      <c r="A23" s="86" t="inlineStr">
        <is>
          <t>Mine Warfare</t>
        </is>
      </c>
      <c r="B23" s="86" t="inlineStr">
        <is>
          <t>USN</t>
        </is>
      </c>
      <c r="C23" s="87">
        <f>SUMIFS(JB_27U,JB_B,1,JB_W,"Mine Warfare",JB_S,"",JB_27U,"&lt;&gt;")+SUMIFS(JB_27S,JB_B,1,JB_W,"Mine Warfare",JB_S,"",JB_27U,"")+SUMIFS(JB_27U,JB_B,1,JB_W,"Mine Warfare",JB_S,"[PARENT]",JB_27U,"&lt;&gt;")+SUMIFS(JB_27S,JB_B,1,JB_W,"Mine Warfare",JB_S,"[PARENT]",JB_27U,"")</f>
        <v/>
      </c>
      <c r="D23" s="93">
        <f>IFERROR(C23/C$39,0)</f>
        <v/>
      </c>
    </row>
    <row r="24" ht="10" customHeight="1">
      <c r="A24" s="86" t="inlineStr">
        <is>
          <t>Research, Survey &amp; Instrumentation Ships</t>
        </is>
      </c>
      <c r="B24" s="86" t="inlineStr">
        <is>
          <t>MSC</t>
        </is>
      </c>
      <c r="C24" s="87">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4" s="93">
        <f>IFERROR(C24/C$39,0)</f>
        <v/>
      </c>
    </row>
    <row r="25" ht="10" customHeight="1">
      <c r="A25" s="86" t="inlineStr">
        <is>
          <t>Aviation Logistics Support Ship</t>
        </is>
      </c>
      <c r="B25" s="86" t="inlineStr">
        <is>
          <t>USN</t>
        </is>
      </c>
      <c r="C25" s="87">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5" s="93">
        <f>IFERROR(C25/C$39,0)</f>
        <v/>
      </c>
    </row>
    <row r="26" ht="10" customHeight="1">
      <c r="A26" s="86" t="inlineStr">
        <is>
          <t>Command Ships</t>
        </is>
      </c>
      <c r="B26" s="86" t="inlineStr">
        <is>
          <t>USN</t>
        </is>
      </c>
      <c r="C26" s="87">
        <f>SUMIFS(JB_27U,JB_B,1,JB_W,"Command Ships",JB_S,"",JB_27U,"&lt;&gt;")+SUMIFS(JB_27S,JB_B,1,JB_W,"Command Ships",JB_S,"",JB_27U,"")+SUMIFS(JB_27U,JB_B,1,JB_W,"Command Ships",JB_S,"[PARENT]",JB_27U,"&lt;&gt;")+SUMIFS(JB_27S,JB_B,1,JB_W,"Command Ships",JB_S,"[PARENT]",JB_27U,"")</f>
        <v/>
      </c>
      <c r="D26" s="93">
        <f>IFERROR(C26/C$39,0)</f>
        <v/>
      </c>
    </row>
    <row r="27" ht="10" customHeight="1">
      <c r="A27" s="86" t="inlineStr">
        <is>
          <t>Crane Ship</t>
        </is>
      </c>
      <c r="B27" s="86" t="inlineStr">
        <is>
          <t>USN</t>
        </is>
      </c>
      <c r="C27" s="87">
        <f>SUMIFS(JB_27U,JB_B,1,JB_W,"Crane Ship",JB_S,"",JB_27U,"&lt;&gt;")+SUMIFS(JB_27S,JB_B,1,JB_W,"Crane Ship",JB_S,"",JB_27U,"")+SUMIFS(JB_27U,JB_B,1,JB_W,"Crane Ship",JB_S,"[PARENT]",JB_27U,"&lt;&gt;")+SUMIFS(JB_27S,JB_B,1,JB_W,"Crane Ship",JB_S,"[PARENT]",JB_27U,"")</f>
        <v/>
      </c>
      <c r="D27" s="93">
        <f>IFERROR(C27/C$39,0)</f>
        <v/>
      </c>
    </row>
    <row r="28" ht="10" customHeight="1">
      <c r="A28" s="86" t="inlineStr">
        <is>
          <t>General Auxiliary</t>
        </is>
      </c>
      <c r="B28" s="86" t="inlineStr">
        <is>
          <t>USN</t>
        </is>
      </c>
      <c r="C28" s="87">
        <f>SUMIFS(JB_27U,JB_B,1,JB_W,"General Auxiliary",JB_S,"",JB_27U,"&lt;&gt;")+SUMIFS(JB_27S,JB_B,1,JB_W,"General Auxiliary",JB_S,"",JB_27U,"")+SUMIFS(JB_27U,JB_B,1,JB_W,"General Auxiliary",JB_S,"[PARENT]",JB_27U,"&lt;&gt;")+SUMIFS(JB_27S,JB_B,1,JB_W,"General Auxiliary",JB_S,"[PARENT]",JB_27U,"")</f>
        <v/>
      </c>
      <c r="D28" s="93">
        <f>IFERROR(C28/C$39,0)</f>
        <v/>
      </c>
    </row>
    <row r="29" ht="10" customHeight="1">
      <c r="A29" s="86" t="inlineStr">
        <is>
          <t>High Speed Transport</t>
        </is>
      </c>
      <c r="B29" s="86" t="inlineStr">
        <is>
          <t>USN</t>
        </is>
      </c>
      <c r="C29" s="87">
        <f>SUMIFS(JB_27U,JB_B,1,JB_W,"High Speed Transport",JB_S,"",JB_27U,"&lt;&gt;")+SUMIFS(JB_27S,JB_B,1,JB_W,"High Speed Transport",JB_S,"",JB_27U,"")+SUMIFS(JB_27U,JB_B,1,JB_W,"High Speed Transport",JB_S,"[PARENT]",JB_27U,"&lt;&gt;")+SUMIFS(JB_27S,JB_B,1,JB_W,"High Speed Transport",JB_S,"[PARENT]",JB_27U,"")</f>
        <v/>
      </c>
      <c r="D29" s="93">
        <f>IFERROR(C29/C$39,0)</f>
        <v/>
      </c>
    </row>
    <row r="30" ht="10" customHeight="1">
      <c r="A30" s="86" t="inlineStr">
        <is>
          <t>Submarine Escort Ship</t>
        </is>
      </c>
      <c r="B30" s="86" t="inlineStr">
        <is>
          <t>USN</t>
        </is>
      </c>
      <c r="C30" s="87">
        <f>SUMIFS(JB_27U,JB_B,1,JB_W,"Submarine Escort Ship",JB_S,"",JB_27U,"&lt;&gt;")+SUMIFS(JB_27S,JB_B,1,JB_W,"Submarine Escort Ship",JB_S,"",JB_27U,"")+SUMIFS(JB_27U,JB_B,1,JB_W,"Submarine Escort Ship",JB_S,"[PARENT]",JB_27U,"&lt;&gt;")+SUMIFS(JB_27S,JB_B,1,JB_W,"Submarine Escort Ship",JB_S,"[PARENT]",JB_27U,"")</f>
        <v/>
      </c>
      <c r="D30" s="93">
        <f>IFERROR(C30/C$39,0)</f>
        <v/>
      </c>
    </row>
    <row r="31" ht="10" customHeight="1">
      <c r="A31" s="86" t="inlineStr">
        <is>
          <t>Salvage Ships &amp; Fleet Ocean Tugs</t>
        </is>
      </c>
      <c r="B31" s="86" t="inlineStr">
        <is>
          <t>MSC</t>
        </is>
      </c>
      <c r="C31" s="87">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31" s="93">
        <f>IFERROR(C31/C$39,0)</f>
        <v/>
      </c>
    </row>
    <row r="32" ht="10" customHeight="1">
      <c r="A32" s="86" t="inlineStr">
        <is>
          <t>Waterways Commerce Cutters</t>
        </is>
      </c>
      <c r="B32" s="86" t="inlineStr">
        <is>
          <t>USCG</t>
        </is>
      </c>
      <c r="C32" s="87">
        <f>SUMIFS(JB_27U,JB_B,1,JB_W,"Waterways Commerce Cutters",JB_S,"",JB_27U,"&lt;&gt;")+SUMIFS(JB_27S,JB_B,1,JB_W,"Waterways Commerce Cutters",JB_S,"",JB_27U,"")+SUMIFS(JB_27U,JB_B,1,JB_W,"Waterways Commerce Cutters",JB_S,"[PARENT]",JB_27U,"&lt;&gt;")+SUMIFS(JB_27S,JB_B,1,JB_W,"Waterways Commerce Cutters",JB_S,"[PARENT]",JB_27U,"")</f>
        <v/>
      </c>
      <c r="D32" s="93">
        <f>IFERROR(C32/C$39,0)</f>
        <v/>
      </c>
    </row>
    <row r="33" ht="10" customHeight="1">
      <c r="A33" s="86" t="inlineStr">
        <is>
          <t>Fast Response Cutters</t>
        </is>
      </c>
      <c r="B33" s="86" t="inlineStr">
        <is>
          <t>USCG</t>
        </is>
      </c>
      <c r="C33" s="87">
        <f>SUMIFS(JB_27U,JB_B,1,JB_W,"Fast Response Cutters",JB_S,"",JB_27U,"&lt;&gt;")+SUMIFS(JB_27S,JB_B,1,JB_W,"Fast Response Cutters",JB_S,"",JB_27U,"")+SUMIFS(JB_27U,JB_B,1,JB_W,"Fast Response Cutters",JB_S,"[PARENT]",JB_27U,"&lt;&gt;")+SUMIFS(JB_27S,JB_B,1,JB_W,"Fast Response Cutters",JB_S,"[PARENT]",JB_27U,"")</f>
        <v/>
      </c>
      <c r="D33" s="93">
        <f>IFERROR(C33/C$39,0)</f>
        <v/>
      </c>
    </row>
    <row r="34" ht="10" customHeight="1">
      <c r="A34" s="86" t="inlineStr">
        <is>
          <t>Icebreakers, Oceangoing</t>
        </is>
      </c>
      <c r="B34" s="86" t="inlineStr">
        <is>
          <t>USCG</t>
        </is>
      </c>
      <c r="C34" s="87">
        <f>SUMIFS(JB_27U,JB_B,1,JB_W,"Icebreakers, Oceangoing",JB_S,"",JB_27U,"&lt;&gt;")+SUMIFS(JB_27S,JB_B,1,JB_W,"Icebreakers, Oceangoing",JB_S,"",JB_27U,"")+SUMIFS(JB_27U,JB_B,1,JB_W,"Icebreakers, Oceangoing",JB_S,"[PARENT]",JB_27U,"&lt;&gt;")+SUMIFS(JB_27S,JB_B,1,JB_W,"Icebreakers, Oceangoing",JB_S,"[PARENT]",JB_27U,"")</f>
        <v/>
      </c>
      <c r="D34" s="93">
        <f>IFERROR(C34/C$39,0)</f>
        <v/>
      </c>
    </row>
    <row r="35" ht="10" customHeight="1">
      <c r="A35" s="86" t="inlineStr">
        <is>
          <t>Offshore Patrol Cutter</t>
        </is>
      </c>
      <c r="B35" s="86" t="inlineStr">
        <is>
          <t>USCG</t>
        </is>
      </c>
      <c r="C35" s="87">
        <f>SUMIFS(JB_27U,JB_B,1,JB_W,"Offshore Patrol Cutter",JB_S,"",JB_27U,"&lt;&gt;")+SUMIFS(JB_27S,JB_B,1,JB_W,"Offshore Patrol Cutter",JB_S,"",JB_27U,"")+SUMIFS(JB_27U,JB_B,1,JB_W,"Offshore Patrol Cutter",JB_S,"[PARENT]",JB_27U,"&lt;&gt;")+SUMIFS(JB_27S,JB_B,1,JB_W,"Offshore Patrol Cutter",JB_S,"[PARENT]",JB_27U,"")</f>
        <v/>
      </c>
      <c r="D35" s="93">
        <f>IFERROR(C35/C$39,0)</f>
        <v/>
      </c>
    </row>
    <row r="36" ht="10" customHeight="1">
      <c r="A36" s="86" t="inlineStr">
        <is>
          <t>Coastal Buoy Tenders</t>
        </is>
      </c>
      <c r="B36" s="86" t="inlineStr">
        <is>
          <t>USCG</t>
        </is>
      </c>
      <c r="C36" s="87">
        <f>SUMIFS(JB_27U,JB_B,1,JB_W,"Coastal Buoy Tenders",JB_S,"",JB_27U,"&lt;&gt;")+SUMIFS(JB_27S,JB_B,1,JB_W,"Coastal Buoy Tenders",JB_S,"",JB_27U,"")+SUMIFS(JB_27U,JB_B,1,JB_W,"Coastal Buoy Tenders",JB_S,"[PARENT]",JB_27U,"&lt;&gt;")+SUMIFS(JB_27S,JB_B,1,JB_W,"Coastal Buoy Tenders",JB_S,"[PARENT]",JB_27U,"")</f>
        <v/>
      </c>
      <c r="D36" s="93">
        <f>IFERROR(C36/C$39,0)</f>
        <v/>
      </c>
    </row>
    <row r="37" ht="10" customHeight="1">
      <c r="A37" s="86" t="inlineStr">
        <is>
          <t>Icebreakers, Great Lakes</t>
        </is>
      </c>
      <c r="B37" s="86" t="inlineStr">
        <is>
          <t>USCG</t>
        </is>
      </c>
      <c r="C37" s="87">
        <f>SUMIFS(JB_27U,JB_B,1,JB_W,"Icebreakers, Great Lakes",JB_S,"",JB_27U,"&lt;&gt;")+SUMIFS(JB_27S,JB_B,1,JB_W,"Icebreakers, Great Lakes",JB_S,"",JB_27U,"")+SUMIFS(JB_27U,JB_B,1,JB_W,"Icebreakers, Great Lakes",JB_S,"[PARENT]",JB_27U,"&lt;&gt;")+SUMIFS(JB_27S,JB_B,1,JB_W,"Icebreakers, Great Lakes",JB_S,"[PARENT]",JB_27U,"")</f>
        <v/>
      </c>
      <c r="D37" s="93">
        <f>IFERROR(C37/C$39,0)</f>
        <v/>
      </c>
    </row>
    <row r="38" ht="10" customHeight="1">
      <c r="A38" s="86" t="inlineStr">
        <is>
          <t>National Security Cutters</t>
        </is>
      </c>
      <c r="B38" s="86" t="inlineStr">
        <is>
          <t>USCG</t>
        </is>
      </c>
      <c r="C38" s="87">
        <f>SUMIFS(JB_27U,JB_B,1,JB_W,"National Security Cutters",JB_S,"",JB_27U,"&lt;&gt;")+SUMIFS(JB_27S,JB_B,1,JB_W,"National Security Cutters",JB_S,"",JB_27U,"")+SUMIFS(JB_27U,JB_B,1,JB_W,"National Security Cutters",JB_S,"[PARENT]",JB_27U,"&lt;&gt;")+SUMIFS(JB_27S,JB_B,1,JB_W,"National Security Cutters",JB_S,"[PARENT]",JB_27U,"")</f>
        <v/>
      </c>
      <c r="D38" s="93">
        <f>IFERROR(C38/C$39,0)</f>
        <v/>
      </c>
    </row>
    <row r="39" ht="10" customHeight="1">
      <c r="A39" s="88" t="inlineStr">
        <is>
          <t>Newbuild SAM</t>
        </is>
      </c>
      <c r="B39" s="88" t="inlineStr"/>
      <c r="C39" s="89">
        <f>SUM(C14:C38)</f>
        <v/>
      </c>
      <c r="D39" s="94" t="n">
        <v>1</v>
      </c>
    </row>
    <row r="40" ht="10" customHeight="1"/>
    <row r="41" ht="10" customHeight="1"/>
    <row r="42" ht="10" customHeight="1">
      <c r="A42" s="83" t="inlineStr">
        <is>
          <t>(C) Newbuild SAM — DD&amp;C vs AP/LLTM by Vessel Type (Mekko)</t>
        </is>
      </c>
      <c r="B42" s="84" t="n"/>
      <c r="C42" s="84" t="n"/>
      <c r="D42" s="84" t="n"/>
      <c r="E42" s="84" t="n"/>
      <c r="F42" s="84" t="n"/>
      <c r="G42" s="84" t="n"/>
      <c r="H42" s="84" t="n"/>
      <c r="I42" s="84" t="n"/>
      <c r="J42" s="84" t="n"/>
      <c r="K42" s="84" t="n"/>
    </row>
    <row r="43" ht="10" customHeight="1">
      <c r="A43" s="95" t="n"/>
      <c r="B43" s="96" t="inlineStr">
        <is>
          <t>USN</t>
        </is>
      </c>
      <c r="C43" s="95" t="n"/>
      <c r="D43" s="95" t="n"/>
      <c r="E43" s="95" t="n"/>
      <c r="F43" s="95" t="n"/>
      <c r="G43" s="95" t="n"/>
      <c r="H43" s="95" t="n"/>
      <c r="I43" s="95" t="n"/>
      <c r="J43" s="95" t="n"/>
      <c r="K43" s="97" t="n"/>
    </row>
    <row r="44" ht="10" customHeight="1">
      <c r="A44" s="85" t="inlineStr">
        <is>
          <t>Sub-Category</t>
        </is>
      </c>
      <c r="B44" s="98" t="inlineStr">
        <is>
          <t>Amphibious Warfare Ships</t>
        </is>
      </c>
      <c r="C44" s="85" t="inlineStr">
        <is>
          <t>Surface Combatants</t>
        </is>
      </c>
      <c r="D44" s="85" t="inlineStr">
        <is>
          <t>Material Support Ships</t>
        </is>
      </c>
      <c r="E44" s="85" t="inlineStr">
        <is>
          <t>Combat Logistics Ships</t>
        </is>
      </c>
      <c r="F44" s="85" t="inlineStr">
        <is>
          <t>Expeditionary &amp; Seabasing Ships</t>
        </is>
      </c>
      <c r="G44" s="85" t="inlineStr">
        <is>
          <t>Surveillance Ships</t>
        </is>
      </c>
      <c r="H44" s="85" t="inlineStr">
        <is>
          <t>Hospital Ship</t>
        </is>
      </c>
      <c r="I44" s="85" t="inlineStr">
        <is>
          <t>Cargo &amp; Vehicle Cargo Ships</t>
        </is>
      </c>
      <c r="J44" s="85" t="inlineStr">
        <is>
          <t>Unmanned Surface Vehicles</t>
        </is>
      </c>
      <c r="K44" s="98" t="inlineStr">
        <is>
          <t>Total</t>
        </is>
      </c>
    </row>
    <row r="45" ht="10" customHeight="1">
      <c r="A45" s="86" t="inlineStr">
        <is>
          <t>Full Ship DD&amp;C</t>
        </is>
      </c>
      <c r="B45" s="99">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3">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3">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3">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3">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3">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3">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3">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3">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9">
        <f>IFERROR(1-K46,0)</f>
        <v/>
      </c>
    </row>
    <row r="46" ht="10" customHeight="1">
      <c r="A46" s="86" t="inlineStr">
        <is>
          <t>Advance Procurement / LLTM</t>
        </is>
      </c>
      <c r="B46" s="99">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3">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3">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3">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3">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3">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3">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3">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3">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9">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8" t="inlineStr">
        <is>
          <t>Total ($K)</t>
        </is>
      </c>
      <c r="B47" s="100">
        <f>SUMIFS(JB_27U,JB_B,1,JB_W,"Amphibious Warfare Ships",JB_S,"",JB_27U,"&lt;&gt;")+SUMIFS(JB_27S,JB_B,1,JB_W,"Amphibious Warfare Ships",JB_S,"",JB_27U,"")+SUMIFS(JB_27U,JB_B,1,JB_W,"Amphibious Warfare Ships",JB_S,"[PARENT]",JB_27U,"&lt;&gt;")+SUMIFS(JB_27S,JB_B,1,JB_W,"Amphibious Warfare Ships",JB_S,"[PARENT]",JB_27U,"")</f>
        <v/>
      </c>
      <c r="C47" s="89">
        <f>SUMIFS(JB_27U,JB_B,1,JB_W,"Surface Combatants",JB_S,"",JB_27U,"&lt;&gt;")+SUMIFS(JB_27S,JB_B,1,JB_W,"Surface Combatants",JB_S,"",JB_27U,"")+SUMIFS(JB_27U,JB_B,1,JB_W,"Surface Combatants",JB_S,"[PARENT]",JB_27U,"&lt;&gt;")+SUMIFS(JB_27S,JB_B,1,JB_W,"Surface Combatants",JB_S,"[PARENT]",JB_27U,"")</f>
        <v/>
      </c>
      <c r="D47" s="89">
        <f>SUMIFS(JB_27U,JB_B,1,JB_W,"Material Support Ships",JB_S,"",JB_27U,"&lt;&gt;")+SUMIFS(JB_27S,JB_B,1,JB_W,"Material Support Ships",JB_S,"",JB_27U,"")+SUMIFS(JB_27U,JB_B,1,JB_W,"Material Support Ships",JB_S,"[PARENT]",JB_27U,"&lt;&gt;")+SUMIFS(JB_27S,JB_B,1,JB_W,"Material Support Ships",JB_S,"[PARENT]",JB_27U,"")</f>
        <v/>
      </c>
      <c r="E47" s="89">
        <f>SUMIFS(JB_27U,JB_B,1,JB_W,"Combat Logistics Ships",JB_S,"",JB_27U,"&lt;&gt;")+SUMIFS(JB_27S,JB_B,1,JB_W,"Combat Logistics Ships",JB_S,"",JB_27U,"")+SUMIFS(JB_27U,JB_B,1,JB_W,"Combat Logistics Ships",JB_S,"[PARENT]",JB_27U,"&lt;&gt;")+SUMIFS(JB_27S,JB_B,1,JB_W,"Combat Logistics Ships",JB_S,"[PARENT]",JB_27U,"")</f>
        <v/>
      </c>
      <c r="F47" s="8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9">
        <f>SUMIFS(JB_27U,JB_B,1,JB_W,"Surveillance Ships",JB_S,"",JB_27U,"&lt;&gt;")+SUMIFS(JB_27S,JB_B,1,JB_W,"Surveillance Ships",JB_S,"",JB_27U,"")+SUMIFS(JB_27U,JB_B,1,JB_W,"Surveillance Ships",JB_S,"[PARENT]",JB_27U,"&lt;&gt;")+SUMIFS(JB_27S,JB_B,1,JB_W,"Surveillance Ships",JB_S,"[PARENT]",JB_27U,"")</f>
        <v/>
      </c>
      <c r="H47" s="89">
        <f>SUMIFS(JB_27U,JB_B,1,JB_W,"Hospital Ship",JB_S,"",JB_27U,"&lt;&gt;")+SUMIFS(JB_27S,JB_B,1,JB_W,"Hospital Ship",JB_S,"",JB_27U,"")+SUMIFS(JB_27U,JB_B,1,JB_W,"Hospital Ship",JB_S,"[PARENT]",JB_27U,"&lt;&gt;")+SUMIFS(JB_27S,JB_B,1,JB_W,"Hospital Ship",JB_S,"[PARENT]",JB_27U,"")</f>
        <v/>
      </c>
      <c r="I47" s="89">
        <f>SUMIFS(JB_27U,JB_B,1,JB_W,"Cargo &amp; Vehicle Cargo Ships",JB_S,"",JB_27U,"&lt;&gt;")+SUMIFS(JB_27S,JB_B,1,JB_W,"Cargo &amp; Vehicle Cargo Ships",JB_S,"",JB_27U,"")+SUMIFS(JB_27U,JB_B,1,JB_W,"Cargo &amp; Vehicle Cargo Ships",JB_S,"[PARENT]",JB_27U,"&lt;&gt;")+SUMIFS(JB_27S,JB_B,1,JB_W,"Cargo &amp; Vehicle Cargo Ships",JB_S,"[PARENT]",JB_27U,"")</f>
        <v/>
      </c>
      <c r="J47" s="89">
        <f>SUMIFS(JB_27U,JB_B,1,JB_W,"Unmanned Surface Vehicles",JB_S,"",JB_27U,"&lt;&gt;")+SUMIFS(JB_27S,JB_B,1,JB_W,"Unmanned Surface Vehicles",JB_S,"",JB_27U,"")+SUMIFS(JB_27U,JB_B,1,JB_W,"Unmanned Surface Vehicles",JB_S,"[PARENT]",JB_27U,"&lt;&gt;")+SUMIFS(JB_27S,JB_B,1,JB_W,"Unmanned Surface Vehicles",JB_S,"[PARENT]",JB_27U,"")</f>
        <v/>
      </c>
      <c r="K47" s="100">
        <f>SUM(B47:J47)</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80" t="inlineStr">
        <is>
          <t>MRO TAM — FY2027 ($K)</t>
        </is>
      </c>
      <c r="B1" s="81" t="n"/>
      <c r="C1" s="81" t="n"/>
      <c r="D1" s="81" t="n"/>
      <c r="E1" s="81" t="n"/>
      <c r="F1" s="81" t="n"/>
      <c r="G1" s="81" t="n"/>
      <c r="H1" s="81" t="n"/>
      <c r="I1" s="81" t="n"/>
      <c r="J1" s="81" t="n"/>
    </row>
    <row r="2" ht="10" customHeight="1">
      <c r="A2" s="82" t="inlineStr">
        <is>
          <t>MRO &amp; sustainment scoped to Combatant Ships, Auxiliary Ships, USCG Cutters &amp; Unmanned Platforms</t>
        </is>
      </c>
    </row>
    <row r="3" ht="10" customHeight="1"/>
    <row r="4" ht="10" customHeight="1">
      <c r="A4" s="83" t="inlineStr">
        <is>
          <t>(A) Bridge: Total MRO Funding → MRO TAM</t>
        </is>
      </c>
      <c r="B4" s="84" t="n"/>
    </row>
    <row r="5" ht="10" customHeight="1">
      <c r="A5" s="86" t="inlineStr">
        <is>
          <t>Total MRO Funding (Buckets 2–7)</t>
        </is>
      </c>
      <c r="B5" s="87">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6" t="inlineStr">
        <is>
          <t xml:space="preserve">  Less: Unattributed (fleet-wide MRO items)</t>
        </is>
      </c>
      <c r="B6" s="87">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6" t="inlineStr">
        <is>
          <t xml:space="preserve">  Less: Combatant Crafts</t>
        </is>
      </c>
      <c r="B7" s="87">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6" t="inlineStr">
        <is>
          <t xml:space="preserve">  Less: Support Crafts</t>
        </is>
      </c>
      <c r="B8" s="87">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8" t="inlineStr">
        <is>
          <t>MRO TAM</t>
        </is>
      </c>
      <c r="B9" s="89">
        <f>B18</f>
        <v/>
      </c>
    </row>
    <row r="10" ht="10" customHeight="1"/>
    <row r="11" ht="10" customHeight="1"/>
    <row r="12" ht="10" customHeight="1">
      <c r="A12" s="83" t="inlineStr">
        <is>
          <t>(B) MRO TAM by Work Type</t>
        </is>
      </c>
      <c r="B12" s="84" t="n"/>
      <c r="C12" s="84" t="n"/>
    </row>
    <row r="13" ht="10" customHeight="1">
      <c r="A13" s="85" t="inlineStr">
        <is>
          <t>Work Type</t>
        </is>
      </c>
      <c r="B13" s="85" t="inlineStr">
        <is>
          <t>FY2027 ($K)</t>
        </is>
      </c>
      <c r="C13" s="85" t="inlineStr">
        <is>
          <t>% of TAM</t>
        </is>
      </c>
    </row>
    <row r="14" ht="10" customHeight="1">
      <c r="A14" s="86" t="inlineStr">
        <is>
          <t>Modernization</t>
        </is>
      </c>
      <c r="B14" s="87">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3">
        <f>IFERROR(B14/B$18,0)</f>
        <v/>
      </c>
    </row>
    <row r="15" ht="10" customHeight="1">
      <c r="A15" s="86" t="inlineStr">
        <is>
          <t>Major Life-Cycle Events / RCOH</t>
        </is>
      </c>
      <c r="B15" s="87">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3">
        <f>IFERROR(B15/B$18,0)</f>
        <v/>
      </c>
    </row>
    <row r="16" ht="10" customHeight="1">
      <c r="A16" s="86" t="inlineStr">
        <is>
          <t>Sustainment Engineering</t>
        </is>
      </c>
      <c r="B16" s="87">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3">
        <f>IFERROR(B16/B$18,0)</f>
        <v/>
      </c>
    </row>
    <row r="17" ht="10" customHeight="1">
      <c r="A17" s="86" t="inlineStr">
        <is>
          <t>Availability Support</t>
        </is>
      </c>
      <c r="B17" s="87">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3">
        <f>IFERROR(B17/B$18,0)</f>
        <v/>
      </c>
    </row>
    <row r="18" ht="10" customHeight="1">
      <c r="A18" s="88" t="inlineStr">
        <is>
          <t>MRO TAM</t>
        </is>
      </c>
      <c r="B18" s="89">
        <f>SUM(B14:B17)</f>
        <v/>
      </c>
      <c r="C18" s="94" t="n">
        <v>1</v>
      </c>
    </row>
    <row r="19" ht="10" customHeight="1"/>
    <row r="20" ht="10" customHeight="1"/>
    <row r="21" ht="10" customHeight="1">
      <c r="A21" s="83" t="inlineStr">
        <is>
          <t>(C) MRO TAM by Vessel Type</t>
        </is>
      </c>
      <c r="B21" s="84" t="n"/>
      <c r="C21" s="84" t="n"/>
      <c r="D21" s="84" t="n"/>
    </row>
    <row r="22" ht="10" customHeight="1">
      <c r="A22" s="85" t="inlineStr">
        <is>
          <t>Vessel Type</t>
        </is>
      </c>
      <c r="B22" s="85" t="inlineStr">
        <is>
          <t>Service</t>
        </is>
      </c>
      <c r="C22" s="85" t="inlineStr">
        <is>
          <t>FY2027 ($K)</t>
        </is>
      </c>
      <c r="D22" s="85" t="inlineStr">
        <is>
          <t>% of TAM</t>
        </is>
      </c>
    </row>
    <row r="23" ht="10" customHeight="1">
      <c r="A23" s="86" t="inlineStr">
        <is>
          <t>Submarines</t>
        </is>
      </c>
      <c r="B23" s="86" t="inlineStr">
        <is>
          <t>USN</t>
        </is>
      </c>
      <c r="C23"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3">
        <f>IFERROR(C23/C$51,0)</f>
        <v/>
      </c>
    </row>
    <row r="24" ht="10" customHeight="1">
      <c r="A24" s="86" t="inlineStr">
        <is>
          <t>Surface Combatants</t>
        </is>
      </c>
      <c r="B24" s="86" t="inlineStr">
        <is>
          <t>USN</t>
        </is>
      </c>
      <c r="C24"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3">
        <f>IFERROR(C24/C$51,0)</f>
        <v/>
      </c>
    </row>
    <row r="25" ht="10" customHeight="1">
      <c r="A25" s="86" t="inlineStr">
        <is>
          <t>Aircraft Carriers</t>
        </is>
      </c>
      <c r="B25" s="86" t="inlineStr">
        <is>
          <t>USN</t>
        </is>
      </c>
      <c r="C25"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3">
        <f>IFERROR(C25/C$51,0)</f>
        <v/>
      </c>
    </row>
    <row r="26" ht="10" customHeight="1">
      <c r="A26" s="86" t="inlineStr">
        <is>
          <t>Amphibious Warfare Ships</t>
        </is>
      </c>
      <c r="B26" s="86" t="inlineStr">
        <is>
          <t>USN</t>
        </is>
      </c>
      <c r="C26"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3">
        <f>IFERROR(C26/C$51,0)</f>
        <v/>
      </c>
    </row>
    <row r="27" ht="10" customHeight="1">
      <c r="A27" s="86" t="inlineStr">
        <is>
          <t>Surveillance Ships</t>
        </is>
      </c>
      <c r="B27" s="86" t="inlineStr">
        <is>
          <t>USN</t>
        </is>
      </c>
      <c r="C27"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3">
        <f>IFERROR(C27/C$51,0)</f>
        <v/>
      </c>
    </row>
    <row r="28" ht="10" customHeight="1">
      <c r="A28" s="86" t="inlineStr">
        <is>
          <t>Expeditionary &amp; Seabasing Ships</t>
        </is>
      </c>
      <c r="B28" s="86" t="inlineStr">
        <is>
          <t>USN</t>
        </is>
      </c>
      <c r="C28"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3">
        <f>IFERROR(C28/C$51,0)</f>
        <v/>
      </c>
    </row>
    <row r="29" ht="10" customHeight="1">
      <c r="A29" s="86" t="inlineStr">
        <is>
          <t>Command Ships</t>
        </is>
      </c>
      <c r="B29" s="86" t="inlineStr">
        <is>
          <t>USN</t>
        </is>
      </c>
      <c r="C29"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3">
        <f>IFERROR(C29/C$51,0)</f>
        <v/>
      </c>
    </row>
    <row r="30" ht="10" customHeight="1">
      <c r="A30" s="86" t="inlineStr">
        <is>
          <t>Research, Survey &amp; Instrumentation Ships</t>
        </is>
      </c>
      <c r="B30" s="86" t="inlineStr">
        <is>
          <t>MSC</t>
        </is>
      </c>
      <c r="C30" s="8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0" s="93">
        <f>IFERROR(C30/C$51,0)</f>
        <v/>
      </c>
    </row>
    <row r="31" ht="10" customHeight="1">
      <c r="A31" s="86" t="inlineStr">
        <is>
          <t>Aviation Logistics Support Ship</t>
        </is>
      </c>
      <c r="B31" s="86" t="inlineStr">
        <is>
          <t>USN</t>
        </is>
      </c>
      <c r="C31" s="87">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31" s="93">
        <f>IFERROR(C31/C$51,0)</f>
        <v/>
      </c>
    </row>
    <row r="32" ht="10" customHeight="1">
      <c r="A32" s="86" t="inlineStr">
        <is>
          <t>Crane Ship</t>
        </is>
      </c>
      <c r="B32" s="86" t="inlineStr">
        <is>
          <t>USN</t>
        </is>
      </c>
      <c r="C32" s="87">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2" s="93">
        <f>IFERROR(C32/C$51,0)</f>
        <v/>
      </c>
    </row>
    <row r="33" ht="10" customHeight="1">
      <c r="A33" s="86" t="inlineStr">
        <is>
          <t>Unmanned Surface Vehicles</t>
        </is>
      </c>
      <c r="B33" s="86" t="inlineStr">
        <is>
          <t>USN</t>
        </is>
      </c>
      <c r="C33" s="87">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3" s="93">
        <f>IFERROR(C33/C$51,0)</f>
        <v/>
      </c>
    </row>
    <row r="34" ht="10" customHeight="1">
      <c r="A34" s="86" t="inlineStr">
        <is>
          <t>Cargo &amp; Vehicle Cargo Ships</t>
        </is>
      </c>
      <c r="B34" s="86" t="inlineStr">
        <is>
          <t>USN</t>
        </is>
      </c>
      <c r="C34" s="87">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4" s="93">
        <f>IFERROR(C34/C$51,0)</f>
        <v/>
      </c>
    </row>
    <row r="35" ht="10" customHeight="1">
      <c r="A35" s="86" t="inlineStr">
        <is>
          <t>Combat Logistics Ships</t>
        </is>
      </c>
      <c r="B35" s="86" t="inlineStr">
        <is>
          <t>MSC</t>
        </is>
      </c>
      <c r="C35" s="87">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5" s="93">
        <f>IFERROR(C35/C$51,0)</f>
        <v/>
      </c>
    </row>
    <row r="36" ht="10" customHeight="1">
      <c r="A36" s="86" t="inlineStr">
        <is>
          <t>Submarine Escort Ship</t>
        </is>
      </c>
      <c r="B36" s="86" t="inlineStr">
        <is>
          <t>USN</t>
        </is>
      </c>
      <c r="C36" s="87">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36" s="93">
        <f>IFERROR(C36/C$51,0)</f>
        <v/>
      </c>
    </row>
    <row r="37" ht="10" customHeight="1">
      <c r="A37" s="86" t="inlineStr">
        <is>
          <t>Mine Warfare</t>
        </is>
      </c>
      <c r="B37" s="86" t="inlineStr">
        <is>
          <t>USN</t>
        </is>
      </c>
      <c r="C37" s="87">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7" s="93">
        <f>IFERROR(C37/C$51,0)</f>
        <v/>
      </c>
    </row>
    <row r="38" ht="10" customHeight="1">
      <c r="A38" s="86" t="inlineStr">
        <is>
          <t>Unmanned Undersea Vehicles</t>
        </is>
      </c>
      <c r="B38" s="86" t="inlineStr">
        <is>
          <t>USN</t>
        </is>
      </c>
      <c r="C38" s="8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8" s="93">
        <f>IFERROR(C38/C$51,0)</f>
        <v/>
      </c>
    </row>
    <row r="39" ht="10" customHeight="1">
      <c r="A39" s="86" t="inlineStr">
        <is>
          <t>Material Support Ships</t>
        </is>
      </c>
      <c r="B39" s="86" t="inlineStr">
        <is>
          <t>USN</t>
        </is>
      </c>
      <c r="C39" s="87">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39" s="93">
        <f>IFERROR(C39/C$51,0)</f>
        <v/>
      </c>
    </row>
    <row r="40" ht="10" customHeight="1">
      <c r="A40" s="86" t="inlineStr">
        <is>
          <t>General Auxiliary</t>
        </is>
      </c>
      <c r="B40" s="86" t="inlineStr">
        <is>
          <t>USN</t>
        </is>
      </c>
      <c r="C40" s="87">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40" s="93">
        <f>IFERROR(C40/C$51,0)</f>
        <v/>
      </c>
    </row>
    <row r="41" ht="10" customHeight="1">
      <c r="A41" s="86" t="inlineStr">
        <is>
          <t>High Speed Transport</t>
        </is>
      </c>
      <c r="B41" s="86" t="inlineStr">
        <is>
          <t>USN</t>
        </is>
      </c>
      <c r="C41" s="87">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41" s="93">
        <f>IFERROR(C41/C$51,0)</f>
        <v/>
      </c>
    </row>
    <row r="42" ht="10" customHeight="1">
      <c r="A42" s="86" t="inlineStr">
        <is>
          <t>Hospital Ship</t>
        </is>
      </c>
      <c r="B42" s="86" t="inlineStr">
        <is>
          <t>MSC</t>
        </is>
      </c>
      <c r="C42" s="87">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42" s="93">
        <f>IFERROR(C42/C$51,0)</f>
        <v/>
      </c>
    </row>
    <row r="43" ht="10" customHeight="1">
      <c r="A43" s="86" t="inlineStr">
        <is>
          <t>Salvage Ships &amp; Fleet Ocean Tugs</t>
        </is>
      </c>
      <c r="B43" s="86" t="inlineStr">
        <is>
          <t>MSC</t>
        </is>
      </c>
      <c r="C43" s="8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43" s="93">
        <f>IFERROR(C43/C$51,0)</f>
        <v/>
      </c>
    </row>
    <row r="44" ht="10" customHeight="1">
      <c r="A44" s="86" t="inlineStr">
        <is>
          <t>Waterways Commerce Cutters</t>
        </is>
      </c>
      <c r="B44" s="86" t="inlineStr">
        <is>
          <t>USCG</t>
        </is>
      </c>
      <c r="C44" s="87">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4" s="93">
        <f>IFERROR(C44/C$51,0)</f>
        <v/>
      </c>
    </row>
    <row r="45" ht="10" customHeight="1">
      <c r="A45" s="86" t="inlineStr">
        <is>
          <t>Coastal Buoy Tenders</t>
        </is>
      </c>
      <c r="B45" s="86" t="inlineStr">
        <is>
          <t>USCG</t>
        </is>
      </c>
      <c r="C45" s="87">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45" s="93">
        <f>IFERROR(C45/C$51,0)</f>
        <v/>
      </c>
    </row>
    <row r="46" ht="10" customHeight="1">
      <c r="A46" s="86" t="inlineStr">
        <is>
          <t>Fast Response Cutters</t>
        </is>
      </c>
      <c r="B46" s="86" t="inlineStr">
        <is>
          <t>USCG</t>
        </is>
      </c>
      <c r="C46" s="87">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6" s="93">
        <f>IFERROR(C46/C$51,0)</f>
        <v/>
      </c>
    </row>
    <row r="47" ht="10" customHeight="1">
      <c r="A47" s="86" t="inlineStr">
        <is>
          <t>Icebreakers, Oceangoing</t>
        </is>
      </c>
      <c r="B47" s="86" t="inlineStr">
        <is>
          <t>USCG</t>
        </is>
      </c>
      <c r="C47" s="87">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7" s="93">
        <f>IFERROR(C47/C$51,0)</f>
        <v/>
      </c>
    </row>
    <row r="48" ht="10" customHeight="1">
      <c r="A48" s="86" t="inlineStr">
        <is>
          <t>Offshore Patrol Cutter</t>
        </is>
      </c>
      <c r="B48" s="86" t="inlineStr">
        <is>
          <t>USCG</t>
        </is>
      </c>
      <c r="C48" s="87">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8" s="93">
        <f>IFERROR(C48/C$51,0)</f>
        <v/>
      </c>
    </row>
    <row r="49" ht="10" customHeight="1">
      <c r="A49" s="86" t="inlineStr">
        <is>
          <t>Icebreakers, Great Lakes</t>
        </is>
      </c>
      <c r="B49" s="86" t="inlineStr">
        <is>
          <t>USCG</t>
        </is>
      </c>
      <c r="C49" s="87">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9" s="93">
        <f>IFERROR(C49/C$51,0)</f>
        <v/>
      </c>
    </row>
    <row r="50" ht="10" customHeight="1">
      <c r="A50" s="86" t="inlineStr">
        <is>
          <t>National Security Cutters</t>
        </is>
      </c>
      <c r="B50" s="86" t="inlineStr">
        <is>
          <t>USCG</t>
        </is>
      </c>
      <c r="C50" s="87">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50" s="93">
        <f>IFERROR(C50/C$51,0)</f>
        <v/>
      </c>
    </row>
    <row r="51" ht="10" customHeight="1">
      <c r="A51" s="88" t="inlineStr">
        <is>
          <t>MRO TAM</t>
        </is>
      </c>
      <c r="B51" s="88" t="inlineStr"/>
      <c r="C51" s="89">
        <f>SUM(C23:C50)</f>
        <v/>
      </c>
      <c r="D51" s="94" t="n">
        <v>1</v>
      </c>
    </row>
    <row r="52" ht="10" customHeight="1"/>
    <row r="53" ht="10" customHeight="1"/>
    <row r="54" ht="10" customHeight="1">
      <c r="A54" s="83" t="inlineStr">
        <is>
          <t>(D) MRO TAM — Work Type by Vessel Type (Mekko)</t>
        </is>
      </c>
      <c r="B54" s="84" t="n"/>
      <c r="C54" s="84" t="n"/>
      <c r="D54" s="84" t="n"/>
      <c r="E54" s="84" t="n"/>
      <c r="F54" s="84" t="n"/>
      <c r="G54" s="84" t="n"/>
      <c r="H54" s="84" t="n"/>
      <c r="I54" s="84" t="n"/>
    </row>
    <row r="55" ht="10" customHeight="1">
      <c r="A55" s="95" t="n"/>
      <c r="B55" s="96" t="inlineStr">
        <is>
          <t>USN</t>
        </is>
      </c>
      <c r="C55" s="95" t="n"/>
      <c r="D55" s="95" t="n"/>
      <c r="E55" s="95" t="n"/>
      <c r="F55" s="95" t="n"/>
      <c r="G55" s="95" t="n"/>
      <c r="H55" s="95" t="n"/>
      <c r="I55" s="97" t="n"/>
    </row>
    <row r="56" ht="10" customHeight="1">
      <c r="A56" s="85" t="inlineStr">
        <is>
          <t>Work Type</t>
        </is>
      </c>
      <c r="B56" s="98" t="inlineStr">
        <is>
          <t>Submarines</t>
        </is>
      </c>
      <c r="C56" s="85" t="inlineStr">
        <is>
          <t>Surface Combatants</t>
        </is>
      </c>
      <c r="D56" s="85" t="inlineStr">
        <is>
          <t>Aircraft Carriers</t>
        </is>
      </c>
      <c r="E56" s="85" t="inlineStr">
        <is>
          <t>Amphibious Warfare Ships</t>
        </is>
      </c>
      <c r="F56" s="85" t="inlineStr">
        <is>
          <t>Surveillance Ships</t>
        </is>
      </c>
      <c r="G56" s="85" t="inlineStr">
        <is>
          <t>Expeditionary &amp; Seabasing Ships</t>
        </is>
      </c>
      <c r="H56" s="85" t="inlineStr">
        <is>
          <t>Command Ships</t>
        </is>
      </c>
      <c r="I56" s="98" t="inlineStr">
        <is>
          <t>Total</t>
        </is>
      </c>
    </row>
    <row r="57" ht="10" customHeight="1">
      <c r="A57" s="86" t="inlineStr">
        <is>
          <t>Modernization</t>
        </is>
      </c>
      <c r="B57" s="99">
        <f>IFERROR((SUMIFS(JB_27U,JB_B,4,JB_W,"Submarines",JB_S,"",JB_27U,"&lt;&gt;")+SUMIFS(JB_27S,JB_B,4,JB_W,"Submarines",JB_S,"",JB_27U,"")+SUMIFS(JB_27U,JB_B,4,JB_W,"Submarines",JB_S,"[PARENT]",JB_27U,"&lt;&gt;")+SUMIFS(JB_27S,JB_B,4,JB_W,"Submarines",JB_S,"[PARENT]",JB_27U,""))/B$61,0)</f>
        <v/>
      </c>
      <c r="C57" s="93">
        <f>IFERROR((SUMIFS(JB_27U,JB_B,4,JB_W,"Surface Combatants",JB_S,"",JB_27U,"&lt;&gt;")+SUMIFS(JB_27S,JB_B,4,JB_W,"Surface Combatants",JB_S,"",JB_27U,"")+SUMIFS(JB_27U,JB_B,4,JB_W,"Surface Combatants",JB_S,"[PARENT]",JB_27U,"&lt;&gt;")+SUMIFS(JB_27S,JB_B,4,JB_W,"Surface Combatants",JB_S,"[PARENT]",JB_27U,""))/C$61,0)</f>
        <v/>
      </c>
      <c r="D57" s="93">
        <f>IFERROR((SUMIFS(JB_27U,JB_B,4,JB_W,"Aircraft Carriers",JB_S,"",JB_27U,"&lt;&gt;")+SUMIFS(JB_27S,JB_B,4,JB_W,"Aircraft Carriers",JB_S,"",JB_27U,"")+SUMIFS(JB_27U,JB_B,4,JB_W,"Aircraft Carriers",JB_S,"[PARENT]",JB_27U,"&lt;&gt;")+SUMIFS(JB_27S,JB_B,4,JB_W,"Aircraft Carriers",JB_S,"[PARENT]",JB_27U,""))/D$61,0)</f>
        <v/>
      </c>
      <c r="E57" s="93">
        <f>IFERROR((SUMIFS(JB_27U,JB_B,4,JB_W,"Amphibious Warfare Ships",JB_S,"",JB_27U,"&lt;&gt;")+SUMIFS(JB_27S,JB_B,4,JB_W,"Amphibious Warfare Ships",JB_S,"",JB_27U,"")+SUMIFS(JB_27U,JB_B,4,JB_W,"Amphibious Warfare Ships",JB_S,"[PARENT]",JB_27U,"&lt;&gt;")+SUMIFS(JB_27S,JB_B,4,JB_W,"Amphibious Warfare Ships",JB_S,"[PARENT]",JB_27U,""))/E$61,0)</f>
        <v/>
      </c>
      <c r="F57" s="93">
        <f>IFERROR((SUMIFS(JB_27U,JB_B,4,JB_W,"Surveillance Ships",JB_S,"",JB_27U,"&lt;&gt;")+SUMIFS(JB_27S,JB_B,4,JB_W,"Surveillance Ships",JB_S,"",JB_27U,"")+SUMIFS(JB_27U,JB_B,4,JB_W,"Surveillance Ships",JB_S,"[PARENT]",JB_27U,"&lt;&gt;")+SUMIFS(JB_27S,JB_B,4,JB_W,"Surveillance Ships",JB_S,"[PARENT]",JB_27U,""))/F$61,0)</f>
        <v/>
      </c>
      <c r="G57" s="93">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3">
        <f>IFERROR((SUMIFS(JB_27U,JB_B,4,JB_W,"Command Ships",JB_S,"",JB_27U,"&lt;&gt;")+SUMIFS(JB_27S,JB_B,4,JB_W,"Command Ships",JB_S,"",JB_27U,"")+SUMIFS(JB_27U,JB_B,4,JB_W,"Command Ships",JB_S,"[PARENT]",JB_27U,"&lt;&gt;")+SUMIFS(JB_27S,JB_B,4,JB_W,"Command Ships",JB_S,"[PARENT]",JB_27U,""))/H$61,0)</f>
        <v/>
      </c>
      <c r="I57" s="99">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6" t="inlineStr">
        <is>
          <t>Major Life-Cycle Events / RCOH</t>
        </is>
      </c>
      <c r="B58" s="99">
        <f>IFERROR((SUMIFS(JB_27U,JB_B,5,JB_W,"Submarines",JB_S,"",JB_27U,"&lt;&gt;")+SUMIFS(JB_27S,JB_B,5,JB_W,"Submarines",JB_S,"",JB_27U,"")+SUMIFS(JB_27U,JB_B,5,JB_W,"Submarines",JB_S,"[PARENT]",JB_27U,"&lt;&gt;")+SUMIFS(JB_27S,JB_B,5,JB_W,"Submarines",JB_S,"[PARENT]",JB_27U,""))/B$61,0)</f>
        <v/>
      </c>
      <c r="C58" s="93">
        <f>IFERROR((SUMIFS(JB_27U,JB_B,5,JB_W,"Surface Combatants",JB_S,"",JB_27U,"&lt;&gt;")+SUMIFS(JB_27S,JB_B,5,JB_W,"Surface Combatants",JB_S,"",JB_27U,"")+SUMIFS(JB_27U,JB_B,5,JB_W,"Surface Combatants",JB_S,"[PARENT]",JB_27U,"&lt;&gt;")+SUMIFS(JB_27S,JB_B,5,JB_W,"Surface Combatants",JB_S,"[PARENT]",JB_27U,""))/C$61,0)</f>
        <v/>
      </c>
      <c r="D58" s="93">
        <f>IFERROR((SUMIFS(JB_27U,JB_B,5,JB_W,"Aircraft Carriers",JB_S,"",JB_27U,"&lt;&gt;")+SUMIFS(JB_27S,JB_B,5,JB_W,"Aircraft Carriers",JB_S,"",JB_27U,"")+SUMIFS(JB_27U,JB_B,5,JB_W,"Aircraft Carriers",JB_S,"[PARENT]",JB_27U,"&lt;&gt;")+SUMIFS(JB_27S,JB_B,5,JB_W,"Aircraft Carriers",JB_S,"[PARENT]",JB_27U,""))/D$61,0)</f>
        <v/>
      </c>
      <c r="E58" s="93">
        <f>IFERROR((SUMIFS(JB_27U,JB_B,5,JB_W,"Amphibious Warfare Ships",JB_S,"",JB_27U,"&lt;&gt;")+SUMIFS(JB_27S,JB_B,5,JB_W,"Amphibious Warfare Ships",JB_S,"",JB_27U,"")+SUMIFS(JB_27U,JB_B,5,JB_W,"Amphibious Warfare Ships",JB_S,"[PARENT]",JB_27U,"&lt;&gt;")+SUMIFS(JB_27S,JB_B,5,JB_W,"Amphibious Warfare Ships",JB_S,"[PARENT]",JB_27U,""))/E$61,0)</f>
        <v/>
      </c>
      <c r="F58" s="93">
        <f>IFERROR((SUMIFS(JB_27U,JB_B,5,JB_W,"Surveillance Ships",JB_S,"",JB_27U,"&lt;&gt;")+SUMIFS(JB_27S,JB_B,5,JB_W,"Surveillance Ships",JB_S,"",JB_27U,"")+SUMIFS(JB_27U,JB_B,5,JB_W,"Surveillance Ships",JB_S,"[PARENT]",JB_27U,"&lt;&gt;")+SUMIFS(JB_27S,JB_B,5,JB_W,"Surveillance Ships",JB_S,"[PARENT]",JB_27U,""))/F$61,0)</f>
        <v/>
      </c>
      <c r="G58" s="93">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3">
        <f>IFERROR((SUMIFS(JB_27U,JB_B,5,JB_W,"Command Ships",JB_S,"",JB_27U,"&lt;&gt;")+SUMIFS(JB_27S,JB_B,5,JB_W,"Command Ships",JB_S,"",JB_27U,"")+SUMIFS(JB_27U,JB_B,5,JB_W,"Command Ships",JB_S,"[PARENT]",JB_27U,"&lt;&gt;")+SUMIFS(JB_27S,JB_B,5,JB_W,"Command Ships",JB_S,"[PARENT]",JB_27U,""))/H$61,0)</f>
        <v/>
      </c>
      <c r="I58" s="99">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6" t="inlineStr">
        <is>
          <t>Sustainment Engineering</t>
        </is>
      </c>
      <c r="B59" s="99">
        <f>IFERROR((SUMIFS(JB_27U,JB_B,6,JB_W,"Submarines",JB_S,"",JB_27U,"&lt;&gt;")+SUMIFS(JB_27S,JB_B,6,JB_W,"Submarines",JB_S,"",JB_27U,"")+SUMIFS(JB_27U,JB_B,6,JB_W,"Submarines",JB_S,"[PARENT]",JB_27U,"&lt;&gt;")+SUMIFS(JB_27S,JB_B,6,JB_W,"Submarines",JB_S,"[PARENT]",JB_27U,""))/B$61,0)</f>
        <v/>
      </c>
      <c r="C59" s="93">
        <f>IFERROR((SUMIFS(JB_27U,JB_B,6,JB_W,"Surface Combatants",JB_S,"",JB_27U,"&lt;&gt;")+SUMIFS(JB_27S,JB_B,6,JB_W,"Surface Combatants",JB_S,"",JB_27U,"")+SUMIFS(JB_27U,JB_B,6,JB_W,"Surface Combatants",JB_S,"[PARENT]",JB_27U,"&lt;&gt;")+SUMIFS(JB_27S,JB_B,6,JB_W,"Surface Combatants",JB_S,"[PARENT]",JB_27U,""))/C$61,0)</f>
        <v/>
      </c>
      <c r="D59" s="93">
        <f>IFERROR((SUMIFS(JB_27U,JB_B,6,JB_W,"Aircraft Carriers",JB_S,"",JB_27U,"&lt;&gt;")+SUMIFS(JB_27S,JB_B,6,JB_W,"Aircraft Carriers",JB_S,"",JB_27U,"")+SUMIFS(JB_27U,JB_B,6,JB_W,"Aircraft Carriers",JB_S,"[PARENT]",JB_27U,"&lt;&gt;")+SUMIFS(JB_27S,JB_B,6,JB_W,"Aircraft Carriers",JB_S,"[PARENT]",JB_27U,""))/D$61,0)</f>
        <v/>
      </c>
      <c r="E59" s="93">
        <f>IFERROR((SUMIFS(JB_27U,JB_B,6,JB_W,"Amphibious Warfare Ships",JB_S,"",JB_27U,"&lt;&gt;")+SUMIFS(JB_27S,JB_B,6,JB_W,"Amphibious Warfare Ships",JB_S,"",JB_27U,"")+SUMIFS(JB_27U,JB_B,6,JB_W,"Amphibious Warfare Ships",JB_S,"[PARENT]",JB_27U,"&lt;&gt;")+SUMIFS(JB_27S,JB_B,6,JB_W,"Amphibious Warfare Ships",JB_S,"[PARENT]",JB_27U,""))/E$61,0)</f>
        <v/>
      </c>
      <c r="F59" s="93">
        <f>IFERROR((SUMIFS(JB_27U,JB_B,6,JB_W,"Surveillance Ships",JB_S,"",JB_27U,"&lt;&gt;")+SUMIFS(JB_27S,JB_B,6,JB_W,"Surveillance Ships",JB_S,"",JB_27U,"")+SUMIFS(JB_27U,JB_B,6,JB_W,"Surveillance Ships",JB_S,"[PARENT]",JB_27U,"&lt;&gt;")+SUMIFS(JB_27S,JB_B,6,JB_W,"Surveillance Ships",JB_S,"[PARENT]",JB_27U,""))/F$61,0)</f>
        <v/>
      </c>
      <c r="G59" s="93">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3">
        <f>IFERROR((SUMIFS(JB_27U,JB_B,6,JB_W,"Command Ships",JB_S,"",JB_27U,"&lt;&gt;")+SUMIFS(JB_27S,JB_B,6,JB_W,"Command Ships",JB_S,"",JB_27U,"")+SUMIFS(JB_27U,JB_B,6,JB_W,"Command Ships",JB_S,"[PARENT]",JB_27U,"&lt;&gt;")+SUMIFS(JB_27S,JB_B,6,JB_W,"Command Ships",JB_S,"[PARENT]",JB_27U,""))/H$61,0)</f>
        <v/>
      </c>
      <c r="I59" s="99">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6" t="inlineStr">
        <is>
          <t>Availability Support</t>
        </is>
      </c>
      <c r="B60" s="99">
        <f>IFERROR((SUMIFS(JB_27U,JB_B,7,JB_W,"Submarines",JB_S,"",JB_27U,"&lt;&gt;")+SUMIFS(JB_27S,JB_B,7,JB_W,"Submarines",JB_S,"",JB_27U,"")+SUMIFS(JB_27U,JB_B,7,JB_W,"Submarines",JB_S,"[PARENT]",JB_27U,"&lt;&gt;")+SUMIFS(JB_27S,JB_B,7,JB_W,"Submarines",JB_S,"[PARENT]",JB_27U,""))/B$61,0)</f>
        <v/>
      </c>
      <c r="C60" s="93">
        <f>IFERROR((SUMIFS(JB_27U,JB_B,7,JB_W,"Surface Combatants",JB_S,"",JB_27U,"&lt;&gt;")+SUMIFS(JB_27S,JB_B,7,JB_W,"Surface Combatants",JB_S,"",JB_27U,"")+SUMIFS(JB_27U,JB_B,7,JB_W,"Surface Combatants",JB_S,"[PARENT]",JB_27U,"&lt;&gt;")+SUMIFS(JB_27S,JB_B,7,JB_W,"Surface Combatants",JB_S,"[PARENT]",JB_27U,""))/C$61,0)</f>
        <v/>
      </c>
      <c r="D60" s="93">
        <f>IFERROR((SUMIFS(JB_27U,JB_B,7,JB_W,"Aircraft Carriers",JB_S,"",JB_27U,"&lt;&gt;")+SUMIFS(JB_27S,JB_B,7,JB_W,"Aircraft Carriers",JB_S,"",JB_27U,"")+SUMIFS(JB_27U,JB_B,7,JB_W,"Aircraft Carriers",JB_S,"[PARENT]",JB_27U,"&lt;&gt;")+SUMIFS(JB_27S,JB_B,7,JB_W,"Aircraft Carriers",JB_S,"[PARENT]",JB_27U,""))/D$61,0)</f>
        <v/>
      </c>
      <c r="E60" s="93">
        <f>IFERROR((SUMIFS(JB_27U,JB_B,7,JB_W,"Amphibious Warfare Ships",JB_S,"",JB_27U,"&lt;&gt;")+SUMIFS(JB_27S,JB_B,7,JB_W,"Amphibious Warfare Ships",JB_S,"",JB_27U,"")+SUMIFS(JB_27U,JB_B,7,JB_W,"Amphibious Warfare Ships",JB_S,"[PARENT]",JB_27U,"&lt;&gt;")+SUMIFS(JB_27S,JB_B,7,JB_W,"Amphibious Warfare Ships",JB_S,"[PARENT]",JB_27U,""))/E$61,0)</f>
        <v/>
      </c>
      <c r="F60" s="93">
        <f>IFERROR((SUMIFS(JB_27U,JB_B,7,JB_W,"Surveillance Ships",JB_S,"",JB_27U,"&lt;&gt;")+SUMIFS(JB_27S,JB_B,7,JB_W,"Surveillance Ships",JB_S,"",JB_27U,"")+SUMIFS(JB_27U,JB_B,7,JB_W,"Surveillance Ships",JB_S,"[PARENT]",JB_27U,"&lt;&gt;")+SUMIFS(JB_27S,JB_B,7,JB_W,"Surveillance Ships",JB_S,"[PARENT]",JB_27U,""))/F$61,0)</f>
        <v/>
      </c>
      <c r="G60" s="93">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3">
        <f>IFERROR((SUMIFS(JB_27U,JB_B,7,JB_W,"Command Ships",JB_S,"",JB_27U,"&lt;&gt;")+SUMIFS(JB_27S,JB_B,7,JB_W,"Command Ships",JB_S,"",JB_27U,"")+SUMIFS(JB_27U,JB_B,7,JB_W,"Command Ships",JB_S,"[PARENT]",JB_27U,"&lt;&gt;")+SUMIFS(JB_27S,JB_B,7,JB_W,"Command Ships",JB_S,"[PARENT]",JB_27U,""))/H$61,0)</f>
        <v/>
      </c>
      <c r="I60" s="99">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8" t="inlineStr">
        <is>
          <t>Total ($K)</t>
        </is>
      </c>
      <c r="B61" s="100">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9">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9">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9">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9">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9">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100">
        <f>SUM(B61:H61)</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80" t="inlineStr">
        <is>
          <t>MRO SAM — FY2027 ($K)</t>
        </is>
      </c>
      <c r="B1" s="81" t="n"/>
      <c r="C1" s="81" t="n"/>
      <c r="D1" s="81" t="n"/>
      <c r="E1" s="81" t="n"/>
      <c r="F1" s="81" t="n"/>
    </row>
    <row r="2" ht="10" customHeight="1">
      <c r="A2" s="82" t="inlineStr">
        <is>
          <t>Outsourceable MRO: SDM + Modernization, excluding non-addressable vessel types</t>
        </is>
      </c>
    </row>
    <row r="3" ht="10" customHeight="1"/>
    <row r="4" ht="10" customHeight="1">
      <c r="A4" s="83" t="inlineStr">
        <is>
          <t>(A) Bridge: MRO TAM → MRO SAM</t>
        </is>
      </c>
      <c r="B4" s="84" t="n"/>
    </row>
    <row r="5" ht="10" customHeight="1">
      <c r="A5" s="86" t="inlineStr">
        <is>
          <t>MRO TAM</t>
        </is>
      </c>
      <c r="B5" s="107">
        <f>'FY27 MRO TAM'!B18</f>
        <v/>
      </c>
    </row>
    <row r="6" ht="10" customHeight="1">
      <c r="A6" s="86" t="inlineStr">
        <is>
          <t xml:space="preserve">  Less: Submarines</t>
        </is>
      </c>
      <c r="B6" s="87">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6" t="inlineStr">
        <is>
          <t xml:space="preserve">  Less: Aircraft Carriers</t>
        </is>
      </c>
      <c r="B7"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6" t="inlineStr">
        <is>
          <t xml:space="preserve">  Less: Unmanned Undersea Vehicles</t>
        </is>
      </c>
      <c r="B8" s="87">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6" t="inlineStr">
        <is>
          <t xml:space="preserve">  Less: Non-outsourceable work types</t>
        </is>
      </c>
      <c r="B9" s="87">
        <f>-(B5+B6+B7+B8-B10)</f>
        <v/>
      </c>
    </row>
    <row r="10" ht="10" customHeight="1">
      <c r="A10" s="88" t="inlineStr">
        <is>
          <t>MRO SAM</t>
        </is>
      </c>
      <c r="B10" s="89">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3" t="inlineStr">
        <is>
          <t>(B) MRO SAM by Vessel Type</t>
        </is>
      </c>
      <c r="B13" s="84" t="n"/>
      <c r="C13" s="84" t="n"/>
      <c r="D13" s="84" t="n"/>
      <c r="E13" s="84" t="n"/>
      <c r="F13" s="84" t="n"/>
    </row>
    <row r="14" ht="10" customHeight="1">
      <c r="A14" s="85" t="inlineStr">
        <is>
          <t>Vessel Type</t>
        </is>
      </c>
      <c r="B14" s="85" t="inlineStr">
        <is>
          <t>Service</t>
        </is>
      </c>
      <c r="C14" s="85" t="inlineStr">
        <is>
          <t>SDM ($K)</t>
        </is>
      </c>
      <c r="D14" s="85" t="inlineStr">
        <is>
          <t>Mod ($K)</t>
        </is>
      </c>
      <c r="E14" s="85" t="inlineStr">
        <is>
          <t>Total ($K)</t>
        </is>
      </c>
      <c r="F14" s="85" t="inlineStr">
        <is>
          <t>% of SAM</t>
        </is>
      </c>
    </row>
    <row r="15" ht="10" customHeight="1">
      <c r="A15" s="86" t="inlineStr">
        <is>
          <t>Surface Combatants</t>
        </is>
      </c>
      <c r="B15" s="86" t="inlineStr">
        <is>
          <t>USN</t>
        </is>
      </c>
      <c r="C15" s="87">
        <f>SUMIFS(JB_27U,JB_B,2,JB_W,"Surface Combatants",JB_S,"",JB_27U,"&lt;&gt;")+SUMIFS(JB_27S,JB_B,2,JB_W,"Surface Combatants",JB_S,"",JB_27U,"")+SUMIFS(JB_27U,JB_B,2,JB_W,"Surface Combatants",JB_S,"[PARENT]",JB_27U,"&lt;&gt;")+SUMIFS(JB_27S,JB_B,2,JB_W,"Surface Combatants",JB_S,"[PARENT]",JB_27U,"")</f>
        <v/>
      </c>
      <c r="D15" s="87">
        <f>SUMIFS(JB_27U,JB_B,4,JB_W,"Surface Combatants",JB_S,"",JB_27U,"&lt;&gt;")+SUMIFS(JB_27S,JB_B,4,JB_W,"Surface Combatants",JB_S,"",JB_27U,"")+SUMIFS(JB_27U,JB_B,4,JB_W,"Surface Combatants",JB_S,"[PARENT]",JB_27U,"&lt;&gt;")+SUMIFS(JB_27S,JB_B,4,JB_W,"Surface Combatants",JB_S,"[PARENT]",JB_27U,"")</f>
        <v/>
      </c>
      <c r="E15" s="87">
        <f>C15+D15</f>
        <v/>
      </c>
      <c r="F15" s="93">
        <f>IFERROR(E15/E$40,0)</f>
        <v/>
      </c>
    </row>
    <row r="16" ht="10" customHeight="1">
      <c r="A16" s="86" t="inlineStr">
        <is>
          <t>Amphibious Warfare Ships</t>
        </is>
      </c>
      <c r="B16" s="86" t="inlineStr">
        <is>
          <t>USN</t>
        </is>
      </c>
      <c r="C16" s="87">
        <f>SUMIFS(JB_27U,JB_B,2,JB_W,"Amphibious Warfare Ships",JB_S,"",JB_27U,"&lt;&gt;")+SUMIFS(JB_27S,JB_B,2,JB_W,"Amphibious Warfare Ships",JB_S,"",JB_27U,"")+SUMIFS(JB_27U,JB_B,2,JB_W,"Amphibious Warfare Ships",JB_S,"[PARENT]",JB_27U,"&lt;&gt;")+SUMIFS(JB_27S,JB_B,2,JB_W,"Amphibious Warfare Ships",JB_S,"[PARENT]",JB_27U,"")</f>
        <v/>
      </c>
      <c r="D16" s="87">
        <f>SUMIFS(JB_27U,JB_B,4,JB_W,"Amphibious Warfare Ships",JB_S,"",JB_27U,"&lt;&gt;")+SUMIFS(JB_27S,JB_B,4,JB_W,"Amphibious Warfare Ships",JB_S,"",JB_27U,"")+SUMIFS(JB_27U,JB_B,4,JB_W,"Amphibious Warfare Ships",JB_S,"[PARENT]",JB_27U,"&lt;&gt;")+SUMIFS(JB_27S,JB_B,4,JB_W,"Amphibious Warfare Ships",JB_S,"[PARENT]",JB_27U,"")</f>
        <v/>
      </c>
      <c r="E16" s="87">
        <f>C16+D16</f>
        <v/>
      </c>
      <c r="F16" s="93">
        <f>IFERROR(E16/E$40,0)</f>
        <v/>
      </c>
    </row>
    <row r="17" ht="10" customHeight="1">
      <c r="A17" s="86" t="inlineStr">
        <is>
          <t>Surveillance Ships</t>
        </is>
      </c>
      <c r="B17" s="86" t="inlineStr">
        <is>
          <t>USN</t>
        </is>
      </c>
      <c r="C17" s="87">
        <f>SUMIFS(JB_27U,JB_B,2,JB_W,"Surveillance Ships",JB_S,"",JB_27U,"&lt;&gt;")+SUMIFS(JB_27S,JB_B,2,JB_W,"Surveillance Ships",JB_S,"",JB_27U,"")+SUMIFS(JB_27U,JB_B,2,JB_W,"Surveillance Ships",JB_S,"[PARENT]",JB_27U,"&lt;&gt;")+SUMIFS(JB_27S,JB_B,2,JB_W,"Surveillance Ships",JB_S,"[PARENT]",JB_27U,"")</f>
        <v/>
      </c>
      <c r="D17" s="87">
        <f>SUMIFS(JB_27U,JB_B,4,JB_W,"Surveillance Ships",JB_S,"",JB_27U,"&lt;&gt;")+SUMIFS(JB_27S,JB_B,4,JB_W,"Surveillance Ships",JB_S,"",JB_27U,"")+SUMIFS(JB_27U,JB_B,4,JB_W,"Surveillance Ships",JB_S,"[PARENT]",JB_27U,"&lt;&gt;")+SUMIFS(JB_27S,JB_B,4,JB_W,"Surveillance Ships",JB_S,"[PARENT]",JB_27U,"")</f>
        <v/>
      </c>
      <c r="E17" s="87">
        <f>C17+D17</f>
        <v/>
      </c>
      <c r="F17" s="93">
        <f>IFERROR(E17/E$40,0)</f>
        <v/>
      </c>
    </row>
    <row r="18" ht="10" customHeight="1">
      <c r="A18" s="86" t="inlineStr">
        <is>
          <t>Mine Warfare</t>
        </is>
      </c>
      <c r="B18" s="86" t="inlineStr">
        <is>
          <t>USN</t>
        </is>
      </c>
      <c r="C18" s="87">
        <f>SUMIFS(JB_27U,JB_B,2,JB_W,"Mine Warfare",JB_S,"",JB_27U,"&lt;&gt;")+SUMIFS(JB_27S,JB_B,2,JB_W,"Mine Warfare",JB_S,"",JB_27U,"")+SUMIFS(JB_27U,JB_B,2,JB_W,"Mine Warfare",JB_S,"[PARENT]",JB_27U,"&lt;&gt;")+SUMIFS(JB_27S,JB_B,2,JB_W,"Mine Warfare",JB_S,"[PARENT]",JB_27U,"")</f>
        <v/>
      </c>
      <c r="D18" s="87">
        <f>SUMIFS(JB_27U,JB_B,4,JB_W,"Mine Warfare",JB_S,"",JB_27U,"&lt;&gt;")+SUMIFS(JB_27S,JB_B,4,JB_W,"Mine Warfare",JB_S,"",JB_27U,"")+SUMIFS(JB_27U,JB_B,4,JB_W,"Mine Warfare",JB_S,"[PARENT]",JB_27U,"&lt;&gt;")+SUMIFS(JB_27S,JB_B,4,JB_W,"Mine Warfare",JB_S,"[PARENT]",JB_27U,"")</f>
        <v/>
      </c>
      <c r="E18" s="87">
        <f>C18+D18</f>
        <v/>
      </c>
      <c r="F18" s="93">
        <f>IFERROR(E18/E$40,0)</f>
        <v/>
      </c>
    </row>
    <row r="19" ht="10" customHeight="1">
      <c r="A19" s="86" t="inlineStr">
        <is>
          <t>Research, Survey &amp; Instrumentation Ships</t>
        </is>
      </c>
      <c r="B19" s="86" t="inlineStr">
        <is>
          <t>MSC</t>
        </is>
      </c>
      <c r="C19" s="87">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19" s="87">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19" s="87">
        <f>C19+D19</f>
        <v/>
      </c>
      <c r="F19" s="93">
        <f>IFERROR(E19/E$40,0)</f>
        <v/>
      </c>
    </row>
    <row r="20" ht="10" customHeight="1">
      <c r="A20" s="86" t="inlineStr">
        <is>
          <t>Aviation Logistics Support Ship</t>
        </is>
      </c>
      <c r="B20" s="86" t="inlineStr">
        <is>
          <t>USN</t>
        </is>
      </c>
      <c r="C20" s="87">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0" s="87">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0" s="87">
        <f>C20+D20</f>
        <v/>
      </c>
      <c r="F20" s="93">
        <f>IFERROR(E20/E$40,0)</f>
        <v/>
      </c>
    </row>
    <row r="21" ht="10" customHeight="1">
      <c r="A21" s="86" t="inlineStr">
        <is>
          <t>Material Support Ships</t>
        </is>
      </c>
      <c r="B21" s="86" t="inlineStr">
        <is>
          <t>USN</t>
        </is>
      </c>
      <c r="C21" s="87">
        <f>SUMIFS(JB_27U,JB_B,2,JB_W,"Material Support Ships",JB_S,"",JB_27U,"&lt;&gt;")+SUMIFS(JB_27S,JB_B,2,JB_W,"Material Support Ships",JB_S,"",JB_27U,"")+SUMIFS(JB_27U,JB_B,2,JB_W,"Material Support Ships",JB_S,"[PARENT]",JB_27U,"&lt;&gt;")+SUMIFS(JB_27S,JB_B,2,JB_W,"Material Support Ships",JB_S,"[PARENT]",JB_27U,"")</f>
        <v/>
      </c>
      <c r="D21" s="87">
        <f>SUMIFS(JB_27U,JB_B,4,JB_W,"Material Support Ships",JB_S,"",JB_27U,"&lt;&gt;")+SUMIFS(JB_27S,JB_B,4,JB_W,"Material Support Ships",JB_S,"",JB_27U,"")+SUMIFS(JB_27U,JB_B,4,JB_W,"Material Support Ships",JB_S,"[PARENT]",JB_27U,"&lt;&gt;")+SUMIFS(JB_27S,JB_B,4,JB_W,"Material Support Ships",JB_S,"[PARENT]",JB_27U,"")</f>
        <v/>
      </c>
      <c r="E21" s="87">
        <f>C21+D21</f>
        <v/>
      </c>
      <c r="F21" s="93">
        <f>IFERROR(E21/E$40,0)</f>
        <v/>
      </c>
    </row>
    <row r="22" ht="10" customHeight="1">
      <c r="A22" s="86" t="inlineStr">
        <is>
          <t>Command Ships</t>
        </is>
      </c>
      <c r="B22" s="86" t="inlineStr">
        <is>
          <t>USN</t>
        </is>
      </c>
      <c r="C22" s="87">
        <f>SUMIFS(JB_27U,JB_B,2,JB_W,"Command Ships",JB_S,"",JB_27U,"&lt;&gt;")+SUMIFS(JB_27S,JB_B,2,JB_W,"Command Ships",JB_S,"",JB_27U,"")+SUMIFS(JB_27U,JB_B,2,JB_W,"Command Ships",JB_S,"[PARENT]",JB_27U,"&lt;&gt;")+SUMIFS(JB_27S,JB_B,2,JB_W,"Command Ships",JB_S,"[PARENT]",JB_27U,"")</f>
        <v/>
      </c>
      <c r="D22" s="87">
        <f>SUMIFS(JB_27U,JB_B,4,JB_W,"Command Ships",JB_S,"",JB_27U,"&lt;&gt;")+SUMIFS(JB_27S,JB_B,4,JB_W,"Command Ships",JB_S,"",JB_27U,"")+SUMIFS(JB_27U,JB_B,4,JB_W,"Command Ships",JB_S,"[PARENT]",JB_27U,"&lt;&gt;")+SUMIFS(JB_27S,JB_B,4,JB_W,"Command Ships",JB_S,"[PARENT]",JB_27U,"")</f>
        <v/>
      </c>
      <c r="E22" s="87">
        <f>C22+D22</f>
        <v/>
      </c>
      <c r="F22" s="93">
        <f>IFERROR(E22/E$40,0)</f>
        <v/>
      </c>
    </row>
    <row r="23" ht="10" customHeight="1">
      <c r="A23" s="86" t="inlineStr">
        <is>
          <t>Crane Ship</t>
        </is>
      </c>
      <c r="B23" s="86" t="inlineStr">
        <is>
          <t>USN</t>
        </is>
      </c>
      <c r="C23" s="87">
        <f>SUMIFS(JB_27U,JB_B,2,JB_W,"Crane Ship",JB_S,"",JB_27U,"&lt;&gt;")+SUMIFS(JB_27S,JB_B,2,JB_W,"Crane Ship",JB_S,"",JB_27U,"")+SUMIFS(JB_27U,JB_B,2,JB_W,"Crane Ship",JB_S,"[PARENT]",JB_27U,"&lt;&gt;")+SUMIFS(JB_27S,JB_B,2,JB_W,"Crane Ship",JB_S,"[PARENT]",JB_27U,"")</f>
        <v/>
      </c>
      <c r="D23" s="87">
        <f>SUMIFS(JB_27U,JB_B,4,JB_W,"Crane Ship",JB_S,"",JB_27U,"&lt;&gt;")+SUMIFS(JB_27S,JB_B,4,JB_W,"Crane Ship",JB_S,"",JB_27U,"")+SUMIFS(JB_27U,JB_B,4,JB_W,"Crane Ship",JB_S,"[PARENT]",JB_27U,"&lt;&gt;")+SUMIFS(JB_27S,JB_B,4,JB_W,"Crane Ship",JB_S,"[PARENT]",JB_27U,"")</f>
        <v/>
      </c>
      <c r="E23" s="87">
        <f>C23+D23</f>
        <v/>
      </c>
      <c r="F23" s="93">
        <f>IFERROR(E23/E$40,0)</f>
        <v/>
      </c>
    </row>
    <row r="24" ht="10" customHeight="1">
      <c r="A24" s="86" t="inlineStr">
        <is>
          <t>Unmanned Surface Vehicles</t>
        </is>
      </c>
      <c r="B24" s="86" t="inlineStr">
        <is>
          <t>USN</t>
        </is>
      </c>
      <c r="C24" s="87">
        <f>SUMIFS(JB_27U,JB_B,2,JB_W,"Unmanned Surface Vehicles",JB_S,"",JB_27U,"&lt;&gt;")+SUMIFS(JB_27S,JB_B,2,JB_W,"Unmanned Surface Vehicles",JB_S,"",JB_27U,"")+SUMIFS(JB_27U,JB_B,2,JB_W,"Unmanned Surface Vehicles",JB_S,"[PARENT]",JB_27U,"&lt;&gt;")+SUMIFS(JB_27S,JB_B,2,JB_W,"Unmanned Surface Vehicles",JB_S,"[PARENT]",JB_27U,"")</f>
        <v/>
      </c>
      <c r="D24" s="87">
        <f>SUMIFS(JB_27U,JB_B,4,JB_W,"Unmanned Surface Vehicles",JB_S,"",JB_27U,"&lt;&gt;")+SUMIFS(JB_27S,JB_B,4,JB_W,"Unmanned Surface Vehicles",JB_S,"",JB_27U,"")+SUMIFS(JB_27U,JB_B,4,JB_W,"Unmanned Surface Vehicles",JB_S,"[PARENT]",JB_27U,"&lt;&gt;")+SUMIFS(JB_27S,JB_B,4,JB_W,"Unmanned Surface Vehicles",JB_S,"[PARENT]",JB_27U,"")</f>
        <v/>
      </c>
      <c r="E24" s="87">
        <f>C24+D24</f>
        <v/>
      </c>
      <c r="F24" s="93">
        <f>IFERROR(E24/E$40,0)</f>
        <v/>
      </c>
    </row>
    <row r="25" ht="10" customHeight="1">
      <c r="A25" s="86" t="inlineStr">
        <is>
          <t>General Auxiliary</t>
        </is>
      </c>
      <c r="B25" s="86" t="inlineStr">
        <is>
          <t>USN</t>
        </is>
      </c>
      <c r="C25" s="87">
        <f>SUMIFS(JB_27U,JB_B,2,JB_W,"General Auxiliary",JB_S,"",JB_27U,"&lt;&gt;")+SUMIFS(JB_27S,JB_B,2,JB_W,"General Auxiliary",JB_S,"",JB_27U,"")+SUMIFS(JB_27U,JB_B,2,JB_W,"General Auxiliary",JB_S,"[PARENT]",JB_27U,"&lt;&gt;")+SUMIFS(JB_27S,JB_B,2,JB_W,"General Auxiliary",JB_S,"[PARENT]",JB_27U,"")</f>
        <v/>
      </c>
      <c r="D25" s="87">
        <f>SUMIFS(JB_27U,JB_B,4,JB_W,"General Auxiliary",JB_S,"",JB_27U,"&lt;&gt;")+SUMIFS(JB_27S,JB_B,4,JB_W,"General Auxiliary",JB_S,"",JB_27U,"")+SUMIFS(JB_27U,JB_B,4,JB_W,"General Auxiliary",JB_S,"[PARENT]",JB_27U,"&lt;&gt;")+SUMIFS(JB_27S,JB_B,4,JB_W,"General Auxiliary",JB_S,"[PARENT]",JB_27U,"")</f>
        <v/>
      </c>
      <c r="E25" s="87">
        <f>C25+D25</f>
        <v/>
      </c>
      <c r="F25" s="93">
        <f>IFERROR(E25/E$40,0)</f>
        <v/>
      </c>
    </row>
    <row r="26" ht="10" customHeight="1">
      <c r="A26" s="86" t="inlineStr">
        <is>
          <t>Cargo &amp; Vehicle Cargo Ships</t>
        </is>
      </c>
      <c r="B26" s="86" t="inlineStr">
        <is>
          <t>USN</t>
        </is>
      </c>
      <c r="C26" s="87">
        <f>SUMIFS(JB_27U,JB_B,2,JB_W,"Cargo &amp; Vehicle Cargo Ships",JB_S,"",JB_27U,"&lt;&gt;")+SUMIFS(JB_27S,JB_B,2,JB_W,"Cargo &amp; Vehicle Cargo Ships",JB_S,"",JB_27U,"")+SUMIFS(JB_27U,JB_B,2,JB_W,"Cargo &amp; Vehicle Cargo Ships",JB_S,"[PARENT]",JB_27U,"&lt;&gt;")+SUMIFS(JB_27S,JB_B,2,JB_W,"Cargo &amp; Vehicle Cargo Ships",JB_S,"[PARENT]",JB_27U,"")</f>
        <v/>
      </c>
      <c r="D26" s="87">
        <f>SUMIFS(JB_27U,JB_B,4,JB_W,"Cargo &amp; Vehicle Cargo Ships",JB_S,"",JB_27U,"&lt;&gt;")+SUMIFS(JB_27S,JB_B,4,JB_W,"Cargo &amp; Vehicle Cargo Ships",JB_S,"",JB_27U,"")+SUMIFS(JB_27U,JB_B,4,JB_W,"Cargo &amp; Vehicle Cargo Ships",JB_S,"[PARENT]",JB_27U,"&lt;&gt;")+SUMIFS(JB_27S,JB_B,4,JB_W,"Cargo &amp; Vehicle Cargo Ships",JB_S,"[PARENT]",JB_27U,"")</f>
        <v/>
      </c>
      <c r="E26" s="87">
        <f>C26+D26</f>
        <v/>
      </c>
      <c r="F26" s="93">
        <f>IFERROR(E26/E$40,0)</f>
        <v/>
      </c>
    </row>
    <row r="27" ht="10" customHeight="1">
      <c r="A27" s="86" t="inlineStr">
        <is>
          <t>Combat Logistics Ships</t>
        </is>
      </c>
      <c r="B27" s="86" t="inlineStr">
        <is>
          <t>MSC</t>
        </is>
      </c>
      <c r="C27" s="87">
        <f>SUMIFS(JB_27U,JB_B,2,JB_W,"Combat Logistics Ships",JB_S,"",JB_27U,"&lt;&gt;")+SUMIFS(JB_27S,JB_B,2,JB_W,"Combat Logistics Ships",JB_S,"",JB_27U,"")+SUMIFS(JB_27U,JB_B,2,JB_W,"Combat Logistics Ships",JB_S,"[PARENT]",JB_27U,"&lt;&gt;")+SUMIFS(JB_27S,JB_B,2,JB_W,"Combat Logistics Ships",JB_S,"[PARENT]",JB_27U,"")</f>
        <v/>
      </c>
      <c r="D27" s="87">
        <f>SUMIFS(JB_27U,JB_B,4,JB_W,"Combat Logistics Ships",JB_S,"",JB_27U,"&lt;&gt;")+SUMIFS(JB_27S,JB_B,4,JB_W,"Combat Logistics Ships",JB_S,"",JB_27U,"")+SUMIFS(JB_27U,JB_B,4,JB_W,"Combat Logistics Ships",JB_S,"[PARENT]",JB_27U,"&lt;&gt;")+SUMIFS(JB_27S,JB_B,4,JB_W,"Combat Logistics Ships",JB_S,"[PARENT]",JB_27U,"")</f>
        <v/>
      </c>
      <c r="E27" s="87">
        <f>C27+D27</f>
        <v/>
      </c>
      <c r="F27" s="93">
        <f>IFERROR(E27/E$40,0)</f>
        <v/>
      </c>
    </row>
    <row r="28" ht="10" customHeight="1">
      <c r="A28" s="86" t="inlineStr">
        <is>
          <t>High Speed Transport</t>
        </is>
      </c>
      <c r="B28" s="86" t="inlineStr">
        <is>
          <t>USN</t>
        </is>
      </c>
      <c r="C28" s="87">
        <f>SUMIFS(JB_27U,JB_B,2,JB_W,"High Speed Transport",JB_S,"",JB_27U,"&lt;&gt;")+SUMIFS(JB_27S,JB_B,2,JB_W,"High Speed Transport",JB_S,"",JB_27U,"")+SUMIFS(JB_27U,JB_B,2,JB_W,"High Speed Transport",JB_S,"[PARENT]",JB_27U,"&lt;&gt;")+SUMIFS(JB_27S,JB_B,2,JB_W,"High Speed Transport",JB_S,"[PARENT]",JB_27U,"")</f>
        <v/>
      </c>
      <c r="D28" s="87">
        <f>SUMIFS(JB_27U,JB_B,4,JB_W,"High Speed Transport",JB_S,"",JB_27U,"&lt;&gt;")+SUMIFS(JB_27S,JB_B,4,JB_W,"High Speed Transport",JB_S,"",JB_27U,"")+SUMIFS(JB_27U,JB_B,4,JB_W,"High Speed Transport",JB_S,"[PARENT]",JB_27U,"&lt;&gt;")+SUMIFS(JB_27S,JB_B,4,JB_W,"High Speed Transport",JB_S,"[PARENT]",JB_27U,"")</f>
        <v/>
      </c>
      <c r="E28" s="87">
        <f>C28+D28</f>
        <v/>
      </c>
      <c r="F28" s="93">
        <f>IFERROR(E28/E$40,0)</f>
        <v/>
      </c>
    </row>
    <row r="29" ht="10" customHeight="1">
      <c r="A29" s="86" t="inlineStr">
        <is>
          <t>Hospital Ship</t>
        </is>
      </c>
      <c r="B29" s="86" t="inlineStr">
        <is>
          <t>MSC</t>
        </is>
      </c>
      <c r="C29" s="87">
        <f>SUMIFS(JB_27U,JB_B,2,JB_W,"Hospital Ship",JB_S,"",JB_27U,"&lt;&gt;")+SUMIFS(JB_27S,JB_B,2,JB_W,"Hospital Ship",JB_S,"",JB_27U,"")+SUMIFS(JB_27U,JB_B,2,JB_W,"Hospital Ship",JB_S,"[PARENT]",JB_27U,"&lt;&gt;")+SUMIFS(JB_27S,JB_B,2,JB_W,"Hospital Ship",JB_S,"[PARENT]",JB_27U,"")</f>
        <v/>
      </c>
      <c r="D29" s="87">
        <f>SUMIFS(JB_27U,JB_B,4,JB_W,"Hospital Ship",JB_S,"",JB_27U,"&lt;&gt;")+SUMIFS(JB_27S,JB_B,4,JB_W,"Hospital Ship",JB_S,"",JB_27U,"")+SUMIFS(JB_27U,JB_B,4,JB_W,"Hospital Ship",JB_S,"[PARENT]",JB_27U,"&lt;&gt;")+SUMIFS(JB_27S,JB_B,4,JB_W,"Hospital Ship",JB_S,"[PARENT]",JB_27U,"")</f>
        <v/>
      </c>
      <c r="E29" s="87">
        <f>C29+D29</f>
        <v/>
      </c>
      <c r="F29" s="93">
        <f>IFERROR(E29/E$40,0)</f>
        <v/>
      </c>
    </row>
    <row r="30" ht="10" customHeight="1">
      <c r="A30" s="86" t="inlineStr">
        <is>
          <t>Submarine Escort Ship</t>
        </is>
      </c>
      <c r="B30" s="86" t="inlineStr">
        <is>
          <t>USN</t>
        </is>
      </c>
      <c r="C30" s="87">
        <f>SUMIFS(JB_27U,JB_B,2,JB_W,"Submarine Escort Ship",JB_S,"",JB_27U,"&lt;&gt;")+SUMIFS(JB_27S,JB_B,2,JB_W,"Submarine Escort Ship",JB_S,"",JB_27U,"")+SUMIFS(JB_27U,JB_B,2,JB_W,"Submarine Escort Ship",JB_S,"[PARENT]",JB_27U,"&lt;&gt;")+SUMIFS(JB_27S,JB_B,2,JB_W,"Submarine Escort Ship",JB_S,"[PARENT]",JB_27U,"")</f>
        <v/>
      </c>
      <c r="D30" s="87">
        <f>SUMIFS(JB_27U,JB_B,4,JB_W,"Submarine Escort Ship",JB_S,"",JB_27U,"&lt;&gt;")+SUMIFS(JB_27S,JB_B,4,JB_W,"Submarine Escort Ship",JB_S,"",JB_27U,"")+SUMIFS(JB_27U,JB_B,4,JB_W,"Submarine Escort Ship",JB_S,"[PARENT]",JB_27U,"&lt;&gt;")+SUMIFS(JB_27S,JB_B,4,JB_W,"Submarine Escort Ship",JB_S,"[PARENT]",JB_27U,"")</f>
        <v/>
      </c>
      <c r="E30" s="87">
        <f>C30+D30</f>
        <v/>
      </c>
      <c r="F30" s="93">
        <f>IFERROR(E30/E$40,0)</f>
        <v/>
      </c>
    </row>
    <row r="31" ht="10" customHeight="1">
      <c r="A31" s="86" t="inlineStr">
        <is>
          <t>Salvage Ships &amp; Fleet Ocean Tugs</t>
        </is>
      </c>
      <c r="B31" s="86" t="inlineStr">
        <is>
          <t>MSC</t>
        </is>
      </c>
      <c r="C31" s="87">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31" s="87">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31" s="87">
        <f>C31+D31</f>
        <v/>
      </c>
      <c r="F31" s="93">
        <f>IFERROR(E31/E$40,0)</f>
        <v/>
      </c>
    </row>
    <row r="32" ht="10" customHeight="1">
      <c r="A32" s="86" t="inlineStr">
        <is>
          <t>Expeditionary &amp; Seabasing Ships</t>
        </is>
      </c>
      <c r="B32" s="86" t="inlineStr">
        <is>
          <t>USN</t>
        </is>
      </c>
      <c r="C32"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2" s="87">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2" s="87">
        <f>C32+D32</f>
        <v/>
      </c>
      <c r="F32" s="93">
        <f>IFERROR(E32/E$40,0)</f>
        <v/>
      </c>
    </row>
    <row r="33" ht="10" customHeight="1">
      <c r="A33" s="86" t="inlineStr">
        <is>
          <t>Waterways Commerce Cutters</t>
        </is>
      </c>
      <c r="B33" s="86" t="inlineStr">
        <is>
          <t>USCG</t>
        </is>
      </c>
      <c r="C33" s="87">
        <f>SUMIFS(JB_27U,JB_B,2,JB_W,"Waterways Commerce Cutters",JB_S,"",JB_27U,"&lt;&gt;")+SUMIFS(JB_27S,JB_B,2,JB_W,"Waterways Commerce Cutters",JB_S,"",JB_27U,"")+SUMIFS(JB_27U,JB_B,2,JB_W,"Waterways Commerce Cutters",JB_S,"[PARENT]",JB_27U,"&lt;&gt;")+SUMIFS(JB_27S,JB_B,2,JB_W,"Waterways Commerce Cutters",JB_S,"[PARENT]",JB_27U,"")</f>
        <v/>
      </c>
      <c r="D33" s="87">
        <f>SUMIFS(JB_27U,JB_B,4,JB_W,"Waterways Commerce Cutters",JB_S,"",JB_27U,"&lt;&gt;")+SUMIFS(JB_27S,JB_B,4,JB_W,"Waterways Commerce Cutters",JB_S,"",JB_27U,"")+SUMIFS(JB_27U,JB_B,4,JB_W,"Waterways Commerce Cutters",JB_S,"[PARENT]",JB_27U,"&lt;&gt;")+SUMIFS(JB_27S,JB_B,4,JB_W,"Waterways Commerce Cutters",JB_S,"[PARENT]",JB_27U,"")</f>
        <v/>
      </c>
      <c r="E33" s="87">
        <f>C33+D33</f>
        <v/>
      </c>
      <c r="F33" s="93">
        <f>IFERROR(E33/E$40,0)</f>
        <v/>
      </c>
    </row>
    <row r="34" ht="10" customHeight="1">
      <c r="A34" s="86" t="inlineStr">
        <is>
          <t>Fast Response Cutters</t>
        </is>
      </c>
      <c r="B34" s="86" t="inlineStr">
        <is>
          <t>USCG</t>
        </is>
      </c>
      <c r="C34" s="87">
        <f>SUMIFS(JB_27U,JB_B,2,JB_W,"Fast Response Cutters",JB_S,"",JB_27U,"&lt;&gt;")+SUMIFS(JB_27S,JB_B,2,JB_W,"Fast Response Cutters",JB_S,"",JB_27U,"")+SUMIFS(JB_27U,JB_B,2,JB_W,"Fast Response Cutters",JB_S,"[PARENT]",JB_27U,"&lt;&gt;")+SUMIFS(JB_27S,JB_B,2,JB_W,"Fast Response Cutters",JB_S,"[PARENT]",JB_27U,"")</f>
        <v/>
      </c>
      <c r="D34" s="87">
        <f>SUMIFS(JB_27U,JB_B,4,JB_W,"Fast Response Cutters",JB_S,"",JB_27U,"&lt;&gt;")+SUMIFS(JB_27S,JB_B,4,JB_W,"Fast Response Cutters",JB_S,"",JB_27U,"")+SUMIFS(JB_27U,JB_B,4,JB_W,"Fast Response Cutters",JB_S,"[PARENT]",JB_27U,"&lt;&gt;")+SUMIFS(JB_27S,JB_B,4,JB_W,"Fast Response Cutters",JB_S,"[PARENT]",JB_27U,"")</f>
        <v/>
      </c>
      <c r="E34" s="87">
        <f>C34+D34</f>
        <v/>
      </c>
      <c r="F34" s="93">
        <f>IFERROR(E34/E$40,0)</f>
        <v/>
      </c>
    </row>
    <row r="35" ht="10" customHeight="1">
      <c r="A35" s="86" t="inlineStr">
        <is>
          <t>Icebreakers, Oceangoing</t>
        </is>
      </c>
      <c r="B35" s="86" t="inlineStr">
        <is>
          <t>USCG</t>
        </is>
      </c>
      <c r="C35" s="87">
        <f>SUMIFS(JB_27U,JB_B,2,JB_W,"Icebreakers, Oceangoing",JB_S,"",JB_27U,"&lt;&gt;")+SUMIFS(JB_27S,JB_B,2,JB_W,"Icebreakers, Oceangoing",JB_S,"",JB_27U,"")+SUMIFS(JB_27U,JB_B,2,JB_W,"Icebreakers, Oceangoing",JB_S,"[PARENT]",JB_27U,"&lt;&gt;")+SUMIFS(JB_27S,JB_B,2,JB_W,"Icebreakers, Oceangoing",JB_S,"[PARENT]",JB_27U,"")</f>
        <v/>
      </c>
      <c r="D35" s="87">
        <f>SUMIFS(JB_27U,JB_B,4,JB_W,"Icebreakers, Oceangoing",JB_S,"",JB_27U,"&lt;&gt;")+SUMIFS(JB_27S,JB_B,4,JB_W,"Icebreakers, Oceangoing",JB_S,"",JB_27U,"")+SUMIFS(JB_27U,JB_B,4,JB_W,"Icebreakers, Oceangoing",JB_S,"[PARENT]",JB_27U,"&lt;&gt;")+SUMIFS(JB_27S,JB_B,4,JB_W,"Icebreakers, Oceangoing",JB_S,"[PARENT]",JB_27U,"")</f>
        <v/>
      </c>
      <c r="E35" s="87">
        <f>C35+D35</f>
        <v/>
      </c>
      <c r="F35" s="93">
        <f>IFERROR(E35/E$40,0)</f>
        <v/>
      </c>
    </row>
    <row r="36" ht="10" customHeight="1">
      <c r="A36" s="86" t="inlineStr">
        <is>
          <t>Offshore Patrol Cutter</t>
        </is>
      </c>
      <c r="B36" s="86" t="inlineStr">
        <is>
          <t>USCG</t>
        </is>
      </c>
      <c r="C36" s="87">
        <f>SUMIFS(JB_27U,JB_B,2,JB_W,"Offshore Patrol Cutter",JB_S,"",JB_27U,"&lt;&gt;")+SUMIFS(JB_27S,JB_B,2,JB_W,"Offshore Patrol Cutter",JB_S,"",JB_27U,"")+SUMIFS(JB_27U,JB_B,2,JB_W,"Offshore Patrol Cutter",JB_S,"[PARENT]",JB_27U,"&lt;&gt;")+SUMIFS(JB_27S,JB_B,2,JB_W,"Offshore Patrol Cutter",JB_S,"[PARENT]",JB_27U,"")</f>
        <v/>
      </c>
      <c r="D36" s="87">
        <f>SUMIFS(JB_27U,JB_B,4,JB_W,"Offshore Patrol Cutter",JB_S,"",JB_27U,"&lt;&gt;")+SUMIFS(JB_27S,JB_B,4,JB_W,"Offshore Patrol Cutter",JB_S,"",JB_27U,"")+SUMIFS(JB_27U,JB_B,4,JB_W,"Offshore Patrol Cutter",JB_S,"[PARENT]",JB_27U,"&lt;&gt;")+SUMIFS(JB_27S,JB_B,4,JB_W,"Offshore Patrol Cutter",JB_S,"[PARENT]",JB_27U,"")</f>
        <v/>
      </c>
      <c r="E36" s="87">
        <f>C36+D36</f>
        <v/>
      </c>
      <c r="F36" s="93">
        <f>IFERROR(E36/E$40,0)</f>
        <v/>
      </c>
    </row>
    <row r="37" ht="10" customHeight="1">
      <c r="A37" s="86" t="inlineStr">
        <is>
          <t>Coastal Buoy Tenders</t>
        </is>
      </c>
      <c r="B37" s="86" t="inlineStr">
        <is>
          <t>USCG</t>
        </is>
      </c>
      <c r="C37" s="87">
        <f>SUMIFS(JB_27U,JB_B,2,JB_W,"Coastal Buoy Tenders",JB_S,"",JB_27U,"&lt;&gt;")+SUMIFS(JB_27S,JB_B,2,JB_W,"Coastal Buoy Tenders",JB_S,"",JB_27U,"")+SUMIFS(JB_27U,JB_B,2,JB_W,"Coastal Buoy Tenders",JB_S,"[PARENT]",JB_27U,"&lt;&gt;")+SUMIFS(JB_27S,JB_B,2,JB_W,"Coastal Buoy Tenders",JB_S,"[PARENT]",JB_27U,"")</f>
        <v/>
      </c>
      <c r="D37" s="87">
        <f>SUMIFS(JB_27U,JB_B,4,JB_W,"Coastal Buoy Tenders",JB_S,"",JB_27U,"&lt;&gt;")+SUMIFS(JB_27S,JB_B,4,JB_W,"Coastal Buoy Tenders",JB_S,"",JB_27U,"")+SUMIFS(JB_27U,JB_B,4,JB_W,"Coastal Buoy Tenders",JB_S,"[PARENT]",JB_27U,"&lt;&gt;")+SUMIFS(JB_27S,JB_B,4,JB_W,"Coastal Buoy Tenders",JB_S,"[PARENT]",JB_27U,"")</f>
        <v/>
      </c>
      <c r="E37" s="87">
        <f>C37+D37</f>
        <v/>
      </c>
      <c r="F37" s="93">
        <f>IFERROR(E37/E$40,0)</f>
        <v/>
      </c>
    </row>
    <row r="38" ht="10" customHeight="1">
      <c r="A38" s="86" t="inlineStr">
        <is>
          <t>Icebreakers, Great Lakes</t>
        </is>
      </c>
      <c r="B38" s="86" t="inlineStr">
        <is>
          <t>USCG</t>
        </is>
      </c>
      <c r="C38" s="87">
        <f>SUMIFS(JB_27U,JB_B,2,JB_W,"Icebreakers, Great Lakes",JB_S,"",JB_27U,"&lt;&gt;")+SUMIFS(JB_27S,JB_B,2,JB_W,"Icebreakers, Great Lakes",JB_S,"",JB_27U,"")+SUMIFS(JB_27U,JB_B,2,JB_W,"Icebreakers, Great Lakes",JB_S,"[PARENT]",JB_27U,"&lt;&gt;")+SUMIFS(JB_27S,JB_B,2,JB_W,"Icebreakers, Great Lakes",JB_S,"[PARENT]",JB_27U,"")</f>
        <v/>
      </c>
      <c r="D38" s="87">
        <f>SUMIFS(JB_27U,JB_B,4,JB_W,"Icebreakers, Great Lakes",JB_S,"",JB_27U,"&lt;&gt;")+SUMIFS(JB_27S,JB_B,4,JB_W,"Icebreakers, Great Lakes",JB_S,"",JB_27U,"")+SUMIFS(JB_27U,JB_B,4,JB_W,"Icebreakers, Great Lakes",JB_S,"[PARENT]",JB_27U,"&lt;&gt;")+SUMIFS(JB_27S,JB_B,4,JB_W,"Icebreakers, Great Lakes",JB_S,"[PARENT]",JB_27U,"")</f>
        <v/>
      </c>
      <c r="E38" s="87">
        <f>C38+D38</f>
        <v/>
      </c>
      <c r="F38" s="93">
        <f>IFERROR(E38/E$40,0)</f>
        <v/>
      </c>
    </row>
    <row r="39" ht="10" customHeight="1">
      <c r="A39" s="86" t="inlineStr">
        <is>
          <t>National Security Cutters</t>
        </is>
      </c>
      <c r="B39" s="86" t="inlineStr">
        <is>
          <t>USCG</t>
        </is>
      </c>
      <c r="C39" s="87">
        <f>SUMIFS(JB_27U,JB_B,2,JB_W,"National Security Cutters",JB_S,"",JB_27U,"&lt;&gt;")+SUMIFS(JB_27S,JB_B,2,JB_W,"National Security Cutters",JB_S,"",JB_27U,"")+SUMIFS(JB_27U,JB_B,2,JB_W,"National Security Cutters",JB_S,"[PARENT]",JB_27U,"&lt;&gt;")+SUMIFS(JB_27S,JB_B,2,JB_W,"National Security Cutters",JB_S,"[PARENT]",JB_27U,"")</f>
        <v/>
      </c>
      <c r="D39" s="87">
        <f>SUMIFS(JB_27U,JB_B,4,JB_W,"National Security Cutters",JB_S,"",JB_27U,"&lt;&gt;")+SUMIFS(JB_27S,JB_B,4,JB_W,"National Security Cutters",JB_S,"",JB_27U,"")+SUMIFS(JB_27U,JB_B,4,JB_W,"National Security Cutters",JB_S,"[PARENT]",JB_27U,"&lt;&gt;")+SUMIFS(JB_27S,JB_B,4,JB_W,"National Security Cutters",JB_S,"[PARENT]",JB_27U,"")</f>
        <v/>
      </c>
      <c r="E39" s="87">
        <f>C39+D39</f>
        <v/>
      </c>
      <c r="F39" s="93">
        <f>IFERROR(E39/E$40,0)</f>
        <v/>
      </c>
    </row>
    <row r="40" ht="10" customHeight="1">
      <c r="A40" s="88" t="inlineStr">
        <is>
          <t>MRO SAM</t>
        </is>
      </c>
      <c r="B40" s="88" t="inlineStr"/>
      <c r="C40" s="89">
        <f>SUM(C15:C39)</f>
        <v/>
      </c>
      <c r="D40" s="89">
        <f>SUM(D15:D39)</f>
        <v/>
      </c>
      <c r="E40" s="89">
        <f>SUM(E15:E39)</f>
        <v/>
      </c>
      <c r="F40" s="94" t="n">
        <v>1</v>
      </c>
    </row>
    <row r="41" ht="10" customHeight="1"/>
    <row r="42" ht="10" customHeight="1"/>
    <row r="43" ht="10" customHeight="1">
      <c r="A43" s="83" t="inlineStr">
        <is>
          <t>(C) MRO SAM — SDM vs Modernization by Vessel Type (Mekko)</t>
        </is>
      </c>
      <c r="B43" s="84" t="n"/>
      <c r="C43" s="84" t="n"/>
      <c r="D43" s="84" t="n"/>
      <c r="E43" s="84" t="n"/>
    </row>
    <row r="44" ht="10" customHeight="1">
      <c r="A44" s="95" t="n"/>
      <c r="B44" s="96" t="inlineStr">
        <is>
          <t>USN</t>
        </is>
      </c>
      <c r="C44" s="95" t="n"/>
      <c r="D44" s="95" t="n"/>
      <c r="E44" s="97" t="n"/>
    </row>
    <row r="45" ht="10" customHeight="1">
      <c r="A45" s="85" t="inlineStr">
        <is>
          <t>Work Type</t>
        </is>
      </c>
      <c r="B45" s="98" t="inlineStr">
        <is>
          <t>Surface Combatants</t>
        </is>
      </c>
      <c r="C45" s="85" t="inlineStr">
        <is>
          <t>Amphibious Warfare Ships</t>
        </is>
      </c>
      <c r="D45" s="85" t="inlineStr">
        <is>
          <t>Surveillance Ships</t>
        </is>
      </c>
      <c r="E45" s="98" t="inlineStr">
        <is>
          <t>Total</t>
        </is>
      </c>
    </row>
    <row r="46" ht="10" customHeight="1">
      <c r="A46" s="86" t="inlineStr">
        <is>
          <t>Scheduled Depot Maintenance</t>
        </is>
      </c>
      <c r="B46" s="99">
        <f>IFERROR((SUMIFS(JB_27U,JB_B,2,JB_W,"Surface Combatants",JB_S,"",JB_27U,"&lt;&gt;")+SUMIFS(JB_27S,JB_B,2,JB_W,"Surface Combatants",JB_S,"",JB_27U,"")+SUMIFS(JB_27U,JB_B,2,JB_W,"Surface Combatants",JB_S,"[PARENT]",JB_27U,"&lt;&gt;")+SUMIFS(JB_27S,JB_B,2,JB_W,"Surface Combatants",JB_S,"[PARENT]",JB_27U,""))/B$48,0)</f>
        <v/>
      </c>
      <c r="C46" s="93">
        <f>IFERROR((SUMIFS(JB_27U,JB_B,2,JB_W,"Amphibious Warfare Ships",JB_S,"",JB_27U,"&lt;&gt;")+SUMIFS(JB_27S,JB_B,2,JB_W,"Amphibious Warfare Ships",JB_S,"",JB_27U,"")+SUMIFS(JB_27U,JB_B,2,JB_W,"Amphibious Warfare Ships",JB_S,"[PARENT]",JB_27U,"&lt;&gt;")+SUMIFS(JB_27S,JB_B,2,JB_W,"Amphibious Warfare Ships",JB_S,"[PARENT]",JB_27U,""))/C$48,0)</f>
        <v/>
      </c>
      <c r="D46" s="93">
        <f>IFERROR((SUMIFS(JB_27U,JB_B,2,JB_W,"Surveillance Ships",JB_S,"",JB_27U,"&lt;&gt;")+SUMIFS(JB_27S,JB_B,2,JB_W,"Surveillance Ships",JB_S,"",JB_27U,"")+SUMIFS(JB_27U,JB_B,2,JB_W,"Surveillance Ships",JB_S,"[PARENT]",JB_27U,"&lt;&gt;")+SUMIFS(JB_27S,JB_B,2,JB_W,"Surveillance Ships",JB_S,"[PARENT]",JB_27U,""))/D$48,0)</f>
        <v/>
      </c>
      <c r="E46" s="99">
        <f>IFERROR(1-E47,0)</f>
        <v/>
      </c>
    </row>
    <row r="47" ht="10" customHeight="1">
      <c r="A47" s="86" t="inlineStr">
        <is>
          <t>Modernization</t>
        </is>
      </c>
      <c r="B47" s="99">
        <f>IFERROR((SUMIFS(JB_27U,JB_B,4,JB_W,"Surface Combatants",JB_S,"",JB_27U,"&lt;&gt;")+SUMIFS(JB_27S,JB_B,4,JB_W,"Surface Combatants",JB_S,"",JB_27U,"")+SUMIFS(JB_27U,JB_B,4,JB_W,"Surface Combatants",JB_S,"[PARENT]",JB_27U,"&lt;&gt;")+SUMIFS(JB_27S,JB_B,4,JB_W,"Surface Combatants",JB_S,"[PARENT]",JB_27U,""))/B$48,0)</f>
        <v/>
      </c>
      <c r="C47" s="93">
        <f>IFERROR((SUMIFS(JB_27U,JB_B,4,JB_W,"Amphibious Warfare Ships",JB_S,"",JB_27U,"&lt;&gt;")+SUMIFS(JB_27S,JB_B,4,JB_W,"Amphibious Warfare Ships",JB_S,"",JB_27U,"")+SUMIFS(JB_27U,JB_B,4,JB_W,"Amphibious Warfare Ships",JB_S,"[PARENT]",JB_27U,"&lt;&gt;")+SUMIFS(JB_27S,JB_B,4,JB_W,"Amphibious Warfare Ships",JB_S,"[PARENT]",JB_27U,""))/C$48,0)</f>
        <v/>
      </c>
      <c r="D47" s="93">
        <f>IFERROR((SUMIFS(JB_27U,JB_B,4,JB_W,"Surveillance Ships",JB_S,"",JB_27U,"&lt;&gt;")+SUMIFS(JB_27S,JB_B,4,JB_W,"Surveillance Ships",JB_S,"",JB_27U,"")+SUMIFS(JB_27U,JB_B,4,JB_W,"Surveillance Ships",JB_S,"[PARENT]",JB_27U,"&lt;&gt;")+SUMIFS(JB_27S,JB_B,4,JB_W,"Surveillance Ships",JB_S,"[PARENT]",JB_27U,""))/D$48,0)</f>
        <v/>
      </c>
      <c r="E47" s="99">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8" t="inlineStr">
        <is>
          <t>Total ($K)</t>
        </is>
      </c>
      <c r="B48" s="100">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9">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9">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100">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80" t="inlineStr">
        <is>
          <t>Competitive Dynamics</t>
        </is>
      </c>
      <c r="B1" s="81" t="n"/>
      <c r="C1" s="81" t="n"/>
      <c r="D1" s="81" t="n"/>
      <c r="E1" s="81" t="n"/>
    </row>
    <row r="2" ht="10" customHeight="1">
      <c r="A2" s="82" t="inlineStr">
        <is>
          <t>FY20-26 contract obligation analysis — primes, subcontractors, and FY26 vehicle crosswalk ($K)</t>
        </is>
      </c>
    </row>
    <row r="3" ht="10" customHeight="1"/>
    <row r="4" ht="10" customHeight="1">
      <c r="A4" s="83" t="inlineStr">
        <is>
          <t>(A) Top Prime Contractors — FY20-26 Window Obligation</t>
        </is>
      </c>
      <c r="B4" s="84" t="n"/>
      <c r="C4" s="84" t="n"/>
      <c r="D4" s="84" t="n"/>
    </row>
    <row r="5" ht="10" customHeight="1">
      <c r="A5" s="85" t="inlineStr">
        <is>
          <t>Contractor</t>
        </is>
      </c>
      <c r="B5" s="85" t="inlineStr">
        <is>
          <t>Parent</t>
        </is>
      </c>
      <c r="C5" s="85" t="inlineStr">
        <is>
          <t>Window ($K)</t>
        </is>
      </c>
      <c r="D5" s="85" t="inlineStr">
        <is>
          <t>Key Programs</t>
        </is>
      </c>
    </row>
    <row r="6" ht="10" customHeight="1">
      <c r="A6" s="86" t="inlineStr">
        <is>
          <t>Huntington Ingalls Industries</t>
        </is>
      </c>
      <c r="B6" s="82" t="inlineStr">
        <is>
          <t>HII</t>
        </is>
      </c>
      <c r="C6" s="106" t="n">
        <v>22000000</v>
      </c>
      <c r="D6" s="82" t="inlineStr">
        <is>
          <t>DDG-51 $11.4B, LPD $4.7B, LHA $4.5B, DDG-1000 $0.3B, depot</t>
        </is>
      </c>
    </row>
    <row r="7" ht="10" customHeight="1">
      <c r="A7" s="86" t="inlineStr">
        <is>
          <t>Raytheon / RTX</t>
        </is>
      </c>
      <c r="B7" s="82" t="inlineStr">
        <is>
          <t>RTX Corp</t>
        </is>
      </c>
      <c r="C7" s="106" t="n">
        <v>13700000</v>
      </c>
      <c r="D7" s="82" t="inlineStr">
        <is>
          <t>Standard Missile $5.7B, SPY-6 $3.5B, CIWS/RAM $2.0B, DDG-1000 $0.9B, CEC $0.6B</t>
        </is>
      </c>
    </row>
    <row r="8" ht="10" customHeight="1">
      <c r="A8" s="86" t="inlineStr">
        <is>
          <t>Bath Iron Works</t>
        </is>
      </c>
      <c r="B8" s="82" t="inlineStr">
        <is>
          <t>General Dynamics</t>
        </is>
      </c>
      <c r="C8" s="106" t="n">
        <v>8800000</v>
      </c>
      <c r="D8" s="82" t="inlineStr">
        <is>
          <t>DDG-51 FY23-27 $5.0B, FY18-22 $3.3B, FY13-17 $0.5B, DDG-1000 $0.2B</t>
        </is>
      </c>
    </row>
    <row r="9" ht="10" customHeight="1">
      <c r="A9" s="86" t="inlineStr">
        <is>
          <t>BAE Systems</t>
        </is>
      </c>
      <c r="B9" s="82" t="inlineStr">
        <is>
          <t>BAE Systems plc</t>
        </is>
      </c>
      <c r="C9" s="106" t="n">
        <v>5000000</v>
      </c>
      <c r="D9" s="82" t="inlineStr">
        <is>
          <t>DDG/LHD/LPD/LSD/CG depot maintenance — Norfolk, San Diego, Jacksonville, Hawaii</t>
        </is>
      </c>
    </row>
    <row r="10" ht="10" customHeight="1">
      <c r="A10" s="86" t="inlineStr">
        <is>
          <t>Lockheed Martin</t>
        </is>
      </c>
      <c r="B10" s="82" t="inlineStr">
        <is>
          <t>LM</t>
        </is>
      </c>
      <c r="C10" s="106" t="n">
        <v>1500000</v>
      </c>
      <c r="D10" s="82" t="inlineStr">
        <is>
          <t>SLQ-32(V)6 $0.8B, SSDS $0.4B, HELIOS $0.1B, LCS Freedom $0.3B</t>
        </is>
      </c>
    </row>
    <row r="11" ht="10" customHeight="1">
      <c r="A11" s="86" t="inlineStr">
        <is>
          <t>Metro Machine Corp</t>
        </is>
      </c>
      <c r="B11" s="82" t="inlineStr">
        <is>
          <t>--</t>
        </is>
      </c>
      <c r="C11" s="106" t="n">
        <v>700000</v>
      </c>
      <c r="D11" s="82" t="inlineStr">
        <is>
          <t>LHD/DDG/LSD depot maintenance — Norfolk</t>
        </is>
      </c>
    </row>
    <row r="12" ht="10" customHeight="1">
      <c r="A12" s="86" t="inlineStr">
        <is>
          <t>NASSCO</t>
        </is>
      </c>
      <c r="B12" s="82" t="inlineStr">
        <is>
          <t>General Dynamics</t>
        </is>
      </c>
      <c r="C12" s="106" t="n">
        <v>600000</v>
      </c>
      <c r="D12" s="82" t="inlineStr">
        <is>
          <t>LHA/LHD/LSD/DDG/CG depot maintenance — San Diego</t>
        </is>
      </c>
    </row>
    <row r="13" ht="10" customHeight="1">
      <c r="A13" s="86" t="inlineStr">
        <is>
          <t>Vigor Marine LLC</t>
        </is>
      </c>
      <c r="B13" s="82" t="inlineStr">
        <is>
          <t>--</t>
        </is>
      </c>
      <c r="C13" s="106" t="n">
        <v>500000</v>
      </c>
      <c r="D13" s="82" t="inlineStr">
        <is>
          <t>DDG/CG depot maintenance — Portland, OR</t>
        </is>
      </c>
    </row>
    <row r="14" ht="10" customHeight="1">
      <c r="A14" s="86" t="inlineStr">
        <is>
          <t>Northrop Grumman Systems</t>
        </is>
      </c>
      <c r="B14" s="82" t="inlineStr">
        <is>
          <t>NG</t>
        </is>
      </c>
      <c r="C14" s="106" t="n">
        <v>487000</v>
      </c>
      <c r="D14" s="82" t="inlineStr">
        <is>
          <t>Knifefish/LCS $0.35B, SEWIP Block 3 $0.14B, ALMDS $0.07B</t>
        </is>
      </c>
    </row>
    <row r="15" ht="10" customHeight="1">
      <c r="A15" s="86" t="inlineStr">
        <is>
          <t>QED Systems</t>
        </is>
      </c>
      <c r="B15" s="82" t="inlineStr">
        <is>
          <t>--</t>
        </is>
      </c>
      <c r="C15" s="106" t="n">
        <v>300000</v>
      </c>
      <c r="D15" s="82" t="inlineStr">
        <is>
          <t>Third-party planning DDG/CG/LPD/LHD</t>
        </is>
      </c>
    </row>
    <row r="16" ht="10" customHeight="1">
      <c r="A16" s="86" t="inlineStr">
        <is>
          <t>Continental Maritime</t>
        </is>
      </c>
      <c r="B16" s="82" t="inlineStr">
        <is>
          <t>--</t>
        </is>
      </c>
      <c r="C16" s="106" t="n">
        <v>300000</v>
      </c>
      <c r="D16" s="82" t="inlineStr">
        <is>
          <t>DDG depot — San Diego</t>
        </is>
      </c>
    </row>
    <row r="17" ht="10" customHeight="1">
      <c r="A17" s="86" t="inlineStr">
        <is>
          <t>Textron Systems</t>
        </is>
      </c>
      <c r="B17" s="82" t="inlineStr">
        <is>
          <t>Textron</t>
        </is>
      </c>
      <c r="C17" s="106" t="n">
        <v>242000</v>
      </c>
      <c r="D17" s="82" t="inlineStr">
        <is>
          <t>UISS $0.24B</t>
        </is>
      </c>
    </row>
    <row r="18" ht="10" customHeight="1">
      <c r="A18" s="86" t="inlineStr">
        <is>
          <t>Advanced Technology International</t>
        </is>
      </c>
      <c r="B18" s="82" t="inlineStr">
        <is>
          <t>--</t>
        </is>
      </c>
      <c r="C18" s="106" t="n">
        <v>235000</v>
      </c>
      <c r="D18" s="82" t="inlineStr">
        <is>
          <t>OTA consortium: MK-54 MOD 2, SPY-6 prototype, HEL, LHD midlife</t>
        </is>
      </c>
    </row>
    <row r="19" ht="10" customHeight="1">
      <c r="A19" s="86" t="inlineStr">
        <is>
          <t>General Dynamics Mission Systems</t>
        </is>
      </c>
      <c r="B19" s="82" t="inlineStr">
        <is>
          <t>General Dynamics</t>
        </is>
      </c>
      <c r="C19" s="106" t="n">
        <v>210000</v>
      </c>
      <c r="D19" s="82" t="inlineStr">
        <is>
          <t>MK-54 MOD 1 $0.12B, Knifefish Block 1 $0.08B</t>
        </is>
      </c>
    </row>
    <row r="20" ht="10" customHeight="1">
      <c r="A20" s="86" t="inlineStr">
        <is>
          <t>SAIC</t>
        </is>
      </c>
      <c r="B20" s="82" t="inlineStr">
        <is>
          <t>SAIC</t>
        </is>
      </c>
      <c r="C20" s="106" t="n">
        <v>200000</v>
      </c>
      <c r="D20" s="82" t="inlineStr">
        <is>
          <t>DDG-1000 engineering, SSTD Nixie, torpedo defense</t>
        </is>
      </c>
    </row>
    <row r="21" ht="10" customHeight="1">
      <c r="A21" s="86" t="inlineStr">
        <is>
          <t>Marine Hydraulics International</t>
        </is>
      </c>
      <c r="B21" s="82" t="inlineStr">
        <is>
          <t>--</t>
        </is>
      </c>
      <c r="C21" s="106" t="n">
        <v>200000</v>
      </c>
      <c r="D21" s="82" t="inlineStr">
        <is>
          <t>DDG/LSD depot + sub-prime on LHD primes</t>
        </is>
      </c>
    </row>
    <row r="22" ht="10" customHeight="1">
      <c r="A22" s="86" t="inlineStr">
        <is>
          <t>Bollinger Shipyards</t>
        </is>
      </c>
      <c r="B22" s="82" t="inlineStr">
        <is>
          <t>Bollinger</t>
        </is>
      </c>
      <c r="C22" s="106" t="n">
        <v>116000</v>
      </c>
      <c r="D22" s="82" t="inlineStr">
        <is>
          <t>MCM USV production</t>
        </is>
      </c>
    </row>
    <row r="23" ht="10" customHeight="1">
      <c r="A23" s="86" t="inlineStr">
        <is>
          <t>Ultra Electronics Ocean Systems</t>
        </is>
      </c>
      <c r="B23" s="82" t="inlineStr">
        <is>
          <t>Ultra</t>
        </is>
      </c>
      <c r="C23" s="106" t="n">
        <v>68000</v>
      </c>
      <c r="D23" s="82" t="inlineStr">
        <is>
          <t>MK 54 MOD 0 array kits + Nixie production</t>
        </is>
      </c>
    </row>
    <row r="24" ht="10" customHeight="1">
      <c r="A24" s="86" t="inlineStr">
        <is>
          <t>Penn State Applied Research Lab</t>
        </is>
      </c>
      <c r="B24" s="82" t="inlineStr">
        <is>
          <t>Penn State</t>
        </is>
      </c>
      <c r="C24" s="106" t="n">
        <v>60000</v>
      </c>
      <c r="D24" s="82" t="inlineStr">
        <is>
          <t>MK-54 MOD 2 engineering, HEL development</t>
        </is>
      </c>
    </row>
    <row r="25" ht="10" customHeight="1">
      <c r="A25" s="88" t="inlineStr">
        <is>
          <t>Total (top 19)</t>
        </is>
      </c>
      <c r="B25" s="90" t="n"/>
      <c r="C25" s="89">
        <f>SUM(C6:C24)</f>
        <v/>
      </c>
      <c r="D25" s="90" t="n"/>
    </row>
    <row r="26" ht="10" customHeight="1"/>
    <row r="27" ht="10" customHeight="1"/>
    <row r="28" ht="10" customHeight="1">
      <c r="A28" s="83" t="inlineStr">
        <is>
          <t>(B) Top Subcontractors — Hidden Supply Chain</t>
        </is>
      </c>
      <c r="B28" s="84" t="n"/>
      <c r="C28" s="84" t="n"/>
      <c r="D28" s="84" t="n"/>
      <c r="E28" s="84" t="n"/>
    </row>
    <row r="29" ht="10" customHeight="1">
      <c r="A29" s="85" t="inlineStr">
        <is>
          <t>Parent Company</t>
        </is>
      </c>
      <c r="B29" s="85" t="inlineStr">
        <is>
          <t>Sub Total ($K)</t>
        </is>
      </c>
      <c r="C29" s="85" t="inlineStr">
        <is>
          <t># Primes</t>
        </is>
      </c>
      <c r="D29" s="85" t="inlineStr">
        <is>
          <t># PIIDs</t>
        </is>
      </c>
      <c r="E29" s="85" t="inlineStr">
        <is>
          <t>Primary Programs</t>
        </is>
      </c>
    </row>
    <row r="30" ht="10" customHeight="1">
      <c r="A30" s="86" t="inlineStr">
        <is>
          <t>Fincantieri (Marinette Marine)</t>
        </is>
      </c>
      <c r="B30" s="106" t="n">
        <v>2487000</v>
      </c>
      <c r="C30" s="106" t="n">
        <v>2</v>
      </c>
      <c r="D30" s="106" t="n">
        <v>1</v>
      </c>
      <c r="E30" s="82" t="inlineStr">
        <is>
          <t>LCS Freedom hull builder — actual constructor under LM prime</t>
        </is>
      </c>
    </row>
    <row r="31" ht="10" customHeight="1">
      <c r="A31" s="86" t="inlineStr">
        <is>
          <t>Timken Gears &amp; Services</t>
        </is>
      </c>
      <c r="B31" s="106" t="n">
        <v>516000</v>
      </c>
      <c r="C31" s="106" t="n">
        <v>22</v>
      </c>
      <c r="D31" s="106" t="n">
        <v>20</v>
      </c>
      <c r="E31" s="82" t="inlineStr">
        <is>
          <t>DDG/LHD/CG propulsion gearing</t>
        </is>
      </c>
    </row>
    <row r="32" ht="10" customHeight="1">
      <c r="A32" s="86" t="inlineStr">
        <is>
          <t>General Dynamics (rolled up)</t>
        </is>
      </c>
      <c r="B32" s="106" t="n">
        <v>432000</v>
      </c>
      <c r="C32" s="106" t="n">
        <v>23</v>
      </c>
      <c r="D32" s="106" t="n">
        <v>14</v>
      </c>
      <c r="E32" s="82" t="inlineStr">
        <is>
          <t>GD Mission Systems $359M on SPY-6, GD-OTS, GDIT</t>
        </is>
      </c>
    </row>
    <row r="33" ht="10" customHeight="1">
      <c r="A33" s="86" t="inlineStr">
        <is>
          <t>L3Harris (Aerojet Rocketdyne)</t>
        </is>
      </c>
      <c r="B33" s="106" t="n">
        <v>378000</v>
      </c>
      <c r="C33" s="106" t="n">
        <v>4</v>
      </c>
      <c r="D33" s="106" t="n">
        <v>4</v>
      </c>
      <c r="E33" s="82" t="inlineStr">
        <is>
          <t>Solid rocket motors for Standard Missile family</t>
        </is>
      </c>
    </row>
    <row r="34" ht="10" customHeight="1">
      <c r="A34" s="86" t="inlineStr">
        <is>
          <t>Rolls-Royce</t>
        </is>
      </c>
      <c r="B34" s="106" t="n">
        <v>313000</v>
      </c>
      <c r="C34" s="106" t="n">
        <v>25</v>
      </c>
      <c r="D34" s="106" t="n">
        <v>25</v>
      </c>
      <c r="E34" s="82" t="inlineStr">
        <is>
          <t>Gas turbines, waterjets, gearing — DDG/LCS/LPD/LHA + depot</t>
        </is>
      </c>
    </row>
    <row r="35" ht="10" customHeight="1">
      <c r="A35" s="86" t="inlineStr">
        <is>
          <t>CAES (Cobham)</t>
        </is>
      </c>
      <c r="B35" s="106" t="n">
        <v>217000</v>
      </c>
      <c r="C35" s="106" t="n">
        <v>10</v>
      </c>
      <c r="D35" s="106" t="n">
        <v>8</v>
      </c>
      <c r="E35" s="82" t="inlineStr">
        <is>
          <t>RF assemblies on SPY-6 $170M, SEWIP $110M, SLQ-32 $95M</t>
        </is>
      </c>
    </row>
    <row r="36" ht="10" customHeight="1">
      <c r="A36" s="86" t="inlineStr">
        <is>
          <t>Northrop Grumman (as sub)</t>
        </is>
      </c>
      <c r="B36" s="106" t="n">
        <v>215000</v>
      </c>
      <c r="C36" s="106" t="n">
        <v>10</v>
      </c>
      <c r="D36" s="106" t="n">
        <v>9</v>
      </c>
      <c r="E36" s="82" t="inlineStr">
        <is>
          <t>SPY-6 RF $114M, CIWS, LPD/LHA construction</t>
        </is>
      </c>
    </row>
    <row r="37" ht="10" customHeight="1">
      <c r="A37" s="86" t="inlineStr">
        <is>
          <t>IMIA</t>
        </is>
      </c>
      <c r="B37" s="106" t="n">
        <v>204000</v>
      </c>
      <c r="C37" s="106" t="n">
        <v>28</v>
      </c>
      <c r="D37" s="106" t="n">
        <v>28</v>
      </c>
      <c r="E37" s="82" t="inlineStr">
        <is>
          <t>Hull coatings / paint across 28 depot availabilities</t>
        </is>
      </c>
    </row>
    <row r="38" ht="10" customHeight="1">
      <c r="A38" s="86" t="inlineStr">
        <is>
          <t>L3Harris (excl. Aerojet)</t>
        </is>
      </c>
      <c r="B38" s="106" t="n">
        <v>203000</v>
      </c>
      <c r="C38" s="106" t="n">
        <v>53</v>
      </c>
      <c r="D38" s="106" t="n">
        <v>45</v>
      </c>
      <c r="E38" s="82" t="inlineStr">
        <is>
          <t>Maritime Power, Cincinnati Electronics, Fuzing — broadest footprint</t>
        </is>
      </c>
    </row>
    <row r="39" ht="10" customHeight="1">
      <c r="A39" s="86" t="inlineStr">
        <is>
          <t>Johnson Controls (incl. York)</t>
        </is>
      </c>
      <c r="B39" s="106" t="n">
        <v>172000</v>
      </c>
      <c r="C39" s="106" t="n">
        <v>31</v>
      </c>
      <c r="D39" s="106" t="n">
        <v>24</v>
      </c>
      <c r="E39" s="82" t="inlineStr">
        <is>
          <t>HVAC / chilled water on DDG/LPD/LHA + depot</t>
        </is>
      </c>
    </row>
    <row r="40" ht="10" customHeight="1">
      <c r="A40" s="86" t="inlineStr">
        <is>
          <t>GE Aerospace</t>
        </is>
      </c>
      <c r="B40" s="106" t="n">
        <v>166000</v>
      </c>
      <c r="C40" s="106" t="n">
        <v>16</v>
      </c>
      <c r="D40" s="106" t="n">
        <v>14</v>
      </c>
      <c r="E40" s="82" t="inlineStr">
        <is>
          <t>LM2500 gas turbines on DDG-51 + GE Power Conversion LHA 9</t>
        </is>
      </c>
    </row>
    <row r="41" ht="10" customHeight="1">
      <c r="A41" s="86" t="inlineStr">
        <is>
          <t>Fairbanks Morse Defense</t>
        </is>
      </c>
      <c r="B41" s="106" t="n">
        <v>161000</v>
      </c>
      <c r="C41" s="106" t="n">
        <v>25</v>
      </c>
      <c r="D41" s="106" t="n">
        <v>18</v>
      </c>
      <c r="E41" s="82" t="inlineStr">
        <is>
          <t>Diesel generators / propulsion on LPD/LHA + depot rebuilds</t>
        </is>
      </c>
    </row>
    <row r="42" ht="10" customHeight="1">
      <c r="A42" s="86" t="inlineStr">
        <is>
          <t>Leonardo DRS</t>
        </is>
      </c>
      <c r="B42" s="106" t="n">
        <v>134000</v>
      </c>
      <c r="C42" s="106" t="n">
        <v>18</v>
      </c>
      <c r="D42" s="106" t="n">
        <v>15</v>
      </c>
      <c r="E42" s="82" t="inlineStr">
        <is>
          <t>Naval Power Systems, Network &amp; Imaging, Laurel Technologies</t>
        </is>
      </c>
    </row>
    <row r="43" ht="10" customHeight="1">
      <c r="A43" s="86" t="inlineStr">
        <is>
          <t>Sparton DeLeon Springs</t>
        </is>
      </c>
      <c r="B43" s="106" t="n">
        <v>108000</v>
      </c>
      <c r="C43" s="106" t="n">
        <v>2</v>
      </c>
      <c r="D43" s="106" t="n">
        <v>2</v>
      </c>
      <c r="E43" s="82" t="inlineStr">
        <is>
          <t>ASW sensors / payload on Raytheon Barracuda</t>
        </is>
      </c>
    </row>
    <row r="44" ht="10" customHeight="1">
      <c r="A44" s="86" t="inlineStr">
        <is>
          <t>RAM-System GmbH</t>
        </is>
      </c>
      <c r="B44" s="106" t="n">
        <v>98000</v>
      </c>
      <c r="C44" s="106" t="n">
        <v>1</v>
      </c>
      <c r="D44" s="106" t="n">
        <v>1</v>
      </c>
      <c r="E44" s="82" t="inlineStr">
        <is>
          <t>RAM missile co-development with Raytheon (Germany)</t>
        </is>
      </c>
    </row>
    <row r="45" ht="10" customHeight="1">
      <c r="A45" s="86" t="inlineStr">
        <is>
          <t>Bay Metals &amp; Fabrication</t>
        </is>
      </c>
      <c r="B45" s="106" t="n">
        <v>93000</v>
      </c>
      <c r="C45" s="106" t="n">
        <v>9</v>
      </c>
      <c r="D45" s="106" t="n">
        <v>9</v>
      </c>
      <c r="E45" s="82" t="inlineStr">
        <is>
          <t>Norfolk metal fab serving 9 depot availabilities</t>
        </is>
      </c>
    </row>
    <row r="46" ht="10" customHeight="1">
      <c r="A46" s="86" t="inlineStr">
        <is>
          <t>US Joiner LLC</t>
        </is>
      </c>
      <c r="B46" s="106" t="n">
        <v>88000</v>
      </c>
      <c r="C46" s="106" t="n">
        <v>12</v>
      </c>
      <c r="D46" s="106" t="n">
        <v>12</v>
      </c>
      <c r="E46" s="82" t="inlineStr">
        <is>
          <t>Interior outfitting — LPD construction + depot</t>
        </is>
      </c>
    </row>
    <row r="47" ht="10" customHeight="1">
      <c r="A47" s="86" t="inlineStr">
        <is>
          <t>United Rentals</t>
        </is>
      </c>
      <c r="B47" s="106" t="n">
        <v>77000</v>
      </c>
      <c r="C47" s="106" t="n">
        <v>29</v>
      </c>
      <c r="D47" s="106" t="n">
        <v>29</v>
      </c>
      <c r="E47" s="82" t="inlineStr">
        <is>
          <t>Equipment rental across 29 depot availabilities</t>
        </is>
      </c>
    </row>
    <row r="48" ht="10" customHeight="1">
      <c r="A48" s="86" t="inlineStr">
        <is>
          <t>Honeywell</t>
        </is>
      </c>
      <c r="B48" s="106" t="n">
        <v>71000</v>
      </c>
      <c r="C48" s="106" t="n">
        <v>12</v>
      </c>
      <c r="D48" s="106" t="n">
        <v>12</v>
      </c>
      <c r="E48" s="82" t="inlineStr">
        <is>
          <t>IMUs / IRUs on Standard Missile + CIWS</t>
        </is>
      </c>
    </row>
    <row r="49" ht="10" customHeight="1">
      <c r="A49" s="86" t="inlineStr">
        <is>
          <t>Anaren</t>
        </is>
      </c>
      <c r="B49" s="106" t="n">
        <v>64000</v>
      </c>
      <c r="C49" s="106" t="n">
        <v>7</v>
      </c>
      <c r="D49" s="106" t="n">
        <v>7</v>
      </c>
      <c r="E49" s="82" t="inlineStr">
        <is>
          <t>RF combiners/dividers on SPY-6</t>
        </is>
      </c>
    </row>
    <row r="50" ht="10" customHeight="1">
      <c r="A50" s="88" t="inlineStr">
        <is>
          <t>Total (top 20)</t>
        </is>
      </c>
      <c r="B50" s="89">
        <f>SUM(B30:B49)</f>
        <v/>
      </c>
      <c r="C50" s="90" t="n"/>
      <c r="D50" s="90" t="n"/>
      <c r="E50" s="90" t="n"/>
    </row>
    <row r="51" ht="10" customHeight="1"/>
    <row r="52" ht="10" customHeight="1"/>
    <row r="53" ht="10" customHeight="1">
      <c r="A53" s="83" t="inlineStr">
        <is>
          <t>(C) Per-Program Subaward Summary</t>
        </is>
      </c>
      <c r="B53" s="84" t="n"/>
      <c r="C53" s="84" t="n"/>
      <c r="D53" s="84" t="n"/>
      <c r="E53" s="84" t="n"/>
    </row>
    <row r="54" ht="10" customHeight="1">
      <c r="A54" s="85" t="inlineStr">
        <is>
          <t>Program</t>
        </is>
      </c>
      <c r="B54" s="85" t="inlineStr">
        <is>
          <t>Total Subs ($K)</t>
        </is>
      </c>
      <c r="C54" s="85" t="inlineStr">
        <is>
          <t>Top Sub 1</t>
        </is>
      </c>
      <c r="D54" s="85" t="inlineStr">
        <is>
          <t>Top Sub 2</t>
        </is>
      </c>
      <c r="E54" s="85" t="inlineStr">
        <is>
          <t>Top Sub 3</t>
        </is>
      </c>
    </row>
    <row r="55" ht="10" customHeight="1">
      <c r="A55" s="86" t="inlineStr">
        <is>
          <t>DDG-51 New Construction</t>
        </is>
      </c>
      <c r="B55" s="106" t="n">
        <v>530000</v>
      </c>
      <c r="C55" s="82" t="inlineStr">
        <is>
          <t>GE Aerospace $88M</t>
        </is>
      </c>
      <c r="D55" s="82" t="inlineStr">
        <is>
          <t>Johnson Controls $76M</t>
        </is>
      </c>
      <c r="E55" s="82" t="inlineStr">
        <is>
          <t>Timken Gears $41M</t>
        </is>
      </c>
    </row>
    <row r="56" ht="10" customHeight="1">
      <c r="A56" s="86" t="inlineStr">
        <is>
          <t>DDG Mod — SPY-6</t>
        </is>
      </c>
      <c r="B56" s="106" t="n">
        <v>1220000</v>
      </c>
      <c r="C56" s="82" t="inlineStr">
        <is>
          <t>GD Mission Systems $359M</t>
        </is>
      </c>
      <c r="D56" s="82" t="inlineStr">
        <is>
          <t>CAES $170M</t>
        </is>
      </c>
      <c r="E56" s="82" t="inlineStr">
        <is>
          <t>Northrop Grumman $114M</t>
        </is>
      </c>
    </row>
    <row r="57" ht="10" customHeight="1">
      <c r="A57" s="86" t="inlineStr">
        <is>
          <t>DDG Mod — CIWS/RAM/SeaRAM</t>
        </is>
      </c>
      <c r="B57" s="106" t="n">
        <v>560000</v>
      </c>
      <c r="C57" s="82" t="inlineStr">
        <is>
          <t>RAM-System GmbH $98M</t>
        </is>
      </c>
      <c r="D57" s="82" t="inlineStr">
        <is>
          <t>L3Harris $39M</t>
        </is>
      </c>
      <c r="E57" s="82" t="inlineStr">
        <is>
          <t>GD $35M</t>
        </is>
      </c>
    </row>
    <row r="58" ht="10" customHeight="1">
      <c r="A58" s="86" t="inlineStr">
        <is>
          <t>LCS Freedom Construction</t>
        </is>
      </c>
      <c r="B58" s="106" t="n">
        <v>2910000</v>
      </c>
      <c r="C58" s="82" t="inlineStr">
        <is>
          <t>Marinette Marine $2,487M</t>
        </is>
      </c>
      <c r="D58" s="82" t="inlineStr">
        <is>
          <t>Rolls-Royce $196M</t>
        </is>
      </c>
      <c r="E58" s="82" t="inlineStr">
        <is>
          <t>Airbus US $56M</t>
        </is>
      </c>
    </row>
    <row r="59" ht="10" customHeight="1">
      <c r="A59" s="86" t="inlineStr">
        <is>
          <t>LCS MCM Mission Modules</t>
        </is>
      </c>
      <c r="B59" s="106" t="n">
        <v>1230000</v>
      </c>
      <c r="C59" s="82" t="inlineStr">
        <is>
          <t>Trident Sensors $215M</t>
        </is>
      </c>
      <c r="D59" s="82" t="inlineStr">
        <is>
          <t>Teledyne $55M</t>
        </is>
      </c>
      <c r="E59" s="82" t="inlineStr">
        <is>
          <t>GD $13M</t>
        </is>
      </c>
    </row>
    <row r="60" ht="10" customHeight="1">
      <c r="A60" s="86" t="inlineStr">
        <is>
          <t>LHA New Construction</t>
        </is>
      </c>
      <c r="B60" s="106" t="n">
        <v>340000</v>
      </c>
      <c r="C60" s="82" t="inlineStr">
        <is>
          <t>Fairbanks Morse $40M</t>
        </is>
      </c>
      <c r="D60" s="82" t="inlineStr">
        <is>
          <t>L3Harris $39M</t>
        </is>
      </c>
      <c r="E60" s="82" t="inlineStr">
        <is>
          <t>Leonardo DRS $34M</t>
        </is>
      </c>
    </row>
    <row r="61" ht="10" customHeight="1">
      <c r="A61" s="86" t="inlineStr">
        <is>
          <t>LPD Flight II New Construction</t>
        </is>
      </c>
      <c r="B61" s="106" t="n">
        <v>340000</v>
      </c>
      <c r="C61" s="82" t="inlineStr">
        <is>
          <t>Fairbanks Morse $65M</t>
        </is>
      </c>
      <c r="D61" s="82" t="inlineStr">
        <is>
          <t>US Joiner $36M</t>
        </is>
      </c>
      <c r="E61" s="82" t="inlineStr">
        <is>
          <t>Caterpillar $20M</t>
        </is>
      </c>
    </row>
    <row r="62" ht="10" customHeight="1">
      <c r="A62" s="86" t="inlineStr">
        <is>
          <t>Standard Missile Family</t>
        </is>
      </c>
      <c r="B62" s="106" t="n">
        <v>930000</v>
      </c>
      <c r="C62" s="82" t="inlineStr">
        <is>
          <t>L3Harris (Aerojet) $390M</t>
        </is>
      </c>
      <c r="D62" s="82" t="inlineStr">
        <is>
          <t>Honeywell $43M</t>
        </is>
      </c>
      <c r="E62" s="82" t="inlineStr">
        <is>
          <t>Goodrich $32M</t>
        </is>
      </c>
    </row>
    <row r="63" ht="10" customHeight="1">
      <c r="A63" s="86" t="inlineStr">
        <is>
          <t>DDG-1000</t>
        </is>
      </c>
      <c r="B63" s="106" t="n">
        <v>130000</v>
      </c>
      <c r="C63" s="82" t="inlineStr">
        <is>
          <t>Red River Technology $61M</t>
        </is>
      </c>
      <c r="D63" s="82" t="inlineStr">
        <is>
          <t>Air Masters $6M</t>
        </is>
      </c>
      <c r="E63" s="82" t="inlineStr">
        <is>
          <t>--</t>
        </is>
      </c>
    </row>
    <row r="64" ht="10" customHeight="1">
      <c r="A64" s="86" t="inlineStr">
        <is>
          <t>DDG Mod — CEC</t>
        </is>
      </c>
      <c r="B64" s="106" t="n">
        <v>30000</v>
      </c>
      <c r="C64" s="82" t="inlineStr">
        <is>
          <t>Sechan Electronics $7M</t>
        </is>
      </c>
      <c r="D64" s="82" t="inlineStr">
        <is>
          <t>Action Electronics $5M</t>
        </is>
      </c>
      <c r="E64" s="82" t="inlineStr">
        <is>
          <t>--</t>
        </is>
      </c>
    </row>
    <row r="65" ht="10" customHeight="1">
      <c r="A65" s="86" t="inlineStr">
        <is>
          <t>DDG Mod — SSDS</t>
        </is>
      </c>
      <c r="B65" s="106" t="n">
        <v>40000</v>
      </c>
      <c r="C65" s="82" t="inlineStr">
        <is>
          <t>Mission Solutions $14M</t>
        </is>
      </c>
      <c r="D65" s="82" t="inlineStr">
        <is>
          <t>PMAT $6M</t>
        </is>
      </c>
      <c r="E65" s="82" t="inlineStr">
        <is>
          <t>--</t>
        </is>
      </c>
    </row>
    <row r="66" ht="10" customHeight="1">
      <c r="A66" s="86" t="inlineStr">
        <is>
          <t>DDG Mod — HELIOS</t>
        </is>
      </c>
      <c r="B66" s="106" t="n">
        <v>60000</v>
      </c>
      <c r="C66" s="82" t="inlineStr">
        <is>
          <t>MZA Associates $25M</t>
        </is>
      </c>
      <c r="D66" s="82" t="inlineStr">
        <is>
          <t>L3 Technologies $22M</t>
        </is>
      </c>
      <c r="E66" s="82" t="inlineStr">
        <is>
          <t>--</t>
        </is>
      </c>
    </row>
    <row r="67" ht="10" customHeight="1">
      <c r="A67" s="86" t="inlineStr">
        <is>
          <t>Airborne MCM</t>
        </is>
      </c>
      <c r="B67" s="106" t="n">
        <v>150000</v>
      </c>
      <c r="C67" s="82" t="inlineStr">
        <is>
          <t>Sparton $108M</t>
        </is>
      </c>
      <c r="D67" s="82" t="inlineStr">
        <is>
          <t>Teledyne $17M</t>
        </is>
      </c>
      <c r="E67" s="82" t="inlineStr">
        <is>
          <t>--</t>
        </is>
      </c>
    </row>
    <row r="68" ht="10" customHeight="1">
      <c r="A68" s="86" t="inlineStr">
        <is>
          <t>MK-54 Torpedo</t>
        </is>
      </c>
      <c r="B68" s="106" t="n">
        <v>30000</v>
      </c>
      <c r="C68" s="82" t="inlineStr">
        <is>
          <t>L3Harris (Aerojet) $25M</t>
        </is>
      </c>
      <c r="D68" s="82" t="inlineStr">
        <is>
          <t>J&amp;E Precision Tool $3M</t>
        </is>
      </c>
      <c r="E68" s="82" t="inlineStr">
        <is>
          <t>--</t>
        </is>
      </c>
    </row>
    <row r="69" ht="10" customHeight="1">
      <c r="A69" s="86" t="inlineStr">
        <is>
          <t>Depot Maintenance</t>
        </is>
      </c>
      <c r="B69" s="106" t="n">
        <v>1500000</v>
      </c>
      <c r="C69" s="82" t="inlineStr">
        <is>
          <t>IMIA $204M</t>
        </is>
      </c>
      <c r="D69" s="82" t="inlineStr">
        <is>
          <t>Bay Metals $93M</t>
        </is>
      </c>
      <c r="E69" s="82" t="inlineStr">
        <is>
          <t>US Joiner $88M</t>
        </is>
      </c>
    </row>
    <row r="70" ht="10" customHeight="1">
      <c r="A70" s="88" t="inlineStr">
        <is>
          <t>Total</t>
        </is>
      </c>
      <c r="B70" s="89">
        <f>SUM(B55:B69)</f>
        <v/>
      </c>
      <c r="C70" s="90" t="n"/>
      <c r="D70" s="90" t="n"/>
      <c r="E70" s="90" t="n"/>
    </row>
    <row r="71" ht="10" customHeight="1"/>
    <row r="72" ht="10" customHeight="1"/>
    <row r="73" ht="10" customHeight="1">
      <c r="A73" s="83" t="inlineStr">
        <is>
          <t>(D) FY2026 SAM Line Item to Contract Vehicle Crosswalk</t>
        </is>
      </c>
      <c r="B73" s="84" t="n"/>
      <c r="C73" s="84" t="n"/>
    </row>
    <row r="74" ht="10" customHeight="1"/>
    <row r="75" ht="10" customHeight="1">
      <c r="A75" s="102" t="inlineStr">
        <is>
          <t>LHD</t>
        </is>
      </c>
      <c r="B75" s="95" t="n"/>
      <c r="C75" s="95" t="n"/>
    </row>
    <row r="76" ht="10" customHeight="1">
      <c r="A76" s="85" t="inlineStr">
        <is>
          <t>FY26 SAM Line</t>
        </is>
      </c>
      <c r="B76" s="85" t="inlineStr">
        <is>
          <t>FY26 ($K)</t>
        </is>
      </c>
      <c r="C76" s="85" t="inlineStr">
        <is>
          <t>Contract Vehicle / Prime</t>
        </is>
      </c>
    </row>
    <row r="77" ht="10" customHeight="1">
      <c r="A77" s="86" t="inlineStr">
        <is>
          <t>OMN_Vol2 LHD/AMPHIBS depot</t>
        </is>
      </c>
      <c r="B77" s="106" t="n">
        <v>346443</v>
      </c>
      <c r="C77" s="82" t="inlineStr">
        <is>
          <t>BAE Norfolk/SD, Metro Machine, NASSCO</t>
        </is>
      </c>
    </row>
    <row r="78" ht="10" customHeight="1">
      <c r="A78" s="86" t="inlineStr">
        <is>
          <t>OMN_Vol2 LHD/AMPHIBS modernization</t>
        </is>
      </c>
      <c r="B78" s="106" t="n">
        <v>631859</v>
      </c>
      <c r="C78" s="82" t="inlineStr">
        <is>
          <t>BAE Norfolk/SD, Metro Machine</t>
        </is>
      </c>
    </row>
    <row r="79" ht="10" customHeight="1">
      <c r="A79" s="86" t="inlineStr">
        <is>
          <t>OPN BA1 Line 8 LHA/LHD Midlife</t>
        </is>
      </c>
      <c r="B79" s="106" t="n">
        <v>123384</v>
      </c>
      <c r="C79" s="82" t="inlineStr">
        <is>
          <t>BAE / Metro / Gibbs &amp; Cox</t>
        </is>
      </c>
    </row>
    <row r="80" ht="10" customHeight="1">
      <c r="A80" s="88" t="inlineStr">
        <is>
          <t>LHD Total</t>
        </is>
      </c>
      <c r="B80" s="89">
        <f>SUM(B77:B79)</f>
        <v/>
      </c>
      <c r="C80" s="90" t="n"/>
    </row>
    <row r="81" ht="10" customHeight="1"/>
    <row r="82" ht="10" customHeight="1">
      <c r="A82" s="102" t="inlineStr">
        <is>
          <t>LPD</t>
        </is>
      </c>
      <c r="B82" s="95" t="n"/>
      <c r="C82" s="95" t="n"/>
    </row>
    <row r="83" ht="10" customHeight="1">
      <c r="A83" s="85" t="inlineStr">
        <is>
          <t>FY26 SAM Line</t>
        </is>
      </c>
      <c r="B83" s="85" t="inlineStr">
        <is>
          <t>FY26 ($K)</t>
        </is>
      </c>
      <c r="C83" s="85" t="inlineStr">
        <is>
          <t>Contract Vehicle / Prime</t>
        </is>
      </c>
    </row>
    <row r="84" ht="10" customHeight="1">
      <c r="A84" s="86" t="inlineStr">
        <is>
          <t>SCN 3010 LPD Flight II procurement</t>
        </is>
      </c>
      <c r="B84" s="106" t="n">
        <v>835037</v>
      </c>
      <c r="C84" s="82" t="inlineStr">
        <is>
          <t>HII — N0002424C2473 ($5.80B ceiling)</t>
        </is>
      </c>
    </row>
    <row r="85" ht="10" customHeight="1">
      <c r="A85" s="86" t="inlineStr">
        <is>
          <t>SCN 3010 LPD Flight II AP</t>
        </is>
      </c>
      <c r="B85" s="106" t="n">
        <v>275000</v>
      </c>
      <c r="C85" s="82" t="inlineStr">
        <is>
          <t>HII — N0002424C2473 AP scope</t>
        </is>
      </c>
    </row>
    <row r="86" ht="10" customHeight="1">
      <c r="A86" s="86" t="inlineStr">
        <is>
          <t>OMN_Vol2 LPD depot</t>
        </is>
      </c>
      <c r="B86" s="106" t="n">
        <v>149595</v>
      </c>
      <c r="C86" s="82" t="inlineStr">
        <is>
          <t>BAE Norfolk/SD</t>
        </is>
      </c>
    </row>
    <row r="87" ht="10" customHeight="1">
      <c r="A87" s="86" t="inlineStr">
        <is>
          <t>OPN BA1 Line 15 LPD Class Support</t>
        </is>
      </c>
      <c r="B87" s="106" t="n">
        <v>125542</v>
      </c>
      <c r="C87" s="82" t="inlineStr">
        <is>
          <t>HII Class Eng ($225M) + Raytheon LCE&amp;S ($485M)</t>
        </is>
      </c>
    </row>
    <row r="88" ht="10" customHeight="1">
      <c r="A88" s="88" t="inlineStr">
        <is>
          <t>LPD Total</t>
        </is>
      </c>
      <c r="B88" s="89">
        <f>SUM(B84:B87)</f>
        <v/>
      </c>
      <c r="C88" s="90" t="n"/>
    </row>
    <row r="89" ht="10" customHeight="1"/>
    <row r="90" ht="10" customHeight="1">
      <c r="A90" s="102" t="inlineStr">
        <is>
          <t>LSD</t>
        </is>
      </c>
      <c r="B90" s="95" t="n"/>
      <c r="C90" s="95" t="n"/>
    </row>
    <row r="91" ht="10" customHeight="1">
      <c r="A91" s="85" t="inlineStr">
        <is>
          <t>FY26 SAM Line</t>
        </is>
      </c>
      <c r="B91" s="85" t="inlineStr">
        <is>
          <t>FY26 ($K)</t>
        </is>
      </c>
      <c r="C91" s="85" t="inlineStr">
        <is>
          <t>Contract Vehicle / Prime</t>
        </is>
      </c>
    </row>
    <row r="92" ht="10" customHeight="1">
      <c r="A92" s="86" t="inlineStr">
        <is>
          <t>OMN_Vol2 LSD depot</t>
        </is>
      </c>
      <c r="B92" s="106" t="n">
        <v>94421</v>
      </c>
      <c r="C92" s="82" t="inlineStr">
        <is>
          <t>NASSCO, BAE, Metro Machine</t>
        </is>
      </c>
    </row>
    <row r="93" ht="10" customHeight="1">
      <c r="A93" s="86" t="inlineStr">
        <is>
          <t>OMN_Vol2 LSD modernization</t>
        </is>
      </c>
      <c r="B93" s="106" t="n">
        <v>25931</v>
      </c>
      <c r="C93" s="82" t="inlineStr">
        <is>
          <t>Alteration installation (small)</t>
        </is>
      </c>
    </row>
    <row r="94" ht="10" customHeight="1">
      <c r="A94" s="88" t="inlineStr">
        <is>
          <t>LSD Total</t>
        </is>
      </c>
      <c r="B94" s="89">
        <f>SUM(B92:B93)</f>
        <v/>
      </c>
      <c r="C94" s="90" t="n"/>
    </row>
    <row r="95" ht="10" customHeight="1"/>
    <row r="96" ht="10" customHeight="1">
      <c r="A96" s="102" t="inlineStr">
        <is>
          <t>LHA</t>
        </is>
      </c>
      <c r="B96" s="95" t="n"/>
      <c r="C96" s="95" t="n"/>
    </row>
    <row r="97" ht="10" customHeight="1">
      <c r="A97" s="85" t="inlineStr">
        <is>
          <t>FY26 SAM Line</t>
        </is>
      </c>
      <c r="B97" s="85" t="inlineStr">
        <is>
          <t>FY26 ($K)</t>
        </is>
      </c>
      <c r="C97" s="85" t="inlineStr">
        <is>
          <t>Contract Vehicle / Prime</t>
        </is>
      </c>
    </row>
    <row r="98" ht="10" customHeight="1">
      <c r="A98" s="86" t="inlineStr">
        <is>
          <t>SCN 3041 LHA Replacement</t>
        </is>
      </c>
      <c r="B98" s="106" t="n">
        <v>634963</v>
      </c>
      <c r="C98" s="82" t="inlineStr">
        <is>
          <t>HII — N0002420C2437 LHA 9 ($3.14B ceiling)</t>
        </is>
      </c>
    </row>
    <row r="99" ht="10" customHeight="1">
      <c r="A99" s="86" t="inlineStr">
        <is>
          <t>OMN_Vol2 LHA depot</t>
        </is>
      </c>
      <c r="B99" s="106" t="n">
        <v>45012</v>
      </c>
      <c r="C99" s="82" t="inlineStr">
        <is>
          <t>NASSCO — LHA 6 DSRA ($198M ceiling)</t>
        </is>
      </c>
    </row>
    <row r="100" ht="10" customHeight="1">
      <c r="A100" s="88" t="inlineStr">
        <is>
          <t>LHA Total</t>
        </is>
      </c>
      <c r="B100" s="89">
        <f>SUM(B98:B99)</f>
        <v/>
      </c>
      <c r="C100" s="90" t="n"/>
    </row>
    <row r="101" ht="10" customHeight="1"/>
    <row r="102" ht="10" customHeight="1">
      <c r="A102" s="102" t="inlineStr">
        <is>
          <t>DDG</t>
        </is>
      </c>
      <c r="B102" s="95" t="n"/>
      <c r="C102" s="95" t="n"/>
    </row>
    <row r="103" ht="10" customHeight="1">
      <c r="A103" s="85" t="inlineStr">
        <is>
          <t>FY26 SAM Line</t>
        </is>
      </c>
      <c r="B103" s="85" t="inlineStr">
        <is>
          <t>FY26 ($K)</t>
        </is>
      </c>
      <c r="C103" s="85" t="inlineStr">
        <is>
          <t>Contract Vehicle / Prime</t>
        </is>
      </c>
    </row>
    <row r="104" ht="10" customHeight="1">
      <c r="A104" s="86" t="inlineStr">
        <is>
          <t>SCN 2122 DDG-51 procurement</t>
        </is>
      </c>
      <c r="B104" s="106" t="n">
        <v>5410773</v>
      </c>
      <c r="C104" s="82" t="inlineStr">
        <is>
          <t>HII FY23-27 MYP + BIW FY23-27 MYP</t>
        </is>
      </c>
    </row>
    <row r="105" ht="10" customHeight="1">
      <c r="A105" s="86" t="inlineStr">
        <is>
          <t>SCN 2122 DDG-51 AP</t>
        </is>
      </c>
      <c r="B105" s="106" t="n">
        <v>1750000</v>
      </c>
      <c r="C105" s="82" t="inlineStr">
        <is>
          <t>HII + BIW — AP against FY23-27 MYPs</t>
        </is>
      </c>
    </row>
    <row r="106" ht="10" customHeight="1">
      <c r="A106" s="86" t="inlineStr">
        <is>
          <t>SCN 2119 DDG-1000</t>
        </is>
      </c>
      <c r="B106" s="106" t="n">
        <v>52358</v>
      </c>
      <c r="C106" s="82" t="inlineStr">
        <is>
          <t>HII Mod Planning + BIW Planning Yard</t>
        </is>
      </c>
    </row>
    <row r="107" ht="10" customHeight="1">
      <c r="A107" s="86" t="inlineStr">
        <is>
          <t>OMN_Vol2 DDG depot</t>
        </is>
      </c>
      <c r="B107" s="106" t="n">
        <v>952000</v>
      </c>
      <c r="C107" s="82" t="inlineStr">
        <is>
          <t>BAE / NASSCO / Continental / Vigor / MHI / Metro</t>
        </is>
      </c>
    </row>
    <row r="108" ht="10" customHeight="1">
      <c r="A108" s="86" t="inlineStr">
        <is>
          <t>OMN_Vol2 DDG modernization</t>
        </is>
      </c>
      <c r="B108" s="106" t="n">
        <v>1282612</v>
      </c>
      <c r="C108" s="82" t="inlineStr">
        <is>
          <t>Cross-vehicle alteration installation</t>
        </is>
      </c>
    </row>
    <row r="109" ht="10" customHeight="1">
      <c r="A109" s="86" t="inlineStr">
        <is>
          <t>WPN 2234 Standard Missile</t>
        </is>
      </c>
      <c r="B109" s="106" t="n">
        <v>1008875</v>
      </c>
      <c r="C109" s="82" t="inlineStr">
        <is>
          <t>Raytheon SM production vehicles</t>
        </is>
      </c>
    </row>
    <row r="110" ht="10" customHeight="1">
      <c r="A110" s="86" t="inlineStr">
        <is>
          <t>OPN BA1 Line 5 DDG Mod</t>
        </is>
      </c>
      <c r="B110" s="106" t="n">
        <v>878787</v>
      </c>
      <c r="C110" s="82" t="inlineStr">
        <is>
          <t>SPY-6, SEWIP, SSDS, CEC, CIWS, HELIOS, Aegis kits</t>
        </is>
      </c>
    </row>
    <row r="111" ht="10" customHeight="1">
      <c r="A111" s="86" t="inlineStr">
        <is>
          <t>WPN 3215 MK-54 Torpedo Mods</t>
        </is>
      </c>
      <c r="B111" s="106" t="n">
        <v>128513</v>
      </c>
      <c r="C111" s="82" t="inlineStr">
        <is>
          <t>GDMS MK 54 MOD 1 + Ultra MK 54 MOD 0 + ATI OTAs</t>
        </is>
      </c>
    </row>
    <row r="112" ht="10" customHeight="1">
      <c r="A112" s="86" t="inlineStr">
        <is>
          <t>OPN BA1 Line 16 DDG-1000 Support</t>
        </is>
      </c>
      <c r="B112" s="106" t="n">
        <v>115267</v>
      </c>
      <c r="C112" s="82" t="inlineStr">
        <is>
          <t>Raytheon DDG-1000 mission sys + BIW Planning Yard</t>
        </is>
      </c>
    </row>
    <row r="113" ht="10" customHeight="1">
      <c r="A113" s="88" t="inlineStr">
        <is>
          <t>DDG Total</t>
        </is>
      </c>
      <c r="B113" s="89">
        <f>SUM(B104:B112)</f>
        <v/>
      </c>
      <c r="C113" s="90" t="n"/>
    </row>
    <row r="114" ht="10" customHeight="1"/>
    <row r="115" ht="10" customHeight="1">
      <c r="A115" s="102" t="inlineStr">
        <is>
          <t>LCS</t>
        </is>
      </c>
      <c r="B115" s="95" t="n"/>
      <c r="C115" s="95" t="n"/>
    </row>
    <row r="116" ht="10" customHeight="1">
      <c r="A116" s="85" t="inlineStr">
        <is>
          <t>FY26 SAM Line</t>
        </is>
      </c>
      <c r="B116" s="85" t="inlineStr">
        <is>
          <t>FY26 ($K)</t>
        </is>
      </c>
      <c r="C116" s="85" t="inlineStr">
        <is>
          <t>Contract Vehicle / Prime</t>
        </is>
      </c>
    </row>
    <row r="117" ht="10" customHeight="1">
      <c r="A117" s="86" t="inlineStr">
        <is>
          <t>OMN_Vol2 LCS depot</t>
        </is>
      </c>
      <c r="B117" s="106" t="n">
        <v>576389</v>
      </c>
      <c r="C117" s="82" t="inlineStr">
        <is>
          <t>LM Freedom ISEA + GDMS Independence ISEA + avails</t>
        </is>
      </c>
    </row>
    <row r="118" ht="10" customHeight="1">
      <c r="A118" s="86" t="inlineStr">
        <is>
          <t>OMN_Vol2 LCS modernization</t>
        </is>
      </c>
      <c r="B118" s="106" t="n">
        <v>383361</v>
      </c>
      <c r="C118" s="82" t="inlineStr">
        <is>
          <t>LM + GDMS combat system ISEA + ITT-2A</t>
        </is>
      </c>
    </row>
    <row r="119" ht="10" customHeight="1">
      <c r="A119" s="86" t="inlineStr">
        <is>
          <t>OPN BA1 Line 37 LCS In-Service Mod</t>
        </is>
      </c>
      <c r="B119" s="106" t="n">
        <v>189458</v>
      </c>
      <c r="C119" s="82" t="inlineStr">
        <is>
          <t>LM, GDMS, Textron, BAH PEO LCS support</t>
        </is>
      </c>
    </row>
    <row r="120" ht="10" customHeight="1">
      <c r="A120" s="86" t="inlineStr">
        <is>
          <t>OPN BA1 Line 34 LCS MCM Modules</t>
        </is>
      </c>
      <c r="B120" s="106" t="n">
        <v>91372</v>
      </c>
      <c r="C120" s="82" t="inlineStr">
        <is>
          <t>UISS (Textron), Knifefish (GDMS/NG), MCM USV (Bollinger)</t>
        </is>
      </c>
    </row>
    <row r="121" ht="10" customHeight="1">
      <c r="A121" s="86" t="inlineStr">
        <is>
          <t>WPN 2292 Naval Strike Missile</t>
        </is>
      </c>
      <c r="B121" s="106" t="n">
        <v>32238</v>
      </c>
      <c r="C121" s="82" t="inlineStr">
        <is>
          <t>Raytheon NSM integration + Kongsberg OEM via FMS</t>
        </is>
      </c>
    </row>
    <row r="122" ht="10" customHeight="1">
      <c r="A122" s="88" t="inlineStr">
        <is>
          <t>LCS Total</t>
        </is>
      </c>
      <c r="B122" s="89">
        <f>SUM(B117:B121)</f>
        <v/>
      </c>
      <c r="C122" s="90" t="n"/>
    </row>
    <row r="123" ht="10" customHeight="1"/>
    <row r="124" ht="10" customHeight="1">
      <c r="A124" s="102" t="inlineStr">
        <is>
          <t>CG</t>
        </is>
      </c>
      <c r="B124" s="95" t="n"/>
      <c r="C124" s="95" t="n"/>
    </row>
    <row r="125" ht="10" customHeight="1">
      <c r="A125" s="85" t="inlineStr">
        <is>
          <t>FY26 SAM Line</t>
        </is>
      </c>
      <c r="B125" s="85" t="inlineStr">
        <is>
          <t>FY26 ($K)</t>
        </is>
      </c>
      <c r="C125" s="85" t="inlineStr">
        <is>
          <t>Contract Vehicle / Prime</t>
        </is>
      </c>
    </row>
    <row r="126" ht="10" customHeight="1">
      <c r="A126" s="86" t="inlineStr">
        <is>
          <t>OMN_Vol2 CG depot</t>
        </is>
      </c>
      <c r="B126" s="106" t="n">
        <v>115501</v>
      </c>
      <c r="C126" s="82" t="inlineStr">
        <is>
          <t>Vigor, BAE Norfolk, NASSCO, HII CG planning</t>
        </is>
      </c>
    </row>
    <row r="127" ht="10" customHeight="1">
      <c r="A127" s="86" t="inlineStr">
        <is>
          <t>OMN_Vol2 CG modernization</t>
        </is>
      </c>
      <c r="B127" s="106" t="n">
        <v>44940</v>
      </c>
      <c r="C127" s="82" t="inlineStr">
        <is>
          <t>Same vendor pool — alteration installation</t>
        </is>
      </c>
    </row>
    <row r="128" ht="10" customHeight="1">
      <c r="A128" s="88" t="inlineStr">
        <is>
          <t>CG Total</t>
        </is>
      </c>
      <c r="B128" s="89">
        <f>SUM(B126:B127)</f>
        <v/>
      </c>
      <c r="C128" s="90" t="n"/>
    </row>
  </sheetData>
  <pageMargins left="0.75" right="0.75" top="1" bottom="1" header="0.5" footer="0.5"/>
</worksheet>
</file>

<file path=xl/worksheets/sheet16.xml><?xml version="1.0" encoding="utf-8"?>
<worksheet xmlns="http://schemas.openxmlformats.org/spreadsheetml/2006/main">
  <sheetPr>
    <tabColor rgb="FF1F314F"/>
    <outlinePr summaryBelow="1" summaryRight="1"/>
    <pageSetUpPr/>
  </sheetPr>
  <dimension ref="A1:E306"/>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row r="282">
      <c r="A282" s="108" t="inlineStr">
        <is>
          <t>DERIVED COLUMNS (v4.0 — Exhibit Level &amp; Cost Category)</t>
        </is>
      </c>
    </row>
    <row r="284">
      <c r="A284" s="109" t="inlineStr">
        <is>
          <t>J Book Items Cons.</t>
        </is>
      </c>
      <c r="B284" s="109" t="inlineStr">
        <is>
          <t>Column</t>
        </is>
      </c>
      <c r="C284" s="109" t="inlineStr">
        <is>
          <t>Exhibit Level (col AL)</t>
        </is>
      </c>
      <c r="D284" s="109" t="inlineStr">
        <is>
          <t>Derived column populated by the build script for [ALT_VIEW] rows. Values: "P-5c", "P-8a", "P-35", or blank. Parsed from the Line Item Title string pattern (e.g., "DDG-51 - P-5c - Electronics").</t>
        </is>
      </c>
      <c r="E284" s="109" t="inlineStr">
        <is>
          <t>Only exists in the output workbook, not the source. P-8a rows require a known cost category in the title to be tagged (filters out narrative text fragments). Blank for non-ALT_VIEW rows.</t>
        </is>
      </c>
    </row>
    <row r="285">
      <c r="A285" s="109" t="inlineStr">
        <is>
          <t>J Book Items Cons.</t>
        </is>
      </c>
      <c r="B285" s="109" t="inlineStr">
        <is>
          <t>Column</t>
        </is>
      </c>
      <c r="C285" s="109" t="inlineStr">
        <is>
          <t>Cost Category (col AM)</t>
        </is>
      </c>
      <c r="D285" s="109" t="inlineStr">
        <is>
          <t>Derived column populated by the build script for [ALT_VIEW] rows. Values: one of the 9 P-5c cost categories, or blank. For P-5c rows: extracted directly from the title (e.g., "Basic Construction"). For P-8a rows: the parent P-5c category (Electronics, HM&amp;E, or Ordnance). For P-35 rows: blank (not needed for current formulas).</t>
        </is>
      </c>
      <c r="E285" s="109" t="inlineStr">
        <is>
          <t>Valid P-5c cost categories: Plan Costs, Basic Construction, Change Orders, Electronics, Propulsion Equipment, Hull Mechanical and Electrical, Ordnance, Other Cost, Technology Insertion. Year-based P-5c breakdowns (e.g., "2014", "2026") get blank Cost Category.</t>
        </is>
      </c>
    </row>
    <row r="287">
      <c r="A287" s="108" t="inlineStr">
        <is>
          <t>NEWBUILD SAM COST CATEGORY BREAKDOWN (v4.0 — Sections D &amp; E)</t>
        </is>
      </c>
    </row>
    <row r="289">
      <c r="A289" s="109" t="inlineStr">
        <is>
          <t>Newbuild SAM</t>
        </is>
      </c>
      <c r="B289" s="109" t="inlineStr">
        <is>
          <t>Section</t>
        </is>
      </c>
      <c r="C289" s="109" t="inlineStr">
        <is>
          <t>(D) P-5c Gross Cost Category Breakdown</t>
        </is>
      </c>
      <c r="D289" s="109" t="inlineStr">
        <is>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is>
      </c>
      <c r="E289" s="109" t="inlineStr">
        <is>
          <t>FY2026 only. Uses SUMIFS on [ALT_VIEW] rows with JB_EX="P-5c". Includes a percentage sub-table showing the cost category mix per vessel type. Coverage: 6 SAM vessel types with P-5c data from 13+ ship programs.</t>
        </is>
      </c>
    </row>
    <row r="290">
      <c r="A290" s="109" t="inlineStr">
        <is>
          <t>Newbuild SAM</t>
        </is>
      </c>
      <c r="B290" s="109" t="inlineStr">
        <is>
          <t>Section</t>
        </is>
      </c>
      <c r="C290" s="109" t="inlineStr">
        <is>
          <t>(E) Proportional Cost Category Allocation</t>
        </is>
      </c>
      <c r="D290" s="109" t="inlineStr">
        <is>
          <t>Applies the P-5c percentage mix from section (D) to the SAM net budget-authority totals from section (B). This gives a cost category decomposition that reconciles to the SAM total. Formula: SAM_net_per_type * P5c_pct_per_category.</t>
        </is>
      </c>
      <c r="E290" s="109" t="inlineStr">
        <is>
          <t>Allocated Total should equal SAM Net Total per vessel type. The "Check: matches SAM net?" row verifies reconciliation (should show 0.0%). Use this section for market-sizing statements like "$X.XB of DDG SAM goes to electronics/GFE."</t>
        </is>
      </c>
    </row>
    <row r="292">
      <c r="A292" s="108" t="inlineStr">
        <is>
          <t>NEWBUILD SAM COST DETAIL SHEET (v4.0)</t>
        </is>
      </c>
    </row>
    <row r="294">
      <c r="A294" s="109" t="inlineStr">
        <is>
          <t>Newbuild SAM Cost Detail</t>
        </is>
      </c>
      <c r="B294" s="109" t="inlineStr">
        <is>
          <t>Section</t>
        </is>
      </c>
      <c r="C294" s="109" t="inlineStr">
        <is>
          <t>(A) P-5c Total Ship Cost</t>
        </is>
      </c>
      <c r="D294" s="109" t="inlineStr">
        <is>
          <t>Same data as SAM section (D) but presented as a standalone Approach 2 reference. Gross P-5c values by vessel type and cost category — the actual cost of ships before AP/SFF netting. Not reconciled to budget authority.</t>
        </is>
      </c>
      <c r="E294" s="109" t="inlineStr">
        <is>
          <t>Useful for answering "what does a DDG-51 actually cost to build, by component?"</t>
        </is>
      </c>
    </row>
    <row r="295">
      <c r="A295" s="109" t="inlineStr">
        <is>
          <t>Newbuild SAM Cost Detail</t>
        </is>
      </c>
      <c r="B295" s="109" t="inlineStr">
        <is>
          <t>Section</t>
        </is>
      </c>
      <c r="C295" s="109" t="inlineStr">
        <is>
          <t>(B) P-8a System-Level Detail</t>
        </is>
      </c>
      <c r="D295" s="109" t="inlineStr">
        <is>
          <t>Individual GFE systems from Exhibit P-8a, grouped by cost category within each vessel type. Shows system name, cost category, FY2026 $K, and % of vessel type total. Systems include radars (SPY-6, MFR), weapons (VLS, AEGIS, guns), electronics (SEWIP, SCS, EXCOMM), and HM&amp;E (generators, navigation).</t>
        </is>
      </c>
      <c r="E295" s="109" t="inlineStr">
        <is>
          <t>P-8a values are pre-scanned from the source and written as static values (F_BLUE font). Coverage: 4 SAM vessel types with P-8a data. Cost Element column (col AH) provides the system name; 30 of 415 P-8a rows lack a Cost Element and are excluded.</t>
        </is>
      </c>
    </row>
    <row r="296">
      <c r="A296" s="109" t="inlineStr">
        <is>
          <t>Newbuild SAM Cost Detail</t>
        </is>
      </c>
      <c r="B296" s="109" t="inlineStr">
        <is>
          <t>Section</t>
        </is>
      </c>
      <c r="C296" s="109" t="inlineStr">
        <is>
          <t>(C) Top P-8a Systems Cross-Program</t>
        </is>
      </c>
      <c r="D296" s="109" t="inlineStr">
        <is>
          <t>Largest GFE systems aggregated across all SAM vessel types, sorted by total FY2026 $K. Shows system name, cost category, total $K, number of programs, and vessel types.</t>
        </is>
      </c>
      <c r="E296" s="109" t="inlineStr">
        <is>
          <t>Useful for answering "what is the total radar market?" or "which GFE systems span the most programs?"</t>
        </is>
      </c>
    </row>
    <row r="298">
      <c r="A298" s="108" t="inlineStr">
        <is>
          <t>FY2027 COST CATEGORY BREAKDOWN — NOT YET AVAILABLE</t>
        </is>
      </c>
    </row>
    <row r="300">
      <c r="A300" s="109" t="inlineStr">
        <is>
          <t>Newbuild SAM</t>
        </is>
      </c>
      <c r="B300" s="109" t="inlineStr">
        <is>
          <t>Note</t>
        </is>
      </c>
      <c r="C300" s="109" t="inlineStr">
        <is>
          <t>FY2027 has no sections (D)/(E) or Cost Detail sheet</t>
        </is>
      </c>
      <c r="D300" s="109" t="inlineStr">
        <is>
          <t>The FY2027 SCN/OPN justification books (Exhibits P-5c, P-8a, P-35) have not been released yet. Cost category breakdowns will be added when those documents are published.</t>
        </is>
      </c>
      <c r="E300" s="109" t="inlineStr">
        <is>
          <t>FY2027 Newbuild SAM retains sections (A)/(B)/(C) only.</t>
        </is>
      </c>
    </row>
    <row r="302">
      <c r="A302" s="108" t="inlineStr">
        <is>
          <t>NAMED RANGES (v4.0 additions)</t>
        </is>
      </c>
    </row>
    <row r="304">
      <c r="A304" s="109" t="inlineStr">
        <is>
          <t>J Book Items Cons.</t>
        </is>
      </c>
      <c r="B304" s="109" t="inlineStr">
        <is>
          <t>Named Range</t>
        </is>
      </c>
      <c r="C304" s="109" t="inlineStr">
        <is>
          <t>JB_CE (col AH)</t>
        </is>
      </c>
      <c r="D304" s="109" t="inlineStr">
        <is>
          <t>Cost Element — existing column containing system names for P-8a rows (e.g., "AN/SPY-6(V)1 (AMDR)"). Named range added in v4.0 for SUMIFS use.</t>
        </is>
      </c>
      <c r="E304" s="109" t="inlineStr">
        <is>
          <t>Range: $AH$5:$AH$3381. Populated for ~385 of 415 P-8a rows.</t>
        </is>
      </c>
    </row>
    <row r="305">
      <c r="A305" s="109" t="inlineStr">
        <is>
          <t>J Book Items Cons.</t>
        </is>
      </c>
      <c r="B305" s="109" t="inlineStr">
        <is>
          <t>Named Range</t>
        </is>
      </c>
      <c r="C305" s="109" t="inlineStr">
        <is>
          <t>JB_EX (col AL)</t>
        </is>
      </c>
      <c r="D305" s="109" t="inlineStr">
        <is>
          <t>Exhibit Level — derived column. Values: "P-5c", "P-8a", "P-35", or blank.</t>
        </is>
      </c>
      <c r="E305" s="109" t="inlineStr">
        <is>
          <t>Range: $AL$5:$AL$3381. Used in SUMIFS to filter by exhibit type.</t>
        </is>
      </c>
    </row>
    <row r="306">
      <c r="A306" s="109" t="inlineStr">
        <is>
          <t>J Book Items Cons.</t>
        </is>
      </c>
      <c r="B306" s="109" t="inlineStr">
        <is>
          <t>Named Range</t>
        </is>
      </c>
      <c r="C306" s="109" t="inlineStr">
        <is>
          <t>JB_CC (col AM)</t>
        </is>
      </c>
      <c r="D306" s="109" t="inlineStr">
        <is>
          <t>Cost Category — derived column. Values: P-5c cost category name or blank.</t>
        </is>
      </c>
      <c r="E306" s="109" t="inlineStr">
        <is>
          <t>Range: $AM$5:$AM$3381. Used in SUMIFS to filter by cost category.</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2026-04-13T17:17:21Z</dcterms:modified>
  <cp:lastModifiedBy>Brendan Toole</cp:lastModifiedBy>
  <cp:revision>0</cp:revision>
</cp:coreProperties>
</file>